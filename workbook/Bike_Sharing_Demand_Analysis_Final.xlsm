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drawings/drawing4.xml" ContentType="application/vnd.openxmlformats-officedocument.drawing+xml"/>
  <Override PartName="/xl/tables/table1.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D:\NextHikes\"/>
    </mc:Choice>
  </mc:AlternateContent>
  <xr:revisionPtr revIDLastSave="0" documentId="13_ncr:1_{3051C67D-C687-4645-AC35-46BA16E588ED}" xr6:coauthVersionLast="47" xr6:coauthVersionMax="47" xr10:uidLastSave="{00000000-0000-0000-0000-000000000000}"/>
  <bookViews>
    <workbookView xWindow="-108" yWindow="-108" windowWidth="23256" windowHeight="12456" tabRatio="660" activeTab="3" xr2:uid="{00000000-000D-0000-FFFF-FFFF00000000}"/>
  </bookViews>
  <sheets>
    <sheet name="AI_report" sheetId="21" r:id="rId1"/>
    <sheet name="VBA_Report" sheetId="20" r:id="rId2"/>
    <sheet name="Dashboard" sheetId="9" r:id="rId3"/>
    <sheet name="Analysis" sheetId="8" r:id="rId4"/>
    <sheet name="Forecast_result" sheetId="19" r:id="rId5"/>
    <sheet name="Forecast_Anomaly" sheetId="17" r:id="rId6"/>
    <sheet name="README" sheetId="1" r:id="rId7"/>
    <sheet name="Dataset_1_Raw" sheetId="2" r:id="rId8"/>
    <sheet name="Dataset_2_Raw" sheetId="3" r:id="rId9"/>
    <sheet name="Dataset_3_Raw" sheetId="4" r:id="rId10"/>
    <sheet name="Master_Data" sheetId="5" r:id="rId11"/>
    <sheet name="Cleaning_Log" sheetId="6" r:id="rId12"/>
    <sheet name="Feature_Engineering" sheetId="7" r:id="rId13"/>
    <sheet name="data_quality check" sheetId="12" r:id="rId14"/>
    <sheet name="Summary" sheetId="11" r:id="rId15"/>
    <sheet name="Master_Data_pq" sheetId="15" r:id="rId16"/>
    <sheet name="Import_Dataset1" sheetId="22" r:id="rId17"/>
    <sheet name="Import_Dataset2" sheetId="23" r:id="rId18"/>
    <sheet name="Import_Dataset3" sheetId="24" r:id="rId19"/>
  </sheets>
  <functionGroups builtInGroupCount="19"/>
  <definedNames>
    <definedName name="ExternalData_2" localSheetId="15" hidden="1">Master_Data_pq!$A$1:$Q$1001</definedName>
    <definedName name="NativeTimeline_dteday">#N/A</definedName>
    <definedName name="Slicer_day_type">#N/A</definedName>
    <definedName name="Slicer_weather_category">#N/A</definedName>
  </definedNames>
  <calcPr calcId="191029"/>
  <pivotCaches>
    <pivotCache cacheId="0" r:id="rId20"/>
  </pivotCaches>
  <extLs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B11" i="12"/>
  <c r="B7" i="12"/>
  <c r="B5" i="12"/>
  <c r="B4" i="12"/>
  <c r="B3" i="12"/>
  <c r="U1001" i="7"/>
  <c r="T1001" i="7"/>
  <c r="Q1001" i="7"/>
  <c r="P1001" i="7"/>
  <c r="O1001" i="7"/>
  <c r="N1001" i="7"/>
  <c r="M1001" i="7"/>
  <c r="L1001" i="7"/>
  <c r="K1001" i="7"/>
  <c r="J1001" i="7"/>
  <c r="I1001" i="7"/>
  <c r="V1001" i="7" s="1"/>
  <c r="H1001" i="7"/>
  <c r="G1001" i="7"/>
  <c r="S1001" i="7" s="1"/>
  <c r="F1001" i="7"/>
  <c r="E1001" i="7"/>
  <c r="D1001" i="7"/>
  <c r="C1001" i="7"/>
  <c r="B1001" i="7"/>
  <c r="R1001" i="7" s="1"/>
  <c r="A1001" i="7"/>
  <c r="T1000" i="7"/>
  <c r="S1000" i="7"/>
  <c r="R1000" i="7"/>
  <c r="Q1000" i="7"/>
  <c r="P1000" i="7"/>
  <c r="O1000" i="7"/>
  <c r="N1000" i="7"/>
  <c r="M1000" i="7"/>
  <c r="L1000" i="7"/>
  <c r="K1000" i="7"/>
  <c r="J1000" i="7"/>
  <c r="I1000" i="7"/>
  <c r="V1000" i="7" s="1"/>
  <c r="H1000" i="7"/>
  <c r="G1000" i="7"/>
  <c r="F1000" i="7"/>
  <c r="E1000" i="7"/>
  <c r="D1000" i="7"/>
  <c r="C1000" i="7"/>
  <c r="U1000" i="7" s="1"/>
  <c r="B1000" i="7"/>
  <c r="A1000" i="7"/>
  <c r="V999" i="7"/>
  <c r="U999" i="7"/>
  <c r="T999" i="7"/>
  <c r="Q999" i="7"/>
  <c r="P999" i="7"/>
  <c r="O999" i="7"/>
  <c r="N999" i="7"/>
  <c r="M999" i="7"/>
  <c r="L999" i="7"/>
  <c r="K999" i="7"/>
  <c r="J999" i="7"/>
  <c r="I999" i="7"/>
  <c r="H999" i="7"/>
  <c r="G999" i="7"/>
  <c r="S999" i="7" s="1"/>
  <c r="F999" i="7"/>
  <c r="E999" i="7"/>
  <c r="D999" i="7"/>
  <c r="C999" i="7"/>
  <c r="B999" i="7"/>
  <c r="R999" i="7" s="1"/>
  <c r="A999" i="7"/>
  <c r="V998" i="7"/>
  <c r="U998" i="7"/>
  <c r="S998" i="7"/>
  <c r="R998" i="7"/>
  <c r="P998" i="7"/>
  <c r="O998" i="7"/>
  <c r="N998" i="7"/>
  <c r="M998" i="7"/>
  <c r="L998" i="7"/>
  <c r="K998" i="7"/>
  <c r="J998" i="7"/>
  <c r="I998" i="7"/>
  <c r="H998" i="7"/>
  <c r="G998" i="7"/>
  <c r="F998" i="7"/>
  <c r="T998" i="7" s="1"/>
  <c r="E998" i="7"/>
  <c r="D998" i="7"/>
  <c r="Q998" i="7" s="1"/>
  <c r="C998" i="7"/>
  <c r="B998" i="7"/>
  <c r="A998" i="7"/>
  <c r="V997" i="7"/>
  <c r="R997" i="7"/>
  <c r="P997" i="7"/>
  <c r="O997" i="7"/>
  <c r="N997" i="7"/>
  <c r="M997" i="7"/>
  <c r="L997" i="7"/>
  <c r="K997" i="7"/>
  <c r="J997" i="7"/>
  <c r="I997" i="7"/>
  <c r="H997" i="7"/>
  <c r="G997" i="7"/>
  <c r="S997" i="7" s="1"/>
  <c r="F997" i="7"/>
  <c r="T997" i="7" s="1"/>
  <c r="E997" i="7"/>
  <c r="D997" i="7"/>
  <c r="Q997" i="7" s="1"/>
  <c r="C997" i="7"/>
  <c r="U997" i="7" s="1"/>
  <c r="B997" i="7"/>
  <c r="A997" i="7"/>
  <c r="V996" i="7"/>
  <c r="T996" i="7"/>
  <c r="R996" i="7"/>
  <c r="Q996" i="7"/>
  <c r="P996" i="7"/>
  <c r="O996" i="7"/>
  <c r="N996" i="7"/>
  <c r="M996" i="7"/>
  <c r="L996" i="7"/>
  <c r="K996" i="7"/>
  <c r="J996" i="7"/>
  <c r="I996" i="7"/>
  <c r="H996" i="7"/>
  <c r="G996" i="7"/>
  <c r="S996" i="7" s="1"/>
  <c r="F996" i="7"/>
  <c r="E996" i="7"/>
  <c r="D996" i="7"/>
  <c r="C996" i="7"/>
  <c r="U996" i="7" s="1"/>
  <c r="B996" i="7"/>
  <c r="A996" i="7"/>
  <c r="V995" i="7"/>
  <c r="U995" i="7"/>
  <c r="T995" i="7"/>
  <c r="S995" i="7"/>
  <c r="P995" i="7"/>
  <c r="O995" i="7"/>
  <c r="N995" i="7"/>
  <c r="M995" i="7"/>
  <c r="L995" i="7"/>
  <c r="K995" i="7"/>
  <c r="J995" i="7"/>
  <c r="I995" i="7"/>
  <c r="H995" i="7"/>
  <c r="G995" i="7"/>
  <c r="F995" i="7"/>
  <c r="E995" i="7"/>
  <c r="D995" i="7"/>
  <c r="Q995" i="7" s="1"/>
  <c r="C995" i="7"/>
  <c r="B995" i="7"/>
  <c r="R995" i="7" s="1"/>
  <c r="A995" i="7"/>
  <c r="V994" i="7"/>
  <c r="T994" i="7"/>
  <c r="S994" i="7"/>
  <c r="P994" i="7"/>
  <c r="O994" i="7"/>
  <c r="N994" i="7"/>
  <c r="M994" i="7"/>
  <c r="L994" i="7"/>
  <c r="K994" i="7"/>
  <c r="J994" i="7"/>
  <c r="I994" i="7"/>
  <c r="H994" i="7"/>
  <c r="G994" i="7"/>
  <c r="F994" i="7"/>
  <c r="E994" i="7"/>
  <c r="D994" i="7"/>
  <c r="Q994" i="7" s="1"/>
  <c r="C994" i="7"/>
  <c r="U994" i="7" s="1"/>
  <c r="B994" i="7"/>
  <c r="R994" i="7" s="1"/>
  <c r="A994" i="7"/>
  <c r="S993" i="7"/>
  <c r="Q993" i="7"/>
  <c r="P993" i="7"/>
  <c r="O993" i="7"/>
  <c r="N993" i="7"/>
  <c r="M993" i="7"/>
  <c r="L993" i="7"/>
  <c r="K993" i="7"/>
  <c r="J993" i="7"/>
  <c r="I993" i="7"/>
  <c r="V993" i="7" s="1"/>
  <c r="H993" i="7"/>
  <c r="G993" i="7"/>
  <c r="F993" i="7"/>
  <c r="T993" i="7" s="1"/>
  <c r="E993" i="7"/>
  <c r="D993" i="7"/>
  <c r="C993" i="7"/>
  <c r="U993" i="7" s="1"/>
  <c r="B993" i="7"/>
  <c r="R993" i="7" s="1"/>
  <c r="A993" i="7"/>
  <c r="R992" i="7"/>
  <c r="Q992" i="7"/>
  <c r="P992" i="7"/>
  <c r="O992" i="7"/>
  <c r="N992" i="7"/>
  <c r="M992" i="7"/>
  <c r="L992" i="7"/>
  <c r="K992" i="7"/>
  <c r="J992" i="7"/>
  <c r="I992" i="7"/>
  <c r="V992" i="7" s="1"/>
  <c r="H992" i="7"/>
  <c r="G992" i="7"/>
  <c r="S992" i="7" s="1"/>
  <c r="F992" i="7"/>
  <c r="T992" i="7" s="1"/>
  <c r="E992" i="7"/>
  <c r="D992" i="7"/>
  <c r="C992" i="7"/>
  <c r="U992" i="7" s="1"/>
  <c r="B992" i="7"/>
  <c r="A992" i="7"/>
  <c r="V991" i="7"/>
  <c r="U991" i="7"/>
  <c r="R991" i="7"/>
  <c r="P991" i="7"/>
  <c r="O991" i="7"/>
  <c r="N991" i="7"/>
  <c r="M991" i="7"/>
  <c r="L991" i="7"/>
  <c r="K991" i="7"/>
  <c r="J991" i="7"/>
  <c r="I991" i="7"/>
  <c r="H991" i="7"/>
  <c r="G991" i="7"/>
  <c r="S991" i="7" s="1"/>
  <c r="F991" i="7"/>
  <c r="T991" i="7" s="1"/>
  <c r="E991" i="7"/>
  <c r="D991" i="7"/>
  <c r="Q991" i="7" s="1"/>
  <c r="C991" i="7"/>
  <c r="B991" i="7"/>
  <c r="A991" i="7"/>
  <c r="T990" i="7"/>
  <c r="R990" i="7"/>
  <c r="Q990" i="7"/>
  <c r="P990" i="7"/>
  <c r="O990" i="7"/>
  <c r="N990" i="7"/>
  <c r="M990" i="7"/>
  <c r="L990" i="7"/>
  <c r="K990" i="7"/>
  <c r="J990" i="7"/>
  <c r="I990" i="7"/>
  <c r="V990" i="7" s="1"/>
  <c r="H990" i="7"/>
  <c r="G990" i="7"/>
  <c r="S990" i="7" s="1"/>
  <c r="F990" i="7"/>
  <c r="E990" i="7"/>
  <c r="D990" i="7"/>
  <c r="C990" i="7"/>
  <c r="U990" i="7" s="1"/>
  <c r="B990" i="7"/>
  <c r="A990" i="7"/>
  <c r="V989" i="7"/>
  <c r="U989" i="7"/>
  <c r="R989" i="7"/>
  <c r="Q989" i="7"/>
  <c r="P989" i="7"/>
  <c r="O989" i="7"/>
  <c r="N989" i="7"/>
  <c r="M989" i="7"/>
  <c r="L989" i="7"/>
  <c r="K989" i="7"/>
  <c r="J989" i="7"/>
  <c r="I989" i="7"/>
  <c r="H989" i="7"/>
  <c r="G989" i="7"/>
  <c r="S989" i="7" s="1"/>
  <c r="F989" i="7"/>
  <c r="T989" i="7" s="1"/>
  <c r="E989" i="7"/>
  <c r="D989" i="7"/>
  <c r="C989" i="7"/>
  <c r="B989" i="7"/>
  <c r="A989" i="7"/>
  <c r="V988" i="7"/>
  <c r="T988" i="7"/>
  <c r="S988" i="7"/>
  <c r="R988" i="7"/>
  <c r="P988" i="7"/>
  <c r="O988" i="7"/>
  <c r="N988" i="7"/>
  <c r="M988" i="7"/>
  <c r="L988" i="7"/>
  <c r="K988" i="7"/>
  <c r="J988" i="7"/>
  <c r="I988" i="7"/>
  <c r="H988" i="7"/>
  <c r="G988" i="7"/>
  <c r="F988" i="7"/>
  <c r="E988" i="7"/>
  <c r="D988" i="7"/>
  <c r="Q988" i="7" s="1"/>
  <c r="C988" i="7"/>
  <c r="U988" i="7" s="1"/>
  <c r="B988" i="7"/>
  <c r="A988" i="7"/>
  <c r="V987" i="7"/>
  <c r="T987" i="7"/>
  <c r="S987" i="7"/>
  <c r="P987" i="7"/>
  <c r="O987" i="7"/>
  <c r="N987" i="7"/>
  <c r="M987" i="7"/>
  <c r="L987" i="7"/>
  <c r="K987" i="7"/>
  <c r="J987" i="7"/>
  <c r="I987" i="7"/>
  <c r="H987" i="7"/>
  <c r="G987" i="7"/>
  <c r="F987" i="7"/>
  <c r="E987" i="7"/>
  <c r="D987" i="7"/>
  <c r="Q987" i="7" s="1"/>
  <c r="C987" i="7"/>
  <c r="U987" i="7" s="1"/>
  <c r="B987" i="7"/>
  <c r="R987" i="7" s="1"/>
  <c r="A987" i="7"/>
  <c r="V986" i="7"/>
  <c r="P986" i="7"/>
  <c r="O986" i="7"/>
  <c r="N986" i="7"/>
  <c r="M986" i="7"/>
  <c r="L986" i="7"/>
  <c r="K986" i="7"/>
  <c r="J986" i="7"/>
  <c r="I986" i="7"/>
  <c r="H986" i="7"/>
  <c r="G986" i="7"/>
  <c r="S986" i="7" s="1"/>
  <c r="F986" i="7"/>
  <c r="T986" i="7" s="1"/>
  <c r="E986" i="7"/>
  <c r="D986" i="7"/>
  <c r="Q986" i="7" s="1"/>
  <c r="C986" i="7"/>
  <c r="U986" i="7" s="1"/>
  <c r="B986" i="7"/>
  <c r="R986" i="7" s="1"/>
  <c r="A986" i="7"/>
  <c r="U985" i="7"/>
  <c r="T985" i="7"/>
  <c r="Q985" i="7"/>
  <c r="P985" i="7"/>
  <c r="O985" i="7"/>
  <c r="N985" i="7"/>
  <c r="M985" i="7"/>
  <c r="L985" i="7"/>
  <c r="K985" i="7"/>
  <c r="J985" i="7"/>
  <c r="I985" i="7"/>
  <c r="V985" i="7" s="1"/>
  <c r="H985" i="7"/>
  <c r="G985" i="7"/>
  <c r="F985" i="7"/>
  <c r="E985" i="7"/>
  <c r="D985" i="7"/>
  <c r="C985" i="7"/>
  <c r="B985" i="7"/>
  <c r="R985" i="7" s="1"/>
  <c r="A985" i="7"/>
  <c r="U984" i="7"/>
  <c r="T984" i="7"/>
  <c r="R984" i="7"/>
  <c r="Q984" i="7"/>
  <c r="P984" i="7"/>
  <c r="O984" i="7"/>
  <c r="N984" i="7"/>
  <c r="M984" i="7"/>
  <c r="L984" i="7"/>
  <c r="K984" i="7"/>
  <c r="J984" i="7"/>
  <c r="I984" i="7"/>
  <c r="V984" i="7" s="1"/>
  <c r="H984" i="7"/>
  <c r="G984" i="7"/>
  <c r="S984" i="7" s="1"/>
  <c r="F984" i="7"/>
  <c r="E984" i="7"/>
  <c r="D984" i="7"/>
  <c r="C984" i="7"/>
  <c r="B984" i="7"/>
  <c r="A984" i="7"/>
  <c r="V983" i="7"/>
  <c r="T983" i="7"/>
  <c r="S983" i="7"/>
  <c r="P983" i="7"/>
  <c r="O983" i="7"/>
  <c r="N983" i="7"/>
  <c r="M983" i="7"/>
  <c r="L983" i="7"/>
  <c r="K983" i="7"/>
  <c r="J983" i="7"/>
  <c r="I983" i="7"/>
  <c r="H983" i="7"/>
  <c r="G983" i="7"/>
  <c r="F983" i="7"/>
  <c r="E983" i="7"/>
  <c r="D983" i="7"/>
  <c r="Q983" i="7" s="1"/>
  <c r="C983" i="7"/>
  <c r="U983" i="7" s="1"/>
  <c r="B983" i="7"/>
  <c r="R983" i="7" s="1"/>
  <c r="A983" i="7"/>
  <c r="V982" i="7"/>
  <c r="R982" i="7"/>
  <c r="P982" i="7"/>
  <c r="O982" i="7"/>
  <c r="N982" i="7"/>
  <c r="M982" i="7"/>
  <c r="L982" i="7"/>
  <c r="K982" i="7"/>
  <c r="J982" i="7"/>
  <c r="I982" i="7"/>
  <c r="H982" i="7"/>
  <c r="G982" i="7"/>
  <c r="S982" i="7" s="1"/>
  <c r="F982" i="7"/>
  <c r="T982" i="7" s="1"/>
  <c r="E982" i="7"/>
  <c r="D982" i="7"/>
  <c r="Q982" i="7" s="1"/>
  <c r="C982" i="7"/>
  <c r="U982" i="7" s="1"/>
  <c r="B982" i="7"/>
  <c r="A982" i="7"/>
  <c r="S981" i="7"/>
  <c r="Q981" i="7"/>
  <c r="P981" i="7"/>
  <c r="O981" i="7"/>
  <c r="N981" i="7"/>
  <c r="M981" i="7"/>
  <c r="L981" i="7"/>
  <c r="K981" i="7"/>
  <c r="J981" i="7"/>
  <c r="I981" i="7"/>
  <c r="V981" i="7" s="1"/>
  <c r="H981" i="7"/>
  <c r="G981" i="7"/>
  <c r="F981" i="7"/>
  <c r="T981" i="7" s="1"/>
  <c r="E981" i="7"/>
  <c r="D981" i="7"/>
  <c r="C981" i="7"/>
  <c r="U981" i="7" s="1"/>
  <c r="B981" i="7"/>
  <c r="R981" i="7" s="1"/>
  <c r="A981" i="7"/>
  <c r="U980" i="7"/>
  <c r="R980" i="7"/>
  <c r="Q980" i="7"/>
  <c r="P980" i="7"/>
  <c r="O980" i="7"/>
  <c r="N980" i="7"/>
  <c r="M980" i="7"/>
  <c r="L980" i="7"/>
  <c r="K980" i="7"/>
  <c r="J980" i="7"/>
  <c r="I980" i="7"/>
  <c r="V980" i="7" s="1"/>
  <c r="H980" i="7"/>
  <c r="G980" i="7"/>
  <c r="S980" i="7" s="1"/>
  <c r="F980" i="7"/>
  <c r="T980" i="7" s="1"/>
  <c r="E980" i="7"/>
  <c r="D980" i="7"/>
  <c r="C980" i="7"/>
  <c r="B980" i="7"/>
  <c r="A980" i="7"/>
  <c r="V979" i="7"/>
  <c r="U979" i="7"/>
  <c r="T979" i="7"/>
  <c r="R979" i="7"/>
  <c r="P979" i="7"/>
  <c r="O979" i="7"/>
  <c r="N979" i="7"/>
  <c r="M979" i="7"/>
  <c r="L979" i="7"/>
  <c r="K979" i="7"/>
  <c r="J979" i="7"/>
  <c r="I979" i="7"/>
  <c r="H979" i="7"/>
  <c r="S979" i="7" s="1"/>
  <c r="G979" i="7"/>
  <c r="F979" i="7"/>
  <c r="E979" i="7"/>
  <c r="D979" i="7"/>
  <c r="Q979" i="7" s="1"/>
  <c r="C979" i="7"/>
  <c r="B979" i="7"/>
  <c r="A979" i="7"/>
  <c r="V978" i="7"/>
  <c r="T978" i="7"/>
  <c r="R978" i="7"/>
  <c r="P978" i="7"/>
  <c r="O978" i="7"/>
  <c r="N978" i="7"/>
  <c r="M978" i="7"/>
  <c r="L978" i="7"/>
  <c r="K978" i="7"/>
  <c r="J978" i="7"/>
  <c r="I978" i="7"/>
  <c r="H978" i="7"/>
  <c r="G978" i="7"/>
  <c r="S978" i="7" s="1"/>
  <c r="F978" i="7"/>
  <c r="E978" i="7"/>
  <c r="D978" i="7"/>
  <c r="Q978" i="7" s="1"/>
  <c r="C978" i="7"/>
  <c r="U978" i="7" s="1"/>
  <c r="B978" i="7"/>
  <c r="A978" i="7"/>
  <c r="V977" i="7"/>
  <c r="U977" i="7"/>
  <c r="P977" i="7"/>
  <c r="O977" i="7"/>
  <c r="N977" i="7"/>
  <c r="M977" i="7"/>
  <c r="L977" i="7"/>
  <c r="K977" i="7"/>
  <c r="J977" i="7"/>
  <c r="I977" i="7"/>
  <c r="H977" i="7"/>
  <c r="S977" i="7" s="1"/>
  <c r="G977" i="7"/>
  <c r="F977" i="7"/>
  <c r="T977" i="7" s="1"/>
  <c r="E977" i="7"/>
  <c r="D977" i="7"/>
  <c r="Q977" i="7" s="1"/>
  <c r="C977" i="7"/>
  <c r="B977" i="7"/>
  <c r="R977" i="7" s="1"/>
  <c r="A977" i="7"/>
  <c r="U976" i="7"/>
  <c r="Q976" i="7"/>
  <c r="P976" i="7"/>
  <c r="O976" i="7"/>
  <c r="N976" i="7"/>
  <c r="M976" i="7"/>
  <c r="L976" i="7"/>
  <c r="K976" i="7"/>
  <c r="J976" i="7"/>
  <c r="I976" i="7"/>
  <c r="V976" i="7" s="1"/>
  <c r="H976" i="7"/>
  <c r="G976" i="7"/>
  <c r="S976" i="7" s="1"/>
  <c r="F976" i="7"/>
  <c r="T976" i="7" s="1"/>
  <c r="E976" i="7"/>
  <c r="D976" i="7"/>
  <c r="C976" i="7"/>
  <c r="B976" i="7"/>
  <c r="R976" i="7" s="1"/>
  <c r="A976" i="7"/>
  <c r="T975" i="7"/>
  <c r="R975" i="7"/>
  <c r="Q975" i="7"/>
  <c r="P975" i="7"/>
  <c r="O975" i="7"/>
  <c r="N975" i="7"/>
  <c r="M975" i="7"/>
  <c r="L975" i="7"/>
  <c r="K975" i="7"/>
  <c r="J975" i="7"/>
  <c r="I975" i="7"/>
  <c r="V975" i="7" s="1"/>
  <c r="H975" i="7"/>
  <c r="G975" i="7"/>
  <c r="F975" i="7"/>
  <c r="E975" i="7"/>
  <c r="D975" i="7"/>
  <c r="C975" i="7"/>
  <c r="U975" i="7" s="1"/>
  <c r="B975" i="7"/>
  <c r="A975" i="7"/>
  <c r="V974" i="7"/>
  <c r="U974" i="7"/>
  <c r="S974" i="7"/>
  <c r="R974" i="7"/>
  <c r="P974" i="7"/>
  <c r="O974" i="7"/>
  <c r="N974" i="7"/>
  <c r="M974" i="7"/>
  <c r="L974" i="7"/>
  <c r="K974" i="7"/>
  <c r="J974" i="7"/>
  <c r="I974" i="7"/>
  <c r="H974" i="7"/>
  <c r="G974" i="7"/>
  <c r="F974" i="7"/>
  <c r="T974" i="7" s="1"/>
  <c r="E974" i="7"/>
  <c r="D974" i="7"/>
  <c r="Q974" i="7" s="1"/>
  <c r="C974" i="7"/>
  <c r="B974" i="7"/>
  <c r="A974" i="7"/>
  <c r="V973" i="7"/>
  <c r="T973" i="7"/>
  <c r="R973" i="7"/>
  <c r="P973" i="7"/>
  <c r="O973" i="7"/>
  <c r="N973" i="7"/>
  <c r="M973" i="7"/>
  <c r="L973" i="7"/>
  <c r="K973" i="7"/>
  <c r="J973" i="7"/>
  <c r="I973" i="7"/>
  <c r="H973" i="7"/>
  <c r="G973" i="7"/>
  <c r="F973" i="7"/>
  <c r="E973" i="7"/>
  <c r="D973" i="7"/>
  <c r="Q973" i="7" s="1"/>
  <c r="C973" i="7"/>
  <c r="U973" i="7" s="1"/>
  <c r="B973" i="7"/>
  <c r="A973" i="7"/>
  <c r="V972" i="7"/>
  <c r="U972" i="7"/>
  <c r="S972" i="7"/>
  <c r="Q972" i="7"/>
  <c r="P972" i="7"/>
  <c r="O972" i="7"/>
  <c r="N972" i="7"/>
  <c r="M972" i="7"/>
  <c r="L972" i="7"/>
  <c r="K972" i="7"/>
  <c r="J972" i="7"/>
  <c r="I972" i="7"/>
  <c r="H972" i="7"/>
  <c r="G972" i="7"/>
  <c r="F972" i="7"/>
  <c r="T972" i="7" s="1"/>
  <c r="E972" i="7"/>
  <c r="D972" i="7"/>
  <c r="C972" i="7"/>
  <c r="B972" i="7"/>
  <c r="R972" i="7" s="1"/>
  <c r="A972" i="7"/>
  <c r="U971" i="7"/>
  <c r="S971" i="7"/>
  <c r="R971" i="7"/>
  <c r="P971" i="7"/>
  <c r="O971" i="7"/>
  <c r="N971" i="7"/>
  <c r="M971" i="7"/>
  <c r="L971" i="7"/>
  <c r="K971" i="7"/>
  <c r="J971" i="7"/>
  <c r="I971" i="7"/>
  <c r="V971" i="7" s="1"/>
  <c r="H971" i="7"/>
  <c r="G971" i="7"/>
  <c r="F971" i="7"/>
  <c r="T971" i="7" s="1"/>
  <c r="E971" i="7"/>
  <c r="D971" i="7"/>
  <c r="Q971" i="7" s="1"/>
  <c r="C971" i="7"/>
  <c r="B971" i="7"/>
  <c r="A971" i="7"/>
  <c r="U970" i="7"/>
  <c r="T970" i="7"/>
  <c r="S970" i="7"/>
  <c r="R970" i="7"/>
  <c r="P970" i="7"/>
  <c r="O970" i="7"/>
  <c r="N970" i="7"/>
  <c r="M970" i="7"/>
  <c r="L970" i="7"/>
  <c r="K970" i="7"/>
  <c r="J970" i="7"/>
  <c r="I970" i="7"/>
  <c r="V970" i="7" s="1"/>
  <c r="H970" i="7"/>
  <c r="G970" i="7"/>
  <c r="F970" i="7"/>
  <c r="E970" i="7"/>
  <c r="D970" i="7"/>
  <c r="Q970" i="7" s="1"/>
  <c r="C970" i="7"/>
  <c r="B970" i="7"/>
  <c r="A970" i="7"/>
  <c r="V969" i="7"/>
  <c r="T969" i="7"/>
  <c r="S969" i="7"/>
  <c r="R969" i="7"/>
  <c r="Q969" i="7"/>
  <c r="P969" i="7"/>
  <c r="O969" i="7"/>
  <c r="N969" i="7"/>
  <c r="M969" i="7"/>
  <c r="L969" i="7"/>
  <c r="K969" i="7"/>
  <c r="J969" i="7"/>
  <c r="I969" i="7"/>
  <c r="H969" i="7"/>
  <c r="G969" i="7"/>
  <c r="F969" i="7"/>
  <c r="E969" i="7"/>
  <c r="D969" i="7"/>
  <c r="C969" i="7"/>
  <c r="U969" i="7" s="1"/>
  <c r="B969" i="7"/>
  <c r="A969" i="7"/>
  <c r="V968" i="7"/>
  <c r="T968" i="7"/>
  <c r="P968" i="7"/>
  <c r="O968" i="7"/>
  <c r="N968" i="7"/>
  <c r="M968" i="7"/>
  <c r="L968" i="7"/>
  <c r="K968" i="7"/>
  <c r="J968" i="7"/>
  <c r="I968" i="7"/>
  <c r="H968" i="7"/>
  <c r="S968" i="7" s="1"/>
  <c r="G968" i="7"/>
  <c r="F968" i="7"/>
  <c r="E968" i="7"/>
  <c r="D968" i="7"/>
  <c r="Q968" i="7" s="1"/>
  <c r="C968" i="7"/>
  <c r="U968" i="7" s="1"/>
  <c r="B968" i="7"/>
  <c r="R968" i="7" s="1"/>
  <c r="A968" i="7"/>
  <c r="P967" i="7"/>
  <c r="O967" i="7"/>
  <c r="N967" i="7"/>
  <c r="M967" i="7"/>
  <c r="L967" i="7"/>
  <c r="K967" i="7"/>
  <c r="J967" i="7"/>
  <c r="I967" i="7"/>
  <c r="V967" i="7" s="1"/>
  <c r="H967" i="7"/>
  <c r="G967" i="7"/>
  <c r="S967" i="7" s="1"/>
  <c r="F967" i="7"/>
  <c r="T967" i="7" s="1"/>
  <c r="E967" i="7"/>
  <c r="D967" i="7"/>
  <c r="Q967" i="7" s="1"/>
  <c r="C967" i="7"/>
  <c r="U967" i="7" s="1"/>
  <c r="B967" i="7"/>
  <c r="R967" i="7" s="1"/>
  <c r="A967" i="7"/>
  <c r="Q966" i="7"/>
  <c r="P966" i="7"/>
  <c r="O966" i="7"/>
  <c r="N966" i="7"/>
  <c r="M966" i="7"/>
  <c r="L966" i="7"/>
  <c r="K966" i="7"/>
  <c r="J966" i="7"/>
  <c r="I966" i="7"/>
  <c r="V966" i="7" s="1"/>
  <c r="H966" i="7"/>
  <c r="G966" i="7"/>
  <c r="S966" i="7" s="1"/>
  <c r="F966" i="7"/>
  <c r="T966" i="7" s="1"/>
  <c r="E966" i="7"/>
  <c r="D966" i="7"/>
  <c r="C966" i="7"/>
  <c r="U966" i="7" s="1"/>
  <c r="B966" i="7"/>
  <c r="R966" i="7" s="1"/>
  <c r="A966" i="7"/>
  <c r="S965" i="7"/>
  <c r="R965" i="7"/>
  <c r="P965" i="7"/>
  <c r="O965" i="7"/>
  <c r="N965" i="7"/>
  <c r="M965" i="7"/>
  <c r="L965" i="7"/>
  <c r="K965" i="7"/>
  <c r="J965" i="7"/>
  <c r="I965" i="7"/>
  <c r="V965" i="7" s="1"/>
  <c r="H965" i="7"/>
  <c r="G965" i="7"/>
  <c r="F965" i="7"/>
  <c r="T965" i="7" s="1"/>
  <c r="E965" i="7"/>
  <c r="D965" i="7"/>
  <c r="Q965" i="7" s="1"/>
  <c r="C965" i="7"/>
  <c r="U965" i="7" s="1"/>
  <c r="B965" i="7"/>
  <c r="A965" i="7"/>
  <c r="T964" i="7"/>
  <c r="Q964" i="7"/>
  <c r="P964" i="7"/>
  <c r="O964" i="7"/>
  <c r="N964" i="7"/>
  <c r="M964" i="7"/>
  <c r="L964" i="7"/>
  <c r="K964" i="7"/>
  <c r="J964" i="7"/>
  <c r="I964" i="7"/>
  <c r="V964" i="7" s="1"/>
  <c r="H964" i="7"/>
  <c r="G964" i="7"/>
  <c r="S964" i="7" s="1"/>
  <c r="F964" i="7"/>
  <c r="E964" i="7"/>
  <c r="D964" i="7"/>
  <c r="C964" i="7"/>
  <c r="U964" i="7" s="1"/>
  <c r="B964" i="7"/>
  <c r="R964" i="7" s="1"/>
  <c r="A964" i="7"/>
  <c r="T963" i="7"/>
  <c r="S963" i="7"/>
  <c r="R963" i="7"/>
  <c r="Q963" i="7"/>
  <c r="P963" i="7"/>
  <c r="O963" i="7"/>
  <c r="N963" i="7"/>
  <c r="M963" i="7"/>
  <c r="L963" i="7"/>
  <c r="K963" i="7"/>
  <c r="J963" i="7"/>
  <c r="I963" i="7"/>
  <c r="V963" i="7" s="1"/>
  <c r="H963" i="7"/>
  <c r="G963" i="7"/>
  <c r="F963" i="7"/>
  <c r="E963" i="7"/>
  <c r="D963" i="7"/>
  <c r="C963" i="7"/>
  <c r="U963" i="7" s="1"/>
  <c r="B963" i="7"/>
  <c r="A963" i="7"/>
  <c r="V962" i="7"/>
  <c r="U962" i="7"/>
  <c r="S962" i="7"/>
  <c r="R962" i="7"/>
  <c r="Q962" i="7"/>
  <c r="P962" i="7"/>
  <c r="O962" i="7"/>
  <c r="N962" i="7"/>
  <c r="M962" i="7"/>
  <c r="L962" i="7"/>
  <c r="K962" i="7"/>
  <c r="J962" i="7"/>
  <c r="I962" i="7"/>
  <c r="H962" i="7"/>
  <c r="G962" i="7"/>
  <c r="F962" i="7"/>
  <c r="T962" i="7" s="1"/>
  <c r="E962" i="7"/>
  <c r="D962" i="7"/>
  <c r="C962" i="7"/>
  <c r="B962" i="7"/>
  <c r="A962" i="7"/>
  <c r="U961" i="7"/>
  <c r="T961" i="7"/>
  <c r="S961" i="7"/>
  <c r="P961" i="7"/>
  <c r="O961" i="7"/>
  <c r="N961" i="7"/>
  <c r="M961" i="7"/>
  <c r="L961" i="7"/>
  <c r="K961" i="7"/>
  <c r="J961" i="7"/>
  <c r="I961" i="7"/>
  <c r="V961" i="7" s="1"/>
  <c r="H961" i="7"/>
  <c r="G961" i="7"/>
  <c r="F961" i="7"/>
  <c r="E961" i="7"/>
  <c r="D961" i="7"/>
  <c r="Q961" i="7" s="1"/>
  <c r="C961" i="7"/>
  <c r="B961" i="7"/>
  <c r="R961" i="7" s="1"/>
  <c r="A961" i="7"/>
  <c r="V960" i="7"/>
  <c r="Q960" i="7"/>
  <c r="P960" i="7"/>
  <c r="O960" i="7"/>
  <c r="N960" i="7"/>
  <c r="M960" i="7"/>
  <c r="L960" i="7"/>
  <c r="K960" i="7"/>
  <c r="J960" i="7"/>
  <c r="I960" i="7"/>
  <c r="H960" i="7"/>
  <c r="G960" i="7"/>
  <c r="S960" i="7" s="1"/>
  <c r="F960" i="7"/>
  <c r="T960" i="7" s="1"/>
  <c r="E960" i="7"/>
  <c r="D960" i="7"/>
  <c r="C960" i="7"/>
  <c r="U960" i="7" s="1"/>
  <c r="B960" i="7"/>
  <c r="R960" i="7" s="1"/>
  <c r="A960" i="7"/>
  <c r="U959" i="7"/>
  <c r="Q959" i="7"/>
  <c r="P959" i="7"/>
  <c r="O959" i="7"/>
  <c r="N959" i="7"/>
  <c r="M959" i="7"/>
  <c r="L959" i="7"/>
  <c r="K959" i="7"/>
  <c r="J959" i="7"/>
  <c r="I959" i="7"/>
  <c r="V959" i="7" s="1"/>
  <c r="H959" i="7"/>
  <c r="S959" i="7" s="1"/>
  <c r="G959" i="7"/>
  <c r="F959" i="7"/>
  <c r="T959" i="7" s="1"/>
  <c r="E959" i="7"/>
  <c r="D959" i="7"/>
  <c r="C959" i="7"/>
  <c r="B959" i="7"/>
  <c r="R959" i="7" s="1"/>
  <c r="A959" i="7"/>
  <c r="U958" i="7"/>
  <c r="Q958" i="7"/>
  <c r="P958" i="7"/>
  <c r="O958" i="7"/>
  <c r="N958" i="7"/>
  <c r="M958" i="7"/>
  <c r="L958" i="7"/>
  <c r="K958" i="7"/>
  <c r="J958" i="7"/>
  <c r="I958" i="7"/>
  <c r="V958" i="7" s="1"/>
  <c r="H958" i="7"/>
  <c r="S958" i="7" s="1"/>
  <c r="G958" i="7"/>
  <c r="F958" i="7"/>
  <c r="T958" i="7" s="1"/>
  <c r="E958" i="7"/>
  <c r="D958" i="7"/>
  <c r="C958" i="7"/>
  <c r="B958" i="7"/>
  <c r="R958" i="7" s="1"/>
  <c r="A958" i="7"/>
  <c r="Q957" i="7"/>
  <c r="P957" i="7"/>
  <c r="O957" i="7"/>
  <c r="N957" i="7"/>
  <c r="M957" i="7"/>
  <c r="L957" i="7"/>
  <c r="K957" i="7"/>
  <c r="J957" i="7"/>
  <c r="I957" i="7"/>
  <c r="V957" i="7" s="1"/>
  <c r="H957" i="7"/>
  <c r="S957" i="7" s="1"/>
  <c r="G957" i="7"/>
  <c r="F957" i="7"/>
  <c r="T957" i="7" s="1"/>
  <c r="E957" i="7"/>
  <c r="D957" i="7"/>
  <c r="C957" i="7"/>
  <c r="U957" i="7" s="1"/>
  <c r="B957" i="7"/>
  <c r="R957" i="7" s="1"/>
  <c r="A957" i="7"/>
  <c r="U956" i="7"/>
  <c r="T956" i="7"/>
  <c r="S956" i="7"/>
  <c r="R956" i="7"/>
  <c r="P956" i="7"/>
  <c r="O956" i="7"/>
  <c r="N956" i="7"/>
  <c r="M956" i="7"/>
  <c r="L956" i="7"/>
  <c r="K956" i="7"/>
  <c r="J956" i="7"/>
  <c r="I956" i="7"/>
  <c r="V956" i="7" s="1"/>
  <c r="H956" i="7"/>
  <c r="G956" i="7"/>
  <c r="F956" i="7"/>
  <c r="E956" i="7"/>
  <c r="D956" i="7"/>
  <c r="Q956" i="7" s="1"/>
  <c r="C956" i="7"/>
  <c r="B956" i="7"/>
  <c r="A956" i="7"/>
  <c r="V955" i="7"/>
  <c r="T955" i="7"/>
  <c r="S955" i="7"/>
  <c r="Q955" i="7"/>
  <c r="P955" i="7"/>
  <c r="O955" i="7"/>
  <c r="N955" i="7"/>
  <c r="M955" i="7"/>
  <c r="L955" i="7"/>
  <c r="K955" i="7"/>
  <c r="J955" i="7"/>
  <c r="I955" i="7"/>
  <c r="H955" i="7"/>
  <c r="G955" i="7"/>
  <c r="F955" i="7"/>
  <c r="E955" i="7"/>
  <c r="D955" i="7"/>
  <c r="C955" i="7"/>
  <c r="U955" i="7" s="1"/>
  <c r="B955" i="7"/>
  <c r="R955" i="7" s="1"/>
  <c r="A955" i="7"/>
  <c r="T954" i="7"/>
  <c r="S954" i="7"/>
  <c r="Q954" i="7"/>
  <c r="P954" i="7"/>
  <c r="O954" i="7"/>
  <c r="N954" i="7"/>
  <c r="M954" i="7"/>
  <c r="L954" i="7"/>
  <c r="K954" i="7"/>
  <c r="J954" i="7"/>
  <c r="I954" i="7"/>
  <c r="V954" i="7" s="1"/>
  <c r="H954" i="7"/>
  <c r="G954" i="7"/>
  <c r="F954" i="7"/>
  <c r="E954" i="7"/>
  <c r="D954" i="7"/>
  <c r="C954" i="7"/>
  <c r="U954" i="7" s="1"/>
  <c r="B954" i="7"/>
  <c r="R954" i="7" s="1"/>
  <c r="A954" i="7"/>
  <c r="U953" i="7"/>
  <c r="R953" i="7"/>
  <c r="P953" i="7"/>
  <c r="O953" i="7"/>
  <c r="N953" i="7"/>
  <c r="M953" i="7"/>
  <c r="L953" i="7"/>
  <c r="K953" i="7"/>
  <c r="J953" i="7"/>
  <c r="I953" i="7"/>
  <c r="V953" i="7" s="1"/>
  <c r="H953" i="7"/>
  <c r="S953" i="7" s="1"/>
  <c r="G953" i="7"/>
  <c r="F953" i="7"/>
  <c r="T953" i="7" s="1"/>
  <c r="E953" i="7"/>
  <c r="D953" i="7"/>
  <c r="Q953" i="7" s="1"/>
  <c r="C953" i="7"/>
  <c r="B953" i="7"/>
  <c r="A953" i="7"/>
  <c r="T952" i="7"/>
  <c r="Q952" i="7"/>
  <c r="P952" i="7"/>
  <c r="O952" i="7"/>
  <c r="N952" i="7"/>
  <c r="M952" i="7"/>
  <c r="L952" i="7"/>
  <c r="K952" i="7"/>
  <c r="J952" i="7"/>
  <c r="I952" i="7"/>
  <c r="V952" i="7" s="1"/>
  <c r="H952" i="7"/>
  <c r="G952" i="7"/>
  <c r="S952" i="7" s="1"/>
  <c r="F952" i="7"/>
  <c r="E952" i="7"/>
  <c r="D952" i="7"/>
  <c r="C952" i="7"/>
  <c r="U952" i="7" s="1"/>
  <c r="B952" i="7"/>
  <c r="R952" i="7" s="1"/>
  <c r="A952" i="7"/>
  <c r="U951" i="7"/>
  <c r="T951" i="7"/>
  <c r="S951" i="7"/>
  <c r="Q951" i="7"/>
  <c r="P951" i="7"/>
  <c r="O951" i="7"/>
  <c r="N951" i="7"/>
  <c r="M951" i="7"/>
  <c r="L951" i="7"/>
  <c r="K951" i="7"/>
  <c r="J951" i="7"/>
  <c r="I951" i="7"/>
  <c r="V951" i="7" s="1"/>
  <c r="H951" i="7"/>
  <c r="G951" i="7"/>
  <c r="F951" i="7"/>
  <c r="E951" i="7"/>
  <c r="D951" i="7"/>
  <c r="C951" i="7"/>
  <c r="B951" i="7"/>
  <c r="R951" i="7" s="1"/>
  <c r="A951" i="7"/>
  <c r="T950" i="7"/>
  <c r="R950" i="7"/>
  <c r="Q950" i="7"/>
  <c r="P950" i="7"/>
  <c r="O950" i="7"/>
  <c r="N950" i="7"/>
  <c r="M950" i="7"/>
  <c r="L950" i="7"/>
  <c r="K950" i="7"/>
  <c r="J950" i="7"/>
  <c r="I950" i="7"/>
  <c r="V950" i="7" s="1"/>
  <c r="H950" i="7"/>
  <c r="G950" i="7"/>
  <c r="S950" i="7" s="1"/>
  <c r="F950" i="7"/>
  <c r="E950" i="7"/>
  <c r="D950" i="7"/>
  <c r="C950" i="7"/>
  <c r="U950" i="7" s="1"/>
  <c r="B950" i="7"/>
  <c r="A950" i="7"/>
  <c r="V949" i="7"/>
  <c r="S949" i="7"/>
  <c r="Q949" i="7"/>
  <c r="P949" i="7"/>
  <c r="O949" i="7"/>
  <c r="N949" i="7"/>
  <c r="M949" i="7"/>
  <c r="L949" i="7"/>
  <c r="K949" i="7"/>
  <c r="J949" i="7"/>
  <c r="I949" i="7"/>
  <c r="H949" i="7"/>
  <c r="G949" i="7"/>
  <c r="F949" i="7"/>
  <c r="T949" i="7" s="1"/>
  <c r="E949" i="7"/>
  <c r="D949" i="7"/>
  <c r="C949" i="7"/>
  <c r="U949" i="7" s="1"/>
  <c r="B949" i="7"/>
  <c r="R949" i="7" s="1"/>
  <c r="A949" i="7"/>
  <c r="T948" i="7"/>
  <c r="S948" i="7"/>
  <c r="R948" i="7"/>
  <c r="Q948" i="7"/>
  <c r="P948" i="7"/>
  <c r="O948" i="7"/>
  <c r="N948" i="7"/>
  <c r="M948" i="7"/>
  <c r="L948" i="7"/>
  <c r="K948" i="7"/>
  <c r="J948" i="7"/>
  <c r="I948" i="7"/>
  <c r="V948" i="7" s="1"/>
  <c r="H948" i="7"/>
  <c r="G948" i="7"/>
  <c r="F948" i="7"/>
  <c r="E948" i="7"/>
  <c r="D948" i="7"/>
  <c r="C948" i="7"/>
  <c r="U948" i="7" s="1"/>
  <c r="B948" i="7"/>
  <c r="A948" i="7"/>
  <c r="V947" i="7"/>
  <c r="U947" i="7"/>
  <c r="T947" i="7"/>
  <c r="P947" i="7"/>
  <c r="O947" i="7"/>
  <c r="N947" i="7"/>
  <c r="M947" i="7"/>
  <c r="L947" i="7"/>
  <c r="K947" i="7"/>
  <c r="J947" i="7"/>
  <c r="I947" i="7"/>
  <c r="H947" i="7"/>
  <c r="G947" i="7"/>
  <c r="S947" i="7" s="1"/>
  <c r="F947" i="7"/>
  <c r="E947" i="7"/>
  <c r="D947" i="7"/>
  <c r="Q947" i="7" s="1"/>
  <c r="C947" i="7"/>
  <c r="B947" i="7"/>
  <c r="R947" i="7" s="1"/>
  <c r="A947" i="7"/>
  <c r="V946" i="7"/>
  <c r="Q946" i="7"/>
  <c r="P946" i="7"/>
  <c r="O946" i="7"/>
  <c r="N946" i="7"/>
  <c r="M946" i="7"/>
  <c r="L946" i="7"/>
  <c r="K946" i="7"/>
  <c r="J946" i="7"/>
  <c r="I946" i="7"/>
  <c r="H946" i="7"/>
  <c r="G946" i="7"/>
  <c r="S946" i="7" s="1"/>
  <c r="F946" i="7"/>
  <c r="T946" i="7" s="1"/>
  <c r="E946" i="7"/>
  <c r="D946" i="7"/>
  <c r="C946" i="7"/>
  <c r="U946" i="7" s="1"/>
  <c r="B946" i="7"/>
  <c r="R946" i="7" s="1"/>
  <c r="A946" i="7"/>
  <c r="U945" i="7"/>
  <c r="T945" i="7"/>
  <c r="R945" i="7"/>
  <c r="Q945" i="7"/>
  <c r="P945" i="7"/>
  <c r="O945" i="7"/>
  <c r="N945" i="7"/>
  <c r="M945" i="7"/>
  <c r="L945" i="7"/>
  <c r="K945" i="7"/>
  <c r="J945" i="7"/>
  <c r="I945" i="7"/>
  <c r="V945" i="7" s="1"/>
  <c r="H945" i="7"/>
  <c r="G945" i="7"/>
  <c r="S945" i="7" s="1"/>
  <c r="F945" i="7"/>
  <c r="E945" i="7"/>
  <c r="D945" i="7"/>
  <c r="C945" i="7"/>
  <c r="B945" i="7"/>
  <c r="A945" i="7"/>
  <c r="V944" i="7"/>
  <c r="U944" i="7"/>
  <c r="S944" i="7"/>
  <c r="R944" i="7"/>
  <c r="Q944" i="7"/>
  <c r="P944" i="7"/>
  <c r="O944" i="7"/>
  <c r="N944" i="7"/>
  <c r="M944" i="7"/>
  <c r="L944" i="7"/>
  <c r="K944" i="7"/>
  <c r="J944" i="7"/>
  <c r="I944" i="7"/>
  <c r="H944" i="7"/>
  <c r="G944" i="7"/>
  <c r="F944" i="7"/>
  <c r="T944" i="7" s="1"/>
  <c r="E944" i="7"/>
  <c r="D944" i="7"/>
  <c r="C944" i="7"/>
  <c r="B944" i="7"/>
  <c r="A944" i="7"/>
  <c r="V943" i="7"/>
  <c r="T943" i="7"/>
  <c r="R943" i="7"/>
  <c r="P943" i="7"/>
  <c r="O943" i="7"/>
  <c r="N943" i="7"/>
  <c r="M943" i="7"/>
  <c r="L943" i="7"/>
  <c r="K943" i="7"/>
  <c r="J943" i="7"/>
  <c r="I943" i="7"/>
  <c r="H943" i="7"/>
  <c r="G943" i="7"/>
  <c r="S943" i="7" s="1"/>
  <c r="F943" i="7"/>
  <c r="E943" i="7"/>
  <c r="D943" i="7"/>
  <c r="Q943" i="7" s="1"/>
  <c r="C943" i="7"/>
  <c r="U943" i="7" s="1"/>
  <c r="B943" i="7"/>
  <c r="A943" i="7"/>
  <c r="R942" i="7"/>
  <c r="P942" i="7"/>
  <c r="O942" i="7"/>
  <c r="N942" i="7"/>
  <c r="M942" i="7"/>
  <c r="L942" i="7"/>
  <c r="K942" i="7"/>
  <c r="J942" i="7"/>
  <c r="I942" i="7"/>
  <c r="V942" i="7" s="1"/>
  <c r="H942" i="7"/>
  <c r="G942" i="7"/>
  <c r="S942" i="7" s="1"/>
  <c r="F942" i="7"/>
  <c r="T942" i="7" s="1"/>
  <c r="E942" i="7"/>
  <c r="D942" i="7"/>
  <c r="Q942" i="7" s="1"/>
  <c r="C942" i="7"/>
  <c r="U942" i="7" s="1"/>
  <c r="B942" i="7"/>
  <c r="A942" i="7"/>
  <c r="T941" i="7"/>
  <c r="R941" i="7"/>
  <c r="P941" i="7"/>
  <c r="O941" i="7"/>
  <c r="N941" i="7"/>
  <c r="M941" i="7"/>
  <c r="L941" i="7"/>
  <c r="K941" i="7"/>
  <c r="J941" i="7"/>
  <c r="I941" i="7"/>
  <c r="V941" i="7" s="1"/>
  <c r="H941" i="7"/>
  <c r="G941" i="7"/>
  <c r="S941" i="7" s="1"/>
  <c r="F941" i="7"/>
  <c r="E941" i="7"/>
  <c r="D941" i="7"/>
  <c r="Q941" i="7" s="1"/>
  <c r="C941" i="7"/>
  <c r="U941" i="7" s="1"/>
  <c r="B941" i="7"/>
  <c r="A941" i="7"/>
  <c r="V940" i="7"/>
  <c r="Q940" i="7"/>
  <c r="P940" i="7"/>
  <c r="O940" i="7"/>
  <c r="N940" i="7"/>
  <c r="M940" i="7"/>
  <c r="L940" i="7"/>
  <c r="K940" i="7"/>
  <c r="J940" i="7"/>
  <c r="I940" i="7"/>
  <c r="H940" i="7"/>
  <c r="G940" i="7"/>
  <c r="S940" i="7" s="1"/>
  <c r="F940" i="7"/>
  <c r="T940" i="7" s="1"/>
  <c r="E940" i="7"/>
  <c r="D940" i="7"/>
  <c r="C940" i="7"/>
  <c r="U940" i="7" s="1"/>
  <c r="B940" i="7"/>
  <c r="R940" i="7" s="1"/>
  <c r="A940" i="7"/>
  <c r="T939" i="7"/>
  <c r="S939" i="7"/>
  <c r="Q939" i="7"/>
  <c r="P939" i="7"/>
  <c r="O939" i="7"/>
  <c r="N939" i="7"/>
  <c r="M939" i="7"/>
  <c r="L939" i="7"/>
  <c r="K939" i="7"/>
  <c r="J939" i="7"/>
  <c r="I939" i="7"/>
  <c r="V939" i="7" s="1"/>
  <c r="H939" i="7"/>
  <c r="G939" i="7"/>
  <c r="F939" i="7"/>
  <c r="E939" i="7"/>
  <c r="D939" i="7"/>
  <c r="C939" i="7"/>
  <c r="U939" i="7" s="1"/>
  <c r="B939" i="7"/>
  <c r="R939" i="7" s="1"/>
  <c r="A939" i="7"/>
  <c r="V938" i="7"/>
  <c r="U938" i="7"/>
  <c r="S938" i="7"/>
  <c r="R938" i="7"/>
  <c r="Q938" i="7"/>
  <c r="P938" i="7"/>
  <c r="O938" i="7"/>
  <c r="N938" i="7"/>
  <c r="M938" i="7"/>
  <c r="L938" i="7"/>
  <c r="K938" i="7"/>
  <c r="J938" i="7"/>
  <c r="I938" i="7"/>
  <c r="H938" i="7"/>
  <c r="G938" i="7"/>
  <c r="F938" i="7"/>
  <c r="T938" i="7" s="1"/>
  <c r="E938" i="7"/>
  <c r="D938" i="7"/>
  <c r="C938" i="7"/>
  <c r="B938" i="7"/>
  <c r="A938" i="7"/>
  <c r="U937" i="7"/>
  <c r="R937" i="7"/>
  <c r="Q937" i="7"/>
  <c r="P937" i="7"/>
  <c r="O937" i="7"/>
  <c r="N937" i="7"/>
  <c r="M937" i="7"/>
  <c r="L937" i="7"/>
  <c r="K937" i="7"/>
  <c r="J937" i="7"/>
  <c r="I937" i="7"/>
  <c r="V937" i="7" s="1"/>
  <c r="H937" i="7"/>
  <c r="G937" i="7"/>
  <c r="S937" i="7" s="1"/>
  <c r="F937" i="7"/>
  <c r="T937" i="7" s="1"/>
  <c r="E937" i="7"/>
  <c r="D937" i="7"/>
  <c r="C937" i="7"/>
  <c r="B937" i="7"/>
  <c r="A937" i="7"/>
  <c r="V936" i="7"/>
  <c r="U936" i="7"/>
  <c r="P936" i="7"/>
  <c r="O936" i="7"/>
  <c r="N936" i="7"/>
  <c r="M936" i="7"/>
  <c r="L936" i="7"/>
  <c r="K936" i="7"/>
  <c r="J936" i="7"/>
  <c r="I936" i="7"/>
  <c r="H936" i="7"/>
  <c r="G936" i="7"/>
  <c r="F936" i="7"/>
  <c r="T936" i="7" s="1"/>
  <c r="E936" i="7"/>
  <c r="D936" i="7"/>
  <c r="Q936" i="7" s="1"/>
  <c r="C936" i="7"/>
  <c r="B936" i="7"/>
  <c r="R936" i="7" s="1"/>
  <c r="A936" i="7"/>
  <c r="R935" i="7"/>
  <c r="Q935" i="7"/>
  <c r="P935" i="7"/>
  <c r="O935" i="7"/>
  <c r="N935" i="7"/>
  <c r="M935" i="7"/>
  <c r="L935" i="7"/>
  <c r="K935" i="7"/>
  <c r="J935" i="7"/>
  <c r="I935" i="7"/>
  <c r="V935" i="7" s="1"/>
  <c r="H935" i="7"/>
  <c r="G935" i="7"/>
  <c r="S935" i="7" s="1"/>
  <c r="F935" i="7"/>
  <c r="T935" i="7" s="1"/>
  <c r="E935" i="7"/>
  <c r="D935" i="7"/>
  <c r="C935" i="7"/>
  <c r="U935" i="7" s="1"/>
  <c r="B935" i="7"/>
  <c r="A935" i="7"/>
  <c r="V934" i="7"/>
  <c r="T934" i="7"/>
  <c r="R934" i="7"/>
  <c r="Q934" i="7"/>
  <c r="P934" i="7"/>
  <c r="O934" i="7"/>
  <c r="N934" i="7"/>
  <c r="M934" i="7"/>
  <c r="L934" i="7"/>
  <c r="K934" i="7"/>
  <c r="J934" i="7"/>
  <c r="I934" i="7"/>
  <c r="H934" i="7"/>
  <c r="G934" i="7"/>
  <c r="S934" i="7" s="1"/>
  <c r="F934" i="7"/>
  <c r="E934" i="7"/>
  <c r="D934" i="7"/>
  <c r="C934" i="7"/>
  <c r="U934" i="7" s="1"/>
  <c r="B934" i="7"/>
  <c r="A934" i="7"/>
  <c r="V933" i="7"/>
  <c r="U933" i="7"/>
  <c r="T933" i="7"/>
  <c r="S933" i="7"/>
  <c r="Q933" i="7"/>
  <c r="P933" i="7"/>
  <c r="O933" i="7"/>
  <c r="N933" i="7"/>
  <c r="M933" i="7"/>
  <c r="L933" i="7"/>
  <c r="K933" i="7"/>
  <c r="J933" i="7"/>
  <c r="I933" i="7"/>
  <c r="H933" i="7"/>
  <c r="G933" i="7"/>
  <c r="F933" i="7"/>
  <c r="E933" i="7"/>
  <c r="D933" i="7"/>
  <c r="C933" i="7"/>
  <c r="B933" i="7"/>
  <c r="R933" i="7" s="1"/>
  <c r="A933" i="7"/>
  <c r="V932" i="7"/>
  <c r="U932" i="7"/>
  <c r="T932" i="7"/>
  <c r="R932" i="7"/>
  <c r="Q932" i="7"/>
  <c r="P932" i="7"/>
  <c r="O932" i="7"/>
  <c r="N932" i="7"/>
  <c r="M932" i="7"/>
  <c r="L932" i="7"/>
  <c r="K932" i="7"/>
  <c r="J932" i="7"/>
  <c r="I932" i="7"/>
  <c r="H932" i="7"/>
  <c r="G932" i="7"/>
  <c r="S932" i="7" s="1"/>
  <c r="F932" i="7"/>
  <c r="E932" i="7"/>
  <c r="D932" i="7"/>
  <c r="C932" i="7"/>
  <c r="B932" i="7"/>
  <c r="A932" i="7"/>
  <c r="V931" i="7"/>
  <c r="U931" i="7"/>
  <c r="S931" i="7"/>
  <c r="P931" i="7"/>
  <c r="O931" i="7"/>
  <c r="N931" i="7"/>
  <c r="M931" i="7"/>
  <c r="L931" i="7"/>
  <c r="K931" i="7"/>
  <c r="J931" i="7"/>
  <c r="I931" i="7"/>
  <c r="H931" i="7"/>
  <c r="G931" i="7"/>
  <c r="F931" i="7"/>
  <c r="T931" i="7" s="1"/>
  <c r="E931" i="7"/>
  <c r="D931" i="7"/>
  <c r="Q931" i="7" s="1"/>
  <c r="C931" i="7"/>
  <c r="B931" i="7"/>
  <c r="R931" i="7" s="1"/>
  <c r="A931" i="7"/>
  <c r="U930" i="7"/>
  <c r="T930" i="7"/>
  <c r="Q930" i="7"/>
  <c r="P930" i="7"/>
  <c r="O930" i="7"/>
  <c r="N930" i="7"/>
  <c r="M930" i="7"/>
  <c r="L930" i="7"/>
  <c r="K930" i="7"/>
  <c r="J930" i="7"/>
  <c r="I930" i="7"/>
  <c r="V930" i="7" s="1"/>
  <c r="H930" i="7"/>
  <c r="G930" i="7"/>
  <c r="F930" i="7"/>
  <c r="E930" i="7"/>
  <c r="D930" i="7"/>
  <c r="C930" i="7"/>
  <c r="B930" i="7"/>
  <c r="R930" i="7" s="1"/>
  <c r="A930" i="7"/>
  <c r="U929" i="7"/>
  <c r="T929" i="7"/>
  <c r="Q929" i="7"/>
  <c r="P929" i="7"/>
  <c r="O929" i="7"/>
  <c r="N929" i="7"/>
  <c r="M929" i="7"/>
  <c r="L929" i="7"/>
  <c r="K929" i="7"/>
  <c r="J929" i="7"/>
  <c r="I929" i="7"/>
  <c r="V929" i="7" s="1"/>
  <c r="H929" i="7"/>
  <c r="G929" i="7"/>
  <c r="S929" i="7" s="1"/>
  <c r="F929" i="7"/>
  <c r="E929" i="7"/>
  <c r="D929" i="7"/>
  <c r="C929" i="7"/>
  <c r="B929" i="7"/>
  <c r="R929" i="7" s="1"/>
  <c r="A929" i="7"/>
  <c r="V928" i="7"/>
  <c r="R928" i="7"/>
  <c r="Q928" i="7"/>
  <c r="P928" i="7"/>
  <c r="O928" i="7"/>
  <c r="N928" i="7"/>
  <c r="M928" i="7"/>
  <c r="L928" i="7"/>
  <c r="K928" i="7"/>
  <c r="J928" i="7"/>
  <c r="I928" i="7"/>
  <c r="H928" i="7"/>
  <c r="G928" i="7"/>
  <c r="S928" i="7" s="1"/>
  <c r="F928" i="7"/>
  <c r="T928" i="7" s="1"/>
  <c r="E928" i="7"/>
  <c r="D928" i="7"/>
  <c r="C928" i="7"/>
  <c r="U928" i="7" s="1"/>
  <c r="B928" i="7"/>
  <c r="A928" i="7"/>
  <c r="V927" i="7"/>
  <c r="T927" i="7"/>
  <c r="S927" i="7"/>
  <c r="R927" i="7"/>
  <c r="Q927" i="7"/>
  <c r="P927" i="7"/>
  <c r="O927" i="7"/>
  <c r="N927" i="7"/>
  <c r="M927" i="7"/>
  <c r="L927" i="7"/>
  <c r="K927" i="7"/>
  <c r="J927" i="7"/>
  <c r="I927" i="7"/>
  <c r="H927" i="7"/>
  <c r="G927" i="7"/>
  <c r="F927" i="7"/>
  <c r="E927" i="7"/>
  <c r="D927" i="7"/>
  <c r="C927" i="7"/>
  <c r="U927" i="7" s="1"/>
  <c r="B927" i="7"/>
  <c r="A927" i="7"/>
  <c r="R926" i="7"/>
  <c r="Q926" i="7"/>
  <c r="P926" i="7"/>
  <c r="O926" i="7"/>
  <c r="N926" i="7"/>
  <c r="M926" i="7"/>
  <c r="L926" i="7"/>
  <c r="K926" i="7"/>
  <c r="J926" i="7"/>
  <c r="I926" i="7"/>
  <c r="V926" i="7" s="1"/>
  <c r="H926" i="7"/>
  <c r="G926" i="7"/>
  <c r="S926" i="7" s="1"/>
  <c r="F926" i="7"/>
  <c r="T926" i="7" s="1"/>
  <c r="E926" i="7"/>
  <c r="D926" i="7"/>
  <c r="C926" i="7"/>
  <c r="U926" i="7" s="1"/>
  <c r="B926" i="7"/>
  <c r="A926" i="7"/>
  <c r="V925" i="7"/>
  <c r="U925" i="7"/>
  <c r="T925" i="7"/>
  <c r="R925" i="7"/>
  <c r="Q925" i="7"/>
  <c r="P925" i="7"/>
  <c r="O925" i="7"/>
  <c r="N925" i="7"/>
  <c r="M925" i="7"/>
  <c r="L925" i="7"/>
  <c r="K925" i="7"/>
  <c r="J925" i="7"/>
  <c r="I925" i="7"/>
  <c r="H925" i="7"/>
  <c r="G925" i="7"/>
  <c r="S925" i="7" s="1"/>
  <c r="F925" i="7"/>
  <c r="E925" i="7"/>
  <c r="D925" i="7"/>
  <c r="C925" i="7"/>
  <c r="B925" i="7"/>
  <c r="A925" i="7"/>
  <c r="V924" i="7"/>
  <c r="U924" i="7"/>
  <c r="T924" i="7"/>
  <c r="Q924" i="7"/>
  <c r="P924" i="7"/>
  <c r="O924" i="7"/>
  <c r="N924" i="7"/>
  <c r="M924" i="7"/>
  <c r="L924" i="7"/>
  <c r="K924" i="7"/>
  <c r="J924" i="7"/>
  <c r="I924" i="7"/>
  <c r="H924" i="7"/>
  <c r="G924" i="7"/>
  <c r="F924" i="7"/>
  <c r="E924" i="7"/>
  <c r="D924" i="7"/>
  <c r="C924" i="7"/>
  <c r="B924" i="7"/>
  <c r="R924" i="7" s="1"/>
  <c r="A924" i="7"/>
  <c r="T923" i="7"/>
  <c r="R923" i="7"/>
  <c r="Q923" i="7"/>
  <c r="P923" i="7"/>
  <c r="O923" i="7"/>
  <c r="N923" i="7"/>
  <c r="M923" i="7"/>
  <c r="L923" i="7"/>
  <c r="K923" i="7"/>
  <c r="J923" i="7"/>
  <c r="I923" i="7"/>
  <c r="V923" i="7" s="1"/>
  <c r="H923" i="7"/>
  <c r="G923" i="7"/>
  <c r="S923" i="7" s="1"/>
  <c r="F923" i="7"/>
  <c r="E923" i="7"/>
  <c r="D923" i="7"/>
  <c r="C923" i="7"/>
  <c r="U923" i="7" s="1"/>
  <c r="B923" i="7"/>
  <c r="A923" i="7"/>
  <c r="V922" i="7"/>
  <c r="T922" i="7"/>
  <c r="S922" i="7"/>
  <c r="P922" i="7"/>
  <c r="O922" i="7"/>
  <c r="N922" i="7"/>
  <c r="M922" i="7"/>
  <c r="L922" i="7"/>
  <c r="K922" i="7"/>
  <c r="J922" i="7"/>
  <c r="I922" i="7"/>
  <c r="H922" i="7"/>
  <c r="G922" i="7"/>
  <c r="F922" i="7"/>
  <c r="E922" i="7"/>
  <c r="D922" i="7"/>
  <c r="Q922" i="7" s="1"/>
  <c r="C922" i="7"/>
  <c r="U922" i="7" s="1"/>
  <c r="B922" i="7"/>
  <c r="R922" i="7" s="1"/>
  <c r="A922" i="7"/>
  <c r="R921" i="7"/>
  <c r="Q921" i="7"/>
  <c r="P921" i="7"/>
  <c r="O921" i="7"/>
  <c r="N921" i="7"/>
  <c r="M921" i="7"/>
  <c r="L921" i="7"/>
  <c r="K921" i="7"/>
  <c r="J921" i="7"/>
  <c r="I921" i="7"/>
  <c r="V921" i="7" s="1"/>
  <c r="H921" i="7"/>
  <c r="G921" i="7"/>
  <c r="F921" i="7"/>
  <c r="T921" i="7" s="1"/>
  <c r="E921" i="7"/>
  <c r="D921" i="7"/>
  <c r="C921" i="7"/>
  <c r="U921" i="7" s="1"/>
  <c r="B921" i="7"/>
  <c r="A921" i="7"/>
  <c r="U920" i="7"/>
  <c r="S920" i="7"/>
  <c r="R920" i="7"/>
  <c r="Q920" i="7"/>
  <c r="P920" i="7"/>
  <c r="O920" i="7"/>
  <c r="N920" i="7"/>
  <c r="M920" i="7"/>
  <c r="L920" i="7"/>
  <c r="K920" i="7"/>
  <c r="J920" i="7"/>
  <c r="I920" i="7"/>
  <c r="V920" i="7" s="1"/>
  <c r="H920" i="7"/>
  <c r="G920" i="7"/>
  <c r="F920" i="7"/>
  <c r="T920" i="7" s="1"/>
  <c r="E920" i="7"/>
  <c r="D920" i="7"/>
  <c r="C920" i="7"/>
  <c r="B920" i="7"/>
  <c r="A920" i="7"/>
  <c r="V919" i="7"/>
  <c r="U919" i="7"/>
  <c r="T919" i="7"/>
  <c r="S919" i="7"/>
  <c r="R919" i="7"/>
  <c r="P919" i="7"/>
  <c r="O919" i="7"/>
  <c r="N919" i="7"/>
  <c r="M919" i="7"/>
  <c r="L919" i="7"/>
  <c r="K919" i="7"/>
  <c r="J919" i="7"/>
  <c r="I919" i="7"/>
  <c r="H919" i="7"/>
  <c r="G919" i="7"/>
  <c r="F919" i="7"/>
  <c r="E919" i="7"/>
  <c r="D919" i="7"/>
  <c r="Q919" i="7" s="1"/>
  <c r="C919" i="7"/>
  <c r="B919" i="7"/>
  <c r="A919" i="7"/>
  <c r="V918" i="7"/>
  <c r="T918" i="7"/>
  <c r="S918" i="7"/>
  <c r="R918" i="7"/>
  <c r="P918" i="7"/>
  <c r="O918" i="7"/>
  <c r="N918" i="7"/>
  <c r="M918" i="7"/>
  <c r="L918" i="7"/>
  <c r="K918" i="7"/>
  <c r="J918" i="7"/>
  <c r="I918" i="7"/>
  <c r="H918" i="7"/>
  <c r="G918" i="7"/>
  <c r="F918" i="7"/>
  <c r="E918" i="7"/>
  <c r="D918" i="7"/>
  <c r="Q918" i="7" s="1"/>
  <c r="C918" i="7"/>
  <c r="U918" i="7" s="1"/>
  <c r="B918" i="7"/>
  <c r="A918" i="7"/>
  <c r="V917" i="7"/>
  <c r="R917" i="7"/>
  <c r="P917" i="7"/>
  <c r="O917" i="7"/>
  <c r="N917" i="7"/>
  <c r="M917" i="7"/>
  <c r="L917" i="7"/>
  <c r="K917" i="7"/>
  <c r="J917" i="7"/>
  <c r="I917" i="7"/>
  <c r="H917" i="7"/>
  <c r="G917" i="7"/>
  <c r="F917" i="7"/>
  <c r="T917" i="7" s="1"/>
  <c r="E917" i="7"/>
  <c r="D917" i="7"/>
  <c r="Q917" i="7" s="1"/>
  <c r="C917" i="7"/>
  <c r="U917" i="7" s="1"/>
  <c r="B917" i="7"/>
  <c r="A917" i="7"/>
  <c r="V916" i="7"/>
  <c r="U916" i="7"/>
  <c r="T916" i="7"/>
  <c r="R916" i="7"/>
  <c r="P916" i="7"/>
  <c r="O916" i="7"/>
  <c r="N916" i="7"/>
  <c r="M916" i="7"/>
  <c r="L916" i="7"/>
  <c r="K916" i="7"/>
  <c r="J916" i="7"/>
  <c r="I916" i="7"/>
  <c r="H916" i="7"/>
  <c r="G916" i="7"/>
  <c r="S916" i="7" s="1"/>
  <c r="F916" i="7"/>
  <c r="E916" i="7"/>
  <c r="D916" i="7"/>
  <c r="Q916" i="7" s="1"/>
  <c r="C916" i="7"/>
  <c r="B916" i="7"/>
  <c r="A916" i="7"/>
  <c r="T915" i="7"/>
  <c r="R915" i="7"/>
  <c r="Q915" i="7"/>
  <c r="P915" i="7"/>
  <c r="O915" i="7"/>
  <c r="N915" i="7"/>
  <c r="M915" i="7"/>
  <c r="L915" i="7"/>
  <c r="K915" i="7"/>
  <c r="J915" i="7"/>
  <c r="I915" i="7"/>
  <c r="V915" i="7" s="1"/>
  <c r="H915" i="7"/>
  <c r="G915" i="7"/>
  <c r="F915" i="7"/>
  <c r="E915" i="7"/>
  <c r="D915" i="7"/>
  <c r="C915" i="7"/>
  <c r="U915" i="7" s="1"/>
  <c r="B915" i="7"/>
  <c r="A915" i="7"/>
  <c r="U914" i="7"/>
  <c r="T914" i="7"/>
  <c r="R914" i="7"/>
  <c r="Q914" i="7"/>
  <c r="P914" i="7"/>
  <c r="O914" i="7"/>
  <c r="N914" i="7"/>
  <c r="M914" i="7"/>
  <c r="L914" i="7"/>
  <c r="K914" i="7"/>
  <c r="J914" i="7"/>
  <c r="I914" i="7"/>
  <c r="V914" i="7" s="1"/>
  <c r="H914" i="7"/>
  <c r="S914" i="7" s="1"/>
  <c r="G914" i="7"/>
  <c r="F914" i="7"/>
  <c r="E914" i="7"/>
  <c r="D914" i="7"/>
  <c r="C914" i="7"/>
  <c r="B914" i="7"/>
  <c r="A914" i="7"/>
  <c r="V913" i="7"/>
  <c r="U913" i="7"/>
  <c r="Q913" i="7"/>
  <c r="P913" i="7"/>
  <c r="O913" i="7"/>
  <c r="N913" i="7"/>
  <c r="M913" i="7"/>
  <c r="L913" i="7"/>
  <c r="K913" i="7"/>
  <c r="J913" i="7"/>
  <c r="I913" i="7"/>
  <c r="H913" i="7"/>
  <c r="G913" i="7"/>
  <c r="S913" i="7" s="1"/>
  <c r="F913" i="7"/>
  <c r="T913" i="7" s="1"/>
  <c r="E913" i="7"/>
  <c r="D913" i="7"/>
  <c r="C913" i="7"/>
  <c r="B913" i="7"/>
  <c r="R913" i="7" s="1"/>
  <c r="A913" i="7"/>
  <c r="T912" i="7"/>
  <c r="S912" i="7"/>
  <c r="Q912" i="7"/>
  <c r="P912" i="7"/>
  <c r="O912" i="7"/>
  <c r="N912" i="7"/>
  <c r="M912" i="7"/>
  <c r="L912" i="7"/>
  <c r="K912" i="7"/>
  <c r="J912" i="7"/>
  <c r="I912" i="7"/>
  <c r="V912" i="7" s="1"/>
  <c r="H912" i="7"/>
  <c r="G912" i="7"/>
  <c r="F912" i="7"/>
  <c r="E912" i="7"/>
  <c r="D912" i="7"/>
  <c r="C912" i="7"/>
  <c r="U912" i="7" s="1"/>
  <c r="B912" i="7"/>
  <c r="R912" i="7" s="1"/>
  <c r="A912" i="7"/>
  <c r="V911" i="7"/>
  <c r="S911" i="7"/>
  <c r="R911" i="7"/>
  <c r="P911" i="7"/>
  <c r="O911" i="7"/>
  <c r="N911" i="7"/>
  <c r="M911" i="7"/>
  <c r="L911" i="7"/>
  <c r="K911" i="7"/>
  <c r="J911" i="7"/>
  <c r="I911" i="7"/>
  <c r="H911" i="7"/>
  <c r="G911" i="7"/>
  <c r="F911" i="7"/>
  <c r="T911" i="7" s="1"/>
  <c r="E911" i="7"/>
  <c r="D911" i="7"/>
  <c r="Q911" i="7" s="1"/>
  <c r="C911" i="7"/>
  <c r="U911" i="7" s="1"/>
  <c r="B911" i="7"/>
  <c r="A911" i="7"/>
  <c r="V910" i="7"/>
  <c r="T910" i="7"/>
  <c r="Q910" i="7"/>
  <c r="P910" i="7"/>
  <c r="O910" i="7"/>
  <c r="N910" i="7"/>
  <c r="M910" i="7"/>
  <c r="L910" i="7"/>
  <c r="K910" i="7"/>
  <c r="J910" i="7"/>
  <c r="I910" i="7"/>
  <c r="H910" i="7"/>
  <c r="G910" i="7"/>
  <c r="S910" i="7" s="1"/>
  <c r="F910" i="7"/>
  <c r="E910" i="7"/>
  <c r="D910" i="7"/>
  <c r="C910" i="7"/>
  <c r="U910" i="7" s="1"/>
  <c r="B910" i="7"/>
  <c r="R910" i="7" s="1"/>
  <c r="A910" i="7"/>
  <c r="U909" i="7"/>
  <c r="P909" i="7"/>
  <c r="O909" i="7"/>
  <c r="N909" i="7"/>
  <c r="M909" i="7"/>
  <c r="L909" i="7"/>
  <c r="K909" i="7"/>
  <c r="J909" i="7"/>
  <c r="I909" i="7"/>
  <c r="V909" i="7" s="1"/>
  <c r="H909" i="7"/>
  <c r="S909" i="7" s="1"/>
  <c r="G909" i="7"/>
  <c r="F909" i="7"/>
  <c r="T909" i="7" s="1"/>
  <c r="E909" i="7"/>
  <c r="D909" i="7"/>
  <c r="Q909" i="7" s="1"/>
  <c r="C909" i="7"/>
  <c r="B909" i="7"/>
  <c r="R909" i="7" s="1"/>
  <c r="A909" i="7"/>
  <c r="U908" i="7"/>
  <c r="R908" i="7"/>
  <c r="P908" i="7"/>
  <c r="O908" i="7"/>
  <c r="N908" i="7"/>
  <c r="M908" i="7"/>
  <c r="L908" i="7"/>
  <c r="K908" i="7"/>
  <c r="J908" i="7"/>
  <c r="I908" i="7"/>
  <c r="V908" i="7" s="1"/>
  <c r="H908" i="7"/>
  <c r="G908" i="7"/>
  <c r="F908" i="7"/>
  <c r="T908" i="7" s="1"/>
  <c r="E908" i="7"/>
  <c r="D908" i="7"/>
  <c r="Q908" i="7" s="1"/>
  <c r="C908" i="7"/>
  <c r="B908" i="7"/>
  <c r="A908" i="7"/>
  <c r="U907" i="7"/>
  <c r="T907" i="7"/>
  <c r="R907" i="7"/>
  <c r="P907" i="7"/>
  <c r="O907" i="7"/>
  <c r="N907" i="7"/>
  <c r="M907" i="7"/>
  <c r="L907" i="7"/>
  <c r="K907" i="7"/>
  <c r="J907" i="7"/>
  <c r="I907" i="7"/>
  <c r="V907" i="7" s="1"/>
  <c r="H907" i="7"/>
  <c r="G907" i="7"/>
  <c r="S907" i="7" s="1"/>
  <c r="F907" i="7"/>
  <c r="E907" i="7"/>
  <c r="D907" i="7"/>
  <c r="Q907" i="7" s="1"/>
  <c r="C907" i="7"/>
  <c r="B907" i="7"/>
  <c r="A907" i="7"/>
  <c r="T906" i="7"/>
  <c r="Q906" i="7"/>
  <c r="P906" i="7"/>
  <c r="O906" i="7"/>
  <c r="N906" i="7"/>
  <c r="M906" i="7"/>
  <c r="L906" i="7"/>
  <c r="K906" i="7"/>
  <c r="J906" i="7"/>
  <c r="I906" i="7"/>
  <c r="V906" i="7" s="1"/>
  <c r="H906" i="7"/>
  <c r="G906" i="7"/>
  <c r="S906" i="7" s="1"/>
  <c r="F906" i="7"/>
  <c r="E906" i="7"/>
  <c r="D906" i="7"/>
  <c r="C906" i="7"/>
  <c r="U906" i="7" s="1"/>
  <c r="B906" i="7"/>
  <c r="R906" i="7" s="1"/>
  <c r="A906" i="7"/>
  <c r="T905" i="7"/>
  <c r="R905" i="7"/>
  <c r="Q905" i="7"/>
  <c r="P905" i="7"/>
  <c r="O905" i="7"/>
  <c r="N905" i="7"/>
  <c r="M905" i="7"/>
  <c r="L905" i="7"/>
  <c r="K905" i="7"/>
  <c r="J905" i="7"/>
  <c r="I905" i="7"/>
  <c r="V905" i="7" s="1"/>
  <c r="H905" i="7"/>
  <c r="S905" i="7" s="1"/>
  <c r="G905" i="7"/>
  <c r="F905" i="7"/>
  <c r="E905" i="7"/>
  <c r="D905" i="7"/>
  <c r="C905" i="7"/>
  <c r="U905" i="7" s="1"/>
  <c r="B905" i="7"/>
  <c r="A905" i="7"/>
  <c r="V904" i="7"/>
  <c r="U904" i="7"/>
  <c r="S904" i="7"/>
  <c r="Q904" i="7"/>
  <c r="P904" i="7"/>
  <c r="O904" i="7"/>
  <c r="N904" i="7"/>
  <c r="M904" i="7"/>
  <c r="L904" i="7"/>
  <c r="K904" i="7"/>
  <c r="J904" i="7"/>
  <c r="I904" i="7"/>
  <c r="H904" i="7"/>
  <c r="G904" i="7"/>
  <c r="F904" i="7"/>
  <c r="T904" i="7" s="1"/>
  <c r="E904" i="7"/>
  <c r="D904" i="7"/>
  <c r="C904" i="7"/>
  <c r="B904" i="7"/>
  <c r="R904" i="7" s="1"/>
  <c r="A904" i="7"/>
  <c r="U903" i="7"/>
  <c r="T903" i="7"/>
  <c r="R903" i="7"/>
  <c r="Q903" i="7"/>
  <c r="P903" i="7"/>
  <c r="O903" i="7"/>
  <c r="N903" i="7"/>
  <c r="M903" i="7"/>
  <c r="L903" i="7"/>
  <c r="K903" i="7"/>
  <c r="J903" i="7"/>
  <c r="I903" i="7"/>
  <c r="V903" i="7" s="1"/>
  <c r="H903" i="7"/>
  <c r="G903" i="7"/>
  <c r="S903" i="7" s="1"/>
  <c r="F903" i="7"/>
  <c r="E903" i="7"/>
  <c r="D903" i="7"/>
  <c r="C903" i="7"/>
  <c r="B903" i="7"/>
  <c r="A903" i="7"/>
  <c r="V902" i="7"/>
  <c r="U902" i="7"/>
  <c r="T902" i="7"/>
  <c r="P902" i="7"/>
  <c r="O902" i="7"/>
  <c r="N902" i="7"/>
  <c r="M902" i="7"/>
  <c r="L902" i="7"/>
  <c r="K902" i="7"/>
  <c r="J902" i="7"/>
  <c r="I902" i="7"/>
  <c r="H902" i="7"/>
  <c r="G902" i="7"/>
  <c r="S902" i="7" s="1"/>
  <c r="F902" i="7"/>
  <c r="E902" i="7"/>
  <c r="D902" i="7"/>
  <c r="Q902" i="7" s="1"/>
  <c r="C902" i="7"/>
  <c r="B902" i="7"/>
  <c r="R902" i="7" s="1"/>
  <c r="A902" i="7"/>
  <c r="T901" i="7"/>
  <c r="P901" i="7"/>
  <c r="O901" i="7"/>
  <c r="N901" i="7"/>
  <c r="M901" i="7"/>
  <c r="L901" i="7"/>
  <c r="K901" i="7"/>
  <c r="J901" i="7"/>
  <c r="I901" i="7"/>
  <c r="V901" i="7" s="1"/>
  <c r="H901" i="7"/>
  <c r="G901" i="7"/>
  <c r="S901" i="7" s="1"/>
  <c r="F901" i="7"/>
  <c r="E901" i="7"/>
  <c r="D901" i="7"/>
  <c r="Q901" i="7" s="1"/>
  <c r="C901" i="7"/>
  <c r="U901" i="7" s="1"/>
  <c r="B901" i="7"/>
  <c r="R901" i="7" s="1"/>
  <c r="A901" i="7"/>
  <c r="U900" i="7"/>
  <c r="R900" i="7"/>
  <c r="Q900" i="7"/>
  <c r="P900" i="7"/>
  <c r="O900" i="7"/>
  <c r="N900" i="7"/>
  <c r="M900" i="7"/>
  <c r="L900" i="7"/>
  <c r="K900" i="7"/>
  <c r="J900" i="7"/>
  <c r="I900" i="7"/>
  <c r="V900" i="7" s="1"/>
  <c r="H900" i="7"/>
  <c r="S900" i="7" s="1"/>
  <c r="G900" i="7"/>
  <c r="F900" i="7"/>
  <c r="T900" i="7" s="1"/>
  <c r="E900" i="7"/>
  <c r="D900" i="7"/>
  <c r="C900" i="7"/>
  <c r="B900" i="7"/>
  <c r="A900" i="7"/>
  <c r="U899" i="7"/>
  <c r="S899" i="7"/>
  <c r="R899" i="7"/>
  <c r="Q899" i="7"/>
  <c r="P899" i="7"/>
  <c r="O899" i="7"/>
  <c r="N899" i="7"/>
  <c r="M899" i="7"/>
  <c r="L899" i="7"/>
  <c r="K899" i="7"/>
  <c r="J899" i="7"/>
  <c r="I899" i="7"/>
  <c r="V899" i="7" s="1"/>
  <c r="H899" i="7"/>
  <c r="G899" i="7"/>
  <c r="F899" i="7"/>
  <c r="T899" i="7" s="1"/>
  <c r="E899" i="7"/>
  <c r="D899" i="7"/>
  <c r="C899" i="7"/>
  <c r="B899" i="7"/>
  <c r="A899" i="7"/>
  <c r="V898" i="7"/>
  <c r="T898" i="7"/>
  <c r="S898" i="7"/>
  <c r="Q898" i="7"/>
  <c r="P898" i="7"/>
  <c r="O898" i="7"/>
  <c r="N898" i="7"/>
  <c r="M898" i="7"/>
  <c r="L898" i="7"/>
  <c r="K898" i="7"/>
  <c r="J898" i="7"/>
  <c r="I898" i="7"/>
  <c r="H898" i="7"/>
  <c r="G898" i="7"/>
  <c r="F898" i="7"/>
  <c r="E898" i="7"/>
  <c r="D898" i="7"/>
  <c r="C898" i="7"/>
  <c r="U898" i="7" s="1"/>
  <c r="B898" i="7"/>
  <c r="R898" i="7" s="1"/>
  <c r="A898" i="7"/>
  <c r="T897" i="7"/>
  <c r="S897" i="7"/>
  <c r="P897" i="7"/>
  <c r="O897" i="7"/>
  <c r="N897" i="7"/>
  <c r="M897" i="7"/>
  <c r="L897" i="7"/>
  <c r="K897" i="7"/>
  <c r="J897" i="7"/>
  <c r="I897" i="7"/>
  <c r="V897" i="7" s="1"/>
  <c r="H897" i="7"/>
  <c r="G897" i="7"/>
  <c r="F897" i="7"/>
  <c r="E897" i="7"/>
  <c r="D897" i="7"/>
  <c r="Q897" i="7" s="1"/>
  <c r="C897" i="7"/>
  <c r="U897" i="7" s="1"/>
  <c r="B897" i="7"/>
  <c r="R897" i="7" s="1"/>
  <c r="A897" i="7"/>
  <c r="Q896" i="7"/>
  <c r="P896" i="7"/>
  <c r="O896" i="7"/>
  <c r="N896" i="7"/>
  <c r="M896" i="7"/>
  <c r="L896" i="7"/>
  <c r="K896" i="7"/>
  <c r="J896" i="7"/>
  <c r="I896" i="7"/>
  <c r="V896" i="7" s="1"/>
  <c r="H896" i="7"/>
  <c r="G896" i="7"/>
  <c r="S896" i="7" s="1"/>
  <c r="F896" i="7"/>
  <c r="T896" i="7" s="1"/>
  <c r="E896" i="7"/>
  <c r="D896" i="7"/>
  <c r="C896" i="7"/>
  <c r="U896" i="7" s="1"/>
  <c r="B896" i="7"/>
  <c r="R896" i="7" s="1"/>
  <c r="A896" i="7"/>
  <c r="Q895" i="7"/>
  <c r="P895" i="7"/>
  <c r="O895" i="7"/>
  <c r="N895" i="7"/>
  <c r="M895" i="7"/>
  <c r="L895" i="7"/>
  <c r="K895" i="7"/>
  <c r="J895" i="7"/>
  <c r="I895" i="7"/>
  <c r="V895" i="7" s="1"/>
  <c r="H895" i="7"/>
  <c r="S895" i="7" s="1"/>
  <c r="G895" i="7"/>
  <c r="F895" i="7"/>
  <c r="T895" i="7" s="1"/>
  <c r="E895" i="7"/>
  <c r="D895" i="7"/>
  <c r="C895" i="7"/>
  <c r="U895" i="7" s="1"/>
  <c r="B895" i="7"/>
  <c r="R895" i="7" s="1"/>
  <c r="A895" i="7"/>
  <c r="U894" i="7"/>
  <c r="R894" i="7"/>
  <c r="Q894" i="7"/>
  <c r="P894" i="7"/>
  <c r="O894" i="7"/>
  <c r="N894" i="7"/>
  <c r="M894" i="7"/>
  <c r="L894" i="7"/>
  <c r="K894" i="7"/>
  <c r="J894" i="7"/>
  <c r="I894" i="7"/>
  <c r="V894" i="7" s="1"/>
  <c r="H894" i="7"/>
  <c r="S894" i="7" s="1"/>
  <c r="G894" i="7"/>
  <c r="F894" i="7"/>
  <c r="T894" i="7" s="1"/>
  <c r="E894" i="7"/>
  <c r="D894" i="7"/>
  <c r="C894" i="7"/>
  <c r="B894" i="7"/>
  <c r="A894" i="7"/>
  <c r="V893" i="7"/>
  <c r="T893" i="7"/>
  <c r="R893" i="7"/>
  <c r="P893" i="7"/>
  <c r="O893" i="7"/>
  <c r="N893" i="7"/>
  <c r="M893" i="7"/>
  <c r="L893" i="7"/>
  <c r="K893" i="7"/>
  <c r="J893" i="7"/>
  <c r="I893" i="7"/>
  <c r="H893" i="7"/>
  <c r="G893" i="7"/>
  <c r="S893" i="7" s="1"/>
  <c r="F893" i="7"/>
  <c r="E893" i="7"/>
  <c r="D893" i="7"/>
  <c r="Q893" i="7" s="1"/>
  <c r="C893" i="7"/>
  <c r="U893" i="7" s="1"/>
  <c r="B893" i="7"/>
  <c r="A893" i="7"/>
  <c r="V892" i="7"/>
  <c r="Q892" i="7"/>
  <c r="P892" i="7"/>
  <c r="O892" i="7"/>
  <c r="N892" i="7"/>
  <c r="M892" i="7"/>
  <c r="L892" i="7"/>
  <c r="K892" i="7"/>
  <c r="J892" i="7"/>
  <c r="I892" i="7"/>
  <c r="H892" i="7"/>
  <c r="G892" i="7"/>
  <c r="S892" i="7" s="1"/>
  <c r="F892" i="7"/>
  <c r="T892" i="7" s="1"/>
  <c r="E892" i="7"/>
  <c r="D892" i="7"/>
  <c r="C892" i="7"/>
  <c r="U892" i="7" s="1"/>
  <c r="B892" i="7"/>
  <c r="R892" i="7" s="1"/>
  <c r="A892" i="7"/>
  <c r="U891" i="7"/>
  <c r="T891" i="7"/>
  <c r="R891" i="7"/>
  <c r="Q891" i="7"/>
  <c r="P891" i="7"/>
  <c r="O891" i="7"/>
  <c r="N891" i="7"/>
  <c r="M891" i="7"/>
  <c r="L891" i="7"/>
  <c r="K891" i="7"/>
  <c r="J891" i="7"/>
  <c r="I891" i="7"/>
  <c r="V891" i="7" s="1"/>
  <c r="H891" i="7"/>
  <c r="G891" i="7"/>
  <c r="F891" i="7"/>
  <c r="E891" i="7"/>
  <c r="D891" i="7"/>
  <c r="C891" i="7"/>
  <c r="B891" i="7"/>
  <c r="A891" i="7"/>
  <c r="V890" i="7"/>
  <c r="R890" i="7"/>
  <c r="Q890" i="7"/>
  <c r="P890" i="7"/>
  <c r="O890" i="7"/>
  <c r="N890" i="7"/>
  <c r="M890" i="7"/>
  <c r="L890" i="7"/>
  <c r="K890" i="7"/>
  <c r="J890" i="7"/>
  <c r="I890" i="7"/>
  <c r="H890" i="7"/>
  <c r="S890" i="7" s="1"/>
  <c r="G890" i="7"/>
  <c r="F890" i="7"/>
  <c r="T890" i="7" s="1"/>
  <c r="E890" i="7"/>
  <c r="D890" i="7"/>
  <c r="C890" i="7"/>
  <c r="U890" i="7" s="1"/>
  <c r="B890" i="7"/>
  <c r="A890" i="7"/>
  <c r="V889" i="7"/>
  <c r="T889" i="7"/>
  <c r="S889" i="7"/>
  <c r="P889" i="7"/>
  <c r="O889" i="7"/>
  <c r="N889" i="7"/>
  <c r="M889" i="7"/>
  <c r="L889" i="7"/>
  <c r="K889" i="7"/>
  <c r="J889" i="7"/>
  <c r="I889" i="7"/>
  <c r="H889" i="7"/>
  <c r="G889" i="7"/>
  <c r="F889" i="7"/>
  <c r="E889" i="7"/>
  <c r="D889" i="7"/>
  <c r="Q889" i="7" s="1"/>
  <c r="C889" i="7"/>
  <c r="U889" i="7" s="1"/>
  <c r="B889" i="7"/>
  <c r="R889" i="7" s="1"/>
  <c r="A889" i="7"/>
  <c r="Q888" i="7"/>
  <c r="P888" i="7"/>
  <c r="O888" i="7"/>
  <c r="N888" i="7"/>
  <c r="M888" i="7"/>
  <c r="L888" i="7"/>
  <c r="K888" i="7"/>
  <c r="J888" i="7"/>
  <c r="I888" i="7"/>
  <c r="V888" i="7" s="1"/>
  <c r="H888" i="7"/>
  <c r="S888" i="7" s="1"/>
  <c r="G888" i="7"/>
  <c r="F888" i="7"/>
  <c r="T888" i="7" s="1"/>
  <c r="E888" i="7"/>
  <c r="D888" i="7"/>
  <c r="C888" i="7"/>
  <c r="U888" i="7" s="1"/>
  <c r="B888" i="7"/>
  <c r="R888" i="7" s="1"/>
  <c r="A888" i="7"/>
  <c r="V887" i="7"/>
  <c r="U887" i="7"/>
  <c r="T887" i="7"/>
  <c r="Q887" i="7"/>
  <c r="P887" i="7"/>
  <c r="O887" i="7"/>
  <c r="N887" i="7"/>
  <c r="M887" i="7"/>
  <c r="L887" i="7"/>
  <c r="K887" i="7"/>
  <c r="J887" i="7"/>
  <c r="I887" i="7"/>
  <c r="H887" i="7"/>
  <c r="G887" i="7"/>
  <c r="F887" i="7"/>
  <c r="E887" i="7"/>
  <c r="D887" i="7"/>
  <c r="C887" i="7"/>
  <c r="B887" i="7"/>
  <c r="R887" i="7" s="1"/>
  <c r="A887" i="7"/>
  <c r="V886" i="7"/>
  <c r="U886" i="7"/>
  <c r="S886" i="7"/>
  <c r="Q886" i="7"/>
  <c r="P886" i="7"/>
  <c r="O886" i="7"/>
  <c r="N886" i="7"/>
  <c r="M886" i="7"/>
  <c r="L886" i="7"/>
  <c r="K886" i="7"/>
  <c r="J886" i="7"/>
  <c r="I886" i="7"/>
  <c r="H886" i="7"/>
  <c r="G886" i="7"/>
  <c r="F886" i="7"/>
  <c r="T886" i="7" s="1"/>
  <c r="E886" i="7"/>
  <c r="D886" i="7"/>
  <c r="C886" i="7"/>
  <c r="B886" i="7"/>
  <c r="R886" i="7" s="1"/>
  <c r="A886" i="7"/>
  <c r="R885" i="7"/>
  <c r="Q885" i="7"/>
  <c r="P885" i="7"/>
  <c r="O885" i="7"/>
  <c r="N885" i="7"/>
  <c r="M885" i="7"/>
  <c r="L885" i="7"/>
  <c r="K885" i="7"/>
  <c r="J885" i="7"/>
  <c r="I885" i="7"/>
  <c r="V885" i="7" s="1"/>
  <c r="H885" i="7"/>
  <c r="S885" i="7" s="1"/>
  <c r="G885" i="7"/>
  <c r="F885" i="7"/>
  <c r="T885" i="7" s="1"/>
  <c r="E885" i="7"/>
  <c r="D885" i="7"/>
  <c r="C885" i="7"/>
  <c r="U885" i="7" s="1"/>
  <c r="B885" i="7"/>
  <c r="A885" i="7"/>
  <c r="R884" i="7"/>
  <c r="Q884" i="7"/>
  <c r="P884" i="7"/>
  <c r="O884" i="7"/>
  <c r="N884" i="7"/>
  <c r="M884" i="7"/>
  <c r="L884" i="7"/>
  <c r="K884" i="7"/>
  <c r="J884" i="7"/>
  <c r="I884" i="7"/>
  <c r="V884" i="7" s="1"/>
  <c r="H884" i="7"/>
  <c r="G884" i="7"/>
  <c r="S884" i="7" s="1"/>
  <c r="F884" i="7"/>
  <c r="T884" i="7" s="1"/>
  <c r="E884" i="7"/>
  <c r="D884" i="7"/>
  <c r="C884" i="7"/>
  <c r="U884" i="7" s="1"/>
  <c r="B884" i="7"/>
  <c r="A884" i="7"/>
  <c r="U883" i="7"/>
  <c r="R883" i="7"/>
  <c r="Q883" i="7"/>
  <c r="P883" i="7"/>
  <c r="O883" i="7"/>
  <c r="N883" i="7"/>
  <c r="M883" i="7"/>
  <c r="L883" i="7"/>
  <c r="K883" i="7"/>
  <c r="J883" i="7"/>
  <c r="I883" i="7"/>
  <c r="V883" i="7" s="1"/>
  <c r="H883" i="7"/>
  <c r="G883" i="7"/>
  <c r="F883" i="7"/>
  <c r="T883" i="7" s="1"/>
  <c r="E883" i="7"/>
  <c r="D883" i="7"/>
  <c r="C883" i="7"/>
  <c r="B883" i="7"/>
  <c r="A883" i="7"/>
  <c r="V882" i="7"/>
  <c r="U882" i="7"/>
  <c r="T882" i="7"/>
  <c r="Q882" i="7"/>
  <c r="P882" i="7"/>
  <c r="O882" i="7"/>
  <c r="N882" i="7"/>
  <c r="M882" i="7"/>
  <c r="L882" i="7"/>
  <c r="K882" i="7"/>
  <c r="J882" i="7"/>
  <c r="I882" i="7"/>
  <c r="H882" i="7"/>
  <c r="G882" i="7"/>
  <c r="S882" i="7" s="1"/>
  <c r="F882" i="7"/>
  <c r="E882" i="7"/>
  <c r="D882" i="7"/>
  <c r="C882" i="7"/>
  <c r="B882" i="7"/>
  <c r="R882" i="7" s="1"/>
  <c r="A882" i="7"/>
  <c r="V881" i="7"/>
  <c r="R881" i="7"/>
  <c r="Q881" i="7"/>
  <c r="P881" i="7"/>
  <c r="O881" i="7"/>
  <c r="N881" i="7"/>
  <c r="M881" i="7"/>
  <c r="L881" i="7"/>
  <c r="K881" i="7"/>
  <c r="J881" i="7"/>
  <c r="I881" i="7"/>
  <c r="H881" i="7"/>
  <c r="G881" i="7"/>
  <c r="F881" i="7"/>
  <c r="T881" i="7" s="1"/>
  <c r="E881" i="7"/>
  <c r="D881" i="7"/>
  <c r="C881" i="7"/>
  <c r="U881" i="7" s="1"/>
  <c r="B881" i="7"/>
  <c r="A881" i="7"/>
  <c r="V880" i="7"/>
  <c r="T880" i="7"/>
  <c r="R880" i="7"/>
  <c r="Q880" i="7"/>
  <c r="P880" i="7"/>
  <c r="O880" i="7"/>
  <c r="N880" i="7"/>
  <c r="M880" i="7"/>
  <c r="L880" i="7"/>
  <c r="K880" i="7"/>
  <c r="J880" i="7"/>
  <c r="I880" i="7"/>
  <c r="H880" i="7"/>
  <c r="G880" i="7"/>
  <c r="S880" i="7" s="1"/>
  <c r="F880" i="7"/>
  <c r="E880" i="7"/>
  <c r="D880" i="7"/>
  <c r="C880" i="7"/>
  <c r="U880" i="7" s="1"/>
  <c r="B880" i="7"/>
  <c r="A880" i="7"/>
  <c r="V879" i="7"/>
  <c r="U879" i="7"/>
  <c r="S879" i="7"/>
  <c r="P879" i="7"/>
  <c r="O879" i="7"/>
  <c r="N879" i="7"/>
  <c r="M879" i="7"/>
  <c r="L879" i="7"/>
  <c r="K879" i="7"/>
  <c r="J879" i="7"/>
  <c r="I879" i="7"/>
  <c r="H879" i="7"/>
  <c r="G879" i="7"/>
  <c r="F879" i="7"/>
  <c r="T879" i="7" s="1"/>
  <c r="E879" i="7"/>
  <c r="D879" i="7"/>
  <c r="Q879" i="7" s="1"/>
  <c r="C879" i="7"/>
  <c r="B879" i="7"/>
  <c r="R879" i="7" s="1"/>
  <c r="A879" i="7"/>
  <c r="U878" i="7"/>
  <c r="Q878" i="7"/>
  <c r="P878" i="7"/>
  <c r="O878" i="7"/>
  <c r="N878" i="7"/>
  <c r="M878" i="7"/>
  <c r="L878" i="7"/>
  <c r="K878" i="7"/>
  <c r="J878" i="7"/>
  <c r="I878" i="7"/>
  <c r="V878" i="7" s="1"/>
  <c r="H878" i="7"/>
  <c r="G878" i="7"/>
  <c r="F878" i="7"/>
  <c r="T878" i="7" s="1"/>
  <c r="E878" i="7"/>
  <c r="D878" i="7"/>
  <c r="C878" i="7"/>
  <c r="B878" i="7"/>
  <c r="R878" i="7" s="1"/>
  <c r="A878" i="7"/>
  <c r="U877" i="7"/>
  <c r="P877" i="7"/>
  <c r="O877" i="7"/>
  <c r="N877" i="7"/>
  <c r="M877" i="7"/>
  <c r="L877" i="7"/>
  <c r="K877" i="7"/>
  <c r="J877" i="7"/>
  <c r="I877" i="7"/>
  <c r="V877" i="7" s="1"/>
  <c r="H877" i="7"/>
  <c r="G877" i="7"/>
  <c r="F877" i="7"/>
  <c r="T877" i="7" s="1"/>
  <c r="E877" i="7"/>
  <c r="D877" i="7"/>
  <c r="Q877" i="7" s="1"/>
  <c r="C877" i="7"/>
  <c r="B877" i="7"/>
  <c r="R877" i="7" s="1"/>
  <c r="A877" i="7"/>
  <c r="R876" i="7"/>
  <c r="Q876" i="7"/>
  <c r="P876" i="7"/>
  <c r="O876" i="7"/>
  <c r="N876" i="7"/>
  <c r="M876" i="7"/>
  <c r="L876" i="7"/>
  <c r="K876" i="7"/>
  <c r="J876" i="7"/>
  <c r="I876" i="7"/>
  <c r="V876" i="7" s="1"/>
  <c r="H876" i="7"/>
  <c r="G876" i="7"/>
  <c r="S876" i="7" s="1"/>
  <c r="F876" i="7"/>
  <c r="T876" i="7" s="1"/>
  <c r="E876" i="7"/>
  <c r="D876" i="7"/>
  <c r="C876" i="7"/>
  <c r="U876" i="7" s="1"/>
  <c r="B876" i="7"/>
  <c r="A876" i="7"/>
  <c r="V875" i="7"/>
  <c r="U875" i="7"/>
  <c r="T875" i="7"/>
  <c r="S875" i="7"/>
  <c r="R875" i="7"/>
  <c r="P875" i="7"/>
  <c r="O875" i="7"/>
  <c r="N875" i="7"/>
  <c r="M875" i="7"/>
  <c r="L875" i="7"/>
  <c r="K875" i="7"/>
  <c r="J875" i="7"/>
  <c r="I875" i="7"/>
  <c r="H875" i="7"/>
  <c r="G875" i="7"/>
  <c r="F875" i="7"/>
  <c r="E875" i="7"/>
  <c r="D875" i="7"/>
  <c r="Q875" i="7" s="1"/>
  <c r="C875" i="7"/>
  <c r="B875" i="7"/>
  <c r="A875" i="7"/>
  <c r="V874" i="7"/>
  <c r="S874" i="7"/>
  <c r="R874" i="7"/>
  <c r="P874" i="7"/>
  <c r="O874" i="7"/>
  <c r="N874" i="7"/>
  <c r="M874" i="7"/>
  <c r="L874" i="7"/>
  <c r="K874" i="7"/>
  <c r="J874" i="7"/>
  <c r="I874" i="7"/>
  <c r="H874" i="7"/>
  <c r="G874" i="7"/>
  <c r="F874" i="7"/>
  <c r="T874" i="7" s="1"/>
  <c r="E874" i="7"/>
  <c r="D874" i="7"/>
  <c r="Q874" i="7" s="1"/>
  <c r="C874" i="7"/>
  <c r="U874" i="7" s="1"/>
  <c r="B874" i="7"/>
  <c r="A874" i="7"/>
  <c r="S873" i="7"/>
  <c r="R873" i="7"/>
  <c r="P873" i="7"/>
  <c r="O873" i="7"/>
  <c r="N873" i="7"/>
  <c r="M873" i="7"/>
  <c r="L873" i="7"/>
  <c r="K873" i="7"/>
  <c r="J873" i="7"/>
  <c r="I873" i="7"/>
  <c r="V873" i="7" s="1"/>
  <c r="H873" i="7"/>
  <c r="G873" i="7"/>
  <c r="F873" i="7"/>
  <c r="T873" i="7" s="1"/>
  <c r="E873" i="7"/>
  <c r="D873" i="7"/>
  <c r="Q873" i="7" s="1"/>
  <c r="C873" i="7"/>
  <c r="U873" i="7" s="1"/>
  <c r="B873" i="7"/>
  <c r="A873" i="7"/>
  <c r="V872" i="7"/>
  <c r="R872" i="7"/>
  <c r="Q872" i="7"/>
  <c r="P872" i="7"/>
  <c r="O872" i="7"/>
  <c r="N872" i="7"/>
  <c r="M872" i="7"/>
  <c r="L872" i="7"/>
  <c r="K872" i="7"/>
  <c r="J872" i="7"/>
  <c r="I872" i="7"/>
  <c r="H872" i="7"/>
  <c r="G872" i="7"/>
  <c r="S872" i="7" s="1"/>
  <c r="F872" i="7"/>
  <c r="T872" i="7" s="1"/>
  <c r="E872" i="7"/>
  <c r="D872" i="7"/>
  <c r="C872" i="7"/>
  <c r="U872" i="7" s="1"/>
  <c r="B872" i="7"/>
  <c r="A872" i="7"/>
  <c r="U871" i="7"/>
  <c r="T871" i="7"/>
  <c r="R871" i="7"/>
  <c r="Q871" i="7"/>
  <c r="P871" i="7"/>
  <c r="O871" i="7"/>
  <c r="N871" i="7"/>
  <c r="M871" i="7"/>
  <c r="L871" i="7"/>
  <c r="K871" i="7"/>
  <c r="J871" i="7"/>
  <c r="I871" i="7"/>
  <c r="V871" i="7" s="1"/>
  <c r="H871" i="7"/>
  <c r="G871" i="7"/>
  <c r="S871" i="7" s="1"/>
  <c r="F871" i="7"/>
  <c r="E871" i="7"/>
  <c r="D871" i="7"/>
  <c r="C871" i="7"/>
  <c r="B871" i="7"/>
  <c r="A871" i="7"/>
  <c r="V870" i="7"/>
  <c r="T870" i="7"/>
  <c r="R870" i="7"/>
  <c r="P870" i="7"/>
  <c r="O870" i="7"/>
  <c r="N870" i="7"/>
  <c r="M870" i="7"/>
  <c r="L870" i="7"/>
  <c r="K870" i="7"/>
  <c r="J870" i="7"/>
  <c r="I870" i="7"/>
  <c r="H870" i="7"/>
  <c r="G870" i="7"/>
  <c r="S870" i="7" s="1"/>
  <c r="F870" i="7"/>
  <c r="E870" i="7"/>
  <c r="D870" i="7"/>
  <c r="Q870" i="7" s="1"/>
  <c r="C870" i="7"/>
  <c r="U870" i="7" s="1"/>
  <c r="B870" i="7"/>
  <c r="A870" i="7"/>
  <c r="V869" i="7"/>
  <c r="T869" i="7"/>
  <c r="R869" i="7"/>
  <c r="P869" i="7"/>
  <c r="O869" i="7"/>
  <c r="N869" i="7"/>
  <c r="M869" i="7"/>
  <c r="L869" i="7"/>
  <c r="K869" i="7"/>
  <c r="J869" i="7"/>
  <c r="I869" i="7"/>
  <c r="H869" i="7"/>
  <c r="S869" i="7" s="1"/>
  <c r="G869" i="7"/>
  <c r="F869" i="7"/>
  <c r="E869" i="7"/>
  <c r="D869" i="7"/>
  <c r="Q869" i="7" s="1"/>
  <c r="C869" i="7"/>
  <c r="U869" i="7" s="1"/>
  <c r="B869" i="7"/>
  <c r="A869" i="7"/>
  <c r="V868" i="7"/>
  <c r="U868" i="7"/>
  <c r="Q868" i="7"/>
  <c r="P868" i="7"/>
  <c r="O868" i="7"/>
  <c r="N868" i="7"/>
  <c r="M868" i="7"/>
  <c r="L868" i="7"/>
  <c r="K868" i="7"/>
  <c r="J868" i="7"/>
  <c r="I868" i="7"/>
  <c r="H868" i="7"/>
  <c r="G868" i="7"/>
  <c r="S868" i="7" s="1"/>
  <c r="F868" i="7"/>
  <c r="T868" i="7" s="1"/>
  <c r="E868" i="7"/>
  <c r="D868" i="7"/>
  <c r="C868" i="7"/>
  <c r="B868" i="7"/>
  <c r="R868" i="7" s="1"/>
  <c r="A868" i="7"/>
  <c r="U867" i="7"/>
  <c r="Q867" i="7"/>
  <c r="P867" i="7"/>
  <c r="O867" i="7"/>
  <c r="N867" i="7"/>
  <c r="M867" i="7"/>
  <c r="L867" i="7"/>
  <c r="K867" i="7"/>
  <c r="J867" i="7"/>
  <c r="I867" i="7"/>
  <c r="V867" i="7" s="1"/>
  <c r="H867" i="7"/>
  <c r="G867" i="7"/>
  <c r="S867" i="7" s="1"/>
  <c r="F867" i="7"/>
  <c r="T867" i="7" s="1"/>
  <c r="E867" i="7"/>
  <c r="D867" i="7"/>
  <c r="C867" i="7"/>
  <c r="B867" i="7"/>
  <c r="R867" i="7" s="1"/>
  <c r="A867" i="7"/>
  <c r="U866" i="7"/>
  <c r="S866" i="7"/>
  <c r="R866" i="7"/>
  <c r="P866" i="7"/>
  <c r="O866" i="7"/>
  <c r="N866" i="7"/>
  <c r="M866" i="7"/>
  <c r="L866" i="7"/>
  <c r="K866" i="7"/>
  <c r="J866" i="7"/>
  <c r="I866" i="7"/>
  <c r="V866" i="7" s="1"/>
  <c r="H866" i="7"/>
  <c r="G866" i="7"/>
  <c r="F866" i="7"/>
  <c r="T866" i="7" s="1"/>
  <c r="E866" i="7"/>
  <c r="D866" i="7"/>
  <c r="Q866" i="7" s="1"/>
  <c r="C866" i="7"/>
  <c r="B866" i="7"/>
  <c r="A866" i="7"/>
  <c r="V865" i="7"/>
  <c r="T865" i="7"/>
  <c r="P865" i="7"/>
  <c r="O865" i="7"/>
  <c r="N865" i="7"/>
  <c r="M865" i="7"/>
  <c r="L865" i="7"/>
  <c r="K865" i="7"/>
  <c r="J865" i="7"/>
  <c r="I865" i="7"/>
  <c r="H865" i="7"/>
  <c r="S865" i="7" s="1"/>
  <c r="G865" i="7"/>
  <c r="F865" i="7"/>
  <c r="E865" i="7"/>
  <c r="D865" i="7"/>
  <c r="Q865" i="7" s="1"/>
  <c r="C865" i="7"/>
  <c r="U865" i="7" s="1"/>
  <c r="B865" i="7"/>
  <c r="R865" i="7" s="1"/>
  <c r="A865" i="7"/>
  <c r="R864" i="7"/>
  <c r="Q864" i="7"/>
  <c r="P864" i="7"/>
  <c r="O864" i="7"/>
  <c r="N864" i="7"/>
  <c r="M864" i="7"/>
  <c r="L864" i="7"/>
  <c r="K864" i="7"/>
  <c r="J864" i="7"/>
  <c r="I864" i="7"/>
  <c r="V864" i="7" s="1"/>
  <c r="H864" i="7"/>
  <c r="G864" i="7"/>
  <c r="S864" i="7" s="1"/>
  <c r="F864" i="7"/>
  <c r="T864" i="7" s="1"/>
  <c r="E864" i="7"/>
  <c r="D864" i="7"/>
  <c r="C864" i="7"/>
  <c r="U864" i="7" s="1"/>
  <c r="B864" i="7"/>
  <c r="A864" i="7"/>
  <c r="U863" i="7"/>
  <c r="S863" i="7"/>
  <c r="R863" i="7"/>
  <c r="P863" i="7"/>
  <c r="O863" i="7"/>
  <c r="N863" i="7"/>
  <c r="M863" i="7"/>
  <c r="L863" i="7"/>
  <c r="K863" i="7"/>
  <c r="J863" i="7"/>
  <c r="I863" i="7"/>
  <c r="V863" i="7" s="1"/>
  <c r="H863" i="7"/>
  <c r="G863" i="7"/>
  <c r="F863" i="7"/>
  <c r="T863" i="7" s="1"/>
  <c r="E863" i="7"/>
  <c r="D863" i="7"/>
  <c r="Q863" i="7" s="1"/>
  <c r="C863" i="7"/>
  <c r="B863" i="7"/>
  <c r="A863" i="7"/>
  <c r="V862" i="7"/>
  <c r="T862" i="7"/>
  <c r="R862" i="7"/>
  <c r="P862" i="7"/>
  <c r="O862" i="7"/>
  <c r="N862" i="7"/>
  <c r="M862" i="7"/>
  <c r="L862" i="7"/>
  <c r="K862" i="7"/>
  <c r="J862" i="7"/>
  <c r="I862" i="7"/>
  <c r="H862" i="7"/>
  <c r="G862" i="7"/>
  <c r="S862" i="7" s="1"/>
  <c r="F862" i="7"/>
  <c r="E862" i="7"/>
  <c r="D862" i="7"/>
  <c r="Q862" i="7" s="1"/>
  <c r="C862" i="7"/>
  <c r="U862" i="7" s="1"/>
  <c r="B862" i="7"/>
  <c r="A862" i="7"/>
  <c r="V861" i="7"/>
  <c r="T861" i="7"/>
  <c r="R861" i="7"/>
  <c r="P861" i="7"/>
  <c r="O861" i="7"/>
  <c r="N861" i="7"/>
  <c r="M861" i="7"/>
  <c r="L861" i="7"/>
  <c r="K861" i="7"/>
  <c r="J861" i="7"/>
  <c r="I861" i="7"/>
  <c r="H861" i="7"/>
  <c r="G861" i="7"/>
  <c r="F861" i="7"/>
  <c r="E861" i="7"/>
  <c r="D861" i="7"/>
  <c r="Q861" i="7" s="1"/>
  <c r="C861" i="7"/>
  <c r="U861" i="7" s="1"/>
  <c r="B861" i="7"/>
  <c r="A861" i="7"/>
  <c r="V860" i="7"/>
  <c r="T860" i="7"/>
  <c r="S860" i="7"/>
  <c r="Q860" i="7"/>
  <c r="P860" i="7"/>
  <c r="O860" i="7"/>
  <c r="N860" i="7"/>
  <c r="M860" i="7"/>
  <c r="L860" i="7"/>
  <c r="K860" i="7"/>
  <c r="J860" i="7"/>
  <c r="I860" i="7"/>
  <c r="H860" i="7"/>
  <c r="G860" i="7"/>
  <c r="F860" i="7"/>
  <c r="E860" i="7"/>
  <c r="D860" i="7"/>
  <c r="C860" i="7"/>
  <c r="U860" i="7" s="1"/>
  <c r="B860" i="7"/>
  <c r="R860" i="7" s="1"/>
  <c r="A860" i="7"/>
  <c r="V859" i="7"/>
  <c r="U859" i="7"/>
  <c r="T859" i="7"/>
  <c r="P859" i="7"/>
  <c r="O859" i="7"/>
  <c r="N859" i="7"/>
  <c r="M859" i="7"/>
  <c r="L859" i="7"/>
  <c r="K859" i="7"/>
  <c r="J859" i="7"/>
  <c r="I859" i="7"/>
  <c r="H859" i="7"/>
  <c r="G859" i="7"/>
  <c r="S859" i="7" s="1"/>
  <c r="F859" i="7"/>
  <c r="E859" i="7"/>
  <c r="D859" i="7"/>
  <c r="Q859" i="7" s="1"/>
  <c r="C859" i="7"/>
  <c r="B859" i="7"/>
  <c r="R859" i="7" s="1"/>
  <c r="A859" i="7"/>
  <c r="U858" i="7"/>
  <c r="R858" i="7"/>
  <c r="Q858" i="7"/>
  <c r="P858" i="7"/>
  <c r="O858" i="7"/>
  <c r="N858" i="7"/>
  <c r="M858" i="7"/>
  <c r="L858" i="7"/>
  <c r="K858" i="7"/>
  <c r="J858" i="7"/>
  <c r="I858" i="7"/>
  <c r="V858" i="7" s="1"/>
  <c r="H858" i="7"/>
  <c r="G858" i="7"/>
  <c r="S858" i="7" s="1"/>
  <c r="F858" i="7"/>
  <c r="T858" i="7" s="1"/>
  <c r="E858" i="7"/>
  <c r="D858" i="7"/>
  <c r="C858" i="7"/>
  <c r="B858" i="7"/>
  <c r="A858" i="7"/>
  <c r="R857" i="7"/>
  <c r="P857" i="7"/>
  <c r="O857" i="7"/>
  <c r="N857" i="7"/>
  <c r="M857" i="7"/>
  <c r="L857" i="7"/>
  <c r="K857" i="7"/>
  <c r="J857" i="7"/>
  <c r="I857" i="7"/>
  <c r="V857" i="7" s="1"/>
  <c r="H857" i="7"/>
  <c r="G857" i="7"/>
  <c r="S857" i="7" s="1"/>
  <c r="F857" i="7"/>
  <c r="T857" i="7" s="1"/>
  <c r="E857" i="7"/>
  <c r="D857" i="7"/>
  <c r="Q857" i="7" s="1"/>
  <c r="C857" i="7"/>
  <c r="U857" i="7" s="1"/>
  <c r="B857" i="7"/>
  <c r="A857" i="7"/>
  <c r="T856" i="7"/>
  <c r="R856" i="7"/>
  <c r="P856" i="7"/>
  <c r="O856" i="7"/>
  <c r="N856" i="7"/>
  <c r="M856" i="7"/>
  <c r="L856" i="7"/>
  <c r="K856" i="7"/>
  <c r="J856" i="7"/>
  <c r="I856" i="7"/>
  <c r="V856" i="7" s="1"/>
  <c r="H856" i="7"/>
  <c r="G856" i="7"/>
  <c r="S856" i="7" s="1"/>
  <c r="F856" i="7"/>
  <c r="E856" i="7"/>
  <c r="D856" i="7"/>
  <c r="Q856" i="7" s="1"/>
  <c r="C856" i="7"/>
  <c r="U856" i="7" s="1"/>
  <c r="B856" i="7"/>
  <c r="A856" i="7"/>
  <c r="S855" i="7"/>
  <c r="R855" i="7"/>
  <c r="Q855" i="7"/>
  <c r="P855" i="7"/>
  <c r="O855" i="7"/>
  <c r="N855" i="7"/>
  <c r="M855" i="7"/>
  <c r="L855" i="7"/>
  <c r="K855" i="7"/>
  <c r="J855" i="7"/>
  <c r="I855" i="7"/>
  <c r="V855" i="7" s="1"/>
  <c r="H855" i="7"/>
  <c r="G855" i="7"/>
  <c r="F855" i="7"/>
  <c r="T855" i="7" s="1"/>
  <c r="E855" i="7"/>
  <c r="D855" i="7"/>
  <c r="C855" i="7"/>
  <c r="U855" i="7" s="1"/>
  <c r="B855" i="7"/>
  <c r="A855" i="7"/>
  <c r="V854" i="7"/>
  <c r="U854" i="7"/>
  <c r="S854" i="7"/>
  <c r="R854" i="7"/>
  <c r="P854" i="7"/>
  <c r="O854" i="7"/>
  <c r="N854" i="7"/>
  <c r="M854" i="7"/>
  <c r="L854" i="7"/>
  <c r="K854" i="7"/>
  <c r="J854" i="7"/>
  <c r="I854" i="7"/>
  <c r="H854" i="7"/>
  <c r="G854" i="7"/>
  <c r="F854" i="7"/>
  <c r="T854" i="7" s="1"/>
  <c r="E854" i="7"/>
  <c r="D854" i="7"/>
  <c r="Q854" i="7" s="1"/>
  <c r="C854" i="7"/>
  <c r="B854" i="7"/>
  <c r="A854" i="7"/>
  <c r="V853" i="7"/>
  <c r="U853" i="7"/>
  <c r="T853" i="7"/>
  <c r="S853" i="7"/>
  <c r="R853" i="7"/>
  <c r="P853" i="7"/>
  <c r="O853" i="7"/>
  <c r="N853" i="7"/>
  <c r="M853" i="7"/>
  <c r="L853" i="7"/>
  <c r="K853" i="7"/>
  <c r="J853" i="7"/>
  <c r="I853" i="7"/>
  <c r="H853" i="7"/>
  <c r="G853" i="7"/>
  <c r="F853" i="7"/>
  <c r="E853" i="7"/>
  <c r="D853" i="7"/>
  <c r="Q853" i="7" s="1"/>
  <c r="C853" i="7"/>
  <c r="B853" i="7"/>
  <c r="A853" i="7"/>
  <c r="V852" i="7"/>
  <c r="T852" i="7"/>
  <c r="S852" i="7"/>
  <c r="Q852" i="7"/>
  <c r="P852" i="7"/>
  <c r="O852" i="7"/>
  <c r="N852" i="7"/>
  <c r="M852" i="7"/>
  <c r="L852" i="7"/>
  <c r="K852" i="7"/>
  <c r="J852" i="7"/>
  <c r="I852" i="7"/>
  <c r="H852" i="7"/>
  <c r="G852" i="7"/>
  <c r="F852" i="7"/>
  <c r="E852" i="7"/>
  <c r="D852" i="7"/>
  <c r="C852" i="7"/>
  <c r="U852" i="7" s="1"/>
  <c r="B852" i="7"/>
  <c r="R852" i="7" s="1"/>
  <c r="A852" i="7"/>
  <c r="T851" i="7"/>
  <c r="Q851" i="7"/>
  <c r="P851" i="7"/>
  <c r="O851" i="7"/>
  <c r="N851" i="7"/>
  <c r="M851" i="7"/>
  <c r="L851" i="7"/>
  <c r="K851" i="7"/>
  <c r="J851" i="7"/>
  <c r="I851" i="7"/>
  <c r="V851" i="7" s="1"/>
  <c r="H851" i="7"/>
  <c r="S851" i="7" s="1"/>
  <c r="G851" i="7"/>
  <c r="F851" i="7"/>
  <c r="E851" i="7"/>
  <c r="D851" i="7"/>
  <c r="C851" i="7"/>
  <c r="U851" i="7" s="1"/>
  <c r="B851" i="7"/>
  <c r="R851" i="7" s="1"/>
  <c r="A851" i="7"/>
  <c r="V850" i="7"/>
  <c r="P850" i="7"/>
  <c r="O850" i="7"/>
  <c r="N850" i="7"/>
  <c r="M850" i="7"/>
  <c r="L850" i="7"/>
  <c r="K850" i="7"/>
  <c r="J850" i="7"/>
  <c r="I850" i="7"/>
  <c r="H850" i="7"/>
  <c r="S850" i="7" s="1"/>
  <c r="G850" i="7"/>
  <c r="F850" i="7"/>
  <c r="T850" i="7" s="1"/>
  <c r="E850" i="7"/>
  <c r="D850" i="7"/>
  <c r="Q850" i="7" s="1"/>
  <c r="C850" i="7"/>
  <c r="U850" i="7" s="1"/>
  <c r="B850" i="7"/>
  <c r="R850" i="7" s="1"/>
  <c r="A850" i="7"/>
  <c r="U849" i="7"/>
  <c r="R849" i="7"/>
  <c r="Q849" i="7"/>
  <c r="P849" i="7"/>
  <c r="O849" i="7"/>
  <c r="N849" i="7"/>
  <c r="M849" i="7"/>
  <c r="L849" i="7"/>
  <c r="K849" i="7"/>
  <c r="J849" i="7"/>
  <c r="I849" i="7"/>
  <c r="V849" i="7" s="1"/>
  <c r="H849" i="7"/>
  <c r="G849" i="7"/>
  <c r="S849" i="7" s="1"/>
  <c r="F849" i="7"/>
  <c r="T849" i="7" s="1"/>
  <c r="E849" i="7"/>
  <c r="D849" i="7"/>
  <c r="C849" i="7"/>
  <c r="B849" i="7"/>
  <c r="A849" i="7"/>
  <c r="U848" i="7"/>
  <c r="T848" i="7"/>
  <c r="S848" i="7"/>
  <c r="R848" i="7"/>
  <c r="P848" i="7"/>
  <c r="O848" i="7"/>
  <c r="N848" i="7"/>
  <c r="M848" i="7"/>
  <c r="L848" i="7"/>
  <c r="K848" i="7"/>
  <c r="J848" i="7"/>
  <c r="I848" i="7"/>
  <c r="V848" i="7" s="1"/>
  <c r="H848" i="7"/>
  <c r="G848" i="7"/>
  <c r="F848" i="7"/>
  <c r="E848" i="7"/>
  <c r="D848" i="7"/>
  <c r="Q848" i="7" s="1"/>
  <c r="C848" i="7"/>
  <c r="B848" i="7"/>
  <c r="A848" i="7"/>
  <c r="V847" i="7"/>
  <c r="T847" i="7"/>
  <c r="S847" i="7"/>
  <c r="Q847" i="7"/>
  <c r="P847" i="7"/>
  <c r="O847" i="7"/>
  <c r="N847" i="7"/>
  <c r="M847" i="7"/>
  <c r="L847" i="7"/>
  <c r="K847" i="7"/>
  <c r="J847" i="7"/>
  <c r="I847" i="7"/>
  <c r="H847" i="7"/>
  <c r="G847" i="7"/>
  <c r="F847" i="7"/>
  <c r="E847" i="7"/>
  <c r="D847" i="7"/>
  <c r="C847" i="7"/>
  <c r="U847" i="7" s="1"/>
  <c r="B847" i="7"/>
  <c r="R847" i="7" s="1"/>
  <c r="A847" i="7"/>
  <c r="U846" i="7"/>
  <c r="T846" i="7"/>
  <c r="S846" i="7"/>
  <c r="Q846" i="7"/>
  <c r="P846" i="7"/>
  <c r="O846" i="7"/>
  <c r="N846" i="7"/>
  <c r="M846" i="7"/>
  <c r="L846" i="7"/>
  <c r="K846" i="7"/>
  <c r="J846" i="7"/>
  <c r="I846" i="7"/>
  <c r="V846" i="7" s="1"/>
  <c r="H846" i="7"/>
  <c r="G846" i="7"/>
  <c r="F846" i="7"/>
  <c r="E846" i="7"/>
  <c r="D846" i="7"/>
  <c r="C846" i="7"/>
  <c r="B846" i="7"/>
  <c r="R846" i="7" s="1"/>
  <c r="A846" i="7"/>
  <c r="U845" i="7"/>
  <c r="R845" i="7"/>
  <c r="P845" i="7"/>
  <c r="O845" i="7"/>
  <c r="N845" i="7"/>
  <c r="M845" i="7"/>
  <c r="L845" i="7"/>
  <c r="K845" i="7"/>
  <c r="J845" i="7"/>
  <c r="I845" i="7"/>
  <c r="V845" i="7" s="1"/>
  <c r="H845" i="7"/>
  <c r="S845" i="7" s="1"/>
  <c r="G845" i="7"/>
  <c r="F845" i="7"/>
  <c r="T845" i="7" s="1"/>
  <c r="E845" i="7"/>
  <c r="D845" i="7"/>
  <c r="Q845" i="7" s="1"/>
  <c r="C845" i="7"/>
  <c r="B845" i="7"/>
  <c r="A845" i="7"/>
  <c r="U844" i="7"/>
  <c r="T844" i="7"/>
  <c r="R844" i="7"/>
  <c r="P844" i="7"/>
  <c r="O844" i="7"/>
  <c r="N844" i="7"/>
  <c r="M844" i="7"/>
  <c r="L844" i="7"/>
  <c r="K844" i="7"/>
  <c r="J844" i="7"/>
  <c r="I844" i="7"/>
  <c r="V844" i="7" s="1"/>
  <c r="H844" i="7"/>
  <c r="G844" i="7"/>
  <c r="S844" i="7" s="1"/>
  <c r="F844" i="7"/>
  <c r="E844" i="7"/>
  <c r="D844" i="7"/>
  <c r="Q844" i="7" s="1"/>
  <c r="C844" i="7"/>
  <c r="B844" i="7"/>
  <c r="A844" i="7"/>
  <c r="P843" i="7"/>
  <c r="O843" i="7"/>
  <c r="N843" i="7"/>
  <c r="M843" i="7"/>
  <c r="L843" i="7"/>
  <c r="K843" i="7"/>
  <c r="J843" i="7"/>
  <c r="I843" i="7"/>
  <c r="V843" i="7" s="1"/>
  <c r="H843" i="7"/>
  <c r="G843" i="7"/>
  <c r="F843" i="7"/>
  <c r="T843" i="7" s="1"/>
  <c r="E843" i="7"/>
  <c r="D843" i="7"/>
  <c r="Q843" i="7" s="1"/>
  <c r="C843" i="7"/>
  <c r="U843" i="7" s="1"/>
  <c r="B843" i="7"/>
  <c r="R843" i="7" s="1"/>
  <c r="A843" i="7"/>
  <c r="U842" i="7"/>
  <c r="R842" i="7"/>
  <c r="Q842" i="7"/>
  <c r="P842" i="7"/>
  <c r="O842" i="7"/>
  <c r="N842" i="7"/>
  <c r="M842" i="7"/>
  <c r="L842" i="7"/>
  <c r="K842" i="7"/>
  <c r="J842" i="7"/>
  <c r="I842" i="7"/>
  <c r="V842" i="7" s="1"/>
  <c r="H842" i="7"/>
  <c r="G842" i="7"/>
  <c r="F842" i="7"/>
  <c r="T842" i="7" s="1"/>
  <c r="E842" i="7"/>
  <c r="D842" i="7"/>
  <c r="C842" i="7"/>
  <c r="B842" i="7"/>
  <c r="A842" i="7"/>
  <c r="T841" i="7"/>
  <c r="Q841" i="7"/>
  <c r="P841" i="7"/>
  <c r="O841" i="7"/>
  <c r="N841" i="7"/>
  <c r="M841" i="7"/>
  <c r="L841" i="7"/>
  <c r="K841" i="7"/>
  <c r="J841" i="7"/>
  <c r="I841" i="7"/>
  <c r="V841" i="7" s="1"/>
  <c r="H841" i="7"/>
  <c r="S841" i="7" s="1"/>
  <c r="G841" i="7"/>
  <c r="F841" i="7"/>
  <c r="E841" i="7"/>
  <c r="D841" i="7"/>
  <c r="C841" i="7"/>
  <c r="U841" i="7" s="1"/>
  <c r="B841" i="7"/>
  <c r="R841" i="7" s="1"/>
  <c r="A841" i="7"/>
  <c r="T840" i="7"/>
  <c r="S840" i="7"/>
  <c r="R840" i="7"/>
  <c r="Q840" i="7"/>
  <c r="P840" i="7"/>
  <c r="O840" i="7"/>
  <c r="N840" i="7"/>
  <c r="M840" i="7"/>
  <c r="L840" i="7"/>
  <c r="K840" i="7"/>
  <c r="J840" i="7"/>
  <c r="I840" i="7"/>
  <c r="V840" i="7" s="1"/>
  <c r="H840" i="7"/>
  <c r="G840" i="7"/>
  <c r="F840" i="7"/>
  <c r="E840" i="7"/>
  <c r="D840" i="7"/>
  <c r="C840" i="7"/>
  <c r="U840" i="7" s="1"/>
  <c r="B840" i="7"/>
  <c r="A840" i="7"/>
  <c r="V839" i="7"/>
  <c r="U839" i="7"/>
  <c r="T839" i="7"/>
  <c r="R839" i="7"/>
  <c r="P839" i="7"/>
  <c r="O839" i="7"/>
  <c r="N839" i="7"/>
  <c r="M839" i="7"/>
  <c r="L839" i="7"/>
  <c r="K839" i="7"/>
  <c r="J839" i="7"/>
  <c r="I839" i="7"/>
  <c r="H839" i="7"/>
  <c r="G839" i="7"/>
  <c r="S839" i="7" s="1"/>
  <c r="F839" i="7"/>
  <c r="E839" i="7"/>
  <c r="D839" i="7"/>
  <c r="Q839" i="7" s="1"/>
  <c r="C839" i="7"/>
  <c r="B839" i="7"/>
  <c r="A839" i="7"/>
  <c r="V838" i="7"/>
  <c r="T838" i="7"/>
  <c r="S838" i="7"/>
  <c r="P838" i="7"/>
  <c r="O838" i="7"/>
  <c r="N838" i="7"/>
  <c r="M838" i="7"/>
  <c r="L838" i="7"/>
  <c r="K838" i="7"/>
  <c r="J838" i="7"/>
  <c r="I838" i="7"/>
  <c r="H838" i="7"/>
  <c r="G838" i="7"/>
  <c r="F838" i="7"/>
  <c r="E838" i="7"/>
  <c r="D838" i="7"/>
  <c r="Q838" i="7" s="1"/>
  <c r="C838" i="7"/>
  <c r="U838" i="7" s="1"/>
  <c r="B838" i="7"/>
  <c r="R838" i="7" s="1"/>
  <c r="A838" i="7"/>
  <c r="U837" i="7"/>
  <c r="Q837" i="7"/>
  <c r="P837" i="7"/>
  <c r="O837" i="7"/>
  <c r="N837" i="7"/>
  <c r="M837" i="7"/>
  <c r="L837" i="7"/>
  <c r="K837" i="7"/>
  <c r="J837" i="7"/>
  <c r="I837" i="7"/>
  <c r="V837" i="7" s="1"/>
  <c r="H837" i="7"/>
  <c r="G837" i="7"/>
  <c r="S837" i="7" s="1"/>
  <c r="F837" i="7"/>
  <c r="T837" i="7" s="1"/>
  <c r="E837" i="7"/>
  <c r="D837" i="7"/>
  <c r="C837" i="7"/>
  <c r="B837" i="7"/>
  <c r="R837" i="7" s="1"/>
  <c r="A837" i="7"/>
  <c r="U836" i="7"/>
  <c r="S836" i="7"/>
  <c r="R836" i="7"/>
  <c r="Q836" i="7"/>
  <c r="P836" i="7"/>
  <c r="O836" i="7"/>
  <c r="N836" i="7"/>
  <c r="M836" i="7"/>
  <c r="L836" i="7"/>
  <c r="K836" i="7"/>
  <c r="J836" i="7"/>
  <c r="I836" i="7"/>
  <c r="V836" i="7" s="1"/>
  <c r="H836" i="7"/>
  <c r="G836" i="7"/>
  <c r="F836" i="7"/>
  <c r="T836" i="7" s="1"/>
  <c r="E836" i="7"/>
  <c r="D836" i="7"/>
  <c r="C836" i="7"/>
  <c r="B836" i="7"/>
  <c r="A836" i="7"/>
  <c r="V835" i="7"/>
  <c r="T835" i="7"/>
  <c r="S835" i="7"/>
  <c r="P835" i="7"/>
  <c r="O835" i="7"/>
  <c r="N835" i="7"/>
  <c r="M835" i="7"/>
  <c r="L835" i="7"/>
  <c r="K835" i="7"/>
  <c r="J835" i="7"/>
  <c r="I835" i="7"/>
  <c r="H835" i="7"/>
  <c r="G835" i="7"/>
  <c r="F835" i="7"/>
  <c r="E835" i="7"/>
  <c r="D835" i="7"/>
  <c r="Q835" i="7" s="1"/>
  <c r="C835" i="7"/>
  <c r="U835" i="7" s="1"/>
  <c r="B835" i="7"/>
  <c r="R835" i="7" s="1"/>
  <c r="A835" i="7"/>
  <c r="U834" i="7"/>
  <c r="R834" i="7"/>
  <c r="Q834" i="7"/>
  <c r="P834" i="7"/>
  <c r="O834" i="7"/>
  <c r="N834" i="7"/>
  <c r="M834" i="7"/>
  <c r="L834" i="7"/>
  <c r="K834" i="7"/>
  <c r="J834" i="7"/>
  <c r="I834" i="7"/>
  <c r="V834" i="7" s="1"/>
  <c r="H834" i="7"/>
  <c r="G834" i="7"/>
  <c r="S834" i="7" s="1"/>
  <c r="F834" i="7"/>
  <c r="T834" i="7" s="1"/>
  <c r="E834" i="7"/>
  <c r="D834" i="7"/>
  <c r="C834" i="7"/>
  <c r="B834" i="7"/>
  <c r="A834" i="7"/>
  <c r="U833" i="7"/>
  <c r="T833" i="7"/>
  <c r="Q833" i="7"/>
  <c r="P833" i="7"/>
  <c r="O833" i="7"/>
  <c r="N833" i="7"/>
  <c r="M833" i="7"/>
  <c r="L833" i="7"/>
  <c r="K833" i="7"/>
  <c r="J833" i="7"/>
  <c r="I833" i="7"/>
  <c r="V833" i="7" s="1"/>
  <c r="H833" i="7"/>
  <c r="G833" i="7"/>
  <c r="S833" i="7" s="1"/>
  <c r="F833" i="7"/>
  <c r="E833" i="7"/>
  <c r="D833" i="7"/>
  <c r="C833" i="7"/>
  <c r="B833" i="7"/>
  <c r="R833" i="7" s="1"/>
  <c r="A833" i="7"/>
  <c r="U832" i="7"/>
  <c r="Q832" i="7"/>
  <c r="P832" i="7"/>
  <c r="O832" i="7"/>
  <c r="N832" i="7"/>
  <c r="M832" i="7"/>
  <c r="L832" i="7"/>
  <c r="K832" i="7"/>
  <c r="J832" i="7"/>
  <c r="I832" i="7"/>
  <c r="V832" i="7" s="1"/>
  <c r="H832" i="7"/>
  <c r="S832" i="7" s="1"/>
  <c r="G832" i="7"/>
  <c r="F832" i="7"/>
  <c r="T832" i="7" s="1"/>
  <c r="E832" i="7"/>
  <c r="D832" i="7"/>
  <c r="C832" i="7"/>
  <c r="B832" i="7"/>
  <c r="R832" i="7" s="1"/>
  <c r="A832" i="7"/>
  <c r="U831" i="7"/>
  <c r="R831" i="7"/>
  <c r="Q831" i="7"/>
  <c r="P831" i="7"/>
  <c r="O831" i="7"/>
  <c r="N831" i="7"/>
  <c r="M831" i="7"/>
  <c r="L831" i="7"/>
  <c r="K831" i="7"/>
  <c r="J831" i="7"/>
  <c r="I831" i="7"/>
  <c r="V831" i="7" s="1"/>
  <c r="H831" i="7"/>
  <c r="S831" i="7" s="1"/>
  <c r="G831" i="7"/>
  <c r="F831" i="7"/>
  <c r="T831" i="7" s="1"/>
  <c r="E831" i="7"/>
  <c r="D831" i="7"/>
  <c r="C831" i="7"/>
  <c r="B831" i="7"/>
  <c r="A831" i="7"/>
  <c r="V830" i="7"/>
  <c r="U830" i="7"/>
  <c r="T830" i="7"/>
  <c r="R830" i="7"/>
  <c r="P830" i="7"/>
  <c r="O830" i="7"/>
  <c r="N830" i="7"/>
  <c r="M830" i="7"/>
  <c r="L830" i="7"/>
  <c r="K830" i="7"/>
  <c r="J830" i="7"/>
  <c r="I830" i="7"/>
  <c r="H830" i="7"/>
  <c r="G830" i="7"/>
  <c r="S830" i="7" s="1"/>
  <c r="F830" i="7"/>
  <c r="E830" i="7"/>
  <c r="D830" i="7"/>
  <c r="Q830" i="7" s="1"/>
  <c r="C830" i="7"/>
  <c r="B830" i="7"/>
  <c r="A830" i="7"/>
  <c r="V829" i="7"/>
  <c r="T829" i="7"/>
  <c r="S829" i="7"/>
  <c r="P829" i="7"/>
  <c r="O829" i="7"/>
  <c r="N829" i="7"/>
  <c r="M829" i="7"/>
  <c r="L829" i="7"/>
  <c r="K829" i="7"/>
  <c r="J829" i="7"/>
  <c r="I829" i="7"/>
  <c r="H829" i="7"/>
  <c r="G829" i="7"/>
  <c r="F829" i="7"/>
  <c r="E829" i="7"/>
  <c r="D829" i="7"/>
  <c r="Q829" i="7" s="1"/>
  <c r="C829" i="7"/>
  <c r="U829" i="7" s="1"/>
  <c r="B829" i="7"/>
  <c r="R829" i="7" s="1"/>
  <c r="A829" i="7"/>
  <c r="V828" i="7"/>
  <c r="R828" i="7"/>
  <c r="P828" i="7"/>
  <c r="O828" i="7"/>
  <c r="N828" i="7"/>
  <c r="M828" i="7"/>
  <c r="L828" i="7"/>
  <c r="K828" i="7"/>
  <c r="J828" i="7"/>
  <c r="I828" i="7"/>
  <c r="H828" i="7"/>
  <c r="G828" i="7"/>
  <c r="S828" i="7" s="1"/>
  <c r="F828" i="7"/>
  <c r="T828" i="7" s="1"/>
  <c r="E828" i="7"/>
  <c r="D828" i="7"/>
  <c r="Q828" i="7" s="1"/>
  <c r="C828" i="7"/>
  <c r="U828" i="7" s="1"/>
  <c r="B828" i="7"/>
  <c r="A828" i="7"/>
  <c r="V827" i="7"/>
  <c r="U827" i="7"/>
  <c r="R827" i="7"/>
  <c r="Q827" i="7"/>
  <c r="P827" i="7"/>
  <c r="O827" i="7"/>
  <c r="N827" i="7"/>
  <c r="M827" i="7"/>
  <c r="L827" i="7"/>
  <c r="K827" i="7"/>
  <c r="J827" i="7"/>
  <c r="I827" i="7"/>
  <c r="H827" i="7"/>
  <c r="G827" i="7"/>
  <c r="S827" i="7" s="1"/>
  <c r="F827" i="7"/>
  <c r="T827" i="7" s="1"/>
  <c r="E827" i="7"/>
  <c r="D827" i="7"/>
  <c r="C827" i="7"/>
  <c r="B827" i="7"/>
  <c r="A827" i="7"/>
  <c r="U826" i="7"/>
  <c r="T826" i="7"/>
  <c r="Q826" i="7"/>
  <c r="P826" i="7"/>
  <c r="O826" i="7"/>
  <c r="N826" i="7"/>
  <c r="M826" i="7"/>
  <c r="L826" i="7"/>
  <c r="K826" i="7"/>
  <c r="J826" i="7"/>
  <c r="I826" i="7"/>
  <c r="V826" i="7" s="1"/>
  <c r="H826" i="7"/>
  <c r="G826" i="7"/>
  <c r="S826" i="7" s="1"/>
  <c r="F826" i="7"/>
  <c r="E826" i="7"/>
  <c r="D826" i="7"/>
  <c r="C826" i="7"/>
  <c r="B826" i="7"/>
  <c r="R826" i="7" s="1"/>
  <c r="A826" i="7"/>
  <c r="V825" i="7"/>
  <c r="U825" i="7"/>
  <c r="T825" i="7"/>
  <c r="Q825" i="7"/>
  <c r="P825" i="7"/>
  <c r="O825" i="7"/>
  <c r="N825" i="7"/>
  <c r="M825" i="7"/>
  <c r="L825" i="7"/>
  <c r="K825" i="7"/>
  <c r="J825" i="7"/>
  <c r="I825" i="7"/>
  <c r="H825" i="7"/>
  <c r="S825" i="7" s="1"/>
  <c r="G825" i="7"/>
  <c r="F825" i="7"/>
  <c r="E825" i="7"/>
  <c r="D825" i="7"/>
  <c r="C825" i="7"/>
  <c r="B825" i="7"/>
  <c r="R825" i="7" s="1"/>
  <c r="A825" i="7"/>
  <c r="V824" i="7"/>
  <c r="U824" i="7"/>
  <c r="R824" i="7"/>
  <c r="P824" i="7"/>
  <c r="O824" i="7"/>
  <c r="N824" i="7"/>
  <c r="M824" i="7"/>
  <c r="L824" i="7"/>
  <c r="K824" i="7"/>
  <c r="J824" i="7"/>
  <c r="I824" i="7"/>
  <c r="H824" i="7"/>
  <c r="G824" i="7"/>
  <c r="S824" i="7" s="1"/>
  <c r="F824" i="7"/>
  <c r="T824" i="7" s="1"/>
  <c r="E824" i="7"/>
  <c r="D824" i="7"/>
  <c r="Q824" i="7" s="1"/>
  <c r="C824" i="7"/>
  <c r="B824" i="7"/>
  <c r="A824" i="7"/>
  <c r="Q823" i="7"/>
  <c r="P823" i="7"/>
  <c r="O823" i="7"/>
  <c r="N823" i="7"/>
  <c r="M823" i="7"/>
  <c r="L823" i="7"/>
  <c r="K823" i="7"/>
  <c r="J823" i="7"/>
  <c r="I823" i="7"/>
  <c r="V823" i="7" s="1"/>
  <c r="H823" i="7"/>
  <c r="G823" i="7"/>
  <c r="F823" i="7"/>
  <c r="T823" i="7" s="1"/>
  <c r="E823" i="7"/>
  <c r="D823" i="7"/>
  <c r="C823" i="7"/>
  <c r="U823" i="7" s="1"/>
  <c r="B823" i="7"/>
  <c r="R823" i="7" s="1"/>
  <c r="A823" i="7"/>
  <c r="U822" i="7"/>
  <c r="T822" i="7"/>
  <c r="R822" i="7"/>
  <c r="Q822" i="7"/>
  <c r="P822" i="7"/>
  <c r="O822" i="7"/>
  <c r="N822" i="7"/>
  <c r="M822" i="7"/>
  <c r="L822" i="7"/>
  <c r="K822" i="7"/>
  <c r="J822" i="7"/>
  <c r="I822" i="7"/>
  <c r="V822" i="7" s="1"/>
  <c r="H822" i="7"/>
  <c r="G822" i="7"/>
  <c r="F822" i="7"/>
  <c r="E822" i="7"/>
  <c r="D822" i="7"/>
  <c r="C822" i="7"/>
  <c r="B822" i="7"/>
  <c r="A822" i="7"/>
  <c r="V821" i="7"/>
  <c r="T821" i="7"/>
  <c r="R821" i="7"/>
  <c r="P821" i="7"/>
  <c r="O821" i="7"/>
  <c r="N821" i="7"/>
  <c r="M821" i="7"/>
  <c r="L821" i="7"/>
  <c r="K821" i="7"/>
  <c r="J821" i="7"/>
  <c r="I821" i="7"/>
  <c r="H821" i="7"/>
  <c r="G821" i="7"/>
  <c r="S821" i="7" s="1"/>
  <c r="F821" i="7"/>
  <c r="E821" i="7"/>
  <c r="D821" i="7"/>
  <c r="Q821" i="7" s="1"/>
  <c r="C821" i="7"/>
  <c r="U821" i="7" s="1"/>
  <c r="B821" i="7"/>
  <c r="A821" i="7"/>
  <c r="V820" i="7"/>
  <c r="R820" i="7"/>
  <c r="Q820" i="7"/>
  <c r="P820" i="7"/>
  <c r="O820" i="7"/>
  <c r="N820" i="7"/>
  <c r="M820" i="7"/>
  <c r="L820" i="7"/>
  <c r="K820" i="7"/>
  <c r="J820" i="7"/>
  <c r="I820" i="7"/>
  <c r="H820" i="7"/>
  <c r="G820" i="7"/>
  <c r="F820" i="7"/>
  <c r="T820" i="7" s="1"/>
  <c r="E820" i="7"/>
  <c r="D820" i="7"/>
  <c r="C820" i="7"/>
  <c r="U820" i="7" s="1"/>
  <c r="B820" i="7"/>
  <c r="A820" i="7"/>
  <c r="V819" i="7"/>
  <c r="T819" i="7"/>
  <c r="S819" i="7"/>
  <c r="Q819" i="7"/>
  <c r="P819" i="7"/>
  <c r="O819" i="7"/>
  <c r="N819" i="7"/>
  <c r="M819" i="7"/>
  <c r="L819" i="7"/>
  <c r="K819" i="7"/>
  <c r="J819" i="7"/>
  <c r="I819" i="7"/>
  <c r="H819" i="7"/>
  <c r="G819" i="7"/>
  <c r="F819" i="7"/>
  <c r="E819" i="7"/>
  <c r="D819" i="7"/>
  <c r="C819" i="7"/>
  <c r="U819" i="7" s="1"/>
  <c r="B819" i="7"/>
  <c r="R819" i="7" s="1"/>
  <c r="A819" i="7"/>
  <c r="V818" i="7"/>
  <c r="U818" i="7"/>
  <c r="R818" i="7"/>
  <c r="P818" i="7"/>
  <c r="O818" i="7"/>
  <c r="N818" i="7"/>
  <c r="M818" i="7"/>
  <c r="L818" i="7"/>
  <c r="K818" i="7"/>
  <c r="J818" i="7"/>
  <c r="I818" i="7"/>
  <c r="H818" i="7"/>
  <c r="G818" i="7"/>
  <c r="S818" i="7" s="1"/>
  <c r="F818" i="7"/>
  <c r="T818" i="7" s="1"/>
  <c r="E818" i="7"/>
  <c r="D818" i="7"/>
  <c r="Q818" i="7" s="1"/>
  <c r="C818" i="7"/>
  <c r="B818" i="7"/>
  <c r="A818" i="7"/>
  <c r="V817" i="7"/>
  <c r="T817" i="7"/>
  <c r="R817" i="7"/>
  <c r="P817" i="7"/>
  <c r="O817" i="7"/>
  <c r="N817" i="7"/>
  <c r="M817" i="7"/>
  <c r="L817" i="7"/>
  <c r="K817" i="7"/>
  <c r="J817" i="7"/>
  <c r="I817" i="7"/>
  <c r="H817" i="7"/>
  <c r="S817" i="7" s="1"/>
  <c r="G817" i="7"/>
  <c r="F817" i="7"/>
  <c r="E817" i="7"/>
  <c r="D817" i="7"/>
  <c r="Q817" i="7" s="1"/>
  <c r="C817" i="7"/>
  <c r="U817" i="7" s="1"/>
  <c r="B817" i="7"/>
  <c r="A817" i="7"/>
  <c r="V816" i="7"/>
  <c r="T816" i="7"/>
  <c r="P816" i="7"/>
  <c r="O816" i="7"/>
  <c r="N816" i="7"/>
  <c r="M816" i="7"/>
  <c r="L816" i="7"/>
  <c r="K816" i="7"/>
  <c r="J816" i="7"/>
  <c r="I816" i="7"/>
  <c r="H816" i="7"/>
  <c r="G816" i="7"/>
  <c r="S816" i="7" s="1"/>
  <c r="F816" i="7"/>
  <c r="E816" i="7"/>
  <c r="D816" i="7"/>
  <c r="Q816" i="7" s="1"/>
  <c r="C816" i="7"/>
  <c r="U816" i="7" s="1"/>
  <c r="B816" i="7"/>
  <c r="R816" i="7" s="1"/>
  <c r="A816" i="7"/>
  <c r="V815" i="7"/>
  <c r="R815" i="7"/>
  <c r="P815" i="7"/>
  <c r="O815" i="7"/>
  <c r="N815" i="7"/>
  <c r="M815" i="7"/>
  <c r="L815" i="7"/>
  <c r="K815" i="7"/>
  <c r="J815" i="7"/>
  <c r="I815" i="7"/>
  <c r="H815" i="7"/>
  <c r="G815" i="7"/>
  <c r="S815" i="7" s="1"/>
  <c r="F815" i="7"/>
  <c r="T815" i="7" s="1"/>
  <c r="E815" i="7"/>
  <c r="D815" i="7"/>
  <c r="Q815" i="7" s="1"/>
  <c r="C815" i="7"/>
  <c r="U815" i="7" s="1"/>
  <c r="B815" i="7"/>
  <c r="A815" i="7"/>
  <c r="V814" i="7"/>
  <c r="T814" i="7"/>
  <c r="Q814" i="7"/>
  <c r="P814" i="7"/>
  <c r="O814" i="7"/>
  <c r="N814" i="7"/>
  <c r="M814" i="7"/>
  <c r="L814" i="7"/>
  <c r="K814" i="7"/>
  <c r="J814" i="7"/>
  <c r="I814" i="7"/>
  <c r="H814" i="7"/>
  <c r="G814" i="7"/>
  <c r="S814" i="7" s="1"/>
  <c r="F814" i="7"/>
  <c r="E814" i="7"/>
  <c r="D814" i="7"/>
  <c r="C814" i="7"/>
  <c r="U814" i="7" s="1"/>
  <c r="B814" i="7"/>
  <c r="R814" i="7" s="1"/>
  <c r="A814" i="7"/>
  <c r="U813" i="7"/>
  <c r="T813" i="7"/>
  <c r="R813" i="7"/>
  <c r="Q813" i="7"/>
  <c r="P813" i="7"/>
  <c r="O813" i="7"/>
  <c r="N813" i="7"/>
  <c r="M813" i="7"/>
  <c r="L813" i="7"/>
  <c r="K813" i="7"/>
  <c r="J813" i="7"/>
  <c r="I813" i="7"/>
  <c r="V813" i="7" s="1"/>
  <c r="H813" i="7"/>
  <c r="G813" i="7"/>
  <c r="S813" i="7" s="1"/>
  <c r="F813" i="7"/>
  <c r="E813" i="7"/>
  <c r="D813" i="7"/>
  <c r="C813" i="7"/>
  <c r="B813" i="7"/>
  <c r="A813" i="7"/>
  <c r="V812" i="7"/>
  <c r="U812" i="7"/>
  <c r="S812" i="7"/>
  <c r="R812" i="7"/>
  <c r="Q812" i="7"/>
  <c r="P812" i="7"/>
  <c r="O812" i="7"/>
  <c r="N812" i="7"/>
  <c r="M812" i="7"/>
  <c r="L812" i="7"/>
  <c r="K812" i="7"/>
  <c r="J812" i="7"/>
  <c r="I812" i="7"/>
  <c r="H812" i="7"/>
  <c r="G812" i="7"/>
  <c r="F812" i="7"/>
  <c r="T812" i="7" s="1"/>
  <c r="E812" i="7"/>
  <c r="D812" i="7"/>
  <c r="C812" i="7"/>
  <c r="B812" i="7"/>
  <c r="A812" i="7"/>
  <c r="V811" i="7"/>
  <c r="U811" i="7"/>
  <c r="T811" i="7"/>
  <c r="R811" i="7"/>
  <c r="P811" i="7"/>
  <c r="O811" i="7"/>
  <c r="N811" i="7"/>
  <c r="M811" i="7"/>
  <c r="L811" i="7"/>
  <c r="K811" i="7"/>
  <c r="J811" i="7"/>
  <c r="I811" i="7"/>
  <c r="H811" i="7"/>
  <c r="G811" i="7"/>
  <c r="S811" i="7" s="1"/>
  <c r="F811" i="7"/>
  <c r="E811" i="7"/>
  <c r="D811" i="7"/>
  <c r="Q811" i="7" s="1"/>
  <c r="C811" i="7"/>
  <c r="B811" i="7"/>
  <c r="A811" i="7"/>
  <c r="V810" i="7"/>
  <c r="U810" i="7"/>
  <c r="T810" i="7"/>
  <c r="Q810" i="7"/>
  <c r="P810" i="7"/>
  <c r="O810" i="7"/>
  <c r="N810" i="7"/>
  <c r="M810" i="7"/>
  <c r="L810" i="7"/>
  <c r="K810" i="7"/>
  <c r="J810" i="7"/>
  <c r="I810" i="7"/>
  <c r="H810" i="7"/>
  <c r="G810" i="7"/>
  <c r="S810" i="7" s="1"/>
  <c r="F810" i="7"/>
  <c r="E810" i="7"/>
  <c r="D810" i="7"/>
  <c r="C810" i="7"/>
  <c r="B810" i="7"/>
  <c r="R810" i="7" s="1"/>
  <c r="A810" i="7"/>
  <c r="U809" i="7"/>
  <c r="S809" i="7"/>
  <c r="R809" i="7"/>
  <c r="Q809" i="7"/>
  <c r="P809" i="7"/>
  <c r="O809" i="7"/>
  <c r="N809" i="7"/>
  <c r="M809" i="7"/>
  <c r="L809" i="7"/>
  <c r="K809" i="7"/>
  <c r="J809" i="7"/>
  <c r="I809" i="7"/>
  <c r="V809" i="7" s="1"/>
  <c r="H809" i="7"/>
  <c r="G809" i="7"/>
  <c r="F809" i="7"/>
  <c r="T809" i="7" s="1"/>
  <c r="E809" i="7"/>
  <c r="D809" i="7"/>
  <c r="C809" i="7"/>
  <c r="B809" i="7"/>
  <c r="A809" i="7"/>
  <c r="V808" i="7"/>
  <c r="T808" i="7"/>
  <c r="R808" i="7"/>
  <c r="P808" i="7"/>
  <c r="O808" i="7"/>
  <c r="N808" i="7"/>
  <c r="M808" i="7"/>
  <c r="L808" i="7"/>
  <c r="K808" i="7"/>
  <c r="J808" i="7"/>
  <c r="I808" i="7"/>
  <c r="H808" i="7"/>
  <c r="S808" i="7" s="1"/>
  <c r="G808" i="7"/>
  <c r="F808" i="7"/>
  <c r="E808" i="7"/>
  <c r="D808" i="7"/>
  <c r="Q808" i="7" s="1"/>
  <c r="C808" i="7"/>
  <c r="U808" i="7" s="1"/>
  <c r="B808" i="7"/>
  <c r="A808" i="7"/>
  <c r="V807" i="7"/>
  <c r="T807" i="7"/>
  <c r="S807" i="7"/>
  <c r="R807" i="7"/>
  <c r="P807" i="7"/>
  <c r="O807" i="7"/>
  <c r="N807" i="7"/>
  <c r="M807" i="7"/>
  <c r="L807" i="7"/>
  <c r="K807" i="7"/>
  <c r="J807" i="7"/>
  <c r="I807" i="7"/>
  <c r="H807" i="7"/>
  <c r="G807" i="7"/>
  <c r="F807" i="7"/>
  <c r="E807" i="7"/>
  <c r="D807" i="7"/>
  <c r="Q807" i="7" s="1"/>
  <c r="C807" i="7"/>
  <c r="U807" i="7" s="1"/>
  <c r="B807" i="7"/>
  <c r="A807" i="7"/>
  <c r="V806" i="7"/>
  <c r="T806" i="7"/>
  <c r="R806" i="7"/>
  <c r="P806" i="7"/>
  <c r="O806" i="7"/>
  <c r="N806" i="7"/>
  <c r="M806" i="7"/>
  <c r="L806" i="7"/>
  <c r="K806" i="7"/>
  <c r="J806" i="7"/>
  <c r="I806" i="7"/>
  <c r="H806" i="7"/>
  <c r="S806" i="7" s="1"/>
  <c r="G806" i="7"/>
  <c r="F806" i="7"/>
  <c r="E806" i="7"/>
  <c r="D806" i="7"/>
  <c r="Q806" i="7" s="1"/>
  <c r="C806" i="7"/>
  <c r="U806" i="7" s="1"/>
  <c r="B806" i="7"/>
  <c r="A806" i="7"/>
  <c r="V805" i="7"/>
  <c r="U805" i="7"/>
  <c r="P805" i="7"/>
  <c r="O805" i="7"/>
  <c r="N805" i="7"/>
  <c r="M805" i="7"/>
  <c r="L805" i="7"/>
  <c r="K805" i="7"/>
  <c r="J805" i="7"/>
  <c r="I805" i="7"/>
  <c r="H805" i="7"/>
  <c r="G805" i="7"/>
  <c r="S805" i="7" s="1"/>
  <c r="F805" i="7"/>
  <c r="T805" i="7" s="1"/>
  <c r="E805" i="7"/>
  <c r="D805" i="7"/>
  <c r="Q805" i="7" s="1"/>
  <c r="C805" i="7"/>
  <c r="B805" i="7"/>
  <c r="R805" i="7" s="1"/>
  <c r="A805" i="7"/>
  <c r="R804" i="7"/>
  <c r="Q804" i="7"/>
  <c r="P804" i="7"/>
  <c r="O804" i="7"/>
  <c r="N804" i="7"/>
  <c r="M804" i="7"/>
  <c r="L804" i="7"/>
  <c r="K804" i="7"/>
  <c r="J804" i="7"/>
  <c r="I804" i="7"/>
  <c r="V804" i="7" s="1"/>
  <c r="H804" i="7"/>
  <c r="G804" i="7"/>
  <c r="F804" i="7"/>
  <c r="T804" i="7" s="1"/>
  <c r="E804" i="7"/>
  <c r="D804" i="7"/>
  <c r="C804" i="7"/>
  <c r="U804" i="7" s="1"/>
  <c r="B804" i="7"/>
  <c r="A804" i="7"/>
  <c r="U803" i="7"/>
  <c r="S803" i="7"/>
  <c r="R803" i="7"/>
  <c r="P803" i="7"/>
  <c r="O803" i="7"/>
  <c r="N803" i="7"/>
  <c r="M803" i="7"/>
  <c r="L803" i="7"/>
  <c r="K803" i="7"/>
  <c r="J803" i="7"/>
  <c r="I803" i="7"/>
  <c r="V803" i="7" s="1"/>
  <c r="H803" i="7"/>
  <c r="G803" i="7"/>
  <c r="F803" i="7"/>
  <c r="T803" i="7" s="1"/>
  <c r="E803" i="7"/>
  <c r="D803" i="7"/>
  <c r="Q803" i="7" s="1"/>
  <c r="C803" i="7"/>
  <c r="B803" i="7"/>
  <c r="A803" i="7"/>
  <c r="V802" i="7"/>
  <c r="T802" i="7"/>
  <c r="S802" i="7"/>
  <c r="P802" i="7"/>
  <c r="O802" i="7"/>
  <c r="N802" i="7"/>
  <c r="M802" i="7"/>
  <c r="L802" i="7"/>
  <c r="K802" i="7"/>
  <c r="J802" i="7"/>
  <c r="I802" i="7"/>
  <c r="H802" i="7"/>
  <c r="G802" i="7"/>
  <c r="F802" i="7"/>
  <c r="E802" i="7"/>
  <c r="D802" i="7"/>
  <c r="Q802" i="7" s="1"/>
  <c r="C802" i="7"/>
  <c r="U802" i="7" s="1"/>
  <c r="B802" i="7"/>
  <c r="R802" i="7" s="1"/>
  <c r="A802" i="7"/>
  <c r="V801" i="7"/>
  <c r="T801" i="7"/>
  <c r="P801" i="7"/>
  <c r="O801" i="7"/>
  <c r="N801" i="7"/>
  <c r="M801" i="7"/>
  <c r="L801" i="7"/>
  <c r="K801" i="7"/>
  <c r="J801" i="7"/>
  <c r="I801" i="7"/>
  <c r="H801" i="7"/>
  <c r="S801" i="7" s="1"/>
  <c r="G801" i="7"/>
  <c r="F801" i="7"/>
  <c r="E801" i="7"/>
  <c r="D801" i="7"/>
  <c r="Q801" i="7" s="1"/>
  <c r="C801" i="7"/>
  <c r="U801" i="7" s="1"/>
  <c r="B801" i="7"/>
  <c r="R801" i="7" s="1"/>
  <c r="A801" i="7"/>
  <c r="U800" i="7"/>
  <c r="R800" i="7"/>
  <c r="Q800" i="7"/>
  <c r="P800" i="7"/>
  <c r="O800" i="7"/>
  <c r="N800" i="7"/>
  <c r="M800" i="7"/>
  <c r="L800" i="7"/>
  <c r="K800" i="7"/>
  <c r="J800" i="7"/>
  <c r="I800" i="7"/>
  <c r="V800" i="7" s="1"/>
  <c r="H800" i="7"/>
  <c r="G800" i="7"/>
  <c r="S800" i="7" s="1"/>
  <c r="F800" i="7"/>
  <c r="T800" i="7" s="1"/>
  <c r="E800" i="7"/>
  <c r="D800" i="7"/>
  <c r="C800" i="7"/>
  <c r="B800" i="7"/>
  <c r="A800" i="7"/>
  <c r="V799" i="7"/>
  <c r="U799" i="7"/>
  <c r="T799" i="7"/>
  <c r="P799" i="7"/>
  <c r="O799" i="7"/>
  <c r="N799" i="7"/>
  <c r="M799" i="7"/>
  <c r="L799" i="7"/>
  <c r="K799" i="7"/>
  <c r="J799" i="7"/>
  <c r="I799" i="7"/>
  <c r="H799" i="7"/>
  <c r="G799" i="7"/>
  <c r="S799" i="7" s="1"/>
  <c r="F799" i="7"/>
  <c r="E799" i="7"/>
  <c r="D799" i="7"/>
  <c r="Q799" i="7" s="1"/>
  <c r="C799" i="7"/>
  <c r="B799" i="7"/>
  <c r="R799" i="7" s="1"/>
  <c r="A799" i="7"/>
  <c r="V798" i="7"/>
  <c r="Q798" i="7"/>
  <c r="P798" i="7"/>
  <c r="O798" i="7"/>
  <c r="N798" i="7"/>
  <c r="M798" i="7"/>
  <c r="L798" i="7"/>
  <c r="K798" i="7"/>
  <c r="J798" i="7"/>
  <c r="I798" i="7"/>
  <c r="H798" i="7"/>
  <c r="G798" i="7"/>
  <c r="S798" i="7" s="1"/>
  <c r="F798" i="7"/>
  <c r="T798" i="7" s="1"/>
  <c r="E798" i="7"/>
  <c r="D798" i="7"/>
  <c r="C798" i="7"/>
  <c r="U798" i="7" s="1"/>
  <c r="B798" i="7"/>
  <c r="R798" i="7" s="1"/>
  <c r="A798" i="7"/>
  <c r="T797" i="7"/>
  <c r="S797" i="7"/>
  <c r="R797" i="7"/>
  <c r="Q797" i="7"/>
  <c r="P797" i="7"/>
  <c r="O797" i="7"/>
  <c r="N797" i="7"/>
  <c r="M797" i="7"/>
  <c r="L797" i="7"/>
  <c r="K797" i="7"/>
  <c r="J797" i="7"/>
  <c r="I797" i="7"/>
  <c r="V797" i="7" s="1"/>
  <c r="H797" i="7"/>
  <c r="G797" i="7"/>
  <c r="F797" i="7"/>
  <c r="E797" i="7"/>
  <c r="D797" i="7"/>
  <c r="C797" i="7"/>
  <c r="U797" i="7" s="1"/>
  <c r="B797" i="7"/>
  <c r="A797" i="7"/>
  <c r="V796" i="7"/>
  <c r="T796" i="7"/>
  <c r="P796" i="7"/>
  <c r="O796" i="7"/>
  <c r="N796" i="7"/>
  <c r="M796" i="7"/>
  <c r="L796" i="7"/>
  <c r="K796" i="7"/>
  <c r="J796" i="7"/>
  <c r="I796" i="7"/>
  <c r="H796" i="7"/>
  <c r="S796" i="7" s="1"/>
  <c r="G796" i="7"/>
  <c r="F796" i="7"/>
  <c r="E796" i="7"/>
  <c r="D796" i="7"/>
  <c r="Q796" i="7" s="1"/>
  <c r="C796" i="7"/>
  <c r="U796" i="7" s="1"/>
  <c r="B796" i="7"/>
  <c r="R796" i="7" s="1"/>
  <c r="A796" i="7"/>
  <c r="U795" i="7"/>
  <c r="R795" i="7"/>
  <c r="Q795" i="7"/>
  <c r="P795" i="7"/>
  <c r="O795" i="7"/>
  <c r="N795" i="7"/>
  <c r="M795" i="7"/>
  <c r="L795" i="7"/>
  <c r="K795" i="7"/>
  <c r="J795" i="7"/>
  <c r="I795" i="7"/>
  <c r="V795" i="7" s="1"/>
  <c r="H795" i="7"/>
  <c r="G795" i="7"/>
  <c r="F795" i="7"/>
  <c r="T795" i="7" s="1"/>
  <c r="E795" i="7"/>
  <c r="D795" i="7"/>
  <c r="C795" i="7"/>
  <c r="B795" i="7"/>
  <c r="A795" i="7"/>
  <c r="V794" i="7"/>
  <c r="U794" i="7"/>
  <c r="S794" i="7"/>
  <c r="P794" i="7"/>
  <c r="O794" i="7"/>
  <c r="N794" i="7"/>
  <c r="M794" i="7"/>
  <c r="L794" i="7"/>
  <c r="K794" i="7"/>
  <c r="J794" i="7"/>
  <c r="I794" i="7"/>
  <c r="H794" i="7"/>
  <c r="G794" i="7"/>
  <c r="F794" i="7"/>
  <c r="T794" i="7" s="1"/>
  <c r="E794" i="7"/>
  <c r="D794" i="7"/>
  <c r="Q794" i="7" s="1"/>
  <c r="C794" i="7"/>
  <c r="B794" i="7"/>
  <c r="R794" i="7" s="1"/>
  <c r="A794" i="7"/>
  <c r="V793" i="7"/>
  <c r="Q793" i="7"/>
  <c r="P793" i="7"/>
  <c r="O793" i="7"/>
  <c r="N793" i="7"/>
  <c r="M793" i="7"/>
  <c r="L793" i="7"/>
  <c r="K793" i="7"/>
  <c r="J793" i="7"/>
  <c r="I793" i="7"/>
  <c r="H793" i="7"/>
  <c r="G793" i="7"/>
  <c r="S793" i="7" s="1"/>
  <c r="F793" i="7"/>
  <c r="T793" i="7" s="1"/>
  <c r="E793" i="7"/>
  <c r="D793" i="7"/>
  <c r="C793" i="7"/>
  <c r="U793" i="7" s="1"/>
  <c r="B793" i="7"/>
  <c r="R793" i="7" s="1"/>
  <c r="A793" i="7"/>
  <c r="T792" i="7"/>
  <c r="S792" i="7"/>
  <c r="Q792" i="7"/>
  <c r="P792" i="7"/>
  <c r="O792" i="7"/>
  <c r="N792" i="7"/>
  <c r="M792" i="7"/>
  <c r="L792" i="7"/>
  <c r="K792" i="7"/>
  <c r="J792" i="7"/>
  <c r="I792" i="7"/>
  <c r="V792" i="7" s="1"/>
  <c r="H792" i="7"/>
  <c r="G792" i="7"/>
  <c r="F792" i="7"/>
  <c r="E792" i="7"/>
  <c r="D792" i="7"/>
  <c r="C792" i="7"/>
  <c r="U792" i="7" s="1"/>
  <c r="B792" i="7"/>
  <c r="R792" i="7" s="1"/>
  <c r="A792" i="7"/>
  <c r="U791" i="7"/>
  <c r="R791" i="7"/>
  <c r="Q791" i="7"/>
  <c r="P791" i="7"/>
  <c r="O791" i="7"/>
  <c r="N791" i="7"/>
  <c r="M791" i="7"/>
  <c r="L791" i="7"/>
  <c r="K791" i="7"/>
  <c r="J791" i="7"/>
  <c r="I791" i="7"/>
  <c r="V791" i="7" s="1"/>
  <c r="H791" i="7"/>
  <c r="S791" i="7" s="1"/>
  <c r="G791" i="7"/>
  <c r="F791" i="7"/>
  <c r="T791" i="7" s="1"/>
  <c r="E791" i="7"/>
  <c r="D791" i="7"/>
  <c r="C791" i="7"/>
  <c r="B791" i="7"/>
  <c r="A791" i="7"/>
  <c r="V790" i="7"/>
  <c r="U790" i="7"/>
  <c r="T790" i="7"/>
  <c r="S790" i="7"/>
  <c r="Q790" i="7"/>
  <c r="P790" i="7"/>
  <c r="O790" i="7"/>
  <c r="N790" i="7"/>
  <c r="M790" i="7"/>
  <c r="L790" i="7"/>
  <c r="K790" i="7"/>
  <c r="J790" i="7"/>
  <c r="I790" i="7"/>
  <c r="H790" i="7"/>
  <c r="G790" i="7"/>
  <c r="F790" i="7"/>
  <c r="E790" i="7"/>
  <c r="D790" i="7"/>
  <c r="C790" i="7"/>
  <c r="B790" i="7"/>
  <c r="R790" i="7" s="1"/>
  <c r="A790" i="7"/>
  <c r="V789" i="7"/>
  <c r="U789" i="7"/>
  <c r="T789" i="7"/>
  <c r="S789" i="7"/>
  <c r="P789" i="7"/>
  <c r="O789" i="7"/>
  <c r="N789" i="7"/>
  <c r="M789" i="7"/>
  <c r="L789" i="7"/>
  <c r="K789" i="7"/>
  <c r="J789" i="7"/>
  <c r="I789" i="7"/>
  <c r="H789" i="7"/>
  <c r="G789" i="7"/>
  <c r="F789" i="7"/>
  <c r="E789" i="7"/>
  <c r="D789" i="7"/>
  <c r="Q789" i="7" s="1"/>
  <c r="C789" i="7"/>
  <c r="B789" i="7"/>
  <c r="R789" i="7" s="1"/>
  <c r="A789" i="7"/>
  <c r="U788" i="7"/>
  <c r="R788" i="7"/>
  <c r="Q788" i="7"/>
  <c r="P788" i="7"/>
  <c r="O788" i="7"/>
  <c r="N788" i="7"/>
  <c r="M788" i="7"/>
  <c r="L788" i="7"/>
  <c r="K788" i="7"/>
  <c r="J788" i="7"/>
  <c r="I788" i="7"/>
  <c r="V788" i="7" s="1"/>
  <c r="H788" i="7"/>
  <c r="G788" i="7"/>
  <c r="S788" i="7" s="1"/>
  <c r="F788" i="7"/>
  <c r="T788" i="7" s="1"/>
  <c r="E788" i="7"/>
  <c r="D788" i="7"/>
  <c r="C788" i="7"/>
  <c r="B788" i="7"/>
  <c r="A788" i="7"/>
  <c r="V787" i="7"/>
  <c r="U787" i="7"/>
  <c r="S787" i="7"/>
  <c r="Q787" i="7"/>
  <c r="P787" i="7"/>
  <c r="O787" i="7"/>
  <c r="N787" i="7"/>
  <c r="M787" i="7"/>
  <c r="L787" i="7"/>
  <c r="K787" i="7"/>
  <c r="J787" i="7"/>
  <c r="I787" i="7"/>
  <c r="H787" i="7"/>
  <c r="G787" i="7"/>
  <c r="F787" i="7"/>
  <c r="T787" i="7" s="1"/>
  <c r="E787" i="7"/>
  <c r="D787" i="7"/>
  <c r="C787" i="7"/>
  <c r="B787" i="7"/>
  <c r="R787" i="7" s="1"/>
  <c r="A787" i="7"/>
  <c r="U786" i="7"/>
  <c r="Q786" i="7"/>
  <c r="P786" i="7"/>
  <c r="O786" i="7"/>
  <c r="N786" i="7"/>
  <c r="M786" i="7"/>
  <c r="L786" i="7"/>
  <c r="K786" i="7"/>
  <c r="J786" i="7"/>
  <c r="I786" i="7"/>
  <c r="V786" i="7" s="1"/>
  <c r="H786" i="7"/>
  <c r="S786" i="7" s="1"/>
  <c r="G786" i="7"/>
  <c r="F786" i="7"/>
  <c r="T786" i="7" s="1"/>
  <c r="E786" i="7"/>
  <c r="D786" i="7"/>
  <c r="C786" i="7"/>
  <c r="B786" i="7"/>
  <c r="R786" i="7" s="1"/>
  <c r="A786" i="7"/>
  <c r="R785" i="7"/>
  <c r="Q785" i="7"/>
  <c r="P785" i="7"/>
  <c r="O785" i="7"/>
  <c r="N785" i="7"/>
  <c r="M785" i="7"/>
  <c r="L785" i="7"/>
  <c r="K785" i="7"/>
  <c r="J785" i="7"/>
  <c r="I785" i="7"/>
  <c r="V785" i="7" s="1"/>
  <c r="H785" i="7"/>
  <c r="G785" i="7"/>
  <c r="S785" i="7" s="1"/>
  <c r="F785" i="7"/>
  <c r="T785" i="7" s="1"/>
  <c r="E785" i="7"/>
  <c r="D785" i="7"/>
  <c r="C785" i="7"/>
  <c r="U785" i="7" s="1"/>
  <c r="B785" i="7"/>
  <c r="A785" i="7"/>
  <c r="T784" i="7"/>
  <c r="S784" i="7"/>
  <c r="Q784" i="7"/>
  <c r="P784" i="7"/>
  <c r="O784" i="7"/>
  <c r="N784" i="7"/>
  <c r="M784" i="7"/>
  <c r="L784" i="7"/>
  <c r="K784" i="7"/>
  <c r="J784" i="7"/>
  <c r="I784" i="7"/>
  <c r="V784" i="7" s="1"/>
  <c r="H784" i="7"/>
  <c r="G784" i="7"/>
  <c r="F784" i="7"/>
  <c r="E784" i="7"/>
  <c r="D784" i="7"/>
  <c r="C784" i="7"/>
  <c r="U784" i="7" s="1"/>
  <c r="B784" i="7"/>
  <c r="R784" i="7" s="1"/>
  <c r="A784" i="7"/>
  <c r="U783" i="7"/>
  <c r="T783" i="7"/>
  <c r="R783" i="7"/>
  <c r="Q783" i="7"/>
  <c r="P783" i="7"/>
  <c r="O783" i="7"/>
  <c r="N783" i="7"/>
  <c r="M783" i="7"/>
  <c r="L783" i="7"/>
  <c r="K783" i="7"/>
  <c r="J783" i="7"/>
  <c r="I783" i="7"/>
  <c r="V783" i="7" s="1"/>
  <c r="H783" i="7"/>
  <c r="G783" i="7"/>
  <c r="S783" i="7" s="1"/>
  <c r="F783" i="7"/>
  <c r="E783" i="7"/>
  <c r="D783" i="7"/>
  <c r="C783" i="7"/>
  <c r="B783" i="7"/>
  <c r="A783" i="7"/>
  <c r="S782" i="7"/>
  <c r="R782" i="7"/>
  <c r="Q782" i="7"/>
  <c r="P782" i="7"/>
  <c r="O782" i="7"/>
  <c r="N782" i="7"/>
  <c r="M782" i="7"/>
  <c r="L782" i="7"/>
  <c r="K782" i="7"/>
  <c r="J782" i="7"/>
  <c r="I782" i="7"/>
  <c r="V782" i="7" s="1"/>
  <c r="H782" i="7"/>
  <c r="G782" i="7"/>
  <c r="F782" i="7"/>
  <c r="T782" i="7" s="1"/>
  <c r="E782" i="7"/>
  <c r="D782" i="7"/>
  <c r="C782" i="7"/>
  <c r="U782" i="7" s="1"/>
  <c r="B782" i="7"/>
  <c r="A782" i="7"/>
  <c r="V781" i="7"/>
  <c r="U781" i="7"/>
  <c r="T781" i="7"/>
  <c r="R781" i="7"/>
  <c r="P781" i="7"/>
  <c r="O781" i="7"/>
  <c r="N781" i="7"/>
  <c r="M781" i="7"/>
  <c r="L781" i="7"/>
  <c r="K781" i="7"/>
  <c r="J781" i="7"/>
  <c r="I781" i="7"/>
  <c r="H781" i="7"/>
  <c r="G781" i="7"/>
  <c r="S781" i="7" s="1"/>
  <c r="F781" i="7"/>
  <c r="E781" i="7"/>
  <c r="D781" i="7"/>
  <c r="Q781" i="7" s="1"/>
  <c r="C781" i="7"/>
  <c r="B781" i="7"/>
  <c r="A781" i="7"/>
  <c r="V780" i="7"/>
  <c r="R780" i="7"/>
  <c r="P780" i="7"/>
  <c r="O780" i="7"/>
  <c r="N780" i="7"/>
  <c r="M780" i="7"/>
  <c r="L780" i="7"/>
  <c r="K780" i="7"/>
  <c r="J780" i="7"/>
  <c r="I780" i="7"/>
  <c r="H780" i="7"/>
  <c r="G780" i="7"/>
  <c r="S780" i="7" s="1"/>
  <c r="F780" i="7"/>
  <c r="T780" i="7" s="1"/>
  <c r="E780" i="7"/>
  <c r="D780" i="7"/>
  <c r="Q780" i="7" s="1"/>
  <c r="C780" i="7"/>
  <c r="U780" i="7" s="1"/>
  <c r="B780" i="7"/>
  <c r="A780" i="7"/>
  <c r="V779" i="7"/>
  <c r="R779" i="7"/>
  <c r="Q779" i="7"/>
  <c r="P779" i="7"/>
  <c r="O779" i="7"/>
  <c r="N779" i="7"/>
  <c r="M779" i="7"/>
  <c r="L779" i="7"/>
  <c r="K779" i="7"/>
  <c r="J779" i="7"/>
  <c r="I779" i="7"/>
  <c r="H779" i="7"/>
  <c r="G779" i="7"/>
  <c r="S779" i="7" s="1"/>
  <c r="F779" i="7"/>
  <c r="T779" i="7" s="1"/>
  <c r="E779" i="7"/>
  <c r="D779" i="7"/>
  <c r="C779" i="7"/>
  <c r="U779" i="7" s="1"/>
  <c r="B779" i="7"/>
  <c r="A779" i="7"/>
  <c r="V778" i="7"/>
  <c r="U778" i="7"/>
  <c r="S778" i="7"/>
  <c r="Q778" i="7"/>
  <c r="P778" i="7"/>
  <c r="O778" i="7"/>
  <c r="N778" i="7"/>
  <c r="M778" i="7"/>
  <c r="L778" i="7"/>
  <c r="K778" i="7"/>
  <c r="J778" i="7"/>
  <c r="I778" i="7"/>
  <c r="H778" i="7"/>
  <c r="G778" i="7"/>
  <c r="F778" i="7"/>
  <c r="T778" i="7" s="1"/>
  <c r="E778" i="7"/>
  <c r="D778" i="7"/>
  <c r="C778" i="7"/>
  <c r="B778" i="7"/>
  <c r="R778" i="7" s="1"/>
  <c r="A778" i="7"/>
  <c r="U777" i="7"/>
  <c r="T777" i="7"/>
  <c r="S777" i="7"/>
  <c r="Q777" i="7"/>
  <c r="P777" i="7"/>
  <c r="O777" i="7"/>
  <c r="N777" i="7"/>
  <c r="M777" i="7"/>
  <c r="L777" i="7"/>
  <c r="K777" i="7"/>
  <c r="J777" i="7"/>
  <c r="I777" i="7"/>
  <c r="V777" i="7" s="1"/>
  <c r="H777" i="7"/>
  <c r="G777" i="7"/>
  <c r="F777" i="7"/>
  <c r="E777" i="7"/>
  <c r="D777" i="7"/>
  <c r="C777" i="7"/>
  <c r="B777" i="7"/>
  <c r="R777" i="7" s="1"/>
  <c r="A777" i="7"/>
  <c r="V776" i="7"/>
  <c r="U776" i="7"/>
  <c r="R776" i="7"/>
  <c r="P776" i="7"/>
  <c r="O776" i="7"/>
  <c r="N776" i="7"/>
  <c r="M776" i="7"/>
  <c r="L776" i="7"/>
  <c r="K776" i="7"/>
  <c r="J776" i="7"/>
  <c r="I776" i="7"/>
  <c r="H776" i="7"/>
  <c r="G776" i="7"/>
  <c r="S776" i="7" s="1"/>
  <c r="F776" i="7"/>
  <c r="T776" i="7" s="1"/>
  <c r="E776" i="7"/>
  <c r="D776" i="7"/>
  <c r="Q776" i="7" s="1"/>
  <c r="C776" i="7"/>
  <c r="B776" i="7"/>
  <c r="A776" i="7"/>
  <c r="S775" i="7"/>
  <c r="P775" i="7"/>
  <c r="O775" i="7"/>
  <c r="N775" i="7"/>
  <c r="M775" i="7"/>
  <c r="L775" i="7"/>
  <c r="K775" i="7"/>
  <c r="J775" i="7"/>
  <c r="I775" i="7"/>
  <c r="V775" i="7" s="1"/>
  <c r="H775" i="7"/>
  <c r="G775" i="7"/>
  <c r="F775" i="7"/>
  <c r="T775" i="7" s="1"/>
  <c r="E775" i="7"/>
  <c r="D775" i="7"/>
  <c r="Q775" i="7" s="1"/>
  <c r="C775" i="7"/>
  <c r="U775" i="7" s="1"/>
  <c r="B775" i="7"/>
  <c r="R775" i="7" s="1"/>
  <c r="A775" i="7"/>
  <c r="U774" i="7"/>
  <c r="T774" i="7"/>
  <c r="R774" i="7"/>
  <c r="P774" i="7"/>
  <c r="O774" i="7"/>
  <c r="N774" i="7"/>
  <c r="M774" i="7"/>
  <c r="L774" i="7"/>
  <c r="K774" i="7"/>
  <c r="J774" i="7"/>
  <c r="I774" i="7"/>
  <c r="V774" i="7" s="1"/>
  <c r="H774" i="7"/>
  <c r="G774" i="7"/>
  <c r="S774" i="7" s="1"/>
  <c r="F774" i="7"/>
  <c r="E774" i="7"/>
  <c r="D774" i="7"/>
  <c r="Q774" i="7" s="1"/>
  <c r="C774" i="7"/>
  <c r="B774" i="7"/>
  <c r="A774" i="7"/>
  <c r="V773" i="7"/>
  <c r="R773" i="7"/>
  <c r="Q773" i="7"/>
  <c r="P773" i="7"/>
  <c r="O773" i="7"/>
  <c r="N773" i="7"/>
  <c r="M773" i="7"/>
  <c r="L773" i="7"/>
  <c r="K773" i="7"/>
  <c r="J773" i="7"/>
  <c r="I773" i="7"/>
  <c r="H773" i="7"/>
  <c r="G773" i="7"/>
  <c r="S773" i="7" s="1"/>
  <c r="F773" i="7"/>
  <c r="T773" i="7" s="1"/>
  <c r="E773" i="7"/>
  <c r="D773" i="7"/>
  <c r="C773" i="7"/>
  <c r="U773" i="7" s="1"/>
  <c r="B773" i="7"/>
  <c r="A773" i="7"/>
  <c r="V772" i="7"/>
  <c r="T772" i="7"/>
  <c r="S772" i="7"/>
  <c r="R772" i="7"/>
  <c r="P772" i="7"/>
  <c r="O772" i="7"/>
  <c r="N772" i="7"/>
  <c r="M772" i="7"/>
  <c r="L772" i="7"/>
  <c r="K772" i="7"/>
  <c r="J772" i="7"/>
  <c r="I772" i="7"/>
  <c r="H772" i="7"/>
  <c r="G772" i="7"/>
  <c r="F772" i="7"/>
  <c r="E772" i="7"/>
  <c r="D772" i="7"/>
  <c r="Q772" i="7" s="1"/>
  <c r="C772" i="7"/>
  <c r="U772" i="7" s="1"/>
  <c r="B772" i="7"/>
  <c r="A772" i="7"/>
  <c r="V771" i="7"/>
  <c r="U771" i="7"/>
  <c r="T771" i="7"/>
  <c r="R771" i="7"/>
  <c r="P771" i="7"/>
  <c r="O771" i="7"/>
  <c r="N771" i="7"/>
  <c r="M771" i="7"/>
  <c r="L771" i="7"/>
  <c r="K771" i="7"/>
  <c r="J771" i="7"/>
  <c r="I771" i="7"/>
  <c r="H771" i="7"/>
  <c r="S771" i="7" s="1"/>
  <c r="G771" i="7"/>
  <c r="F771" i="7"/>
  <c r="E771" i="7"/>
  <c r="D771" i="7"/>
  <c r="Q771" i="7" s="1"/>
  <c r="C771" i="7"/>
  <c r="B771" i="7"/>
  <c r="A771" i="7"/>
  <c r="V770" i="7"/>
  <c r="U770" i="7"/>
  <c r="R770" i="7"/>
  <c r="P770" i="7"/>
  <c r="O770" i="7"/>
  <c r="N770" i="7"/>
  <c r="M770" i="7"/>
  <c r="L770" i="7"/>
  <c r="K770" i="7"/>
  <c r="J770" i="7"/>
  <c r="I770" i="7"/>
  <c r="H770" i="7"/>
  <c r="S770" i="7" s="1"/>
  <c r="G770" i="7"/>
  <c r="F770" i="7"/>
  <c r="T770" i="7" s="1"/>
  <c r="E770" i="7"/>
  <c r="D770" i="7"/>
  <c r="Q770" i="7" s="1"/>
  <c r="C770" i="7"/>
  <c r="B770" i="7"/>
  <c r="A770" i="7"/>
  <c r="V769" i="7"/>
  <c r="Q769" i="7"/>
  <c r="P769" i="7"/>
  <c r="O769" i="7"/>
  <c r="N769" i="7"/>
  <c r="M769" i="7"/>
  <c r="L769" i="7"/>
  <c r="K769" i="7"/>
  <c r="J769" i="7"/>
  <c r="I769" i="7"/>
  <c r="H769" i="7"/>
  <c r="G769" i="7"/>
  <c r="F769" i="7"/>
  <c r="T769" i="7" s="1"/>
  <c r="E769" i="7"/>
  <c r="D769" i="7"/>
  <c r="C769" i="7"/>
  <c r="U769" i="7" s="1"/>
  <c r="B769" i="7"/>
  <c r="R769" i="7" s="1"/>
  <c r="A769" i="7"/>
  <c r="U768" i="7"/>
  <c r="T768" i="7"/>
  <c r="R768" i="7"/>
  <c r="Q768" i="7"/>
  <c r="P768" i="7"/>
  <c r="O768" i="7"/>
  <c r="N768" i="7"/>
  <c r="M768" i="7"/>
  <c r="L768" i="7"/>
  <c r="K768" i="7"/>
  <c r="J768" i="7"/>
  <c r="I768" i="7"/>
  <c r="V768" i="7" s="1"/>
  <c r="H768" i="7"/>
  <c r="G768" i="7"/>
  <c r="F768" i="7"/>
  <c r="E768" i="7"/>
  <c r="D768" i="7"/>
  <c r="C768" i="7"/>
  <c r="B768" i="7"/>
  <c r="A768" i="7"/>
  <c r="V767" i="7"/>
  <c r="U767" i="7"/>
  <c r="T767" i="7"/>
  <c r="S767" i="7"/>
  <c r="P767" i="7"/>
  <c r="O767" i="7"/>
  <c r="N767" i="7"/>
  <c r="M767" i="7"/>
  <c r="L767" i="7"/>
  <c r="K767" i="7"/>
  <c r="J767" i="7"/>
  <c r="I767" i="7"/>
  <c r="H767" i="7"/>
  <c r="G767" i="7"/>
  <c r="F767" i="7"/>
  <c r="E767" i="7"/>
  <c r="D767" i="7"/>
  <c r="Q767" i="7" s="1"/>
  <c r="C767" i="7"/>
  <c r="B767" i="7"/>
  <c r="R767" i="7" s="1"/>
  <c r="A767" i="7"/>
  <c r="V766" i="7"/>
  <c r="R766" i="7"/>
  <c r="Q766" i="7"/>
  <c r="P766" i="7"/>
  <c r="O766" i="7"/>
  <c r="N766" i="7"/>
  <c r="M766" i="7"/>
  <c r="L766" i="7"/>
  <c r="K766" i="7"/>
  <c r="J766" i="7"/>
  <c r="I766" i="7"/>
  <c r="H766" i="7"/>
  <c r="G766" i="7"/>
  <c r="S766" i="7" s="1"/>
  <c r="F766" i="7"/>
  <c r="T766" i="7" s="1"/>
  <c r="E766" i="7"/>
  <c r="D766" i="7"/>
  <c r="C766" i="7"/>
  <c r="U766" i="7" s="1"/>
  <c r="B766" i="7"/>
  <c r="A766" i="7"/>
  <c r="V765" i="7"/>
  <c r="U765" i="7"/>
  <c r="T765" i="7"/>
  <c r="S765" i="7"/>
  <c r="P765" i="7"/>
  <c r="O765" i="7"/>
  <c r="N765" i="7"/>
  <c r="M765" i="7"/>
  <c r="L765" i="7"/>
  <c r="K765" i="7"/>
  <c r="J765" i="7"/>
  <c r="I765" i="7"/>
  <c r="H765" i="7"/>
  <c r="G765" i="7"/>
  <c r="F765" i="7"/>
  <c r="E765" i="7"/>
  <c r="D765" i="7"/>
  <c r="Q765" i="7" s="1"/>
  <c r="C765" i="7"/>
  <c r="B765" i="7"/>
  <c r="R765" i="7" s="1"/>
  <c r="A765" i="7"/>
  <c r="V764" i="7"/>
  <c r="R764" i="7"/>
  <c r="P764" i="7"/>
  <c r="O764" i="7"/>
  <c r="N764" i="7"/>
  <c r="M764" i="7"/>
  <c r="L764" i="7"/>
  <c r="K764" i="7"/>
  <c r="J764" i="7"/>
  <c r="I764" i="7"/>
  <c r="H764" i="7"/>
  <c r="G764" i="7"/>
  <c r="F764" i="7"/>
  <c r="T764" i="7" s="1"/>
  <c r="E764" i="7"/>
  <c r="D764" i="7"/>
  <c r="Q764" i="7" s="1"/>
  <c r="C764" i="7"/>
  <c r="U764" i="7" s="1"/>
  <c r="B764" i="7"/>
  <c r="A764" i="7"/>
  <c r="V763" i="7"/>
  <c r="T763" i="7"/>
  <c r="R763" i="7"/>
  <c r="P763" i="7"/>
  <c r="O763" i="7"/>
  <c r="N763" i="7"/>
  <c r="M763" i="7"/>
  <c r="L763" i="7"/>
  <c r="K763" i="7"/>
  <c r="J763" i="7"/>
  <c r="I763" i="7"/>
  <c r="H763" i="7"/>
  <c r="G763" i="7"/>
  <c r="S763" i="7" s="1"/>
  <c r="F763" i="7"/>
  <c r="E763" i="7"/>
  <c r="D763" i="7"/>
  <c r="Q763" i="7" s="1"/>
  <c r="C763" i="7"/>
  <c r="U763" i="7" s="1"/>
  <c r="B763" i="7"/>
  <c r="A763" i="7"/>
  <c r="V762" i="7"/>
  <c r="T762" i="7"/>
  <c r="R762" i="7"/>
  <c r="P762" i="7"/>
  <c r="O762" i="7"/>
  <c r="N762" i="7"/>
  <c r="M762" i="7"/>
  <c r="L762" i="7"/>
  <c r="K762" i="7"/>
  <c r="J762" i="7"/>
  <c r="I762" i="7"/>
  <c r="H762" i="7"/>
  <c r="S762" i="7" s="1"/>
  <c r="G762" i="7"/>
  <c r="F762" i="7"/>
  <c r="E762" i="7"/>
  <c r="D762" i="7"/>
  <c r="Q762" i="7" s="1"/>
  <c r="C762" i="7"/>
  <c r="U762" i="7" s="1"/>
  <c r="B762" i="7"/>
  <c r="A762" i="7"/>
  <c r="V761" i="7"/>
  <c r="U761" i="7"/>
  <c r="R761" i="7"/>
  <c r="P761" i="7"/>
  <c r="O761" i="7"/>
  <c r="N761" i="7"/>
  <c r="M761" i="7"/>
  <c r="L761" i="7"/>
  <c r="K761" i="7"/>
  <c r="J761" i="7"/>
  <c r="I761" i="7"/>
  <c r="H761" i="7"/>
  <c r="S761" i="7" s="1"/>
  <c r="G761" i="7"/>
  <c r="F761" i="7"/>
  <c r="T761" i="7" s="1"/>
  <c r="E761" i="7"/>
  <c r="D761" i="7"/>
  <c r="Q761" i="7" s="1"/>
  <c r="C761" i="7"/>
  <c r="B761" i="7"/>
  <c r="A761" i="7"/>
  <c r="Q760" i="7"/>
  <c r="P760" i="7"/>
  <c r="O760" i="7"/>
  <c r="N760" i="7"/>
  <c r="M760" i="7"/>
  <c r="L760" i="7"/>
  <c r="K760" i="7"/>
  <c r="J760" i="7"/>
  <c r="I760" i="7"/>
  <c r="V760" i="7" s="1"/>
  <c r="H760" i="7"/>
  <c r="G760" i="7"/>
  <c r="S760" i="7" s="1"/>
  <c r="F760" i="7"/>
  <c r="T760" i="7" s="1"/>
  <c r="E760" i="7"/>
  <c r="D760" i="7"/>
  <c r="C760" i="7"/>
  <c r="U760" i="7" s="1"/>
  <c r="B760" i="7"/>
  <c r="R760" i="7" s="1"/>
  <c r="A760" i="7"/>
  <c r="U759" i="7"/>
  <c r="T759" i="7"/>
  <c r="Q759" i="7"/>
  <c r="P759" i="7"/>
  <c r="O759" i="7"/>
  <c r="N759" i="7"/>
  <c r="M759" i="7"/>
  <c r="L759" i="7"/>
  <c r="K759" i="7"/>
  <c r="J759" i="7"/>
  <c r="I759" i="7"/>
  <c r="V759" i="7" s="1"/>
  <c r="H759" i="7"/>
  <c r="G759" i="7"/>
  <c r="F759" i="7"/>
  <c r="E759" i="7"/>
  <c r="D759" i="7"/>
  <c r="C759" i="7"/>
  <c r="B759" i="7"/>
  <c r="R759" i="7" s="1"/>
  <c r="A759" i="7"/>
  <c r="V758" i="7"/>
  <c r="R758" i="7"/>
  <c r="P758" i="7"/>
  <c r="O758" i="7"/>
  <c r="N758" i="7"/>
  <c r="M758" i="7"/>
  <c r="L758" i="7"/>
  <c r="K758" i="7"/>
  <c r="J758" i="7"/>
  <c r="I758" i="7"/>
  <c r="H758" i="7"/>
  <c r="G758" i="7"/>
  <c r="S758" i="7" s="1"/>
  <c r="F758" i="7"/>
  <c r="T758" i="7" s="1"/>
  <c r="E758" i="7"/>
  <c r="D758" i="7"/>
  <c r="Q758" i="7" s="1"/>
  <c r="C758" i="7"/>
  <c r="U758" i="7" s="1"/>
  <c r="B758" i="7"/>
  <c r="A758" i="7"/>
  <c r="V757" i="7"/>
  <c r="T757" i="7"/>
  <c r="S757" i="7"/>
  <c r="R757" i="7"/>
  <c r="Q757" i="7"/>
  <c r="P757" i="7"/>
  <c r="O757" i="7"/>
  <c r="N757" i="7"/>
  <c r="M757" i="7"/>
  <c r="L757" i="7"/>
  <c r="K757" i="7"/>
  <c r="J757" i="7"/>
  <c r="I757" i="7"/>
  <c r="H757" i="7"/>
  <c r="G757" i="7"/>
  <c r="F757" i="7"/>
  <c r="E757" i="7"/>
  <c r="D757" i="7"/>
  <c r="C757" i="7"/>
  <c r="U757" i="7" s="1"/>
  <c r="B757" i="7"/>
  <c r="A757" i="7"/>
  <c r="V756" i="7"/>
  <c r="T756" i="7"/>
  <c r="S756" i="7"/>
  <c r="P756" i="7"/>
  <c r="O756" i="7"/>
  <c r="N756" i="7"/>
  <c r="M756" i="7"/>
  <c r="L756" i="7"/>
  <c r="K756" i="7"/>
  <c r="J756" i="7"/>
  <c r="I756" i="7"/>
  <c r="H756" i="7"/>
  <c r="G756" i="7"/>
  <c r="F756" i="7"/>
  <c r="E756" i="7"/>
  <c r="D756" i="7"/>
  <c r="Q756" i="7" s="1"/>
  <c r="C756" i="7"/>
  <c r="U756" i="7" s="1"/>
  <c r="B756" i="7"/>
  <c r="R756" i="7" s="1"/>
  <c r="A756" i="7"/>
  <c r="V755" i="7"/>
  <c r="S755" i="7"/>
  <c r="R755" i="7"/>
  <c r="P755" i="7"/>
  <c r="O755" i="7"/>
  <c r="N755" i="7"/>
  <c r="M755" i="7"/>
  <c r="L755" i="7"/>
  <c r="K755" i="7"/>
  <c r="J755" i="7"/>
  <c r="I755" i="7"/>
  <c r="H755" i="7"/>
  <c r="G755" i="7"/>
  <c r="F755" i="7"/>
  <c r="T755" i="7" s="1"/>
  <c r="E755" i="7"/>
  <c r="D755" i="7"/>
  <c r="Q755" i="7" s="1"/>
  <c r="C755" i="7"/>
  <c r="U755" i="7" s="1"/>
  <c r="B755" i="7"/>
  <c r="A755" i="7"/>
  <c r="T754" i="7"/>
  <c r="R754" i="7"/>
  <c r="P754" i="7"/>
  <c r="O754" i="7"/>
  <c r="N754" i="7"/>
  <c r="M754" i="7"/>
  <c r="L754" i="7"/>
  <c r="K754" i="7"/>
  <c r="J754" i="7"/>
  <c r="I754" i="7"/>
  <c r="V754" i="7" s="1"/>
  <c r="H754" i="7"/>
  <c r="G754" i="7"/>
  <c r="S754" i="7" s="1"/>
  <c r="F754" i="7"/>
  <c r="E754" i="7"/>
  <c r="D754" i="7"/>
  <c r="Q754" i="7" s="1"/>
  <c r="C754" i="7"/>
  <c r="U754" i="7" s="1"/>
  <c r="B754" i="7"/>
  <c r="A754" i="7"/>
  <c r="V753" i="7"/>
  <c r="T753" i="7"/>
  <c r="P753" i="7"/>
  <c r="O753" i="7"/>
  <c r="N753" i="7"/>
  <c r="M753" i="7"/>
  <c r="L753" i="7"/>
  <c r="K753" i="7"/>
  <c r="J753" i="7"/>
  <c r="I753" i="7"/>
  <c r="H753" i="7"/>
  <c r="G753" i="7"/>
  <c r="S753" i="7" s="1"/>
  <c r="F753" i="7"/>
  <c r="E753" i="7"/>
  <c r="D753" i="7"/>
  <c r="Q753" i="7" s="1"/>
  <c r="C753" i="7"/>
  <c r="U753" i="7" s="1"/>
  <c r="B753" i="7"/>
  <c r="R753" i="7" s="1"/>
  <c r="A753" i="7"/>
  <c r="T752" i="7"/>
  <c r="S752" i="7"/>
  <c r="Q752" i="7"/>
  <c r="P752" i="7"/>
  <c r="O752" i="7"/>
  <c r="N752" i="7"/>
  <c r="M752" i="7"/>
  <c r="L752" i="7"/>
  <c r="K752" i="7"/>
  <c r="J752" i="7"/>
  <c r="I752" i="7"/>
  <c r="V752" i="7" s="1"/>
  <c r="H752" i="7"/>
  <c r="G752" i="7"/>
  <c r="F752" i="7"/>
  <c r="E752" i="7"/>
  <c r="D752" i="7"/>
  <c r="C752" i="7"/>
  <c r="U752" i="7" s="1"/>
  <c r="B752" i="7"/>
  <c r="R752" i="7" s="1"/>
  <c r="A752" i="7"/>
  <c r="V751" i="7"/>
  <c r="U751" i="7"/>
  <c r="T751" i="7"/>
  <c r="S751" i="7"/>
  <c r="P751" i="7"/>
  <c r="O751" i="7"/>
  <c r="N751" i="7"/>
  <c r="M751" i="7"/>
  <c r="L751" i="7"/>
  <c r="K751" i="7"/>
  <c r="J751" i="7"/>
  <c r="I751" i="7"/>
  <c r="H751" i="7"/>
  <c r="G751" i="7"/>
  <c r="F751" i="7"/>
  <c r="E751" i="7"/>
  <c r="D751" i="7"/>
  <c r="Q751" i="7" s="1"/>
  <c r="C751" i="7"/>
  <c r="B751" i="7"/>
  <c r="R751" i="7" s="1"/>
  <c r="A751" i="7"/>
  <c r="Q750" i="7"/>
  <c r="P750" i="7"/>
  <c r="O750" i="7"/>
  <c r="N750" i="7"/>
  <c r="M750" i="7"/>
  <c r="L750" i="7"/>
  <c r="K750" i="7"/>
  <c r="J750" i="7"/>
  <c r="I750" i="7"/>
  <c r="V750" i="7" s="1"/>
  <c r="H750" i="7"/>
  <c r="G750" i="7"/>
  <c r="F750" i="7"/>
  <c r="T750" i="7" s="1"/>
  <c r="E750" i="7"/>
  <c r="D750" i="7"/>
  <c r="C750" i="7"/>
  <c r="U750" i="7" s="1"/>
  <c r="B750" i="7"/>
  <c r="R750" i="7" s="1"/>
  <c r="A750" i="7"/>
  <c r="U749" i="7"/>
  <c r="S749" i="7"/>
  <c r="R749" i="7"/>
  <c r="P749" i="7"/>
  <c r="O749" i="7"/>
  <c r="N749" i="7"/>
  <c r="M749" i="7"/>
  <c r="L749" i="7"/>
  <c r="K749" i="7"/>
  <c r="J749" i="7"/>
  <c r="I749" i="7"/>
  <c r="V749" i="7" s="1"/>
  <c r="H749" i="7"/>
  <c r="G749" i="7"/>
  <c r="F749" i="7"/>
  <c r="T749" i="7" s="1"/>
  <c r="E749" i="7"/>
  <c r="D749" i="7"/>
  <c r="Q749" i="7" s="1"/>
  <c r="C749" i="7"/>
  <c r="B749" i="7"/>
  <c r="A749" i="7"/>
  <c r="V748" i="7"/>
  <c r="T748" i="7"/>
  <c r="R748" i="7"/>
  <c r="P748" i="7"/>
  <c r="O748" i="7"/>
  <c r="N748" i="7"/>
  <c r="M748" i="7"/>
  <c r="L748" i="7"/>
  <c r="K748" i="7"/>
  <c r="J748" i="7"/>
  <c r="I748" i="7"/>
  <c r="H748" i="7"/>
  <c r="G748" i="7"/>
  <c r="S748" i="7" s="1"/>
  <c r="F748" i="7"/>
  <c r="E748" i="7"/>
  <c r="D748" i="7"/>
  <c r="Q748" i="7" s="1"/>
  <c r="C748" i="7"/>
  <c r="U748" i="7" s="1"/>
  <c r="B748" i="7"/>
  <c r="A748" i="7"/>
  <c r="U747" i="7"/>
  <c r="Q747" i="7"/>
  <c r="P747" i="7"/>
  <c r="O747" i="7"/>
  <c r="N747" i="7"/>
  <c r="M747" i="7"/>
  <c r="L747" i="7"/>
  <c r="K747" i="7"/>
  <c r="J747" i="7"/>
  <c r="I747" i="7"/>
  <c r="V747" i="7" s="1"/>
  <c r="H747" i="7"/>
  <c r="S747" i="7" s="1"/>
  <c r="G747" i="7"/>
  <c r="F747" i="7"/>
  <c r="T747" i="7" s="1"/>
  <c r="E747" i="7"/>
  <c r="D747" i="7"/>
  <c r="C747" i="7"/>
  <c r="B747" i="7"/>
  <c r="R747" i="7" s="1"/>
  <c r="A747" i="7"/>
  <c r="U746" i="7"/>
  <c r="S746" i="7"/>
  <c r="R746" i="7"/>
  <c r="Q746" i="7"/>
  <c r="P746" i="7"/>
  <c r="O746" i="7"/>
  <c r="N746" i="7"/>
  <c r="M746" i="7"/>
  <c r="L746" i="7"/>
  <c r="K746" i="7"/>
  <c r="J746" i="7"/>
  <c r="I746" i="7"/>
  <c r="V746" i="7" s="1"/>
  <c r="H746" i="7"/>
  <c r="G746" i="7"/>
  <c r="F746" i="7"/>
  <c r="T746" i="7" s="1"/>
  <c r="E746" i="7"/>
  <c r="D746" i="7"/>
  <c r="C746" i="7"/>
  <c r="B746" i="7"/>
  <c r="A746" i="7"/>
  <c r="V745" i="7"/>
  <c r="U745" i="7"/>
  <c r="T745" i="7"/>
  <c r="S745" i="7"/>
  <c r="R745" i="7"/>
  <c r="P745" i="7"/>
  <c r="O745" i="7"/>
  <c r="N745" i="7"/>
  <c r="M745" i="7"/>
  <c r="L745" i="7"/>
  <c r="K745" i="7"/>
  <c r="J745" i="7"/>
  <c r="I745" i="7"/>
  <c r="H745" i="7"/>
  <c r="G745" i="7"/>
  <c r="F745" i="7"/>
  <c r="E745" i="7"/>
  <c r="D745" i="7"/>
  <c r="Q745" i="7" s="1"/>
  <c r="C745" i="7"/>
  <c r="B745" i="7"/>
  <c r="A745" i="7"/>
  <c r="V744" i="7"/>
  <c r="T744" i="7"/>
  <c r="S744" i="7"/>
  <c r="P744" i="7"/>
  <c r="O744" i="7"/>
  <c r="N744" i="7"/>
  <c r="M744" i="7"/>
  <c r="L744" i="7"/>
  <c r="K744" i="7"/>
  <c r="J744" i="7"/>
  <c r="I744" i="7"/>
  <c r="H744" i="7"/>
  <c r="G744" i="7"/>
  <c r="F744" i="7"/>
  <c r="E744" i="7"/>
  <c r="D744" i="7"/>
  <c r="Q744" i="7" s="1"/>
  <c r="C744" i="7"/>
  <c r="U744" i="7" s="1"/>
  <c r="B744" i="7"/>
  <c r="R744" i="7" s="1"/>
  <c r="A744" i="7"/>
  <c r="U743" i="7"/>
  <c r="S743" i="7"/>
  <c r="R743" i="7"/>
  <c r="Q743" i="7"/>
  <c r="P743" i="7"/>
  <c r="O743" i="7"/>
  <c r="N743" i="7"/>
  <c r="M743" i="7"/>
  <c r="L743" i="7"/>
  <c r="K743" i="7"/>
  <c r="J743" i="7"/>
  <c r="I743" i="7"/>
  <c r="V743" i="7" s="1"/>
  <c r="H743" i="7"/>
  <c r="G743" i="7"/>
  <c r="F743" i="7"/>
  <c r="T743" i="7" s="1"/>
  <c r="E743" i="7"/>
  <c r="D743" i="7"/>
  <c r="C743" i="7"/>
  <c r="B743" i="7"/>
  <c r="A743" i="7"/>
  <c r="V742" i="7"/>
  <c r="T742" i="7"/>
  <c r="S742" i="7"/>
  <c r="P742" i="7"/>
  <c r="O742" i="7"/>
  <c r="N742" i="7"/>
  <c r="M742" i="7"/>
  <c r="L742" i="7"/>
  <c r="K742" i="7"/>
  <c r="J742" i="7"/>
  <c r="I742" i="7"/>
  <c r="H742" i="7"/>
  <c r="G742" i="7"/>
  <c r="F742" i="7"/>
  <c r="E742" i="7"/>
  <c r="D742" i="7"/>
  <c r="Q742" i="7" s="1"/>
  <c r="C742" i="7"/>
  <c r="U742" i="7" s="1"/>
  <c r="B742" i="7"/>
  <c r="R742" i="7" s="1"/>
  <c r="A742" i="7"/>
  <c r="V741" i="7"/>
  <c r="R741" i="7"/>
  <c r="P741" i="7"/>
  <c r="O741" i="7"/>
  <c r="N741" i="7"/>
  <c r="M741" i="7"/>
  <c r="L741" i="7"/>
  <c r="K741" i="7"/>
  <c r="J741" i="7"/>
  <c r="I741" i="7"/>
  <c r="H741" i="7"/>
  <c r="G741" i="7"/>
  <c r="S741" i="7" s="1"/>
  <c r="F741" i="7"/>
  <c r="T741" i="7" s="1"/>
  <c r="E741" i="7"/>
  <c r="D741" i="7"/>
  <c r="Q741" i="7" s="1"/>
  <c r="C741" i="7"/>
  <c r="U741" i="7" s="1"/>
  <c r="B741" i="7"/>
  <c r="A741" i="7"/>
  <c r="V740" i="7"/>
  <c r="R740" i="7"/>
  <c r="Q740" i="7"/>
  <c r="P740" i="7"/>
  <c r="O740" i="7"/>
  <c r="N740" i="7"/>
  <c r="M740" i="7"/>
  <c r="L740" i="7"/>
  <c r="K740" i="7"/>
  <c r="J740" i="7"/>
  <c r="I740" i="7"/>
  <c r="H740" i="7"/>
  <c r="G740" i="7"/>
  <c r="S740" i="7" s="1"/>
  <c r="F740" i="7"/>
  <c r="T740" i="7" s="1"/>
  <c r="E740" i="7"/>
  <c r="D740" i="7"/>
  <c r="C740" i="7"/>
  <c r="U740" i="7" s="1"/>
  <c r="B740" i="7"/>
  <c r="A740" i="7"/>
  <c r="S739" i="7"/>
  <c r="R739" i="7"/>
  <c r="Q739" i="7"/>
  <c r="P739" i="7"/>
  <c r="O739" i="7"/>
  <c r="N739" i="7"/>
  <c r="M739" i="7"/>
  <c r="L739" i="7"/>
  <c r="K739" i="7"/>
  <c r="J739" i="7"/>
  <c r="I739" i="7"/>
  <c r="V739" i="7" s="1"/>
  <c r="H739" i="7"/>
  <c r="G739" i="7"/>
  <c r="F739" i="7"/>
  <c r="T739" i="7" s="1"/>
  <c r="E739" i="7"/>
  <c r="D739" i="7"/>
  <c r="C739" i="7"/>
  <c r="U739" i="7" s="1"/>
  <c r="B739" i="7"/>
  <c r="A739" i="7"/>
  <c r="V738" i="7"/>
  <c r="U738" i="7"/>
  <c r="T738" i="7"/>
  <c r="Q738" i="7"/>
  <c r="P738" i="7"/>
  <c r="O738" i="7"/>
  <c r="N738" i="7"/>
  <c r="M738" i="7"/>
  <c r="L738" i="7"/>
  <c r="K738" i="7"/>
  <c r="J738" i="7"/>
  <c r="I738" i="7"/>
  <c r="H738" i="7"/>
  <c r="G738" i="7"/>
  <c r="S738" i="7" s="1"/>
  <c r="F738" i="7"/>
  <c r="E738" i="7"/>
  <c r="D738" i="7"/>
  <c r="C738" i="7"/>
  <c r="B738" i="7"/>
  <c r="R738" i="7" s="1"/>
  <c r="A738" i="7"/>
  <c r="V737" i="7"/>
  <c r="U737" i="7"/>
  <c r="T737" i="7"/>
  <c r="Q737" i="7"/>
  <c r="P737" i="7"/>
  <c r="O737" i="7"/>
  <c r="N737" i="7"/>
  <c r="M737" i="7"/>
  <c r="L737" i="7"/>
  <c r="K737" i="7"/>
  <c r="J737" i="7"/>
  <c r="I737" i="7"/>
  <c r="H737" i="7"/>
  <c r="G737" i="7"/>
  <c r="S737" i="7" s="1"/>
  <c r="F737" i="7"/>
  <c r="E737" i="7"/>
  <c r="D737" i="7"/>
  <c r="C737" i="7"/>
  <c r="B737" i="7"/>
  <c r="R737" i="7" s="1"/>
  <c r="A737" i="7"/>
  <c r="V736" i="7"/>
  <c r="R736" i="7"/>
  <c r="P736" i="7"/>
  <c r="O736" i="7"/>
  <c r="N736" i="7"/>
  <c r="M736" i="7"/>
  <c r="L736" i="7"/>
  <c r="K736" i="7"/>
  <c r="J736" i="7"/>
  <c r="I736" i="7"/>
  <c r="H736" i="7"/>
  <c r="G736" i="7"/>
  <c r="S736" i="7" s="1"/>
  <c r="F736" i="7"/>
  <c r="T736" i="7" s="1"/>
  <c r="E736" i="7"/>
  <c r="D736" i="7"/>
  <c r="Q736" i="7" s="1"/>
  <c r="C736" i="7"/>
  <c r="U736" i="7" s="1"/>
  <c r="B736" i="7"/>
  <c r="A736" i="7"/>
  <c r="S735" i="7"/>
  <c r="P735" i="7"/>
  <c r="O735" i="7"/>
  <c r="N735" i="7"/>
  <c r="M735" i="7"/>
  <c r="L735" i="7"/>
  <c r="K735" i="7"/>
  <c r="J735" i="7"/>
  <c r="I735" i="7"/>
  <c r="V735" i="7" s="1"/>
  <c r="H735" i="7"/>
  <c r="G735" i="7"/>
  <c r="F735" i="7"/>
  <c r="T735" i="7" s="1"/>
  <c r="E735" i="7"/>
  <c r="D735" i="7"/>
  <c r="Q735" i="7" s="1"/>
  <c r="C735" i="7"/>
  <c r="U735" i="7" s="1"/>
  <c r="B735" i="7"/>
  <c r="R735" i="7" s="1"/>
  <c r="A735" i="7"/>
  <c r="T734" i="7"/>
  <c r="S734" i="7"/>
  <c r="R734" i="7"/>
  <c r="Q734" i="7"/>
  <c r="P734" i="7"/>
  <c r="O734" i="7"/>
  <c r="N734" i="7"/>
  <c r="M734" i="7"/>
  <c r="L734" i="7"/>
  <c r="K734" i="7"/>
  <c r="J734" i="7"/>
  <c r="I734" i="7"/>
  <c r="V734" i="7" s="1"/>
  <c r="H734" i="7"/>
  <c r="G734" i="7"/>
  <c r="F734" i="7"/>
  <c r="E734" i="7"/>
  <c r="D734" i="7"/>
  <c r="C734" i="7"/>
  <c r="U734" i="7" s="1"/>
  <c r="B734" i="7"/>
  <c r="A734" i="7"/>
  <c r="V733" i="7"/>
  <c r="T733" i="7"/>
  <c r="S733" i="7"/>
  <c r="Q733" i="7"/>
  <c r="P733" i="7"/>
  <c r="O733" i="7"/>
  <c r="N733" i="7"/>
  <c r="M733" i="7"/>
  <c r="L733" i="7"/>
  <c r="K733" i="7"/>
  <c r="J733" i="7"/>
  <c r="I733" i="7"/>
  <c r="H733" i="7"/>
  <c r="G733" i="7"/>
  <c r="F733" i="7"/>
  <c r="E733" i="7"/>
  <c r="D733" i="7"/>
  <c r="C733" i="7"/>
  <c r="U733" i="7" s="1"/>
  <c r="B733" i="7"/>
  <c r="R733" i="7" s="1"/>
  <c r="A733" i="7"/>
  <c r="V732" i="7"/>
  <c r="S732" i="7"/>
  <c r="R732" i="7"/>
  <c r="P732" i="7"/>
  <c r="O732" i="7"/>
  <c r="N732" i="7"/>
  <c r="M732" i="7"/>
  <c r="L732" i="7"/>
  <c r="K732" i="7"/>
  <c r="J732" i="7"/>
  <c r="I732" i="7"/>
  <c r="H732" i="7"/>
  <c r="G732" i="7"/>
  <c r="F732" i="7"/>
  <c r="T732" i="7" s="1"/>
  <c r="E732" i="7"/>
  <c r="D732" i="7"/>
  <c r="Q732" i="7" s="1"/>
  <c r="C732" i="7"/>
  <c r="U732" i="7" s="1"/>
  <c r="B732" i="7"/>
  <c r="A732" i="7"/>
  <c r="V731" i="7"/>
  <c r="U731" i="7"/>
  <c r="R731" i="7"/>
  <c r="P731" i="7"/>
  <c r="O731" i="7"/>
  <c r="N731" i="7"/>
  <c r="M731" i="7"/>
  <c r="L731" i="7"/>
  <c r="K731" i="7"/>
  <c r="J731" i="7"/>
  <c r="I731" i="7"/>
  <c r="H731" i="7"/>
  <c r="G731" i="7"/>
  <c r="S731" i="7" s="1"/>
  <c r="F731" i="7"/>
  <c r="T731" i="7" s="1"/>
  <c r="E731" i="7"/>
  <c r="D731" i="7"/>
  <c r="Q731" i="7" s="1"/>
  <c r="C731" i="7"/>
  <c r="B731" i="7"/>
  <c r="A731" i="7"/>
  <c r="R730" i="7"/>
  <c r="Q730" i="7"/>
  <c r="P730" i="7"/>
  <c r="O730" i="7"/>
  <c r="N730" i="7"/>
  <c r="M730" i="7"/>
  <c r="L730" i="7"/>
  <c r="K730" i="7"/>
  <c r="J730" i="7"/>
  <c r="I730" i="7"/>
  <c r="V730" i="7" s="1"/>
  <c r="H730" i="7"/>
  <c r="G730" i="7"/>
  <c r="S730" i="7" s="1"/>
  <c r="F730" i="7"/>
  <c r="T730" i="7" s="1"/>
  <c r="E730" i="7"/>
  <c r="D730" i="7"/>
  <c r="C730" i="7"/>
  <c r="U730" i="7" s="1"/>
  <c r="B730" i="7"/>
  <c r="A730" i="7"/>
  <c r="V729" i="7"/>
  <c r="U729" i="7"/>
  <c r="T729" i="7"/>
  <c r="S729" i="7"/>
  <c r="P729" i="7"/>
  <c r="O729" i="7"/>
  <c r="N729" i="7"/>
  <c r="M729" i="7"/>
  <c r="L729" i="7"/>
  <c r="K729" i="7"/>
  <c r="J729" i="7"/>
  <c r="I729" i="7"/>
  <c r="H729" i="7"/>
  <c r="G729" i="7"/>
  <c r="F729" i="7"/>
  <c r="E729" i="7"/>
  <c r="D729" i="7"/>
  <c r="Q729" i="7" s="1"/>
  <c r="C729" i="7"/>
  <c r="B729" i="7"/>
  <c r="R729" i="7" s="1"/>
  <c r="A729" i="7"/>
  <c r="V728" i="7"/>
  <c r="Q728" i="7"/>
  <c r="P728" i="7"/>
  <c r="O728" i="7"/>
  <c r="N728" i="7"/>
  <c r="M728" i="7"/>
  <c r="L728" i="7"/>
  <c r="K728" i="7"/>
  <c r="J728" i="7"/>
  <c r="I728" i="7"/>
  <c r="H728" i="7"/>
  <c r="G728" i="7"/>
  <c r="S728" i="7" s="1"/>
  <c r="F728" i="7"/>
  <c r="T728" i="7" s="1"/>
  <c r="E728" i="7"/>
  <c r="D728" i="7"/>
  <c r="C728" i="7"/>
  <c r="U728" i="7" s="1"/>
  <c r="B728" i="7"/>
  <c r="R728" i="7" s="1"/>
  <c r="A728" i="7"/>
  <c r="U727" i="7"/>
  <c r="T727" i="7"/>
  <c r="S727" i="7"/>
  <c r="R727" i="7"/>
  <c r="P727" i="7"/>
  <c r="O727" i="7"/>
  <c r="N727" i="7"/>
  <c r="M727" i="7"/>
  <c r="L727" i="7"/>
  <c r="K727" i="7"/>
  <c r="J727" i="7"/>
  <c r="I727" i="7"/>
  <c r="V727" i="7" s="1"/>
  <c r="H727" i="7"/>
  <c r="G727" i="7"/>
  <c r="F727" i="7"/>
  <c r="E727" i="7"/>
  <c r="D727" i="7"/>
  <c r="Q727" i="7" s="1"/>
  <c r="C727" i="7"/>
  <c r="B727" i="7"/>
  <c r="A727" i="7"/>
  <c r="V726" i="7"/>
  <c r="T726" i="7"/>
  <c r="Q726" i="7"/>
  <c r="P726" i="7"/>
  <c r="O726" i="7"/>
  <c r="N726" i="7"/>
  <c r="M726" i="7"/>
  <c r="L726" i="7"/>
  <c r="K726" i="7"/>
  <c r="J726" i="7"/>
  <c r="I726" i="7"/>
  <c r="H726" i="7"/>
  <c r="G726" i="7"/>
  <c r="S726" i="7" s="1"/>
  <c r="F726" i="7"/>
  <c r="E726" i="7"/>
  <c r="D726" i="7"/>
  <c r="C726" i="7"/>
  <c r="U726" i="7" s="1"/>
  <c r="B726" i="7"/>
  <c r="R726" i="7" s="1"/>
  <c r="A726" i="7"/>
  <c r="U725" i="7"/>
  <c r="T725" i="7"/>
  <c r="S725" i="7"/>
  <c r="Q725" i="7"/>
  <c r="P725" i="7"/>
  <c r="O725" i="7"/>
  <c r="N725" i="7"/>
  <c r="M725" i="7"/>
  <c r="L725" i="7"/>
  <c r="K725" i="7"/>
  <c r="J725" i="7"/>
  <c r="I725" i="7"/>
  <c r="V725" i="7" s="1"/>
  <c r="H725" i="7"/>
  <c r="G725" i="7"/>
  <c r="F725" i="7"/>
  <c r="E725" i="7"/>
  <c r="D725" i="7"/>
  <c r="C725" i="7"/>
  <c r="B725" i="7"/>
  <c r="R725" i="7" s="1"/>
  <c r="A725" i="7"/>
  <c r="T724" i="7"/>
  <c r="Q724" i="7"/>
  <c r="P724" i="7"/>
  <c r="O724" i="7"/>
  <c r="N724" i="7"/>
  <c r="M724" i="7"/>
  <c r="L724" i="7"/>
  <c r="K724" i="7"/>
  <c r="J724" i="7"/>
  <c r="I724" i="7"/>
  <c r="V724" i="7" s="1"/>
  <c r="H724" i="7"/>
  <c r="G724" i="7"/>
  <c r="S724" i="7" s="1"/>
  <c r="F724" i="7"/>
  <c r="E724" i="7"/>
  <c r="D724" i="7"/>
  <c r="C724" i="7"/>
  <c r="U724" i="7" s="1"/>
  <c r="B724" i="7"/>
  <c r="R724" i="7" s="1"/>
  <c r="A724" i="7"/>
  <c r="S723" i="7"/>
  <c r="R723" i="7"/>
  <c r="P723" i="7"/>
  <c r="O723" i="7"/>
  <c r="N723" i="7"/>
  <c r="M723" i="7"/>
  <c r="L723" i="7"/>
  <c r="K723" i="7"/>
  <c r="J723" i="7"/>
  <c r="I723" i="7"/>
  <c r="V723" i="7" s="1"/>
  <c r="H723" i="7"/>
  <c r="G723" i="7"/>
  <c r="F723" i="7"/>
  <c r="T723" i="7" s="1"/>
  <c r="E723" i="7"/>
  <c r="D723" i="7"/>
  <c r="Q723" i="7" s="1"/>
  <c r="C723" i="7"/>
  <c r="U723" i="7" s="1"/>
  <c r="B723" i="7"/>
  <c r="A723" i="7"/>
  <c r="U722" i="7"/>
  <c r="P722" i="7"/>
  <c r="O722" i="7"/>
  <c r="N722" i="7"/>
  <c r="M722" i="7"/>
  <c r="L722" i="7"/>
  <c r="K722" i="7"/>
  <c r="J722" i="7"/>
  <c r="I722" i="7"/>
  <c r="V722" i="7" s="1"/>
  <c r="H722" i="7"/>
  <c r="G722" i="7"/>
  <c r="S722" i="7" s="1"/>
  <c r="F722" i="7"/>
  <c r="T722" i="7" s="1"/>
  <c r="E722" i="7"/>
  <c r="D722" i="7"/>
  <c r="Q722" i="7" s="1"/>
  <c r="C722" i="7"/>
  <c r="B722" i="7"/>
  <c r="R722" i="7" s="1"/>
  <c r="A722" i="7"/>
  <c r="R721" i="7"/>
  <c r="Q721" i="7"/>
  <c r="P721" i="7"/>
  <c r="O721" i="7"/>
  <c r="N721" i="7"/>
  <c r="M721" i="7"/>
  <c r="L721" i="7"/>
  <c r="K721" i="7"/>
  <c r="J721" i="7"/>
  <c r="I721" i="7"/>
  <c r="V721" i="7" s="1"/>
  <c r="H721" i="7"/>
  <c r="G721" i="7"/>
  <c r="S721" i="7" s="1"/>
  <c r="F721" i="7"/>
  <c r="T721" i="7" s="1"/>
  <c r="E721" i="7"/>
  <c r="D721" i="7"/>
  <c r="C721" i="7"/>
  <c r="U721" i="7" s="1"/>
  <c r="B721" i="7"/>
  <c r="A721" i="7"/>
  <c r="V720" i="7"/>
  <c r="U720" i="7"/>
  <c r="T720" i="7"/>
  <c r="S720" i="7"/>
  <c r="P720" i="7"/>
  <c r="O720" i="7"/>
  <c r="N720" i="7"/>
  <c r="M720" i="7"/>
  <c r="L720" i="7"/>
  <c r="K720" i="7"/>
  <c r="J720" i="7"/>
  <c r="I720" i="7"/>
  <c r="H720" i="7"/>
  <c r="G720" i="7"/>
  <c r="F720" i="7"/>
  <c r="E720" i="7"/>
  <c r="D720" i="7"/>
  <c r="Q720" i="7" s="1"/>
  <c r="C720" i="7"/>
  <c r="B720" i="7"/>
  <c r="R720" i="7" s="1"/>
  <c r="A720" i="7"/>
  <c r="T719" i="7"/>
  <c r="S719" i="7"/>
  <c r="R719" i="7"/>
  <c r="Q719" i="7"/>
  <c r="P719" i="7"/>
  <c r="O719" i="7"/>
  <c r="N719" i="7"/>
  <c r="M719" i="7"/>
  <c r="L719" i="7"/>
  <c r="K719" i="7"/>
  <c r="J719" i="7"/>
  <c r="I719" i="7"/>
  <c r="V719" i="7" s="1"/>
  <c r="H719" i="7"/>
  <c r="G719" i="7"/>
  <c r="F719" i="7"/>
  <c r="E719" i="7"/>
  <c r="D719" i="7"/>
  <c r="C719" i="7"/>
  <c r="U719" i="7" s="1"/>
  <c r="B719" i="7"/>
  <c r="A719" i="7"/>
  <c r="V718" i="7"/>
  <c r="T718" i="7"/>
  <c r="S718" i="7"/>
  <c r="P718" i="7"/>
  <c r="O718" i="7"/>
  <c r="N718" i="7"/>
  <c r="M718" i="7"/>
  <c r="L718" i="7"/>
  <c r="K718" i="7"/>
  <c r="J718" i="7"/>
  <c r="I718" i="7"/>
  <c r="H718" i="7"/>
  <c r="G718" i="7"/>
  <c r="F718" i="7"/>
  <c r="E718" i="7"/>
  <c r="D718" i="7"/>
  <c r="Q718" i="7" s="1"/>
  <c r="C718" i="7"/>
  <c r="U718" i="7" s="1"/>
  <c r="B718" i="7"/>
  <c r="R718" i="7" s="1"/>
  <c r="A718" i="7"/>
  <c r="V717" i="7"/>
  <c r="S717" i="7"/>
  <c r="Q717" i="7"/>
  <c r="P717" i="7"/>
  <c r="O717" i="7"/>
  <c r="N717" i="7"/>
  <c r="M717" i="7"/>
  <c r="L717" i="7"/>
  <c r="K717" i="7"/>
  <c r="J717" i="7"/>
  <c r="I717" i="7"/>
  <c r="H717" i="7"/>
  <c r="G717" i="7"/>
  <c r="F717" i="7"/>
  <c r="T717" i="7" s="1"/>
  <c r="E717" i="7"/>
  <c r="D717" i="7"/>
  <c r="C717" i="7"/>
  <c r="U717" i="7" s="1"/>
  <c r="B717" i="7"/>
  <c r="R717" i="7" s="1"/>
  <c r="A717" i="7"/>
  <c r="U716" i="7"/>
  <c r="T716" i="7"/>
  <c r="S716" i="7"/>
  <c r="Q716" i="7"/>
  <c r="P716" i="7"/>
  <c r="O716" i="7"/>
  <c r="N716" i="7"/>
  <c r="M716" i="7"/>
  <c r="L716" i="7"/>
  <c r="K716" i="7"/>
  <c r="J716" i="7"/>
  <c r="I716" i="7"/>
  <c r="V716" i="7" s="1"/>
  <c r="H716" i="7"/>
  <c r="G716" i="7"/>
  <c r="F716" i="7"/>
  <c r="E716" i="7"/>
  <c r="D716" i="7"/>
  <c r="C716" i="7"/>
  <c r="B716" i="7"/>
  <c r="R716" i="7" s="1"/>
  <c r="A716" i="7"/>
  <c r="R715" i="7"/>
  <c r="P715" i="7"/>
  <c r="O715" i="7"/>
  <c r="N715" i="7"/>
  <c r="M715" i="7"/>
  <c r="L715" i="7"/>
  <c r="K715" i="7"/>
  <c r="J715" i="7"/>
  <c r="I715" i="7"/>
  <c r="V715" i="7" s="1"/>
  <c r="H715" i="7"/>
  <c r="G715" i="7"/>
  <c r="S715" i="7" s="1"/>
  <c r="F715" i="7"/>
  <c r="T715" i="7" s="1"/>
  <c r="E715" i="7"/>
  <c r="D715" i="7"/>
  <c r="Q715" i="7" s="1"/>
  <c r="C715" i="7"/>
  <c r="U715" i="7" s="1"/>
  <c r="B715" i="7"/>
  <c r="A715" i="7"/>
  <c r="R714" i="7"/>
  <c r="Q714" i="7"/>
  <c r="P714" i="7"/>
  <c r="O714" i="7"/>
  <c r="N714" i="7"/>
  <c r="M714" i="7"/>
  <c r="L714" i="7"/>
  <c r="K714" i="7"/>
  <c r="J714" i="7"/>
  <c r="I714" i="7"/>
  <c r="V714" i="7" s="1"/>
  <c r="H714" i="7"/>
  <c r="G714" i="7"/>
  <c r="S714" i="7" s="1"/>
  <c r="F714" i="7"/>
  <c r="T714" i="7" s="1"/>
  <c r="E714" i="7"/>
  <c r="D714" i="7"/>
  <c r="C714" i="7"/>
  <c r="U714" i="7" s="1"/>
  <c r="B714" i="7"/>
  <c r="A714" i="7"/>
  <c r="U713" i="7"/>
  <c r="T713" i="7"/>
  <c r="R713" i="7"/>
  <c r="Q713" i="7"/>
  <c r="P713" i="7"/>
  <c r="O713" i="7"/>
  <c r="N713" i="7"/>
  <c r="M713" i="7"/>
  <c r="L713" i="7"/>
  <c r="K713" i="7"/>
  <c r="J713" i="7"/>
  <c r="I713" i="7"/>
  <c r="V713" i="7" s="1"/>
  <c r="H713" i="7"/>
  <c r="G713" i="7"/>
  <c r="F713" i="7"/>
  <c r="E713" i="7"/>
  <c r="D713" i="7"/>
  <c r="C713" i="7"/>
  <c r="B713" i="7"/>
  <c r="A713" i="7"/>
  <c r="V712" i="7"/>
  <c r="U712" i="7"/>
  <c r="S712" i="7"/>
  <c r="R712" i="7"/>
  <c r="P712" i="7"/>
  <c r="O712" i="7"/>
  <c r="N712" i="7"/>
  <c r="M712" i="7"/>
  <c r="L712" i="7"/>
  <c r="K712" i="7"/>
  <c r="J712" i="7"/>
  <c r="I712" i="7"/>
  <c r="H712" i="7"/>
  <c r="G712" i="7"/>
  <c r="F712" i="7"/>
  <c r="T712" i="7" s="1"/>
  <c r="E712" i="7"/>
  <c r="D712" i="7"/>
  <c r="Q712" i="7" s="1"/>
  <c r="C712" i="7"/>
  <c r="B712" i="7"/>
  <c r="A712" i="7"/>
  <c r="V711" i="7"/>
  <c r="T711" i="7"/>
  <c r="R711" i="7"/>
  <c r="Q711" i="7"/>
  <c r="P711" i="7"/>
  <c r="O711" i="7"/>
  <c r="N711" i="7"/>
  <c r="M711" i="7"/>
  <c r="L711" i="7"/>
  <c r="K711" i="7"/>
  <c r="J711" i="7"/>
  <c r="I711" i="7"/>
  <c r="H711" i="7"/>
  <c r="S711" i="7" s="1"/>
  <c r="G711" i="7"/>
  <c r="F711" i="7"/>
  <c r="E711" i="7"/>
  <c r="D711" i="7"/>
  <c r="C711" i="7"/>
  <c r="U711" i="7" s="1"/>
  <c r="B711" i="7"/>
  <c r="A711" i="7"/>
  <c r="T710" i="7"/>
  <c r="S710" i="7"/>
  <c r="Q710" i="7"/>
  <c r="P710" i="7"/>
  <c r="O710" i="7"/>
  <c r="N710" i="7"/>
  <c r="M710" i="7"/>
  <c r="L710" i="7"/>
  <c r="K710" i="7"/>
  <c r="J710" i="7"/>
  <c r="I710" i="7"/>
  <c r="V710" i="7" s="1"/>
  <c r="H710" i="7"/>
  <c r="G710" i="7"/>
  <c r="F710" i="7"/>
  <c r="E710" i="7"/>
  <c r="D710" i="7"/>
  <c r="C710" i="7"/>
  <c r="U710" i="7" s="1"/>
  <c r="B710" i="7"/>
  <c r="R710" i="7" s="1"/>
  <c r="A710" i="7"/>
  <c r="R709" i="7"/>
  <c r="P709" i="7"/>
  <c r="O709" i="7"/>
  <c r="N709" i="7"/>
  <c r="M709" i="7"/>
  <c r="L709" i="7"/>
  <c r="K709" i="7"/>
  <c r="J709" i="7"/>
  <c r="I709" i="7"/>
  <c r="V709" i="7" s="1"/>
  <c r="H709" i="7"/>
  <c r="G709" i="7"/>
  <c r="S709" i="7" s="1"/>
  <c r="F709" i="7"/>
  <c r="T709" i="7" s="1"/>
  <c r="E709" i="7"/>
  <c r="D709" i="7"/>
  <c r="Q709" i="7" s="1"/>
  <c r="C709" i="7"/>
  <c r="U709" i="7" s="1"/>
  <c r="B709" i="7"/>
  <c r="A709" i="7"/>
  <c r="S708" i="7"/>
  <c r="Q708" i="7"/>
  <c r="P708" i="7"/>
  <c r="O708" i="7"/>
  <c r="N708" i="7"/>
  <c r="M708" i="7"/>
  <c r="L708" i="7"/>
  <c r="K708" i="7"/>
  <c r="J708" i="7"/>
  <c r="I708" i="7"/>
  <c r="V708" i="7" s="1"/>
  <c r="H708" i="7"/>
  <c r="G708" i="7"/>
  <c r="F708" i="7"/>
  <c r="T708" i="7" s="1"/>
  <c r="E708" i="7"/>
  <c r="D708" i="7"/>
  <c r="C708" i="7"/>
  <c r="U708" i="7" s="1"/>
  <c r="B708" i="7"/>
  <c r="R708" i="7" s="1"/>
  <c r="A708" i="7"/>
  <c r="T707" i="7"/>
  <c r="S707" i="7"/>
  <c r="R707" i="7"/>
  <c r="Q707" i="7"/>
  <c r="P707" i="7"/>
  <c r="O707" i="7"/>
  <c r="N707" i="7"/>
  <c r="M707" i="7"/>
  <c r="L707" i="7"/>
  <c r="K707" i="7"/>
  <c r="J707" i="7"/>
  <c r="I707" i="7"/>
  <c r="V707" i="7" s="1"/>
  <c r="H707" i="7"/>
  <c r="G707" i="7"/>
  <c r="F707" i="7"/>
  <c r="E707" i="7"/>
  <c r="D707" i="7"/>
  <c r="C707" i="7"/>
  <c r="U707" i="7" s="1"/>
  <c r="B707" i="7"/>
  <c r="A707" i="7"/>
  <c r="V706" i="7"/>
  <c r="S706" i="7"/>
  <c r="R706" i="7"/>
  <c r="Q706" i="7"/>
  <c r="P706" i="7"/>
  <c r="O706" i="7"/>
  <c r="N706" i="7"/>
  <c r="M706" i="7"/>
  <c r="L706" i="7"/>
  <c r="K706" i="7"/>
  <c r="J706" i="7"/>
  <c r="I706" i="7"/>
  <c r="H706" i="7"/>
  <c r="G706" i="7"/>
  <c r="F706" i="7"/>
  <c r="T706" i="7" s="1"/>
  <c r="E706" i="7"/>
  <c r="D706" i="7"/>
  <c r="C706" i="7"/>
  <c r="U706" i="7" s="1"/>
  <c r="B706" i="7"/>
  <c r="A706" i="7"/>
  <c r="V705" i="7"/>
  <c r="U705" i="7"/>
  <c r="T705" i="7"/>
  <c r="S705" i="7"/>
  <c r="R705" i="7"/>
  <c r="P705" i="7"/>
  <c r="O705" i="7"/>
  <c r="N705" i="7"/>
  <c r="M705" i="7"/>
  <c r="L705" i="7"/>
  <c r="K705" i="7"/>
  <c r="J705" i="7"/>
  <c r="I705" i="7"/>
  <c r="H705" i="7"/>
  <c r="G705" i="7"/>
  <c r="F705" i="7"/>
  <c r="E705" i="7"/>
  <c r="D705" i="7"/>
  <c r="Q705" i="7" s="1"/>
  <c r="C705" i="7"/>
  <c r="B705" i="7"/>
  <c r="A705" i="7"/>
  <c r="V704" i="7"/>
  <c r="P704" i="7"/>
  <c r="O704" i="7"/>
  <c r="N704" i="7"/>
  <c r="M704" i="7"/>
  <c r="L704" i="7"/>
  <c r="K704" i="7"/>
  <c r="J704" i="7"/>
  <c r="I704" i="7"/>
  <c r="H704" i="7"/>
  <c r="G704" i="7"/>
  <c r="S704" i="7" s="1"/>
  <c r="F704" i="7"/>
  <c r="T704" i="7" s="1"/>
  <c r="E704" i="7"/>
  <c r="D704" i="7"/>
  <c r="Q704" i="7" s="1"/>
  <c r="C704" i="7"/>
  <c r="U704" i="7" s="1"/>
  <c r="B704" i="7"/>
  <c r="R704" i="7" s="1"/>
  <c r="A704" i="7"/>
  <c r="R703" i="7"/>
  <c r="P703" i="7"/>
  <c r="O703" i="7"/>
  <c r="N703" i="7"/>
  <c r="M703" i="7"/>
  <c r="L703" i="7"/>
  <c r="K703" i="7"/>
  <c r="J703" i="7"/>
  <c r="I703" i="7"/>
  <c r="V703" i="7" s="1"/>
  <c r="H703" i="7"/>
  <c r="G703" i="7"/>
  <c r="S703" i="7" s="1"/>
  <c r="F703" i="7"/>
  <c r="T703" i="7" s="1"/>
  <c r="E703" i="7"/>
  <c r="D703" i="7"/>
  <c r="Q703" i="7" s="1"/>
  <c r="C703" i="7"/>
  <c r="U703" i="7" s="1"/>
  <c r="B703" i="7"/>
  <c r="A703" i="7"/>
  <c r="V702" i="7"/>
  <c r="T702" i="7"/>
  <c r="R702" i="7"/>
  <c r="Q702" i="7"/>
  <c r="P702" i="7"/>
  <c r="O702" i="7"/>
  <c r="N702" i="7"/>
  <c r="M702" i="7"/>
  <c r="L702" i="7"/>
  <c r="K702" i="7"/>
  <c r="J702" i="7"/>
  <c r="I702" i="7"/>
  <c r="H702" i="7"/>
  <c r="G702" i="7"/>
  <c r="S702" i="7" s="1"/>
  <c r="F702" i="7"/>
  <c r="E702" i="7"/>
  <c r="D702" i="7"/>
  <c r="C702" i="7"/>
  <c r="U702" i="7" s="1"/>
  <c r="B702" i="7"/>
  <c r="A702" i="7"/>
  <c r="V701" i="7"/>
  <c r="T701" i="7"/>
  <c r="S701" i="7"/>
  <c r="R701" i="7"/>
  <c r="P701" i="7"/>
  <c r="O701" i="7"/>
  <c r="N701" i="7"/>
  <c r="M701" i="7"/>
  <c r="L701" i="7"/>
  <c r="K701" i="7"/>
  <c r="J701" i="7"/>
  <c r="I701" i="7"/>
  <c r="H701" i="7"/>
  <c r="G701" i="7"/>
  <c r="F701" i="7"/>
  <c r="E701" i="7"/>
  <c r="D701" i="7"/>
  <c r="Q701" i="7" s="1"/>
  <c r="C701" i="7"/>
  <c r="U701" i="7" s="1"/>
  <c r="B701" i="7"/>
  <c r="A701" i="7"/>
  <c r="V700" i="7"/>
  <c r="T700" i="7"/>
  <c r="P700" i="7"/>
  <c r="O700" i="7"/>
  <c r="N700" i="7"/>
  <c r="M700" i="7"/>
  <c r="L700" i="7"/>
  <c r="K700" i="7"/>
  <c r="J700" i="7"/>
  <c r="I700" i="7"/>
  <c r="H700" i="7"/>
  <c r="G700" i="7"/>
  <c r="S700" i="7" s="1"/>
  <c r="F700" i="7"/>
  <c r="E700" i="7"/>
  <c r="D700" i="7"/>
  <c r="Q700" i="7" s="1"/>
  <c r="C700" i="7"/>
  <c r="U700" i="7" s="1"/>
  <c r="B700" i="7"/>
  <c r="R700" i="7" s="1"/>
  <c r="A700" i="7"/>
  <c r="S699" i="7"/>
  <c r="Q699" i="7"/>
  <c r="P699" i="7"/>
  <c r="O699" i="7"/>
  <c r="N699" i="7"/>
  <c r="M699" i="7"/>
  <c r="L699" i="7"/>
  <c r="K699" i="7"/>
  <c r="J699" i="7"/>
  <c r="I699" i="7"/>
  <c r="V699" i="7" s="1"/>
  <c r="H699" i="7"/>
  <c r="G699" i="7"/>
  <c r="F699" i="7"/>
  <c r="T699" i="7" s="1"/>
  <c r="E699" i="7"/>
  <c r="D699" i="7"/>
  <c r="C699" i="7"/>
  <c r="U699" i="7" s="1"/>
  <c r="B699" i="7"/>
  <c r="R699" i="7" s="1"/>
  <c r="A699" i="7"/>
  <c r="V698" i="7"/>
  <c r="U698" i="7"/>
  <c r="T698" i="7"/>
  <c r="R698" i="7"/>
  <c r="P698" i="7"/>
  <c r="O698" i="7"/>
  <c r="N698" i="7"/>
  <c r="M698" i="7"/>
  <c r="L698" i="7"/>
  <c r="K698" i="7"/>
  <c r="J698" i="7"/>
  <c r="I698" i="7"/>
  <c r="H698" i="7"/>
  <c r="S698" i="7" s="1"/>
  <c r="G698" i="7"/>
  <c r="F698" i="7"/>
  <c r="E698" i="7"/>
  <c r="D698" i="7"/>
  <c r="Q698" i="7" s="1"/>
  <c r="C698" i="7"/>
  <c r="B698" i="7"/>
  <c r="A698" i="7"/>
  <c r="V697" i="7"/>
  <c r="T697" i="7"/>
  <c r="Q697" i="7"/>
  <c r="P697" i="7"/>
  <c r="O697" i="7"/>
  <c r="N697" i="7"/>
  <c r="M697" i="7"/>
  <c r="L697" i="7"/>
  <c r="K697" i="7"/>
  <c r="J697" i="7"/>
  <c r="I697" i="7"/>
  <c r="H697" i="7"/>
  <c r="G697" i="7"/>
  <c r="S697" i="7" s="1"/>
  <c r="F697" i="7"/>
  <c r="E697" i="7"/>
  <c r="D697" i="7"/>
  <c r="C697" i="7"/>
  <c r="U697" i="7" s="1"/>
  <c r="B697" i="7"/>
  <c r="R697" i="7" s="1"/>
  <c r="A697" i="7"/>
  <c r="V696" i="7"/>
  <c r="S696" i="7"/>
  <c r="Q696" i="7"/>
  <c r="P696" i="7"/>
  <c r="O696" i="7"/>
  <c r="N696" i="7"/>
  <c r="M696" i="7"/>
  <c r="L696" i="7"/>
  <c r="K696" i="7"/>
  <c r="J696" i="7"/>
  <c r="I696" i="7"/>
  <c r="H696" i="7"/>
  <c r="G696" i="7"/>
  <c r="F696" i="7"/>
  <c r="T696" i="7" s="1"/>
  <c r="E696" i="7"/>
  <c r="D696" i="7"/>
  <c r="C696" i="7"/>
  <c r="U696" i="7" s="1"/>
  <c r="B696" i="7"/>
  <c r="R696" i="7" s="1"/>
  <c r="A696" i="7"/>
  <c r="V695" i="7"/>
  <c r="U695" i="7"/>
  <c r="P695" i="7"/>
  <c r="O695" i="7"/>
  <c r="N695" i="7"/>
  <c r="M695" i="7"/>
  <c r="L695" i="7"/>
  <c r="K695" i="7"/>
  <c r="J695" i="7"/>
  <c r="I695" i="7"/>
  <c r="H695" i="7"/>
  <c r="G695" i="7"/>
  <c r="F695" i="7"/>
  <c r="T695" i="7" s="1"/>
  <c r="E695" i="7"/>
  <c r="D695" i="7"/>
  <c r="Q695" i="7" s="1"/>
  <c r="C695" i="7"/>
  <c r="B695" i="7"/>
  <c r="R695" i="7" s="1"/>
  <c r="A695" i="7"/>
  <c r="R694" i="7"/>
  <c r="Q694" i="7"/>
  <c r="P694" i="7"/>
  <c r="O694" i="7"/>
  <c r="N694" i="7"/>
  <c r="M694" i="7"/>
  <c r="L694" i="7"/>
  <c r="K694" i="7"/>
  <c r="J694" i="7"/>
  <c r="I694" i="7"/>
  <c r="V694" i="7" s="1"/>
  <c r="H694" i="7"/>
  <c r="G694" i="7"/>
  <c r="S694" i="7" s="1"/>
  <c r="F694" i="7"/>
  <c r="T694" i="7" s="1"/>
  <c r="E694" i="7"/>
  <c r="D694" i="7"/>
  <c r="C694" i="7"/>
  <c r="U694" i="7" s="1"/>
  <c r="B694" i="7"/>
  <c r="A694" i="7"/>
  <c r="V693" i="7"/>
  <c r="U693" i="7"/>
  <c r="R693" i="7"/>
  <c r="P693" i="7"/>
  <c r="O693" i="7"/>
  <c r="N693" i="7"/>
  <c r="M693" i="7"/>
  <c r="L693" i="7"/>
  <c r="K693" i="7"/>
  <c r="J693" i="7"/>
  <c r="I693" i="7"/>
  <c r="H693" i="7"/>
  <c r="G693" i="7"/>
  <c r="F693" i="7"/>
  <c r="T693" i="7" s="1"/>
  <c r="E693" i="7"/>
  <c r="D693" i="7"/>
  <c r="Q693" i="7" s="1"/>
  <c r="C693" i="7"/>
  <c r="B693" i="7"/>
  <c r="A693" i="7"/>
  <c r="T692" i="7"/>
  <c r="Q692" i="7"/>
  <c r="P692" i="7"/>
  <c r="O692" i="7"/>
  <c r="N692" i="7"/>
  <c r="M692" i="7"/>
  <c r="L692" i="7"/>
  <c r="K692" i="7"/>
  <c r="J692" i="7"/>
  <c r="I692" i="7"/>
  <c r="V692" i="7" s="1"/>
  <c r="H692" i="7"/>
  <c r="G692" i="7"/>
  <c r="F692" i="7"/>
  <c r="E692" i="7"/>
  <c r="D692" i="7"/>
  <c r="C692" i="7"/>
  <c r="U692" i="7" s="1"/>
  <c r="B692" i="7"/>
  <c r="R692" i="7" s="1"/>
  <c r="A692" i="7"/>
  <c r="V691" i="7"/>
  <c r="U691" i="7"/>
  <c r="T691" i="7"/>
  <c r="S691" i="7"/>
  <c r="P691" i="7"/>
  <c r="O691" i="7"/>
  <c r="N691" i="7"/>
  <c r="M691" i="7"/>
  <c r="L691" i="7"/>
  <c r="K691" i="7"/>
  <c r="J691" i="7"/>
  <c r="I691" i="7"/>
  <c r="H691" i="7"/>
  <c r="G691" i="7"/>
  <c r="F691" i="7"/>
  <c r="E691" i="7"/>
  <c r="D691" i="7"/>
  <c r="Q691" i="7" s="1"/>
  <c r="C691" i="7"/>
  <c r="B691" i="7"/>
  <c r="R691" i="7" s="1"/>
  <c r="A691" i="7"/>
  <c r="V690" i="7"/>
  <c r="T690" i="7"/>
  <c r="S690" i="7"/>
  <c r="R690" i="7"/>
  <c r="Q690" i="7"/>
  <c r="P690" i="7"/>
  <c r="O690" i="7"/>
  <c r="N690" i="7"/>
  <c r="M690" i="7"/>
  <c r="L690" i="7"/>
  <c r="K690" i="7"/>
  <c r="J690" i="7"/>
  <c r="I690" i="7"/>
  <c r="H690" i="7"/>
  <c r="G690" i="7"/>
  <c r="F690" i="7"/>
  <c r="E690" i="7"/>
  <c r="D690" i="7"/>
  <c r="C690" i="7"/>
  <c r="U690" i="7" s="1"/>
  <c r="B690" i="7"/>
  <c r="A690" i="7"/>
  <c r="V689" i="7"/>
  <c r="U689" i="7"/>
  <c r="R689" i="7"/>
  <c r="Q689" i="7"/>
  <c r="P689" i="7"/>
  <c r="O689" i="7"/>
  <c r="N689" i="7"/>
  <c r="M689" i="7"/>
  <c r="L689" i="7"/>
  <c r="K689" i="7"/>
  <c r="J689" i="7"/>
  <c r="I689" i="7"/>
  <c r="H689" i="7"/>
  <c r="S689" i="7" s="1"/>
  <c r="G689" i="7"/>
  <c r="F689" i="7"/>
  <c r="T689" i="7" s="1"/>
  <c r="E689" i="7"/>
  <c r="D689" i="7"/>
  <c r="C689" i="7"/>
  <c r="B689" i="7"/>
  <c r="A689" i="7"/>
  <c r="V688" i="7"/>
  <c r="S688" i="7"/>
  <c r="R688" i="7"/>
  <c r="P688" i="7"/>
  <c r="O688" i="7"/>
  <c r="N688" i="7"/>
  <c r="M688" i="7"/>
  <c r="L688" i="7"/>
  <c r="K688" i="7"/>
  <c r="J688" i="7"/>
  <c r="I688" i="7"/>
  <c r="H688" i="7"/>
  <c r="G688" i="7"/>
  <c r="F688" i="7"/>
  <c r="T688" i="7" s="1"/>
  <c r="E688" i="7"/>
  <c r="D688" i="7"/>
  <c r="Q688" i="7" s="1"/>
  <c r="C688" i="7"/>
  <c r="U688" i="7" s="1"/>
  <c r="B688" i="7"/>
  <c r="A688" i="7"/>
  <c r="U687" i="7"/>
  <c r="T687" i="7"/>
  <c r="R687" i="7"/>
  <c r="P687" i="7"/>
  <c r="O687" i="7"/>
  <c r="N687" i="7"/>
  <c r="M687" i="7"/>
  <c r="L687" i="7"/>
  <c r="K687" i="7"/>
  <c r="J687" i="7"/>
  <c r="I687" i="7"/>
  <c r="V687" i="7" s="1"/>
  <c r="H687" i="7"/>
  <c r="G687" i="7"/>
  <c r="F687" i="7"/>
  <c r="E687" i="7"/>
  <c r="D687" i="7"/>
  <c r="Q687" i="7" s="1"/>
  <c r="C687" i="7"/>
  <c r="B687" i="7"/>
  <c r="A687" i="7"/>
  <c r="V686" i="7"/>
  <c r="R686" i="7"/>
  <c r="Q686" i="7"/>
  <c r="P686" i="7"/>
  <c r="O686" i="7"/>
  <c r="N686" i="7"/>
  <c r="M686" i="7"/>
  <c r="L686" i="7"/>
  <c r="K686" i="7"/>
  <c r="J686" i="7"/>
  <c r="I686" i="7"/>
  <c r="H686" i="7"/>
  <c r="G686" i="7"/>
  <c r="S686" i="7" s="1"/>
  <c r="F686" i="7"/>
  <c r="T686" i="7" s="1"/>
  <c r="E686" i="7"/>
  <c r="D686" i="7"/>
  <c r="C686" i="7"/>
  <c r="U686" i="7" s="1"/>
  <c r="B686" i="7"/>
  <c r="A686" i="7"/>
  <c r="V685" i="7"/>
  <c r="U685" i="7"/>
  <c r="T685" i="7"/>
  <c r="S685" i="7"/>
  <c r="Q685" i="7"/>
  <c r="P685" i="7"/>
  <c r="O685" i="7"/>
  <c r="N685" i="7"/>
  <c r="M685" i="7"/>
  <c r="L685" i="7"/>
  <c r="K685" i="7"/>
  <c r="J685" i="7"/>
  <c r="I685" i="7"/>
  <c r="H685" i="7"/>
  <c r="G685" i="7"/>
  <c r="F685" i="7"/>
  <c r="E685" i="7"/>
  <c r="D685" i="7"/>
  <c r="C685" i="7"/>
  <c r="B685" i="7"/>
  <c r="R685" i="7" s="1"/>
  <c r="A685" i="7"/>
  <c r="V684" i="7"/>
  <c r="U684" i="7"/>
  <c r="T684" i="7"/>
  <c r="S684" i="7"/>
  <c r="R684" i="7"/>
  <c r="P684" i="7"/>
  <c r="O684" i="7"/>
  <c r="N684" i="7"/>
  <c r="M684" i="7"/>
  <c r="L684" i="7"/>
  <c r="K684" i="7"/>
  <c r="J684" i="7"/>
  <c r="I684" i="7"/>
  <c r="H684" i="7"/>
  <c r="G684" i="7"/>
  <c r="F684" i="7"/>
  <c r="E684" i="7"/>
  <c r="D684" i="7"/>
  <c r="Q684" i="7" s="1"/>
  <c r="C684" i="7"/>
  <c r="B684" i="7"/>
  <c r="A684" i="7"/>
  <c r="V683" i="7"/>
  <c r="T683" i="7"/>
  <c r="S683" i="7"/>
  <c r="R683" i="7"/>
  <c r="Q683" i="7"/>
  <c r="P683" i="7"/>
  <c r="O683" i="7"/>
  <c r="N683" i="7"/>
  <c r="M683" i="7"/>
  <c r="L683" i="7"/>
  <c r="K683" i="7"/>
  <c r="J683" i="7"/>
  <c r="I683" i="7"/>
  <c r="H683" i="7"/>
  <c r="G683" i="7"/>
  <c r="F683" i="7"/>
  <c r="E683" i="7"/>
  <c r="D683" i="7"/>
  <c r="C683" i="7"/>
  <c r="U683" i="7" s="1"/>
  <c r="B683" i="7"/>
  <c r="A683" i="7"/>
  <c r="V682" i="7"/>
  <c r="T682" i="7"/>
  <c r="P682" i="7"/>
  <c r="O682" i="7"/>
  <c r="N682" i="7"/>
  <c r="M682" i="7"/>
  <c r="L682" i="7"/>
  <c r="K682" i="7"/>
  <c r="J682" i="7"/>
  <c r="I682" i="7"/>
  <c r="H682" i="7"/>
  <c r="G682" i="7"/>
  <c r="S682" i="7" s="1"/>
  <c r="F682" i="7"/>
  <c r="E682" i="7"/>
  <c r="D682" i="7"/>
  <c r="Q682" i="7" s="1"/>
  <c r="C682" i="7"/>
  <c r="U682" i="7" s="1"/>
  <c r="B682" i="7"/>
  <c r="R682" i="7" s="1"/>
  <c r="A682" i="7"/>
  <c r="V681" i="7"/>
  <c r="P681" i="7"/>
  <c r="O681" i="7"/>
  <c r="N681" i="7"/>
  <c r="M681" i="7"/>
  <c r="L681" i="7"/>
  <c r="K681" i="7"/>
  <c r="J681" i="7"/>
  <c r="I681" i="7"/>
  <c r="H681" i="7"/>
  <c r="G681" i="7"/>
  <c r="S681" i="7" s="1"/>
  <c r="F681" i="7"/>
  <c r="T681" i="7" s="1"/>
  <c r="E681" i="7"/>
  <c r="D681" i="7"/>
  <c r="Q681" i="7" s="1"/>
  <c r="C681" i="7"/>
  <c r="U681" i="7" s="1"/>
  <c r="B681" i="7"/>
  <c r="R681" i="7" s="1"/>
  <c r="A681" i="7"/>
  <c r="Q680" i="7"/>
  <c r="P680" i="7"/>
  <c r="O680" i="7"/>
  <c r="N680" i="7"/>
  <c r="M680" i="7"/>
  <c r="L680" i="7"/>
  <c r="K680" i="7"/>
  <c r="J680" i="7"/>
  <c r="I680" i="7"/>
  <c r="V680" i="7" s="1"/>
  <c r="H680" i="7"/>
  <c r="S680" i="7" s="1"/>
  <c r="G680" i="7"/>
  <c r="F680" i="7"/>
  <c r="T680" i="7" s="1"/>
  <c r="E680" i="7"/>
  <c r="D680" i="7"/>
  <c r="C680" i="7"/>
  <c r="U680" i="7" s="1"/>
  <c r="B680" i="7"/>
  <c r="R680" i="7" s="1"/>
  <c r="A680" i="7"/>
  <c r="U679" i="7"/>
  <c r="S679" i="7"/>
  <c r="R679" i="7"/>
  <c r="P679" i="7"/>
  <c r="O679" i="7"/>
  <c r="N679" i="7"/>
  <c r="M679" i="7"/>
  <c r="L679" i="7"/>
  <c r="K679" i="7"/>
  <c r="J679" i="7"/>
  <c r="I679" i="7"/>
  <c r="V679" i="7" s="1"/>
  <c r="H679" i="7"/>
  <c r="G679" i="7"/>
  <c r="F679" i="7"/>
  <c r="T679" i="7" s="1"/>
  <c r="E679" i="7"/>
  <c r="D679" i="7"/>
  <c r="Q679" i="7" s="1"/>
  <c r="C679" i="7"/>
  <c r="B679" i="7"/>
  <c r="A679" i="7"/>
  <c r="V678" i="7"/>
  <c r="T678" i="7"/>
  <c r="S678" i="7"/>
  <c r="R678" i="7"/>
  <c r="P678" i="7"/>
  <c r="O678" i="7"/>
  <c r="N678" i="7"/>
  <c r="M678" i="7"/>
  <c r="L678" i="7"/>
  <c r="K678" i="7"/>
  <c r="J678" i="7"/>
  <c r="I678" i="7"/>
  <c r="H678" i="7"/>
  <c r="G678" i="7"/>
  <c r="F678" i="7"/>
  <c r="E678" i="7"/>
  <c r="D678" i="7"/>
  <c r="Q678" i="7" s="1"/>
  <c r="C678" i="7"/>
  <c r="U678" i="7" s="1"/>
  <c r="B678" i="7"/>
  <c r="A678" i="7"/>
  <c r="V677" i="7"/>
  <c r="T677" i="7"/>
  <c r="R677" i="7"/>
  <c r="Q677" i="7"/>
  <c r="P677" i="7"/>
  <c r="O677" i="7"/>
  <c r="N677" i="7"/>
  <c r="M677" i="7"/>
  <c r="L677" i="7"/>
  <c r="K677" i="7"/>
  <c r="J677" i="7"/>
  <c r="I677" i="7"/>
  <c r="H677" i="7"/>
  <c r="G677" i="7"/>
  <c r="S677" i="7" s="1"/>
  <c r="F677" i="7"/>
  <c r="E677" i="7"/>
  <c r="D677" i="7"/>
  <c r="C677" i="7"/>
  <c r="U677" i="7" s="1"/>
  <c r="B677" i="7"/>
  <c r="A677" i="7"/>
  <c r="V676" i="7"/>
  <c r="U676" i="7"/>
  <c r="S676" i="7"/>
  <c r="R676" i="7"/>
  <c r="P676" i="7"/>
  <c r="O676" i="7"/>
  <c r="N676" i="7"/>
  <c r="M676" i="7"/>
  <c r="L676" i="7"/>
  <c r="K676" i="7"/>
  <c r="J676" i="7"/>
  <c r="I676" i="7"/>
  <c r="H676" i="7"/>
  <c r="G676" i="7"/>
  <c r="F676" i="7"/>
  <c r="T676" i="7" s="1"/>
  <c r="E676" i="7"/>
  <c r="D676" i="7"/>
  <c r="Q676" i="7" s="1"/>
  <c r="C676" i="7"/>
  <c r="B676" i="7"/>
  <c r="A676" i="7"/>
  <c r="V675" i="7"/>
  <c r="T675" i="7"/>
  <c r="S675" i="7"/>
  <c r="P675" i="7"/>
  <c r="O675" i="7"/>
  <c r="N675" i="7"/>
  <c r="M675" i="7"/>
  <c r="L675" i="7"/>
  <c r="K675" i="7"/>
  <c r="J675" i="7"/>
  <c r="I675" i="7"/>
  <c r="H675" i="7"/>
  <c r="G675" i="7"/>
  <c r="F675" i="7"/>
  <c r="E675" i="7"/>
  <c r="D675" i="7"/>
  <c r="Q675" i="7" s="1"/>
  <c r="C675" i="7"/>
  <c r="U675" i="7" s="1"/>
  <c r="B675" i="7"/>
  <c r="R675" i="7" s="1"/>
  <c r="A675" i="7"/>
  <c r="V674" i="7"/>
  <c r="T674" i="7"/>
  <c r="P674" i="7"/>
  <c r="O674" i="7"/>
  <c r="N674" i="7"/>
  <c r="M674" i="7"/>
  <c r="L674" i="7"/>
  <c r="K674" i="7"/>
  <c r="J674" i="7"/>
  <c r="I674" i="7"/>
  <c r="H674" i="7"/>
  <c r="G674" i="7"/>
  <c r="S674" i="7" s="1"/>
  <c r="F674" i="7"/>
  <c r="E674" i="7"/>
  <c r="D674" i="7"/>
  <c r="Q674" i="7" s="1"/>
  <c r="C674" i="7"/>
  <c r="U674" i="7" s="1"/>
  <c r="B674" i="7"/>
  <c r="R674" i="7" s="1"/>
  <c r="A674" i="7"/>
  <c r="R673" i="7"/>
  <c r="Q673" i="7"/>
  <c r="P673" i="7"/>
  <c r="O673" i="7"/>
  <c r="N673" i="7"/>
  <c r="M673" i="7"/>
  <c r="L673" i="7"/>
  <c r="K673" i="7"/>
  <c r="J673" i="7"/>
  <c r="I673" i="7"/>
  <c r="V673" i="7" s="1"/>
  <c r="H673" i="7"/>
  <c r="G673" i="7"/>
  <c r="S673" i="7" s="1"/>
  <c r="F673" i="7"/>
  <c r="T673" i="7" s="1"/>
  <c r="E673" i="7"/>
  <c r="D673" i="7"/>
  <c r="C673" i="7"/>
  <c r="U673" i="7" s="1"/>
  <c r="B673" i="7"/>
  <c r="A673" i="7"/>
  <c r="T672" i="7"/>
  <c r="R672" i="7"/>
  <c r="Q672" i="7"/>
  <c r="P672" i="7"/>
  <c r="O672" i="7"/>
  <c r="N672" i="7"/>
  <c r="M672" i="7"/>
  <c r="L672" i="7"/>
  <c r="K672" i="7"/>
  <c r="J672" i="7"/>
  <c r="I672" i="7"/>
  <c r="V672" i="7" s="1"/>
  <c r="H672" i="7"/>
  <c r="G672" i="7"/>
  <c r="S672" i="7" s="1"/>
  <c r="F672" i="7"/>
  <c r="E672" i="7"/>
  <c r="D672" i="7"/>
  <c r="C672" i="7"/>
  <c r="U672" i="7" s="1"/>
  <c r="B672" i="7"/>
  <c r="A672" i="7"/>
  <c r="U671" i="7"/>
  <c r="S671" i="7"/>
  <c r="R671" i="7"/>
  <c r="P671" i="7"/>
  <c r="O671" i="7"/>
  <c r="N671" i="7"/>
  <c r="M671" i="7"/>
  <c r="L671" i="7"/>
  <c r="K671" i="7"/>
  <c r="J671" i="7"/>
  <c r="I671" i="7"/>
  <c r="V671" i="7" s="1"/>
  <c r="H671" i="7"/>
  <c r="G671" i="7"/>
  <c r="F671" i="7"/>
  <c r="T671" i="7" s="1"/>
  <c r="E671" i="7"/>
  <c r="D671" i="7"/>
  <c r="Q671" i="7" s="1"/>
  <c r="C671" i="7"/>
  <c r="B671" i="7"/>
  <c r="A671" i="7"/>
  <c r="V670" i="7"/>
  <c r="T670" i="7"/>
  <c r="R670" i="7"/>
  <c r="Q670" i="7"/>
  <c r="P670" i="7"/>
  <c r="O670" i="7"/>
  <c r="N670" i="7"/>
  <c r="M670" i="7"/>
  <c r="L670" i="7"/>
  <c r="K670" i="7"/>
  <c r="J670" i="7"/>
  <c r="I670" i="7"/>
  <c r="H670" i="7"/>
  <c r="G670" i="7"/>
  <c r="S670" i="7" s="1"/>
  <c r="F670" i="7"/>
  <c r="E670" i="7"/>
  <c r="D670" i="7"/>
  <c r="C670" i="7"/>
  <c r="U670" i="7" s="1"/>
  <c r="B670" i="7"/>
  <c r="A670" i="7"/>
  <c r="V669" i="7"/>
  <c r="U669" i="7"/>
  <c r="S669" i="7"/>
  <c r="R669" i="7"/>
  <c r="Q669" i="7"/>
  <c r="P669" i="7"/>
  <c r="O669" i="7"/>
  <c r="N669" i="7"/>
  <c r="M669" i="7"/>
  <c r="L669" i="7"/>
  <c r="K669" i="7"/>
  <c r="J669" i="7"/>
  <c r="I669" i="7"/>
  <c r="H669" i="7"/>
  <c r="G669" i="7"/>
  <c r="F669" i="7"/>
  <c r="T669" i="7" s="1"/>
  <c r="E669" i="7"/>
  <c r="D669" i="7"/>
  <c r="C669" i="7"/>
  <c r="B669" i="7"/>
  <c r="A669" i="7"/>
  <c r="T668" i="7"/>
  <c r="S668" i="7"/>
  <c r="P668" i="7"/>
  <c r="O668" i="7"/>
  <c r="N668" i="7"/>
  <c r="M668" i="7"/>
  <c r="L668" i="7"/>
  <c r="K668" i="7"/>
  <c r="J668" i="7"/>
  <c r="I668" i="7"/>
  <c r="V668" i="7" s="1"/>
  <c r="H668" i="7"/>
  <c r="G668" i="7"/>
  <c r="F668" i="7"/>
  <c r="E668" i="7"/>
  <c r="D668" i="7"/>
  <c r="Q668" i="7" s="1"/>
  <c r="C668" i="7"/>
  <c r="U668" i="7" s="1"/>
  <c r="B668" i="7"/>
  <c r="R668" i="7" s="1"/>
  <c r="A668" i="7"/>
  <c r="U667" i="7"/>
  <c r="R667" i="7"/>
  <c r="P667" i="7"/>
  <c r="O667" i="7"/>
  <c r="N667" i="7"/>
  <c r="M667" i="7"/>
  <c r="L667" i="7"/>
  <c r="K667" i="7"/>
  <c r="J667" i="7"/>
  <c r="I667" i="7"/>
  <c r="V667" i="7" s="1"/>
  <c r="H667" i="7"/>
  <c r="G667" i="7"/>
  <c r="S667" i="7" s="1"/>
  <c r="F667" i="7"/>
  <c r="T667" i="7" s="1"/>
  <c r="E667" i="7"/>
  <c r="D667" i="7"/>
  <c r="Q667" i="7" s="1"/>
  <c r="C667" i="7"/>
  <c r="B667" i="7"/>
  <c r="A667" i="7"/>
  <c r="V666" i="7"/>
  <c r="Q666" i="7"/>
  <c r="P666" i="7"/>
  <c r="O666" i="7"/>
  <c r="N666" i="7"/>
  <c r="M666" i="7"/>
  <c r="L666" i="7"/>
  <c r="K666" i="7"/>
  <c r="J666" i="7"/>
  <c r="I666" i="7"/>
  <c r="H666" i="7"/>
  <c r="G666" i="7"/>
  <c r="S666" i="7" s="1"/>
  <c r="F666" i="7"/>
  <c r="T666" i="7" s="1"/>
  <c r="E666" i="7"/>
  <c r="D666" i="7"/>
  <c r="C666" i="7"/>
  <c r="U666" i="7" s="1"/>
  <c r="B666" i="7"/>
  <c r="R666" i="7" s="1"/>
  <c r="A666" i="7"/>
  <c r="U665" i="7"/>
  <c r="T665" i="7"/>
  <c r="P665" i="7"/>
  <c r="O665" i="7"/>
  <c r="N665" i="7"/>
  <c r="M665" i="7"/>
  <c r="L665" i="7"/>
  <c r="K665" i="7"/>
  <c r="J665" i="7"/>
  <c r="I665" i="7"/>
  <c r="V665" i="7" s="1"/>
  <c r="H665" i="7"/>
  <c r="S665" i="7" s="1"/>
  <c r="G665" i="7"/>
  <c r="F665" i="7"/>
  <c r="E665" i="7"/>
  <c r="D665" i="7"/>
  <c r="Q665" i="7" s="1"/>
  <c r="C665" i="7"/>
  <c r="B665" i="7"/>
  <c r="R665" i="7" s="1"/>
  <c r="A665" i="7"/>
  <c r="T664" i="7"/>
  <c r="R664" i="7"/>
  <c r="Q664" i="7"/>
  <c r="P664" i="7"/>
  <c r="O664" i="7"/>
  <c r="N664" i="7"/>
  <c r="M664" i="7"/>
  <c r="L664" i="7"/>
  <c r="K664" i="7"/>
  <c r="J664" i="7"/>
  <c r="I664" i="7"/>
  <c r="V664" i="7" s="1"/>
  <c r="H664" i="7"/>
  <c r="S664" i="7" s="1"/>
  <c r="G664" i="7"/>
  <c r="F664" i="7"/>
  <c r="E664" i="7"/>
  <c r="D664" i="7"/>
  <c r="C664" i="7"/>
  <c r="U664" i="7" s="1"/>
  <c r="B664" i="7"/>
  <c r="A664" i="7"/>
  <c r="V663" i="7"/>
  <c r="U663" i="7"/>
  <c r="T663" i="7"/>
  <c r="P663" i="7"/>
  <c r="O663" i="7"/>
  <c r="N663" i="7"/>
  <c r="M663" i="7"/>
  <c r="L663" i="7"/>
  <c r="K663" i="7"/>
  <c r="J663" i="7"/>
  <c r="I663" i="7"/>
  <c r="H663" i="7"/>
  <c r="G663" i="7"/>
  <c r="S663" i="7" s="1"/>
  <c r="F663" i="7"/>
  <c r="E663" i="7"/>
  <c r="D663" i="7"/>
  <c r="Q663" i="7" s="1"/>
  <c r="C663" i="7"/>
  <c r="B663" i="7"/>
  <c r="R663" i="7" s="1"/>
  <c r="A663" i="7"/>
  <c r="V662" i="7"/>
  <c r="U662" i="7"/>
  <c r="P662" i="7"/>
  <c r="O662" i="7"/>
  <c r="N662" i="7"/>
  <c r="M662" i="7"/>
  <c r="L662" i="7"/>
  <c r="K662" i="7"/>
  <c r="J662" i="7"/>
  <c r="I662" i="7"/>
  <c r="H662" i="7"/>
  <c r="G662" i="7"/>
  <c r="S662" i="7" s="1"/>
  <c r="F662" i="7"/>
  <c r="T662" i="7" s="1"/>
  <c r="E662" i="7"/>
  <c r="D662" i="7"/>
  <c r="Q662" i="7" s="1"/>
  <c r="C662" i="7"/>
  <c r="B662" i="7"/>
  <c r="R662" i="7" s="1"/>
  <c r="A662" i="7"/>
  <c r="V661" i="7"/>
  <c r="P661" i="7"/>
  <c r="O661" i="7"/>
  <c r="N661" i="7"/>
  <c r="M661" i="7"/>
  <c r="L661" i="7"/>
  <c r="K661" i="7"/>
  <c r="J661" i="7"/>
  <c r="I661" i="7"/>
  <c r="H661" i="7"/>
  <c r="G661" i="7"/>
  <c r="S661" i="7" s="1"/>
  <c r="F661" i="7"/>
  <c r="T661" i="7" s="1"/>
  <c r="E661" i="7"/>
  <c r="D661" i="7"/>
  <c r="Q661" i="7" s="1"/>
  <c r="C661" i="7"/>
  <c r="U661" i="7" s="1"/>
  <c r="B661" i="7"/>
  <c r="R661" i="7" s="1"/>
  <c r="A661" i="7"/>
  <c r="U660" i="7"/>
  <c r="R660" i="7"/>
  <c r="Q660" i="7"/>
  <c r="P660" i="7"/>
  <c r="O660" i="7"/>
  <c r="N660" i="7"/>
  <c r="M660" i="7"/>
  <c r="L660" i="7"/>
  <c r="K660" i="7"/>
  <c r="J660" i="7"/>
  <c r="I660" i="7"/>
  <c r="V660" i="7" s="1"/>
  <c r="H660" i="7"/>
  <c r="G660" i="7"/>
  <c r="S660" i="7" s="1"/>
  <c r="F660" i="7"/>
  <c r="T660" i="7" s="1"/>
  <c r="E660" i="7"/>
  <c r="D660" i="7"/>
  <c r="C660" i="7"/>
  <c r="B660" i="7"/>
  <c r="A660" i="7"/>
  <c r="V659" i="7"/>
  <c r="U659" i="7"/>
  <c r="T659" i="7"/>
  <c r="S659" i="7"/>
  <c r="P659" i="7"/>
  <c r="O659" i="7"/>
  <c r="N659" i="7"/>
  <c r="M659" i="7"/>
  <c r="L659" i="7"/>
  <c r="K659" i="7"/>
  <c r="J659" i="7"/>
  <c r="I659" i="7"/>
  <c r="H659" i="7"/>
  <c r="G659" i="7"/>
  <c r="F659" i="7"/>
  <c r="E659" i="7"/>
  <c r="D659" i="7"/>
  <c r="Q659" i="7" s="1"/>
  <c r="C659" i="7"/>
  <c r="B659" i="7"/>
  <c r="R659" i="7" s="1"/>
  <c r="A659" i="7"/>
  <c r="V658" i="7"/>
  <c r="R658" i="7"/>
  <c r="Q658" i="7"/>
  <c r="P658" i="7"/>
  <c r="O658" i="7"/>
  <c r="N658" i="7"/>
  <c r="M658" i="7"/>
  <c r="L658" i="7"/>
  <c r="K658" i="7"/>
  <c r="J658" i="7"/>
  <c r="I658" i="7"/>
  <c r="H658" i="7"/>
  <c r="G658" i="7"/>
  <c r="S658" i="7" s="1"/>
  <c r="F658" i="7"/>
  <c r="T658" i="7" s="1"/>
  <c r="E658" i="7"/>
  <c r="D658" i="7"/>
  <c r="C658" i="7"/>
  <c r="U658" i="7" s="1"/>
  <c r="B658" i="7"/>
  <c r="A658" i="7"/>
  <c r="U657" i="7"/>
  <c r="T657" i="7"/>
  <c r="S657" i="7"/>
  <c r="Q657" i="7"/>
  <c r="P657" i="7"/>
  <c r="O657" i="7"/>
  <c r="N657" i="7"/>
  <c r="M657" i="7"/>
  <c r="L657" i="7"/>
  <c r="K657" i="7"/>
  <c r="J657" i="7"/>
  <c r="I657" i="7"/>
  <c r="V657" i="7" s="1"/>
  <c r="H657" i="7"/>
  <c r="G657" i="7"/>
  <c r="F657" i="7"/>
  <c r="E657" i="7"/>
  <c r="D657" i="7"/>
  <c r="C657" i="7"/>
  <c r="B657" i="7"/>
  <c r="R657" i="7" s="1"/>
  <c r="A657" i="7"/>
  <c r="U656" i="7"/>
  <c r="T656" i="7"/>
  <c r="P656" i="7"/>
  <c r="O656" i="7"/>
  <c r="N656" i="7"/>
  <c r="M656" i="7"/>
  <c r="L656" i="7"/>
  <c r="K656" i="7"/>
  <c r="J656" i="7"/>
  <c r="I656" i="7"/>
  <c r="V656" i="7" s="1"/>
  <c r="H656" i="7"/>
  <c r="G656" i="7"/>
  <c r="F656" i="7"/>
  <c r="E656" i="7"/>
  <c r="D656" i="7"/>
  <c r="Q656" i="7" s="1"/>
  <c r="C656" i="7"/>
  <c r="B656" i="7"/>
  <c r="R656" i="7" s="1"/>
  <c r="A656" i="7"/>
  <c r="T655" i="7"/>
  <c r="Q655" i="7"/>
  <c r="P655" i="7"/>
  <c r="O655" i="7"/>
  <c r="N655" i="7"/>
  <c r="M655" i="7"/>
  <c r="L655" i="7"/>
  <c r="K655" i="7"/>
  <c r="J655" i="7"/>
  <c r="I655" i="7"/>
  <c r="V655" i="7" s="1"/>
  <c r="H655" i="7"/>
  <c r="G655" i="7"/>
  <c r="S655" i="7" s="1"/>
  <c r="F655" i="7"/>
  <c r="E655" i="7"/>
  <c r="D655" i="7"/>
  <c r="C655" i="7"/>
  <c r="U655" i="7" s="1"/>
  <c r="B655" i="7"/>
  <c r="R655" i="7" s="1"/>
  <c r="A655" i="7"/>
  <c r="V654" i="7"/>
  <c r="S654" i="7"/>
  <c r="R654" i="7"/>
  <c r="P654" i="7"/>
  <c r="O654" i="7"/>
  <c r="N654" i="7"/>
  <c r="M654" i="7"/>
  <c r="L654" i="7"/>
  <c r="K654" i="7"/>
  <c r="J654" i="7"/>
  <c r="I654" i="7"/>
  <c r="H654" i="7"/>
  <c r="G654" i="7"/>
  <c r="F654" i="7"/>
  <c r="T654" i="7" s="1"/>
  <c r="E654" i="7"/>
  <c r="D654" i="7"/>
  <c r="Q654" i="7" s="1"/>
  <c r="C654" i="7"/>
  <c r="U654" i="7" s="1"/>
  <c r="B654" i="7"/>
  <c r="A654" i="7"/>
  <c r="V653" i="7"/>
  <c r="T653" i="7"/>
  <c r="R653" i="7"/>
  <c r="P653" i="7"/>
  <c r="O653" i="7"/>
  <c r="N653" i="7"/>
  <c r="M653" i="7"/>
  <c r="L653" i="7"/>
  <c r="K653" i="7"/>
  <c r="J653" i="7"/>
  <c r="I653" i="7"/>
  <c r="H653" i="7"/>
  <c r="S653" i="7" s="1"/>
  <c r="G653" i="7"/>
  <c r="F653" i="7"/>
  <c r="E653" i="7"/>
  <c r="D653" i="7"/>
  <c r="Q653" i="7" s="1"/>
  <c r="C653" i="7"/>
  <c r="U653" i="7" s="1"/>
  <c r="B653" i="7"/>
  <c r="A653" i="7"/>
  <c r="V652" i="7"/>
  <c r="P652" i="7"/>
  <c r="O652" i="7"/>
  <c r="N652" i="7"/>
  <c r="M652" i="7"/>
  <c r="L652" i="7"/>
  <c r="K652" i="7"/>
  <c r="J652" i="7"/>
  <c r="I652" i="7"/>
  <c r="H652" i="7"/>
  <c r="G652" i="7"/>
  <c r="S652" i="7" s="1"/>
  <c r="F652" i="7"/>
  <c r="T652" i="7" s="1"/>
  <c r="E652" i="7"/>
  <c r="D652" i="7"/>
  <c r="Q652" i="7" s="1"/>
  <c r="C652" i="7"/>
  <c r="U652" i="7" s="1"/>
  <c r="B652" i="7"/>
  <c r="R652" i="7" s="1"/>
  <c r="A652" i="7"/>
  <c r="U651" i="7"/>
  <c r="R651" i="7"/>
  <c r="P651" i="7"/>
  <c r="O651" i="7"/>
  <c r="N651" i="7"/>
  <c r="M651" i="7"/>
  <c r="L651" i="7"/>
  <c r="K651" i="7"/>
  <c r="J651" i="7"/>
  <c r="I651" i="7"/>
  <c r="V651" i="7" s="1"/>
  <c r="H651" i="7"/>
  <c r="G651" i="7"/>
  <c r="S651" i="7" s="1"/>
  <c r="F651" i="7"/>
  <c r="T651" i="7" s="1"/>
  <c r="E651" i="7"/>
  <c r="D651" i="7"/>
  <c r="Q651" i="7" s="1"/>
  <c r="C651" i="7"/>
  <c r="B651" i="7"/>
  <c r="A651" i="7"/>
  <c r="T650" i="7"/>
  <c r="R650" i="7"/>
  <c r="Q650" i="7"/>
  <c r="P650" i="7"/>
  <c r="O650" i="7"/>
  <c r="N650" i="7"/>
  <c r="M650" i="7"/>
  <c r="L650" i="7"/>
  <c r="K650" i="7"/>
  <c r="J650" i="7"/>
  <c r="I650" i="7"/>
  <c r="V650" i="7" s="1"/>
  <c r="H650" i="7"/>
  <c r="S650" i="7" s="1"/>
  <c r="G650" i="7"/>
  <c r="F650" i="7"/>
  <c r="E650" i="7"/>
  <c r="D650" i="7"/>
  <c r="C650" i="7"/>
  <c r="U650" i="7" s="1"/>
  <c r="B650" i="7"/>
  <c r="A650" i="7"/>
  <c r="T649" i="7"/>
  <c r="P649" i="7"/>
  <c r="O649" i="7"/>
  <c r="N649" i="7"/>
  <c r="M649" i="7"/>
  <c r="L649" i="7"/>
  <c r="K649" i="7"/>
  <c r="J649" i="7"/>
  <c r="I649" i="7"/>
  <c r="V649" i="7" s="1"/>
  <c r="H649" i="7"/>
  <c r="G649" i="7"/>
  <c r="S649" i="7" s="1"/>
  <c r="F649" i="7"/>
  <c r="E649" i="7"/>
  <c r="D649" i="7"/>
  <c r="Q649" i="7" s="1"/>
  <c r="C649" i="7"/>
  <c r="U649" i="7" s="1"/>
  <c r="B649" i="7"/>
  <c r="R649" i="7" s="1"/>
  <c r="A649" i="7"/>
  <c r="S648" i="7"/>
  <c r="R648" i="7"/>
  <c r="Q648" i="7"/>
  <c r="P648" i="7"/>
  <c r="O648" i="7"/>
  <c r="N648" i="7"/>
  <c r="M648" i="7"/>
  <c r="L648" i="7"/>
  <c r="K648" i="7"/>
  <c r="J648" i="7"/>
  <c r="I648" i="7"/>
  <c r="V648" i="7" s="1"/>
  <c r="H648" i="7"/>
  <c r="G648" i="7"/>
  <c r="F648" i="7"/>
  <c r="T648" i="7" s="1"/>
  <c r="E648" i="7"/>
  <c r="D648" i="7"/>
  <c r="C648" i="7"/>
  <c r="U648" i="7" s="1"/>
  <c r="B648" i="7"/>
  <c r="A648" i="7"/>
  <c r="V647" i="7"/>
  <c r="U647" i="7"/>
  <c r="T647" i="7"/>
  <c r="Q647" i="7"/>
  <c r="P647" i="7"/>
  <c r="O647" i="7"/>
  <c r="N647" i="7"/>
  <c r="M647" i="7"/>
  <c r="L647" i="7"/>
  <c r="K647" i="7"/>
  <c r="J647" i="7"/>
  <c r="I647" i="7"/>
  <c r="H647" i="7"/>
  <c r="G647" i="7"/>
  <c r="F647" i="7"/>
  <c r="E647" i="7"/>
  <c r="D647" i="7"/>
  <c r="C647" i="7"/>
  <c r="B647" i="7"/>
  <c r="R647" i="7" s="1"/>
  <c r="A647" i="7"/>
  <c r="T646" i="7"/>
  <c r="S646" i="7"/>
  <c r="Q646" i="7"/>
  <c r="P646" i="7"/>
  <c r="O646" i="7"/>
  <c r="N646" i="7"/>
  <c r="M646" i="7"/>
  <c r="L646" i="7"/>
  <c r="K646" i="7"/>
  <c r="J646" i="7"/>
  <c r="I646" i="7"/>
  <c r="V646" i="7" s="1"/>
  <c r="H646" i="7"/>
  <c r="G646" i="7"/>
  <c r="F646" i="7"/>
  <c r="E646" i="7"/>
  <c r="D646" i="7"/>
  <c r="C646" i="7"/>
  <c r="U646" i="7" s="1"/>
  <c r="B646" i="7"/>
  <c r="R646" i="7" s="1"/>
  <c r="A646" i="7"/>
  <c r="T645" i="7"/>
  <c r="S645" i="7"/>
  <c r="Q645" i="7"/>
  <c r="P645" i="7"/>
  <c r="O645" i="7"/>
  <c r="N645" i="7"/>
  <c r="M645" i="7"/>
  <c r="L645" i="7"/>
  <c r="K645" i="7"/>
  <c r="J645" i="7"/>
  <c r="I645" i="7"/>
  <c r="V645" i="7" s="1"/>
  <c r="H645" i="7"/>
  <c r="G645" i="7"/>
  <c r="F645" i="7"/>
  <c r="E645" i="7"/>
  <c r="D645" i="7"/>
  <c r="C645" i="7"/>
  <c r="U645" i="7" s="1"/>
  <c r="B645" i="7"/>
  <c r="R645" i="7" s="1"/>
  <c r="A645" i="7"/>
  <c r="V644" i="7"/>
  <c r="U644" i="7"/>
  <c r="R644" i="7"/>
  <c r="P644" i="7"/>
  <c r="O644" i="7"/>
  <c r="N644" i="7"/>
  <c r="M644" i="7"/>
  <c r="L644" i="7"/>
  <c r="K644" i="7"/>
  <c r="J644" i="7"/>
  <c r="I644" i="7"/>
  <c r="H644" i="7"/>
  <c r="G644" i="7"/>
  <c r="S644" i="7" s="1"/>
  <c r="F644" i="7"/>
  <c r="T644" i="7" s="1"/>
  <c r="E644" i="7"/>
  <c r="D644" i="7"/>
  <c r="Q644" i="7" s="1"/>
  <c r="C644" i="7"/>
  <c r="B644" i="7"/>
  <c r="A644" i="7"/>
  <c r="U643" i="7"/>
  <c r="Q643" i="7"/>
  <c r="P643" i="7"/>
  <c r="O643" i="7"/>
  <c r="N643" i="7"/>
  <c r="M643" i="7"/>
  <c r="L643" i="7"/>
  <c r="K643" i="7"/>
  <c r="J643" i="7"/>
  <c r="I643" i="7"/>
  <c r="V643" i="7" s="1"/>
  <c r="H643" i="7"/>
  <c r="G643" i="7"/>
  <c r="S643" i="7" s="1"/>
  <c r="F643" i="7"/>
  <c r="T643" i="7" s="1"/>
  <c r="E643" i="7"/>
  <c r="D643" i="7"/>
  <c r="C643" i="7"/>
  <c r="B643" i="7"/>
  <c r="R643" i="7" s="1"/>
  <c r="A643" i="7"/>
  <c r="U642" i="7"/>
  <c r="R642" i="7"/>
  <c r="Q642" i="7"/>
  <c r="P642" i="7"/>
  <c r="O642" i="7"/>
  <c r="N642" i="7"/>
  <c r="M642" i="7"/>
  <c r="L642" i="7"/>
  <c r="K642" i="7"/>
  <c r="J642" i="7"/>
  <c r="I642" i="7"/>
  <c r="V642" i="7" s="1"/>
  <c r="H642" i="7"/>
  <c r="S642" i="7" s="1"/>
  <c r="G642" i="7"/>
  <c r="F642" i="7"/>
  <c r="T642" i="7" s="1"/>
  <c r="E642" i="7"/>
  <c r="D642" i="7"/>
  <c r="C642" i="7"/>
  <c r="B642" i="7"/>
  <c r="A642" i="7"/>
  <c r="U641" i="7"/>
  <c r="T641" i="7"/>
  <c r="Q641" i="7"/>
  <c r="P641" i="7"/>
  <c r="O641" i="7"/>
  <c r="N641" i="7"/>
  <c r="M641" i="7"/>
  <c r="L641" i="7"/>
  <c r="K641" i="7"/>
  <c r="J641" i="7"/>
  <c r="I641" i="7"/>
  <c r="V641" i="7" s="1"/>
  <c r="H641" i="7"/>
  <c r="G641" i="7"/>
  <c r="S641" i="7" s="1"/>
  <c r="F641" i="7"/>
  <c r="E641" i="7"/>
  <c r="D641" i="7"/>
  <c r="C641" i="7"/>
  <c r="B641" i="7"/>
  <c r="R641" i="7" s="1"/>
  <c r="A641" i="7"/>
  <c r="V640" i="7"/>
  <c r="U640" i="7"/>
  <c r="T640" i="7"/>
  <c r="Q640" i="7"/>
  <c r="P640" i="7"/>
  <c r="O640" i="7"/>
  <c r="N640" i="7"/>
  <c r="M640" i="7"/>
  <c r="L640" i="7"/>
  <c r="K640" i="7"/>
  <c r="J640" i="7"/>
  <c r="I640" i="7"/>
  <c r="H640" i="7"/>
  <c r="G640" i="7"/>
  <c r="S640" i="7" s="1"/>
  <c r="F640" i="7"/>
  <c r="E640" i="7"/>
  <c r="D640" i="7"/>
  <c r="C640" i="7"/>
  <c r="B640" i="7"/>
  <c r="R640" i="7" s="1"/>
  <c r="A640" i="7"/>
  <c r="V639" i="7"/>
  <c r="R639" i="7"/>
  <c r="Q639" i="7"/>
  <c r="P639" i="7"/>
  <c r="O639" i="7"/>
  <c r="N639" i="7"/>
  <c r="M639" i="7"/>
  <c r="L639" i="7"/>
  <c r="K639" i="7"/>
  <c r="J639" i="7"/>
  <c r="I639" i="7"/>
  <c r="H639" i="7"/>
  <c r="G639" i="7"/>
  <c r="S639" i="7" s="1"/>
  <c r="F639" i="7"/>
  <c r="T639" i="7" s="1"/>
  <c r="E639" i="7"/>
  <c r="D639" i="7"/>
  <c r="C639" i="7"/>
  <c r="U639" i="7" s="1"/>
  <c r="B639" i="7"/>
  <c r="A639" i="7"/>
  <c r="U638" i="7"/>
  <c r="P638" i="7"/>
  <c r="O638" i="7"/>
  <c r="N638" i="7"/>
  <c r="M638" i="7"/>
  <c r="L638" i="7"/>
  <c r="K638" i="7"/>
  <c r="J638" i="7"/>
  <c r="I638" i="7"/>
  <c r="V638" i="7" s="1"/>
  <c r="H638" i="7"/>
  <c r="G638" i="7"/>
  <c r="F638" i="7"/>
  <c r="T638" i="7" s="1"/>
  <c r="E638" i="7"/>
  <c r="D638" i="7"/>
  <c r="Q638" i="7" s="1"/>
  <c r="C638" i="7"/>
  <c r="B638" i="7"/>
  <c r="R638" i="7" s="1"/>
  <c r="A638" i="7"/>
  <c r="Q637" i="7"/>
  <c r="P637" i="7"/>
  <c r="O637" i="7"/>
  <c r="N637" i="7"/>
  <c r="M637" i="7"/>
  <c r="L637" i="7"/>
  <c r="K637" i="7"/>
  <c r="J637" i="7"/>
  <c r="I637" i="7"/>
  <c r="V637" i="7" s="1"/>
  <c r="H637" i="7"/>
  <c r="G637" i="7"/>
  <c r="S637" i="7" s="1"/>
  <c r="F637" i="7"/>
  <c r="T637" i="7" s="1"/>
  <c r="E637" i="7"/>
  <c r="D637" i="7"/>
  <c r="C637" i="7"/>
  <c r="U637" i="7" s="1"/>
  <c r="B637" i="7"/>
  <c r="R637" i="7" s="1"/>
  <c r="A637" i="7"/>
  <c r="U636" i="7"/>
  <c r="R636" i="7"/>
  <c r="Q636" i="7"/>
  <c r="P636" i="7"/>
  <c r="O636" i="7"/>
  <c r="N636" i="7"/>
  <c r="M636" i="7"/>
  <c r="L636" i="7"/>
  <c r="K636" i="7"/>
  <c r="J636" i="7"/>
  <c r="I636" i="7"/>
  <c r="V636" i="7" s="1"/>
  <c r="H636" i="7"/>
  <c r="G636" i="7"/>
  <c r="S636" i="7" s="1"/>
  <c r="F636" i="7"/>
  <c r="T636" i="7" s="1"/>
  <c r="E636" i="7"/>
  <c r="D636" i="7"/>
  <c r="C636" i="7"/>
  <c r="B636" i="7"/>
  <c r="A636" i="7"/>
  <c r="T635" i="7"/>
  <c r="S635" i="7"/>
  <c r="Q635" i="7"/>
  <c r="P635" i="7"/>
  <c r="O635" i="7"/>
  <c r="N635" i="7"/>
  <c r="M635" i="7"/>
  <c r="L635" i="7"/>
  <c r="K635" i="7"/>
  <c r="J635" i="7"/>
  <c r="I635" i="7"/>
  <c r="V635" i="7" s="1"/>
  <c r="H635" i="7"/>
  <c r="G635" i="7"/>
  <c r="F635" i="7"/>
  <c r="E635" i="7"/>
  <c r="D635" i="7"/>
  <c r="C635" i="7"/>
  <c r="U635" i="7" s="1"/>
  <c r="B635" i="7"/>
  <c r="R635" i="7" s="1"/>
  <c r="A635" i="7"/>
  <c r="V634" i="7"/>
  <c r="U634" i="7"/>
  <c r="S634" i="7"/>
  <c r="R634" i="7"/>
  <c r="Q634" i="7"/>
  <c r="P634" i="7"/>
  <c r="O634" i="7"/>
  <c r="N634" i="7"/>
  <c r="M634" i="7"/>
  <c r="L634" i="7"/>
  <c r="K634" i="7"/>
  <c r="J634" i="7"/>
  <c r="I634" i="7"/>
  <c r="H634" i="7"/>
  <c r="G634" i="7"/>
  <c r="F634" i="7"/>
  <c r="T634" i="7" s="1"/>
  <c r="E634" i="7"/>
  <c r="D634" i="7"/>
  <c r="C634" i="7"/>
  <c r="B634" i="7"/>
  <c r="A634" i="7"/>
  <c r="V633" i="7"/>
  <c r="U633" i="7"/>
  <c r="S633" i="7"/>
  <c r="R633" i="7"/>
  <c r="P633" i="7"/>
  <c r="O633" i="7"/>
  <c r="N633" i="7"/>
  <c r="M633" i="7"/>
  <c r="L633" i="7"/>
  <c r="K633" i="7"/>
  <c r="J633" i="7"/>
  <c r="I633" i="7"/>
  <c r="H633" i="7"/>
  <c r="G633" i="7"/>
  <c r="F633" i="7"/>
  <c r="T633" i="7" s="1"/>
  <c r="E633" i="7"/>
  <c r="D633" i="7"/>
  <c r="Q633" i="7" s="1"/>
  <c r="C633" i="7"/>
  <c r="B633" i="7"/>
  <c r="A633" i="7"/>
  <c r="V632" i="7"/>
  <c r="T632" i="7"/>
  <c r="P632" i="7"/>
  <c r="O632" i="7"/>
  <c r="N632" i="7"/>
  <c r="M632" i="7"/>
  <c r="L632" i="7"/>
  <c r="K632" i="7"/>
  <c r="J632" i="7"/>
  <c r="I632" i="7"/>
  <c r="H632" i="7"/>
  <c r="G632" i="7"/>
  <c r="F632" i="7"/>
  <c r="E632" i="7"/>
  <c r="D632" i="7"/>
  <c r="Q632" i="7" s="1"/>
  <c r="C632" i="7"/>
  <c r="U632" i="7" s="1"/>
  <c r="B632" i="7"/>
  <c r="R632" i="7" s="1"/>
  <c r="A632" i="7"/>
  <c r="V631" i="7"/>
  <c r="R631" i="7"/>
  <c r="P631" i="7"/>
  <c r="O631" i="7"/>
  <c r="N631" i="7"/>
  <c r="M631" i="7"/>
  <c r="L631" i="7"/>
  <c r="K631" i="7"/>
  <c r="J631" i="7"/>
  <c r="I631" i="7"/>
  <c r="H631" i="7"/>
  <c r="G631" i="7"/>
  <c r="S631" i="7" s="1"/>
  <c r="F631" i="7"/>
  <c r="T631" i="7" s="1"/>
  <c r="E631" i="7"/>
  <c r="D631" i="7"/>
  <c r="Q631" i="7" s="1"/>
  <c r="C631" i="7"/>
  <c r="U631" i="7" s="1"/>
  <c r="B631" i="7"/>
  <c r="A631" i="7"/>
  <c r="V630" i="7"/>
  <c r="T630" i="7"/>
  <c r="R630" i="7"/>
  <c r="P630" i="7"/>
  <c r="O630" i="7"/>
  <c r="N630" i="7"/>
  <c r="M630" i="7"/>
  <c r="L630" i="7"/>
  <c r="K630" i="7"/>
  <c r="J630" i="7"/>
  <c r="I630" i="7"/>
  <c r="H630" i="7"/>
  <c r="G630" i="7"/>
  <c r="S630" i="7" s="1"/>
  <c r="F630" i="7"/>
  <c r="E630" i="7"/>
  <c r="D630" i="7"/>
  <c r="Q630" i="7" s="1"/>
  <c r="C630" i="7"/>
  <c r="U630" i="7" s="1"/>
  <c r="B630" i="7"/>
  <c r="A630" i="7"/>
  <c r="V629" i="7"/>
  <c r="U629" i="7"/>
  <c r="Q629" i="7"/>
  <c r="P629" i="7"/>
  <c r="O629" i="7"/>
  <c r="N629" i="7"/>
  <c r="M629" i="7"/>
  <c r="L629" i="7"/>
  <c r="K629" i="7"/>
  <c r="J629" i="7"/>
  <c r="I629" i="7"/>
  <c r="H629" i="7"/>
  <c r="G629" i="7"/>
  <c r="S629" i="7" s="1"/>
  <c r="F629" i="7"/>
  <c r="T629" i="7" s="1"/>
  <c r="E629" i="7"/>
  <c r="D629" i="7"/>
  <c r="C629" i="7"/>
  <c r="B629" i="7"/>
  <c r="R629" i="7" s="1"/>
  <c r="A629" i="7"/>
  <c r="U628" i="7"/>
  <c r="T628" i="7"/>
  <c r="S628" i="7"/>
  <c r="Q628" i="7"/>
  <c r="P628" i="7"/>
  <c r="O628" i="7"/>
  <c r="N628" i="7"/>
  <c r="M628" i="7"/>
  <c r="L628" i="7"/>
  <c r="K628" i="7"/>
  <c r="J628" i="7"/>
  <c r="I628" i="7"/>
  <c r="V628" i="7" s="1"/>
  <c r="H628" i="7"/>
  <c r="G628" i="7"/>
  <c r="F628" i="7"/>
  <c r="E628" i="7"/>
  <c r="D628" i="7"/>
  <c r="C628" i="7"/>
  <c r="B628" i="7"/>
  <c r="R628" i="7" s="1"/>
  <c r="A628" i="7"/>
  <c r="U627" i="7"/>
  <c r="Q627" i="7"/>
  <c r="P627" i="7"/>
  <c r="O627" i="7"/>
  <c r="N627" i="7"/>
  <c r="M627" i="7"/>
  <c r="L627" i="7"/>
  <c r="K627" i="7"/>
  <c r="J627" i="7"/>
  <c r="I627" i="7"/>
  <c r="V627" i="7" s="1"/>
  <c r="H627" i="7"/>
  <c r="G627" i="7"/>
  <c r="S627" i="7" s="1"/>
  <c r="F627" i="7"/>
  <c r="T627" i="7" s="1"/>
  <c r="E627" i="7"/>
  <c r="D627" i="7"/>
  <c r="C627" i="7"/>
  <c r="B627" i="7"/>
  <c r="R627" i="7" s="1"/>
  <c r="A627" i="7"/>
  <c r="U626" i="7"/>
  <c r="S626" i="7"/>
  <c r="R626" i="7"/>
  <c r="P626" i="7"/>
  <c r="O626" i="7"/>
  <c r="N626" i="7"/>
  <c r="M626" i="7"/>
  <c r="L626" i="7"/>
  <c r="K626" i="7"/>
  <c r="J626" i="7"/>
  <c r="I626" i="7"/>
  <c r="V626" i="7" s="1"/>
  <c r="H626" i="7"/>
  <c r="G626" i="7"/>
  <c r="F626" i="7"/>
  <c r="T626" i="7" s="1"/>
  <c r="E626" i="7"/>
  <c r="D626" i="7"/>
  <c r="Q626" i="7" s="1"/>
  <c r="C626" i="7"/>
  <c r="B626" i="7"/>
  <c r="A626" i="7"/>
  <c r="V625" i="7"/>
  <c r="T625" i="7"/>
  <c r="S625" i="7"/>
  <c r="Q625" i="7"/>
  <c r="P625" i="7"/>
  <c r="O625" i="7"/>
  <c r="N625" i="7"/>
  <c r="M625" i="7"/>
  <c r="L625" i="7"/>
  <c r="K625" i="7"/>
  <c r="J625" i="7"/>
  <c r="I625" i="7"/>
  <c r="H625" i="7"/>
  <c r="G625" i="7"/>
  <c r="F625" i="7"/>
  <c r="E625" i="7"/>
  <c r="D625" i="7"/>
  <c r="C625" i="7"/>
  <c r="U625" i="7" s="1"/>
  <c r="B625" i="7"/>
  <c r="R625" i="7" s="1"/>
  <c r="A625" i="7"/>
  <c r="V624" i="7"/>
  <c r="U624" i="7"/>
  <c r="R624" i="7"/>
  <c r="P624" i="7"/>
  <c r="O624" i="7"/>
  <c r="N624" i="7"/>
  <c r="M624" i="7"/>
  <c r="L624" i="7"/>
  <c r="K624" i="7"/>
  <c r="J624" i="7"/>
  <c r="I624" i="7"/>
  <c r="H624" i="7"/>
  <c r="S624" i="7" s="1"/>
  <c r="G624" i="7"/>
  <c r="F624" i="7"/>
  <c r="T624" i="7" s="1"/>
  <c r="E624" i="7"/>
  <c r="D624" i="7"/>
  <c r="Q624" i="7" s="1"/>
  <c r="C624" i="7"/>
  <c r="B624" i="7"/>
  <c r="A624" i="7"/>
  <c r="T623" i="7"/>
  <c r="S623" i="7"/>
  <c r="R623" i="7"/>
  <c r="Q623" i="7"/>
  <c r="P623" i="7"/>
  <c r="O623" i="7"/>
  <c r="N623" i="7"/>
  <c r="M623" i="7"/>
  <c r="L623" i="7"/>
  <c r="K623" i="7"/>
  <c r="J623" i="7"/>
  <c r="I623" i="7"/>
  <c r="V623" i="7" s="1"/>
  <c r="H623" i="7"/>
  <c r="G623" i="7"/>
  <c r="F623" i="7"/>
  <c r="E623" i="7"/>
  <c r="D623" i="7"/>
  <c r="C623" i="7"/>
  <c r="U623" i="7" s="1"/>
  <c r="B623" i="7"/>
  <c r="A623" i="7"/>
  <c r="V622" i="7"/>
  <c r="U622" i="7"/>
  <c r="S622" i="7"/>
  <c r="R622" i="7"/>
  <c r="P622" i="7"/>
  <c r="O622" i="7"/>
  <c r="N622" i="7"/>
  <c r="M622" i="7"/>
  <c r="L622" i="7"/>
  <c r="K622" i="7"/>
  <c r="J622" i="7"/>
  <c r="I622" i="7"/>
  <c r="H622" i="7"/>
  <c r="G622" i="7"/>
  <c r="F622" i="7"/>
  <c r="T622" i="7" s="1"/>
  <c r="E622" i="7"/>
  <c r="D622" i="7"/>
  <c r="Q622" i="7" s="1"/>
  <c r="C622" i="7"/>
  <c r="B622" i="7"/>
  <c r="A622" i="7"/>
  <c r="V621" i="7"/>
  <c r="T621" i="7"/>
  <c r="S621" i="7"/>
  <c r="P621" i="7"/>
  <c r="O621" i="7"/>
  <c r="N621" i="7"/>
  <c r="M621" i="7"/>
  <c r="L621" i="7"/>
  <c r="K621" i="7"/>
  <c r="J621" i="7"/>
  <c r="I621" i="7"/>
  <c r="H621" i="7"/>
  <c r="G621" i="7"/>
  <c r="F621" i="7"/>
  <c r="E621" i="7"/>
  <c r="D621" i="7"/>
  <c r="Q621" i="7" s="1"/>
  <c r="C621" i="7"/>
  <c r="U621" i="7" s="1"/>
  <c r="B621" i="7"/>
  <c r="R621" i="7" s="1"/>
  <c r="A621" i="7"/>
  <c r="V620" i="7"/>
  <c r="T620" i="7"/>
  <c r="P620" i="7"/>
  <c r="O620" i="7"/>
  <c r="N620" i="7"/>
  <c r="M620" i="7"/>
  <c r="L620" i="7"/>
  <c r="K620" i="7"/>
  <c r="J620" i="7"/>
  <c r="I620" i="7"/>
  <c r="H620" i="7"/>
  <c r="G620" i="7"/>
  <c r="F620" i="7"/>
  <c r="E620" i="7"/>
  <c r="D620" i="7"/>
  <c r="Q620" i="7" s="1"/>
  <c r="C620" i="7"/>
  <c r="U620" i="7" s="1"/>
  <c r="B620" i="7"/>
  <c r="R620" i="7" s="1"/>
  <c r="A620" i="7"/>
  <c r="Q619" i="7"/>
  <c r="P619" i="7"/>
  <c r="O619" i="7"/>
  <c r="N619" i="7"/>
  <c r="M619" i="7"/>
  <c r="L619" i="7"/>
  <c r="K619" i="7"/>
  <c r="J619" i="7"/>
  <c r="I619" i="7"/>
  <c r="V619" i="7" s="1"/>
  <c r="H619" i="7"/>
  <c r="G619" i="7"/>
  <c r="S619" i="7" s="1"/>
  <c r="F619" i="7"/>
  <c r="T619" i="7" s="1"/>
  <c r="E619" i="7"/>
  <c r="D619" i="7"/>
  <c r="C619" i="7"/>
  <c r="U619" i="7" s="1"/>
  <c r="B619" i="7"/>
  <c r="R619" i="7" s="1"/>
  <c r="A619" i="7"/>
  <c r="S618" i="7"/>
  <c r="P618" i="7"/>
  <c r="O618" i="7"/>
  <c r="N618" i="7"/>
  <c r="M618" i="7"/>
  <c r="L618" i="7"/>
  <c r="K618" i="7"/>
  <c r="J618" i="7"/>
  <c r="I618" i="7"/>
  <c r="V618" i="7" s="1"/>
  <c r="H618" i="7"/>
  <c r="G618" i="7"/>
  <c r="F618" i="7"/>
  <c r="T618" i="7" s="1"/>
  <c r="E618" i="7"/>
  <c r="D618" i="7"/>
  <c r="Q618" i="7" s="1"/>
  <c r="C618" i="7"/>
  <c r="U618" i="7" s="1"/>
  <c r="B618" i="7"/>
  <c r="R618" i="7" s="1"/>
  <c r="A618" i="7"/>
  <c r="V617" i="7"/>
  <c r="R617" i="7"/>
  <c r="P617" i="7"/>
  <c r="O617" i="7"/>
  <c r="N617" i="7"/>
  <c r="M617" i="7"/>
  <c r="L617" i="7"/>
  <c r="K617" i="7"/>
  <c r="J617" i="7"/>
  <c r="I617" i="7"/>
  <c r="H617" i="7"/>
  <c r="G617" i="7"/>
  <c r="F617" i="7"/>
  <c r="T617" i="7" s="1"/>
  <c r="E617" i="7"/>
  <c r="D617" i="7"/>
  <c r="Q617" i="7" s="1"/>
  <c r="C617" i="7"/>
  <c r="U617" i="7" s="1"/>
  <c r="B617" i="7"/>
  <c r="A617" i="7"/>
  <c r="T616" i="7"/>
  <c r="R616" i="7"/>
  <c r="Q616" i="7"/>
  <c r="P616" i="7"/>
  <c r="O616" i="7"/>
  <c r="N616" i="7"/>
  <c r="M616" i="7"/>
  <c r="L616" i="7"/>
  <c r="K616" i="7"/>
  <c r="J616" i="7"/>
  <c r="I616" i="7"/>
  <c r="V616" i="7" s="1"/>
  <c r="H616" i="7"/>
  <c r="G616" i="7"/>
  <c r="S616" i="7" s="1"/>
  <c r="F616" i="7"/>
  <c r="E616" i="7"/>
  <c r="D616" i="7"/>
  <c r="C616" i="7"/>
  <c r="U616" i="7" s="1"/>
  <c r="B616" i="7"/>
  <c r="A616" i="7"/>
  <c r="V615" i="7"/>
  <c r="S615" i="7"/>
  <c r="R615" i="7"/>
  <c r="Q615" i="7"/>
  <c r="P615" i="7"/>
  <c r="O615" i="7"/>
  <c r="N615" i="7"/>
  <c r="M615" i="7"/>
  <c r="L615" i="7"/>
  <c r="K615" i="7"/>
  <c r="J615" i="7"/>
  <c r="I615" i="7"/>
  <c r="H615" i="7"/>
  <c r="G615" i="7"/>
  <c r="F615" i="7"/>
  <c r="T615" i="7" s="1"/>
  <c r="E615" i="7"/>
  <c r="D615" i="7"/>
  <c r="C615" i="7"/>
  <c r="U615" i="7" s="1"/>
  <c r="B615" i="7"/>
  <c r="A615" i="7"/>
  <c r="V614" i="7"/>
  <c r="T614" i="7"/>
  <c r="R614" i="7"/>
  <c r="Q614" i="7"/>
  <c r="P614" i="7"/>
  <c r="O614" i="7"/>
  <c r="N614" i="7"/>
  <c r="M614" i="7"/>
  <c r="L614" i="7"/>
  <c r="K614" i="7"/>
  <c r="J614" i="7"/>
  <c r="I614" i="7"/>
  <c r="H614" i="7"/>
  <c r="G614" i="7"/>
  <c r="S614" i="7" s="1"/>
  <c r="F614" i="7"/>
  <c r="E614" i="7"/>
  <c r="D614" i="7"/>
  <c r="C614" i="7"/>
  <c r="U614" i="7" s="1"/>
  <c r="B614" i="7"/>
  <c r="A614" i="7"/>
  <c r="U613" i="7"/>
  <c r="T613" i="7"/>
  <c r="S613" i="7"/>
  <c r="R613" i="7"/>
  <c r="P613" i="7"/>
  <c r="O613" i="7"/>
  <c r="N613" i="7"/>
  <c r="M613" i="7"/>
  <c r="L613" i="7"/>
  <c r="K613" i="7"/>
  <c r="J613" i="7"/>
  <c r="I613" i="7"/>
  <c r="V613" i="7" s="1"/>
  <c r="H613" i="7"/>
  <c r="G613" i="7"/>
  <c r="F613" i="7"/>
  <c r="E613" i="7"/>
  <c r="D613" i="7"/>
  <c r="Q613" i="7" s="1"/>
  <c r="C613" i="7"/>
  <c r="B613" i="7"/>
  <c r="A613" i="7"/>
  <c r="V612" i="7"/>
  <c r="T612" i="7"/>
  <c r="S612" i="7"/>
  <c r="P612" i="7"/>
  <c r="O612" i="7"/>
  <c r="N612" i="7"/>
  <c r="M612" i="7"/>
  <c r="L612" i="7"/>
  <c r="K612" i="7"/>
  <c r="J612" i="7"/>
  <c r="I612" i="7"/>
  <c r="H612" i="7"/>
  <c r="G612" i="7"/>
  <c r="F612" i="7"/>
  <c r="E612" i="7"/>
  <c r="D612" i="7"/>
  <c r="Q612" i="7" s="1"/>
  <c r="C612" i="7"/>
  <c r="U612" i="7" s="1"/>
  <c r="B612" i="7"/>
  <c r="R612" i="7" s="1"/>
  <c r="A612" i="7"/>
  <c r="U611" i="7"/>
  <c r="T611" i="7"/>
  <c r="P611" i="7"/>
  <c r="O611" i="7"/>
  <c r="N611" i="7"/>
  <c r="M611" i="7"/>
  <c r="L611" i="7"/>
  <c r="K611" i="7"/>
  <c r="J611" i="7"/>
  <c r="I611" i="7"/>
  <c r="V611" i="7" s="1"/>
  <c r="H611" i="7"/>
  <c r="G611" i="7"/>
  <c r="S611" i="7" s="1"/>
  <c r="F611" i="7"/>
  <c r="E611" i="7"/>
  <c r="D611" i="7"/>
  <c r="Q611" i="7" s="1"/>
  <c r="C611" i="7"/>
  <c r="B611" i="7"/>
  <c r="R611" i="7" s="1"/>
  <c r="A611" i="7"/>
  <c r="R610" i="7"/>
  <c r="Q610" i="7"/>
  <c r="P610" i="7"/>
  <c r="O610" i="7"/>
  <c r="N610" i="7"/>
  <c r="M610" i="7"/>
  <c r="L610" i="7"/>
  <c r="K610" i="7"/>
  <c r="J610" i="7"/>
  <c r="I610" i="7"/>
  <c r="V610" i="7" s="1"/>
  <c r="H610" i="7"/>
  <c r="G610" i="7"/>
  <c r="S610" i="7" s="1"/>
  <c r="F610" i="7"/>
  <c r="T610" i="7" s="1"/>
  <c r="E610" i="7"/>
  <c r="D610" i="7"/>
  <c r="C610" i="7"/>
  <c r="U610" i="7" s="1"/>
  <c r="B610" i="7"/>
  <c r="A610" i="7"/>
  <c r="V609" i="7"/>
  <c r="T609" i="7"/>
  <c r="S609" i="7"/>
  <c r="P609" i="7"/>
  <c r="O609" i="7"/>
  <c r="N609" i="7"/>
  <c r="M609" i="7"/>
  <c r="L609" i="7"/>
  <c r="K609" i="7"/>
  <c r="J609" i="7"/>
  <c r="I609" i="7"/>
  <c r="H609" i="7"/>
  <c r="G609" i="7"/>
  <c r="F609" i="7"/>
  <c r="E609" i="7"/>
  <c r="D609" i="7"/>
  <c r="Q609" i="7" s="1"/>
  <c r="C609" i="7"/>
  <c r="U609" i="7" s="1"/>
  <c r="B609" i="7"/>
  <c r="R609" i="7" s="1"/>
  <c r="A609" i="7"/>
  <c r="P608" i="7"/>
  <c r="O608" i="7"/>
  <c r="N608" i="7"/>
  <c r="M608" i="7"/>
  <c r="L608" i="7"/>
  <c r="K608" i="7"/>
  <c r="J608" i="7"/>
  <c r="I608" i="7"/>
  <c r="V608" i="7" s="1"/>
  <c r="H608" i="7"/>
  <c r="G608" i="7"/>
  <c r="S608" i="7" s="1"/>
  <c r="F608" i="7"/>
  <c r="T608" i="7" s="1"/>
  <c r="E608" i="7"/>
  <c r="D608" i="7"/>
  <c r="Q608" i="7" s="1"/>
  <c r="C608" i="7"/>
  <c r="U608" i="7" s="1"/>
  <c r="B608" i="7"/>
  <c r="R608" i="7" s="1"/>
  <c r="A608" i="7"/>
  <c r="Q607" i="7"/>
  <c r="P607" i="7"/>
  <c r="O607" i="7"/>
  <c r="N607" i="7"/>
  <c r="M607" i="7"/>
  <c r="L607" i="7"/>
  <c r="K607" i="7"/>
  <c r="J607" i="7"/>
  <c r="I607" i="7"/>
  <c r="V607" i="7" s="1"/>
  <c r="H607" i="7"/>
  <c r="G607" i="7"/>
  <c r="S607" i="7" s="1"/>
  <c r="F607" i="7"/>
  <c r="T607" i="7" s="1"/>
  <c r="E607" i="7"/>
  <c r="D607" i="7"/>
  <c r="C607" i="7"/>
  <c r="U607" i="7" s="1"/>
  <c r="B607" i="7"/>
  <c r="R607" i="7" s="1"/>
  <c r="A607" i="7"/>
  <c r="U606" i="7"/>
  <c r="S606" i="7"/>
  <c r="R606" i="7"/>
  <c r="Q606" i="7"/>
  <c r="P606" i="7"/>
  <c r="O606" i="7"/>
  <c r="N606" i="7"/>
  <c r="M606" i="7"/>
  <c r="L606" i="7"/>
  <c r="K606" i="7"/>
  <c r="J606" i="7"/>
  <c r="I606" i="7"/>
  <c r="V606" i="7" s="1"/>
  <c r="H606" i="7"/>
  <c r="G606" i="7"/>
  <c r="F606" i="7"/>
  <c r="T606" i="7" s="1"/>
  <c r="E606" i="7"/>
  <c r="D606" i="7"/>
  <c r="C606" i="7"/>
  <c r="B606" i="7"/>
  <c r="A606" i="7"/>
  <c r="V605" i="7"/>
  <c r="T605" i="7"/>
  <c r="S605" i="7"/>
  <c r="R605" i="7"/>
  <c r="P605" i="7"/>
  <c r="O605" i="7"/>
  <c r="N605" i="7"/>
  <c r="M605" i="7"/>
  <c r="L605" i="7"/>
  <c r="K605" i="7"/>
  <c r="J605" i="7"/>
  <c r="I605" i="7"/>
  <c r="H605" i="7"/>
  <c r="G605" i="7"/>
  <c r="F605" i="7"/>
  <c r="E605" i="7"/>
  <c r="D605" i="7"/>
  <c r="Q605" i="7" s="1"/>
  <c r="C605" i="7"/>
  <c r="U605" i="7" s="1"/>
  <c r="B605" i="7"/>
  <c r="A605" i="7"/>
  <c r="V604" i="7"/>
  <c r="R604" i="7"/>
  <c r="Q604" i="7"/>
  <c r="P604" i="7"/>
  <c r="O604" i="7"/>
  <c r="N604" i="7"/>
  <c r="M604" i="7"/>
  <c r="L604" i="7"/>
  <c r="K604" i="7"/>
  <c r="J604" i="7"/>
  <c r="I604" i="7"/>
  <c r="H604" i="7"/>
  <c r="G604" i="7"/>
  <c r="S604" i="7" s="1"/>
  <c r="F604" i="7"/>
  <c r="T604" i="7" s="1"/>
  <c r="E604" i="7"/>
  <c r="D604" i="7"/>
  <c r="C604" i="7"/>
  <c r="U604" i="7" s="1"/>
  <c r="B604" i="7"/>
  <c r="A604" i="7"/>
  <c r="V603" i="7"/>
  <c r="U603" i="7"/>
  <c r="T603" i="7"/>
  <c r="P603" i="7"/>
  <c r="O603" i="7"/>
  <c r="N603" i="7"/>
  <c r="M603" i="7"/>
  <c r="L603" i="7"/>
  <c r="K603" i="7"/>
  <c r="J603" i="7"/>
  <c r="I603" i="7"/>
  <c r="H603" i="7"/>
  <c r="G603" i="7"/>
  <c r="S603" i="7" s="1"/>
  <c r="F603" i="7"/>
  <c r="E603" i="7"/>
  <c r="D603" i="7"/>
  <c r="Q603" i="7" s="1"/>
  <c r="C603" i="7"/>
  <c r="B603" i="7"/>
  <c r="R603" i="7" s="1"/>
  <c r="A603" i="7"/>
  <c r="U602" i="7"/>
  <c r="T602" i="7"/>
  <c r="Q602" i="7"/>
  <c r="P602" i="7"/>
  <c r="O602" i="7"/>
  <c r="N602" i="7"/>
  <c r="M602" i="7"/>
  <c r="L602" i="7"/>
  <c r="K602" i="7"/>
  <c r="J602" i="7"/>
  <c r="I602" i="7"/>
  <c r="V602" i="7" s="1"/>
  <c r="H602" i="7"/>
  <c r="G602" i="7"/>
  <c r="S602" i="7" s="1"/>
  <c r="F602" i="7"/>
  <c r="E602" i="7"/>
  <c r="D602" i="7"/>
  <c r="C602" i="7"/>
  <c r="B602" i="7"/>
  <c r="R602" i="7" s="1"/>
  <c r="A602" i="7"/>
  <c r="U601" i="7"/>
  <c r="T601" i="7"/>
  <c r="S601" i="7"/>
  <c r="Q601" i="7"/>
  <c r="P601" i="7"/>
  <c r="O601" i="7"/>
  <c r="N601" i="7"/>
  <c r="M601" i="7"/>
  <c r="L601" i="7"/>
  <c r="K601" i="7"/>
  <c r="J601" i="7"/>
  <c r="I601" i="7"/>
  <c r="V601" i="7" s="1"/>
  <c r="H601" i="7"/>
  <c r="G601" i="7"/>
  <c r="F601" i="7"/>
  <c r="E601" i="7"/>
  <c r="D601" i="7"/>
  <c r="C601" i="7"/>
  <c r="B601" i="7"/>
  <c r="R601" i="7" s="1"/>
  <c r="A601" i="7"/>
  <c r="V600" i="7"/>
  <c r="R600" i="7"/>
  <c r="P600" i="7"/>
  <c r="O600" i="7"/>
  <c r="N600" i="7"/>
  <c r="M600" i="7"/>
  <c r="L600" i="7"/>
  <c r="K600" i="7"/>
  <c r="J600" i="7"/>
  <c r="I600" i="7"/>
  <c r="H600" i="7"/>
  <c r="G600" i="7"/>
  <c r="S600" i="7" s="1"/>
  <c r="F600" i="7"/>
  <c r="T600" i="7" s="1"/>
  <c r="E600" i="7"/>
  <c r="D600" i="7"/>
  <c r="Q600" i="7" s="1"/>
  <c r="C600" i="7"/>
  <c r="U600" i="7" s="1"/>
  <c r="B600" i="7"/>
  <c r="A600" i="7"/>
  <c r="R599" i="7"/>
  <c r="P599" i="7"/>
  <c r="O599" i="7"/>
  <c r="N599" i="7"/>
  <c r="M599" i="7"/>
  <c r="L599" i="7"/>
  <c r="K599" i="7"/>
  <c r="J599" i="7"/>
  <c r="I599" i="7"/>
  <c r="V599" i="7" s="1"/>
  <c r="H599" i="7"/>
  <c r="G599" i="7"/>
  <c r="F599" i="7"/>
  <c r="T599" i="7" s="1"/>
  <c r="E599" i="7"/>
  <c r="D599" i="7"/>
  <c r="Q599" i="7" s="1"/>
  <c r="C599" i="7"/>
  <c r="U599" i="7" s="1"/>
  <c r="B599" i="7"/>
  <c r="A599" i="7"/>
  <c r="P598" i="7"/>
  <c r="O598" i="7"/>
  <c r="N598" i="7"/>
  <c r="M598" i="7"/>
  <c r="L598" i="7"/>
  <c r="K598" i="7"/>
  <c r="J598" i="7"/>
  <c r="I598" i="7"/>
  <c r="V598" i="7" s="1"/>
  <c r="H598" i="7"/>
  <c r="G598" i="7"/>
  <c r="F598" i="7"/>
  <c r="T598" i="7" s="1"/>
  <c r="E598" i="7"/>
  <c r="D598" i="7"/>
  <c r="Q598" i="7" s="1"/>
  <c r="C598" i="7"/>
  <c r="U598" i="7" s="1"/>
  <c r="B598" i="7"/>
  <c r="R598" i="7" s="1"/>
  <c r="A598" i="7"/>
  <c r="U597" i="7"/>
  <c r="R597" i="7"/>
  <c r="Q597" i="7"/>
  <c r="P597" i="7"/>
  <c r="O597" i="7"/>
  <c r="N597" i="7"/>
  <c r="M597" i="7"/>
  <c r="L597" i="7"/>
  <c r="K597" i="7"/>
  <c r="J597" i="7"/>
  <c r="I597" i="7"/>
  <c r="V597" i="7" s="1"/>
  <c r="H597" i="7"/>
  <c r="G597" i="7"/>
  <c r="S597" i="7" s="1"/>
  <c r="F597" i="7"/>
  <c r="T597" i="7" s="1"/>
  <c r="E597" i="7"/>
  <c r="D597" i="7"/>
  <c r="C597" i="7"/>
  <c r="B597" i="7"/>
  <c r="A597" i="7"/>
  <c r="V596" i="7"/>
  <c r="T596" i="7"/>
  <c r="S596" i="7"/>
  <c r="Q596" i="7"/>
  <c r="P596" i="7"/>
  <c r="O596" i="7"/>
  <c r="N596" i="7"/>
  <c r="M596" i="7"/>
  <c r="L596" i="7"/>
  <c r="K596" i="7"/>
  <c r="J596" i="7"/>
  <c r="I596" i="7"/>
  <c r="H596" i="7"/>
  <c r="G596" i="7"/>
  <c r="F596" i="7"/>
  <c r="E596" i="7"/>
  <c r="D596" i="7"/>
  <c r="C596" i="7"/>
  <c r="U596" i="7" s="1"/>
  <c r="B596" i="7"/>
  <c r="R596" i="7" s="1"/>
  <c r="A596" i="7"/>
  <c r="V595" i="7"/>
  <c r="T595" i="7"/>
  <c r="S595" i="7"/>
  <c r="R595" i="7"/>
  <c r="Q595" i="7"/>
  <c r="P595" i="7"/>
  <c r="O595" i="7"/>
  <c r="N595" i="7"/>
  <c r="M595" i="7"/>
  <c r="L595" i="7"/>
  <c r="K595" i="7"/>
  <c r="J595" i="7"/>
  <c r="I595" i="7"/>
  <c r="H595" i="7"/>
  <c r="G595" i="7"/>
  <c r="F595" i="7"/>
  <c r="E595" i="7"/>
  <c r="D595" i="7"/>
  <c r="C595" i="7"/>
  <c r="U595" i="7" s="1"/>
  <c r="B595" i="7"/>
  <c r="A595" i="7"/>
  <c r="V594" i="7"/>
  <c r="T594" i="7"/>
  <c r="S594" i="7"/>
  <c r="P594" i="7"/>
  <c r="O594" i="7"/>
  <c r="N594" i="7"/>
  <c r="M594" i="7"/>
  <c r="L594" i="7"/>
  <c r="K594" i="7"/>
  <c r="J594" i="7"/>
  <c r="I594" i="7"/>
  <c r="H594" i="7"/>
  <c r="G594" i="7"/>
  <c r="F594" i="7"/>
  <c r="E594" i="7"/>
  <c r="D594" i="7"/>
  <c r="Q594" i="7" s="1"/>
  <c r="C594" i="7"/>
  <c r="U594" i="7" s="1"/>
  <c r="B594" i="7"/>
  <c r="R594" i="7" s="1"/>
  <c r="A594" i="7"/>
  <c r="V593" i="7"/>
  <c r="P593" i="7"/>
  <c r="O593" i="7"/>
  <c r="N593" i="7"/>
  <c r="M593" i="7"/>
  <c r="L593" i="7"/>
  <c r="K593" i="7"/>
  <c r="J593" i="7"/>
  <c r="I593" i="7"/>
  <c r="H593" i="7"/>
  <c r="G593" i="7"/>
  <c r="F593" i="7"/>
  <c r="T593" i="7" s="1"/>
  <c r="E593" i="7"/>
  <c r="D593" i="7"/>
  <c r="Q593" i="7" s="1"/>
  <c r="C593" i="7"/>
  <c r="U593" i="7" s="1"/>
  <c r="B593" i="7"/>
  <c r="R593" i="7" s="1"/>
  <c r="A593" i="7"/>
  <c r="R592" i="7"/>
  <c r="Q592" i="7"/>
  <c r="P592" i="7"/>
  <c r="O592" i="7"/>
  <c r="N592" i="7"/>
  <c r="M592" i="7"/>
  <c r="L592" i="7"/>
  <c r="K592" i="7"/>
  <c r="J592" i="7"/>
  <c r="I592" i="7"/>
  <c r="V592" i="7" s="1"/>
  <c r="H592" i="7"/>
  <c r="G592" i="7"/>
  <c r="F592" i="7"/>
  <c r="T592" i="7" s="1"/>
  <c r="E592" i="7"/>
  <c r="D592" i="7"/>
  <c r="C592" i="7"/>
  <c r="U592" i="7" s="1"/>
  <c r="B592" i="7"/>
  <c r="A592" i="7"/>
  <c r="V591" i="7"/>
  <c r="T591" i="7"/>
  <c r="S591" i="7"/>
  <c r="R591" i="7"/>
  <c r="Q591" i="7"/>
  <c r="P591" i="7"/>
  <c r="O591" i="7"/>
  <c r="N591" i="7"/>
  <c r="M591" i="7"/>
  <c r="L591" i="7"/>
  <c r="K591" i="7"/>
  <c r="J591" i="7"/>
  <c r="I591" i="7"/>
  <c r="H591" i="7"/>
  <c r="G591" i="7"/>
  <c r="F591" i="7"/>
  <c r="E591" i="7"/>
  <c r="D591" i="7"/>
  <c r="C591" i="7"/>
  <c r="U591" i="7" s="1"/>
  <c r="B591" i="7"/>
  <c r="A591" i="7"/>
  <c r="T590" i="7"/>
  <c r="S590" i="7"/>
  <c r="R590" i="7"/>
  <c r="Q590" i="7"/>
  <c r="P590" i="7"/>
  <c r="O590" i="7"/>
  <c r="N590" i="7"/>
  <c r="M590" i="7"/>
  <c r="L590" i="7"/>
  <c r="K590" i="7"/>
  <c r="J590" i="7"/>
  <c r="I590" i="7"/>
  <c r="V590" i="7" s="1"/>
  <c r="H590" i="7"/>
  <c r="G590" i="7"/>
  <c r="F590" i="7"/>
  <c r="E590" i="7"/>
  <c r="D590" i="7"/>
  <c r="C590" i="7"/>
  <c r="U590" i="7" s="1"/>
  <c r="B590" i="7"/>
  <c r="A590" i="7"/>
  <c r="V589" i="7"/>
  <c r="T589" i="7"/>
  <c r="S589" i="7"/>
  <c r="Q589" i="7"/>
  <c r="P589" i="7"/>
  <c r="O589" i="7"/>
  <c r="N589" i="7"/>
  <c r="M589" i="7"/>
  <c r="L589" i="7"/>
  <c r="K589" i="7"/>
  <c r="J589" i="7"/>
  <c r="I589" i="7"/>
  <c r="H589" i="7"/>
  <c r="G589" i="7"/>
  <c r="F589" i="7"/>
  <c r="E589" i="7"/>
  <c r="D589" i="7"/>
  <c r="C589" i="7"/>
  <c r="U589" i="7" s="1"/>
  <c r="B589" i="7"/>
  <c r="R589" i="7" s="1"/>
  <c r="A589" i="7"/>
  <c r="V588" i="7"/>
  <c r="U588" i="7"/>
  <c r="S588" i="7"/>
  <c r="R588" i="7"/>
  <c r="P588" i="7"/>
  <c r="O588" i="7"/>
  <c r="N588" i="7"/>
  <c r="M588" i="7"/>
  <c r="L588" i="7"/>
  <c r="K588" i="7"/>
  <c r="J588" i="7"/>
  <c r="I588" i="7"/>
  <c r="H588" i="7"/>
  <c r="G588" i="7"/>
  <c r="F588" i="7"/>
  <c r="T588" i="7" s="1"/>
  <c r="E588" i="7"/>
  <c r="D588" i="7"/>
  <c r="Q588" i="7" s="1"/>
  <c r="C588" i="7"/>
  <c r="B588" i="7"/>
  <c r="A588" i="7"/>
  <c r="T587" i="7"/>
  <c r="R587" i="7"/>
  <c r="Q587" i="7"/>
  <c r="P587" i="7"/>
  <c r="O587" i="7"/>
  <c r="N587" i="7"/>
  <c r="M587" i="7"/>
  <c r="L587" i="7"/>
  <c r="K587" i="7"/>
  <c r="J587" i="7"/>
  <c r="I587" i="7"/>
  <c r="V587" i="7" s="1"/>
  <c r="H587" i="7"/>
  <c r="G587" i="7"/>
  <c r="S587" i="7" s="1"/>
  <c r="F587" i="7"/>
  <c r="E587" i="7"/>
  <c r="D587" i="7"/>
  <c r="C587" i="7"/>
  <c r="U587" i="7" s="1"/>
  <c r="B587" i="7"/>
  <c r="A587" i="7"/>
  <c r="V586" i="7"/>
  <c r="U586" i="7"/>
  <c r="S586" i="7"/>
  <c r="P586" i="7"/>
  <c r="O586" i="7"/>
  <c r="N586" i="7"/>
  <c r="M586" i="7"/>
  <c r="L586" i="7"/>
  <c r="K586" i="7"/>
  <c r="J586" i="7"/>
  <c r="I586" i="7"/>
  <c r="H586" i="7"/>
  <c r="G586" i="7"/>
  <c r="F586" i="7"/>
  <c r="T586" i="7" s="1"/>
  <c r="E586" i="7"/>
  <c r="D586" i="7"/>
  <c r="Q586" i="7" s="1"/>
  <c r="C586" i="7"/>
  <c r="B586" i="7"/>
  <c r="R586" i="7" s="1"/>
  <c r="A586" i="7"/>
  <c r="R585" i="7"/>
  <c r="Q585" i="7"/>
  <c r="P585" i="7"/>
  <c r="O585" i="7"/>
  <c r="N585" i="7"/>
  <c r="M585" i="7"/>
  <c r="L585" i="7"/>
  <c r="K585" i="7"/>
  <c r="J585" i="7"/>
  <c r="I585" i="7"/>
  <c r="V585" i="7" s="1"/>
  <c r="H585" i="7"/>
  <c r="S585" i="7" s="1"/>
  <c r="G585" i="7"/>
  <c r="F585" i="7"/>
  <c r="T585" i="7" s="1"/>
  <c r="E585" i="7"/>
  <c r="D585" i="7"/>
  <c r="C585" i="7"/>
  <c r="U585" i="7" s="1"/>
  <c r="B585" i="7"/>
  <c r="A585" i="7"/>
  <c r="V584" i="7"/>
  <c r="U584" i="7"/>
  <c r="T584" i="7"/>
  <c r="S584" i="7"/>
  <c r="P584" i="7"/>
  <c r="O584" i="7"/>
  <c r="N584" i="7"/>
  <c r="M584" i="7"/>
  <c r="L584" i="7"/>
  <c r="K584" i="7"/>
  <c r="J584" i="7"/>
  <c r="I584" i="7"/>
  <c r="H584" i="7"/>
  <c r="G584" i="7"/>
  <c r="F584" i="7"/>
  <c r="E584" i="7"/>
  <c r="D584" i="7"/>
  <c r="Q584" i="7" s="1"/>
  <c r="C584" i="7"/>
  <c r="B584" i="7"/>
  <c r="R584" i="7" s="1"/>
  <c r="A584" i="7"/>
  <c r="S583" i="7"/>
  <c r="Q583" i="7"/>
  <c r="P583" i="7"/>
  <c r="O583" i="7"/>
  <c r="N583" i="7"/>
  <c r="M583" i="7"/>
  <c r="L583" i="7"/>
  <c r="K583" i="7"/>
  <c r="J583" i="7"/>
  <c r="I583" i="7"/>
  <c r="V583" i="7" s="1"/>
  <c r="H583" i="7"/>
  <c r="G583" i="7"/>
  <c r="F583" i="7"/>
  <c r="T583" i="7" s="1"/>
  <c r="E583" i="7"/>
  <c r="D583" i="7"/>
  <c r="C583" i="7"/>
  <c r="U583" i="7" s="1"/>
  <c r="B583" i="7"/>
  <c r="R583" i="7" s="1"/>
  <c r="A583" i="7"/>
  <c r="Q582" i="7"/>
  <c r="P582" i="7"/>
  <c r="O582" i="7"/>
  <c r="N582" i="7"/>
  <c r="M582" i="7"/>
  <c r="L582" i="7"/>
  <c r="K582" i="7"/>
  <c r="J582" i="7"/>
  <c r="I582" i="7"/>
  <c r="V582" i="7" s="1"/>
  <c r="H582" i="7"/>
  <c r="G582" i="7"/>
  <c r="S582" i="7" s="1"/>
  <c r="F582" i="7"/>
  <c r="T582" i="7" s="1"/>
  <c r="E582" i="7"/>
  <c r="D582" i="7"/>
  <c r="C582" i="7"/>
  <c r="U582" i="7" s="1"/>
  <c r="B582" i="7"/>
  <c r="R582" i="7" s="1"/>
  <c r="A582" i="7"/>
  <c r="T581" i="7"/>
  <c r="S581" i="7"/>
  <c r="R581" i="7"/>
  <c r="Q581" i="7"/>
  <c r="P581" i="7"/>
  <c r="O581" i="7"/>
  <c r="N581" i="7"/>
  <c r="M581" i="7"/>
  <c r="L581" i="7"/>
  <c r="K581" i="7"/>
  <c r="J581" i="7"/>
  <c r="I581" i="7"/>
  <c r="V581" i="7" s="1"/>
  <c r="H581" i="7"/>
  <c r="G581" i="7"/>
  <c r="F581" i="7"/>
  <c r="E581" i="7"/>
  <c r="D581" i="7"/>
  <c r="C581" i="7"/>
  <c r="U581" i="7" s="1"/>
  <c r="B581" i="7"/>
  <c r="A581" i="7"/>
  <c r="V580" i="7"/>
  <c r="R580" i="7"/>
  <c r="P580" i="7"/>
  <c r="O580" i="7"/>
  <c r="N580" i="7"/>
  <c r="M580" i="7"/>
  <c r="L580" i="7"/>
  <c r="K580" i="7"/>
  <c r="J580" i="7"/>
  <c r="I580" i="7"/>
  <c r="H580" i="7"/>
  <c r="G580" i="7"/>
  <c r="F580" i="7"/>
  <c r="T580" i="7" s="1"/>
  <c r="E580" i="7"/>
  <c r="D580" i="7"/>
  <c r="Q580" i="7" s="1"/>
  <c r="C580" i="7"/>
  <c r="U580" i="7" s="1"/>
  <c r="B580" i="7"/>
  <c r="A580" i="7"/>
  <c r="U579" i="7"/>
  <c r="S579" i="7"/>
  <c r="R579" i="7"/>
  <c r="Q579" i="7"/>
  <c r="P579" i="7"/>
  <c r="O579" i="7"/>
  <c r="N579" i="7"/>
  <c r="M579" i="7"/>
  <c r="L579" i="7"/>
  <c r="K579" i="7"/>
  <c r="J579" i="7"/>
  <c r="I579" i="7"/>
  <c r="V579" i="7" s="1"/>
  <c r="H579" i="7"/>
  <c r="G579" i="7"/>
  <c r="F579" i="7"/>
  <c r="T579" i="7" s="1"/>
  <c r="E579" i="7"/>
  <c r="D579" i="7"/>
  <c r="C579" i="7"/>
  <c r="B579" i="7"/>
  <c r="A579" i="7"/>
  <c r="V578" i="7"/>
  <c r="T578" i="7"/>
  <c r="Q578" i="7"/>
  <c r="P578" i="7"/>
  <c r="O578" i="7"/>
  <c r="N578" i="7"/>
  <c r="M578" i="7"/>
  <c r="L578" i="7"/>
  <c r="K578" i="7"/>
  <c r="J578" i="7"/>
  <c r="I578" i="7"/>
  <c r="H578" i="7"/>
  <c r="G578" i="7"/>
  <c r="F578" i="7"/>
  <c r="E578" i="7"/>
  <c r="D578" i="7"/>
  <c r="C578" i="7"/>
  <c r="U578" i="7" s="1"/>
  <c r="B578" i="7"/>
  <c r="R578" i="7" s="1"/>
  <c r="A578" i="7"/>
  <c r="U577" i="7"/>
  <c r="S577" i="7"/>
  <c r="Q577" i="7"/>
  <c r="P577" i="7"/>
  <c r="O577" i="7"/>
  <c r="N577" i="7"/>
  <c r="M577" i="7"/>
  <c r="L577" i="7"/>
  <c r="K577" i="7"/>
  <c r="J577" i="7"/>
  <c r="I577" i="7"/>
  <c r="V577" i="7" s="1"/>
  <c r="H577" i="7"/>
  <c r="G577" i="7"/>
  <c r="F577" i="7"/>
  <c r="T577" i="7" s="1"/>
  <c r="E577" i="7"/>
  <c r="D577" i="7"/>
  <c r="C577" i="7"/>
  <c r="B577" i="7"/>
  <c r="R577" i="7" s="1"/>
  <c r="A577" i="7"/>
  <c r="V576" i="7"/>
  <c r="R576" i="7"/>
  <c r="P576" i="7"/>
  <c r="O576" i="7"/>
  <c r="N576" i="7"/>
  <c r="M576" i="7"/>
  <c r="L576" i="7"/>
  <c r="K576" i="7"/>
  <c r="J576" i="7"/>
  <c r="I576" i="7"/>
  <c r="H576" i="7"/>
  <c r="G576" i="7"/>
  <c r="S576" i="7" s="1"/>
  <c r="F576" i="7"/>
  <c r="T576" i="7" s="1"/>
  <c r="E576" i="7"/>
  <c r="D576" i="7"/>
  <c r="Q576" i="7" s="1"/>
  <c r="C576" i="7"/>
  <c r="U576" i="7" s="1"/>
  <c r="B576" i="7"/>
  <c r="A576" i="7"/>
  <c r="P575" i="7"/>
  <c r="O575" i="7"/>
  <c r="N575" i="7"/>
  <c r="M575" i="7"/>
  <c r="L575" i="7"/>
  <c r="K575" i="7"/>
  <c r="J575" i="7"/>
  <c r="I575" i="7"/>
  <c r="V575" i="7" s="1"/>
  <c r="H575" i="7"/>
  <c r="G575" i="7"/>
  <c r="F575" i="7"/>
  <c r="T575" i="7" s="1"/>
  <c r="E575" i="7"/>
  <c r="D575" i="7"/>
  <c r="Q575" i="7" s="1"/>
  <c r="C575" i="7"/>
  <c r="U575" i="7" s="1"/>
  <c r="B575" i="7"/>
  <c r="R575" i="7" s="1"/>
  <c r="A575" i="7"/>
  <c r="R574" i="7"/>
  <c r="Q574" i="7"/>
  <c r="P574" i="7"/>
  <c r="O574" i="7"/>
  <c r="N574" i="7"/>
  <c r="M574" i="7"/>
  <c r="L574" i="7"/>
  <c r="K574" i="7"/>
  <c r="J574" i="7"/>
  <c r="I574" i="7"/>
  <c r="V574" i="7" s="1"/>
  <c r="H574" i="7"/>
  <c r="G574" i="7"/>
  <c r="F574" i="7"/>
  <c r="T574" i="7" s="1"/>
  <c r="E574" i="7"/>
  <c r="D574" i="7"/>
  <c r="C574" i="7"/>
  <c r="U574" i="7" s="1"/>
  <c r="B574" i="7"/>
  <c r="A574" i="7"/>
  <c r="U573" i="7"/>
  <c r="T573" i="7"/>
  <c r="Q573" i="7"/>
  <c r="P573" i="7"/>
  <c r="O573" i="7"/>
  <c r="N573" i="7"/>
  <c r="M573" i="7"/>
  <c r="L573" i="7"/>
  <c r="K573" i="7"/>
  <c r="J573" i="7"/>
  <c r="I573" i="7"/>
  <c r="V573" i="7" s="1"/>
  <c r="H573" i="7"/>
  <c r="G573" i="7"/>
  <c r="S573" i="7" s="1"/>
  <c r="F573" i="7"/>
  <c r="E573" i="7"/>
  <c r="D573" i="7"/>
  <c r="C573" i="7"/>
  <c r="B573" i="7"/>
  <c r="R573" i="7" s="1"/>
  <c r="A573" i="7"/>
  <c r="T572" i="7"/>
  <c r="S572" i="7"/>
  <c r="Q572" i="7"/>
  <c r="P572" i="7"/>
  <c r="O572" i="7"/>
  <c r="N572" i="7"/>
  <c r="M572" i="7"/>
  <c r="L572" i="7"/>
  <c r="K572" i="7"/>
  <c r="J572" i="7"/>
  <c r="I572" i="7"/>
  <c r="V572" i="7" s="1"/>
  <c r="H572" i="7"/>
  <c r="G572" i="7"/>
  <c r="F572" i="7"/>
  <c r="E572" i="7"/>
  <c r="D572" i="7"/>
  <c r="C572" i="7"/>
  <c r="U572" i="7" s="1"/>
  <c r="B572" i="7"/>
  <c r="R572" i="7" s="1"/>
  <c r="A572" i="7"/>
  <c r="V571" i="7"/>
  <c r="U571" i="7"/>
  <c r="T571" i="7"/>
  <c r="R571" i="7"/>
  <c r="Q571" i="7"/>
  <c r="P571" i="7"/>
  <c r="O571" i="7"/>
  <c r="N571" i="7"/>
  <c r="M571" i="7"/>
  <c r="L571" i="7"/>
  <c r="K571" i="7"/>
  <c r="J571" i="7"/>
  <c r="I571" i="7"/>
  <c r="H571" i="7"/>
  <c r="G571" i="7"/>
  <c r="S571" i="7" s="1"/>
  <c r="F571" i="7"/>
  <c r="E571" i="7"/>
  <c r="D571" i="7"/>
  <c r="C571" i="7"/>
  <c r="B571" i="7"/>
  <c r="A571" i="7"/>
  <c r="V570" i="7"/>
  <c r="S570" i="7"/>
  <c r="R570" i="7"/>
  <c r="Q570" i="7"/>
  <c r="P570" i="7"/>
  <c r="O570" i="7"/>
  <c r="N570" i="7"/>
  <c r="M570" i="7"/>
  <c r="L570" i="7"/>
  <c r="K570" i="7"/>
  <c r="J570" i="7"/>
  <c r="I570" i="7"/>
  <c r="H570" i="7"/>
  <c r="G570" i="7"/>
  <c r="F570" i="7"/>
  <c r="T570" i="7" s="1"/>
  <c r="E570" i="7"/>
  <c r="D570" i="7"/>
  <c r="C570" i="7"/>
  <c r="U570" i="7" s="1"/>
  <c r="B570" i="7"/>
  <c r="A570" i="7"/>
  <c r="V569" i="7"/>
  <c r="U569" i="7"/>
  <c r="T569" i="7"/>
  <c r="P569" i="7"/>
  <c r="O569" i="7"/>
  <c r="N569" i="7"/>
  <c r="M569" i="7"/>
  <c r="L569" i="7"/>
  <c r="K569" i="7"/>
  <c r="J569" i="7"/>
  <c r="I569" i="7"/>
  <c r="H569" i="7"/>
  <c r="G569" i="7"/>
  <c r="F569" i="7"/>
  <c r="E569" i="7"/>
  <c r="D569" i="7"/>
  <c r="Q569" i="7" s="1"/>
  <c r="C569" i="7"/>
  <c r="B569" i="7"/>
  <c r="R569" i="7" s="1"/>
  <c r="A569" i="7"/>
  <c r="R568" i="7"/>
  <c r="P568" i="7"/>
  <c r="O568" i="7"/>
  <c r="N568" i="7"/>
  <c r="M568" i="7"/>
  <c r="L568" i="7"/>
  <c r="K568" i="7"/>
  <c r="J568" i="7"/>
  <c r="I568" i="7"/>
  <c r="V568" i="7" s="1"/>
  <c r="H568" i="7"/>
  <c r="G568" i="7"/>
  <c r="S568" i="7" s="1"/>
  <c r="F568" i="7"/>
  <c r="T568" i="7" s="1"/>
  <c r="E568" i="7"/>
  <c r="D568" i="7"/>
  <c r="Q568" i="7" s="1"/>
  <c r="C568" i="7"/>
  <c r="U568" i="7" s="1"/>
  <c r="B568" i="7"/>
  <c r="A568" i="7"/>
  <c r="U567" i="7"/>
  <c r="T567" i="7"/>
  <c r="R567" i="7"/>
  <c r="Q567" i="7"/>
  <c r="P567" i="7"/>
  <c r="O567" i="7"/>
  <c r="N567" i="7"/>
  <c r="M567" i="7"/>
  <c r="L567" i="7"/>
  <c r="K567" i="7"/>
  <c r="J567" i="7"/>
  <c r="I567" i="7"/>
  <c r="V567" i="7" s="1"/>
  <c r="H567" i="7"/>
  <c r="G567" i="7"/>
  <c r="S567" i="7" s="1"/>
  <c r="F567" i="7"/>
  <c r="E567" i="7"/>
  <c r="D567" i="7"/>
  <c r="C567" i="7"/>
  <c r="B567" i="7"/>
  <c r="A567" i="7"/>
  <c r="V566" i="7"/>
  <c r="S566" i="7"/>
  <c r="Q566" i="7"/>
  <c r="P566" i="7"/>
  <c r="O566" i="7"/>
  <c r="N566" i="7"/>
  <c r="M566" i="7"/>
  <c r="L566" i="7"/>
  <c r="K566" i="7"/>
  <c r="J566" i="7"/>
  <c r="I566" i="7"/>
  <c r="H566" i="7"/>
  <c r="G566" i="7"/>
  <c r="F566" i="7"/>
  <c r="T566" i="7" s="1"/>
  <c r="E566" i="7"/>
  <c r="D566" i="7"/>
  <c r="C566" i="7"/>
  <c r="U566" i="7" s="1"/>
  <c r="B566" i="7"/>
  <c r="R566" i="7" s="1"/>
  <c r="A566" i="7"/>
  <c r="T565" i="7"/>
  <c r="S565" i="7"/>
  <c r="R565" i="7"/>
  <c r="Q565" i="7"/>
  <c r="P565" i="7"/>
  <c r="O565" i="7"/>
  <c r="N565" i="7"/>
  <c r="M565" i="7"/>
  <c r="L565" i="7"/>
  <c r="K565" i="7"/>
  <c r="J565" i="7"/>
  <c r="I565" i="7"/>
  <c r="V565" i="7" s="1"/>
  <c r="H565" i="7"/>
  <c r="G565" i="7"/>
  <c r="F565" i="7"/>
  <c r="E565" i="7"/>
  <c r="D565" i="7"/>
  <c r="C565" i="7"/>
  <c r="U565" i="7" s="1"/>
  <c r="B565" i="7"/>
  <c r="A565" i="7"/>
  <c r="V564" i="7"/>
  <c r="U564" i="7"/>
  <c r="T564" i="7"/>
  <c r="P564" i="7"/>
  <c r="O564" i="7"/>
  <c r="N564" i="7"/>
  <c r="M564" i="7"/>
  <c r="L564" i="7"/>
  <c r="K564" i="7"/>
  <c r="J564" i="7"/>
  <c r="I564" i="7"/>
  <c r="H564" i="7"/>
  <c r="G564" i="7"/>
  <c r="S564" i="7" s="1"/>
  <c r="F564" i="7"/>
  <c r="E564" i="7"/>
  <c r="D564" i="7"/>
  <c r="Q564" i="7" s="1"/>
  <c r="C564" i="7"/>
  <c r="B564" i="7"/>
  <c r="R564" i="7" s="1"/>
  <c r="A564" i="7"/>
  <c r="V563" i="7"/>
  <c r="R563" i="7"/>
  <c r="P563" i="7"/>
  <c r="O563" i="7"/>
  <c r="N563" i="7"/>
  <c r="M563" i="7"/>
  <c r="L563" i="7"/>
  <c r="K563" i="7"/>
  <c r="J563" i="7"/>
  <c r="I563" i="7"/>
  <c r="H563" i="7"/>
  <c r="G563" i="7"/>
  <c r="S563" i="7" s="1"/>
  <c r="F563" i="7"/>
  <c r="T563" i="7" s="1"/>
  <c r="E563" i="7"/>
  <c r="D563" i="7"/>
  <c r="Q563" i="7" s="1"/>
  <c r="C563" i="7"/>
  <c r="U563" i="7" s="1"/>
  <c r="B563" i="7"/>
  <c r="A563" i="7"/>
  <c r="T562" i="7"/>
  <c r="R562" i="7"/>
  <c r="Q562" i="7"/>
  <c r="P562" i="7"/>
  <c r="O562" i="7"/>
  <c r="N562" i="7"/>
  <c r="M562" i="7"/>
  <c r="L562" i="7"/>
  <c r="K562" i="7"/>
  <c r="J562" i="7"/>
  <c r="I562" i="7"/>
  <c r="V562" i="7" s="1"/>
  <c r="H562" i="7"/>
  <c r="G562" i="7"/>
  <c r="F562" i="7"/>
  <c r="E562" i="7"/>
  <c r="D562" i="7"/>
  <c r="C562" i="7"/>
  <c r="U562" i="7" s="1"/>
  <c r="B562" i="7"/>
  <c r="A562" i="7"/>
  <c r="V561" i="7"/>
  <c r="S561" i="7"/>
  <c r="R561" i="7"/>
  <c r="P561" i="7"/>
  <c r="O561" i="7"/>
  <c r="N561" i="7"/>
  <c r="M561" i="7"/>
  <c r="L561" i="7"/>
  <c r="K561" i="7"/>
  <c r="J561" i="7"/>
  <c r="I561" i="7"/>
  <c r="H561" i="7"/>
  <c r="G561" i="7"/>
  <c r="F561" i="7"/>
  <c r="T561" i="7" s="1"/>
  <c r="E561" i="7"/>
  <c r="D561" i="7"/>
  <c r="Q561" i="7" s="1"/>
  <c r="C561" i="7"/>
  <c r="U561" i="7" s="1"/>
  <c r="B561" i="7"/>
  <c r="A561" i="7"/>
  <c r="V560" i="7"/>
  <c r="T560" i="7"/>
  <c r="P560" i="7"/>
  <c r="O560" i="7"/>
  <c r="N560" i="7"/>
  <c r="M560" i="7"/>
  <c r="L560" i="7"/>
  <c r="K560" i="7"/>
  <c r="J560" i="7"/>
  <c r="I560" i="7"/>
  <c r="H560" i="7"/>
  <c r="G560" i="7"/>
  <c r="S560" i="7" s="1"/>
  <c r="F560" i="7"/>
  <c r="E560" i="7"/>
  <c r="D560" i="7"/>
  <c r="Q560" i="7" s="1"/>
  <c r="C560" i="7"/>
  <c r="U560" i="7" s="1"/>
  <c r="B560" i="7"/>
  <c r="R560" i="7" s="1"/>
  <c r="A560" i="7"/>
  <c r="U559" i="7"/>
  <c r="T559" i="7"/>
  <c r="R559" i="7"/>
  <c r="P559" i="7"/>
  <c r="O559" i="7"/>
  <c r="N559" i="7"/>
  <c r="M559" i="7"/>
  <c r="L559" i="7"/>
  <c r="K559" i="7"/>
  <c r="J559" i="7"/>
  <c r="I559" i="7"/>
  <c r="V559" i="7" s="1"/>
  <c r="H559" i="7"/>
  <c r="G559" i="7"/>
  <c r="S559" i="7" s="1"/>
  <c r="F559" i="7"/>
  <c r="E559" i="7"/>
  <c r="D559" i="7"/>
  <c r="Q559" i="7" s="1"/>
  <c r="C559" i="7"/>
  <c r="B559" i="7"/>
  <c r="A559" i="7"/>
  <c r="S558" i="7"/>
  <c r="R558" i="7"/>
  <c r="Q558" i="7"/>
  <c r="P558" i="7"/>
  <c r="O558" i="7"/>
  <c r="N558" i="7"/>
  <c r="M558" i="7"/>
  <c r="L558" i="7"/>
  <c r="K558" i="7"/>
  <c r="J558" i="7"/>
  <c r="I558" i="7"/>
  <c r="V558" i="7" s="1"/>
  <c r="H558" i="7"/>
  <c r="G558" i="7"/>
  <c r="F558" i="7"/>
  <c r="T558" i="7" s="1"/>
  <c r="E558" i="7"/>
  <c r="D558" i="7"/>
  <c r="C558" i="7"/>
  <c r="U558" i="7" s="1"/>
  <c r="B558" i="7"/>
  <c r="A558" i="7"/>
  <c r="V557" i="7"/>
  <c r="T557" i="7"/>
  <c r="P557" i="7"/>
  <c r="O557" i="7"/>
  <c r="N557" i="7"/>
  <c r="M557" i="7"/>
  <c r="L557" i="7"/>
  <c r="K557" i="7"/>
  <c r="J557" i="7"/>
  <c r="I557" i="7"/>
  <c r="H557" i="7"/>
  <c r="G557" i="7"/>
  <c r="S557" i="7" s="1"/>
  <c r="F557" i="7"/>
  <c r="E557" i="7"/>
  <c r="D557" i="7"/>
  <c r="Q557" i="7" s="1"/>
  <c r="C557" i="7"/>
  <c r="U557" i="7" s="1"/>
  <c r="B557" i="7"/>
  <c r="R557" i="7" s="1"/>
  <c r="A557" i="7"/>
  <c r="S556" i="7"/>
  <c r="R556" i="7"/>
  <c r="Q556" i="7"/>
  <c r="P556" i="7"/>
  <c r="O556" i="7"/>
  <c r="N556" i="7"/>
  <c r="M556" i="7"/>
  <c r="L556" i="7"/>
  <c r="K556" i="7"/>
  <c r="J556" i="7"/>
  <c r="I556" i="7"/>
  <c r="V556" i="7" s="1"/>
  <c r="H556" i="7"/>
  <c r="G556" i="7"/>
  <c r="F556" i="7"/>
  <c r="T556" i="7" s="1"/>
  <c r="E556" i="7"/>
  <c r="D556" i="7"/>
  <c r="C556" i="7"/>
  <c r="U556" i="7" s="1"/>
  <c r="B556" i="7"/>
  <c r="A556" i="7"/>
  <c r="T555" i="7"/>
  <c r="S555" i="7"/>
  <c r="R555" i="7"/>
  <c r="Q555" i="7"/>
  <c r="P555" i="7"/>
  <c r="O555" i="7"/>
  <c r="N555" i="7"/>
  <c r="M555" i="7"/>
  <c r="L555" i="7"/>
  <c r="K555" i="7"/>
  <c r="J555" i="7"/>
  <c r="I555" i="7"/>
  <c r="V555" i="7" s="1"/>
  <c r="H555" i="7"/>
  <c r="G555" i="7"/>
  <c r="F555" i="7"/>
  <c r="E555" i="7"/>
  <c r="D555" i="7"/>
  <c r="C555" i="7"/>
  <c r="U555" i="7" s="1"/>
  <c r="B555" i="7"/>
  <c r="A555" i="7"/>
  <c r="V554" i="7"/>
  <c r="T554" i="7"/>
  <c r="R554" i="7"/>
  <c r="P554" i="7"/>
  <c r="O554" i="7"/>
  <c r="N554" i="7"/>
  <c r="M554" i="7"/>
  <c r="L554" i="7"/>
  <c r="K554" i="7"/>
  <c r="J554" i="7"/>
  <c r="I554" i="7"/>
  <c r="H554" i="7"/>
  <c r="S554" i="7" s="1"/>
  <c r="G554" i="7"/>
  <c r="F554" i="7"/>
  <c r="E554" i="7"/>
  <c r="D554" i="7"/>
  <c r="Q554" i="7" s="1"/>
  <c r="C554" i="7"/>
  <c r="U554" i="7" s="1"/>
  <c r="B554" i="7"/>
  <c r="A554" i="7"/>
  <c r="V553" i="7"/>
  <c r="S553" i="7"/>
  <c r="R553" i="7"/>
  <c r="P553" i="7"/>
  <c r="O553" i="7"/>
  <c r="N553" i="7"/>
  <c r="M553" i="7"/>
  <c r="L553" i="7"/>
  <c r="K553" i="7"/>
  <c r="J553" i="7"/>
  <c r="I553" i="7"/>
  <c r="H553" i="7"/>
  <c r="G553" i="7"/>
  <c r="F553" i="7"/>
  <c r="T553" i="7" s="1"/>
  <c r="E553" i="7"/>
  <c r="D553" i="7"/>
  <c r="Q553" i="7" s="1"/>
  <c r="C553" i="7"/>
  <c r="U553" i="7" s="1"/>
  <c r="B553" i="7"/>
  <c r="A553" i="7"/>
  <c r="U552" i="7"/>
  <c r="R552" i="7"/>
  <c r="P552" i="7"/>
  <c r="O552" i="7"/>
  <c r="N552" i="7"/>
  <c r="M552" i="7"/>
  <c r="L552" i="7"/>
  <c r="K552" i="7"/>
  <c r="J552" i="7"/>
  <c r="I552" i="7"/>
  <c r="V552" i="7" s="1"/>
  <c r="H552" i="7"/>
  <c r="G552" i="7"/>
  <c r="S552" i="7" s="1"/>
  <c r="F552" i="7"/>
  <c r="T552" i="7" s="1"/>
  <c r="E552" i="7"/>
  <c r="D552" i="7"/>
  <c r="Q552" i="7" s="1"/>
  <c r="C552" i="7"/>
  <c r="B552" i="7"/>
  <c r="A552" i="7"/>
  <c r="V551" i="7"/>
  <c r="U551" i="7"/>
  <c r="T551" i="7"/>
  <c r="R551" i="7"/>
  <c r="Q551" i="7"/>
  <c r="P551" i="7"/>
  <c r="O551" i="7"/>
  <c r="N551" i="7"/>
  <c r="M551" i="7"/>
  <c r="L551" i="7"/>
  <c r="K551" i="7"/>
  <c r="J551" i="7"/>
  <c r="I551" i="7"/>
  <c r="H551" i="7"/>
  <c r="G551" i="7"/>
  <c r="S551" i="7" s="1"/>
  <c r="F551" i="7"/>
  <c r="E551" i="7"/>
  <c r="D551" i="7"/>
  <c r="C551" i="7"/>
  <c r="B551" i="7"/>
  <c r="A551" i="7"/>
  <c r="U550" i="7"/>
  <c r="T550" i="7"/>
  <c r="S550" i="7"/>
  <c r="Q550" i="7"/>
  <c r="P550" i="7"/>
  <c r="O550" i="7"/>
  <c r="N550" i="7"/>
  <c r="M550" i="7"/>
  <c r="L550" i="7"/>
  <c r="K550" i="7"/>
  <c r="J550" i="7"/>
  <c r="I550" i="7"/>
  <c r="V550" i="7" s="1"/>
  <c r="H550" i="7"/>
  <c r="G550" i="7"/>
  <c r="F550" i="7"/>
  <c r="E550" i="7"/>
  <c r="D550" i="7"/>
  <c r="C550" i="7"/>
  <c r="B550" i="7"/>
  <c r="R550" i="7" s="1"/>
  <c r="A550" i="7"/>
  <c r="T549" i="7"/>
  <c r="S549" i="7"/>
  <c r="P549" i="7"/>
  <c r="O549" i="7"/>
  <c r="N549" i="7"/>
  <c r="M549" i="7"/>
  <c r="L549" i="7"/>
  <c r="K549" i="7"/>
  <c r="J549" i="7"/>
  <c r="I549" i="7"/>
  <c r="V549" i="7" s="1"/>
  <c r="H549" i="7"/>
  <c r="G549" i="7"/>
  <c r="F549" i="7"/>
  <c r="E549" i="7"/>
  <c r="D549" i="7"/>
  <c r="Q549" i="7" s="1"/>
  <c r="C549" i="7"/>
  <c r="U549" i="7" s="1"/>
  <c r="B549" i="7"/>
  <c r="R549" i="7" s="1"/>
  <c r="A549" i="7"/>
  <c r="U548" i="7"/>
  <c r="T548" i="7"/>
  <c r="S548" i="7"/>
  <c r="Q548" i="7"/>
  <c r="P548" i="7"/>
  <c r="O548" i="7"/>
  <c r="N548" i="7"/>
  <c r="M548" i="7"/>
  <c r="L548" i="7"/>
  <c r="K548" i="7"/>
  <c r="J548" i="7"/>
  <c r="I548" i="7"/>
  <c r="V548" i="7" s="1"/>
  <c r="H548" i="7"/>
  <c r="G548" i="7"/>
  <c r="F548" i="7"/>
  <c r="E548" i="7"/>
  <c r="D548" i="7"/>
  <c r="C548" i="7"/>
  <c r="B548" i="7"/>
  <c r="R548" i="7" s="1"/>
  <c r="A548" i="7"/>
  <c r="T547" i="7"/>
  <c r="S547" i="7"/>
  <c r="R547" i="7"/>
  <c r="Q547" i="7"/>
  <c r="P547" i="7"/>
  <c r="O547" i="7"/>
  <c r="N547" i="7"/>
  <c r="M547" i="7"/>
  <c r="L547" i="7"/>
  <c r="K547" i="7"/>
  <c r="J547" i="7"/>
  <c r="I547" i="7"/>
  <c r="V547" i="7" s="1"/>
  <c r="H547" i="7"/>
  <c r="G547" i="7"/>
  <c r="F547" i="7"/>
  <c r="E547" i="7"/>
  <c r="D547" i="7"/>
  <c r="C547" i="7"/>
  <c r="U547" i="7" s="1"/>
  <c r="B547" i="7"/>
  <c r="A547" i="7"/>
  <c r="V546" i="7"/>
  <c r="T546" i="7"/>
  <c r="S546" i="7"/>
  <c r="P546" i="7"/>
  <c r="O546" i="7"/>
  <c r="N546" i="7"/>
  <c r="M546" i="7"/>
  <c r="L546" i="7"/>
  <c r="K546" i="7"/>
  <c r="J546" i="7"/>
  <c r="I546" i="7"/>
  <c r="H546" i="7"/>
  <c r="G546" i="7"/>
  <c r="F546" i="7"/>
  <c r="E546" i="7"/>
  <c r="D546" i="7"/>
  <c r="Q546" i="7" s="1"/>
  <c r="C546" i="7"/>
  <c r="U546" i="7" s="1"/>
  <c r="B546" i="7"/>
  <c r="R546" i="7" s="1"/>
  <c r="A546" i="7"/>
  <c r="V545" i="7"/>
  <c r="R545" i="7"/>
  <c r="P545" i="7"/>
  <c r="O545" i="7"/>
  <c r="N545" i="7"/>
  <c r="M545" i="7"/>
  <c r="L545" i="7"/>
  <c r="K545" i="7"/>
  <c r="J545" i="7"/>
  <c r="I545" i="7"/>
  <c r="H545" i="7"/>
  <c r="G545" i="7"/>
  <c r="S545" i="7" s="1"/>
  <c r="F545" i="7"/>
  <c r="T545" i="7" s="1"/>
  <c r="E545" i="7"/>
  <c r="D545" i="7"/>
  <c r="Q545" i="7" s="1"/>
  <c r="C545" i="7"/>
  <c r="U545" i="7" s="1"/>
  <c r="B545" i="7"/>
  <c r="A545" i="7"/>
  <c r="U544" i="7"/>
  <c r="P544" i="7"/>
  <c r="O544" i="7"/>
  <c r="N544" i="7"/>
  <c r="M544" i="7"/>
  <c r="L544" i="7"/>
  <c r="K544" i="7"/>
  <c r="J544" i="7"/>
  <c r="I544" i="7"/>
  <c r="V544" i="7" s="1"/>
  <c r="H544" i="7"/>
  <c r="G544" i="7"/>
  <c r="S544" i="7" s="1"/>
  <c r="F544" i="7"/>
  <c r="T544" i="7" s="1"/>
  <c r="E544" i="7"/>
  <c r="D544" i="7"/>
  <c r="Q544" i="7" s="1"/>
  <c r="C544" i="7"/>
  <c r="B544" i="7"/>
  <c r="R544" i="7" s="1"/>
  <c r="A544" i="7"/>
  <c r="U543" i="7"/>
  <c r="R543" i="7"/>
  <c r="Q543" i="7"/>
  <c r="P543" i="7"/>
  <c r="O543" i="7"/>
  <c r="N543" i="7"/>
  <c r="M543" i="7"/>
  <c r="L543" i="7"/>
  <c r="K543" i="7"/>
  <c r="J543" i="7"/>
  <c r="I543" i="7"/>
  <c r="V543" i="7" s="1"/>
  <c r="H543" i="7"/>
  <c r="S543" i="7" s="1"/>
  <c r="G543" i="7"/>
  <c r="F543" i="7"/>
  <c r="T543" i="7" s="1"/>
  <c r="E543" i="7"/>
  <c r="D543" i="7"/>
  <c r="C543" i="7"/>
  <c r="B543" i="7"/>
  <c r="A543" i="7"/>
  <c r="V542" i="7"/>
  <c r="U542" i="7"/>
  <c r="T542" i="7"/>
  <c r="R542" i="7"/>
  <c r="Q542" i="7"/>
  <c r="P542" i="7"/>
  <c r="O542" i="7"/>
  <c r="N542" i="7"/>
  <c r="M542" i="7"/>
  <c r="L542" i="7"/>
  <c r="K542" i="7"/>
  <c r="J542" i="7"/>
  <c r="I542" i="7"/>
  <c r="H542" i="7"/>
  <c r="S542" i="7" s="1"/>
  <c r="G542" i="7"/>
  <c r="F542" i="7"/>
  <c r="E542" i="7"/>
  <c r="D542" i="7"/>
  <c r="C542" i="7"/>
  <c r="B542" i="7"/>
  <c r="A542" i="7"/>
  <c r="V541" i="7"/>
  <c r="T541" i="7"/>
  <c r="S541" i="7"/>
  <c r="P541" i="7"/>
  <c r="O541" i="7"/>
  <c r="N541" i="7"/>
  <c r="M541" i="7"/>
  <c r="L541" i="7"/>
  <c r="K541" i="7"/>
  <c r="J541" i="7"/>
  <c r="I541" i="7"/>
  <c r="H541" i="7"/>
  <c r="G541" i="7"/>
  <c r="F541" i="7"/>
  <c r="E541" i="7"/>
  <c r="D541" i="7"/>
  <c r="Q541" i="7" s="1"/>
  <c r="C541" i="7"/>
  <c r="U541" i="7" s="1"/>
  <c r="B541" i="7"/>
  <c r="R541" i="7" s="1"/>
  <c r="A541" i="7"/>
  <c r="V540" i="7"/>
  <c r="T540" i="7"/>
  <c r="P540" i="7"/>
  <c r="O540" i="7"/>
  <c r="N540" i="7"/>
  <c r="M540" i="7"/>
  <c r="L540" i="7"/>
  <c r="K540" i="7"/>
  <c r="J540" i="7"/>
  <c r="I540" i="7"/>
  <c r="H540" i="7"/>
  <c r="G540" i="7"/>
  <c r="S540" i="7" s="1"/>
  <c r="F540" i="7"/>
  <c r="E540" i="7"/>
  <c r="D540" i="7"/>
  <c r="Q540" i="7" s="1"/>
  <c r="C540" i="7"/>
  <c r="U540" i="7" s="1"/>
  <c r="B540" i="7"/>
  <c r="R540" i="7" s="1"/>
  <c r="A540" i="7"/>
  <c r="T539" i="7"/>
  <c r="P539" i="7"/>
  <c r="O539" i="7"/>
  <c r="N539" i="7"/>
  <c r="M539" i="7"/>
  <c r="L539" i="7"/>
  <c r="K539" i="7"/>
  <c r="J539" i="7"/>
  <c r="I539" i="7"/>
  <c r="V539" i="7" s="1"/>
  <c r="H539" i="7"/>
  <c r="G539" i="7"/>
  <c r="S539" i="7" s="1"/>
  <c r="F539" i="7"/>
  <c r="E539" i="7"/>
  <c r="D539" i="7"/>
  <c r="Q539" i="7" s="1"/>
  <c r="C539" i="7"/>
  <c r="U539" i="7" s="1"/>
  <c r="B539" i="7"/>
  <c r="R539" i="7" s="1"/>
  <c r="A539" i="7"/>
  <c r="S538" i="7"/>
  <c r="R538" i="7"/>
  <c r="Q538" i="7"/>
  <c r="P538" i="7"/>
  <c r="O538" i="7"/>
  <c r="N538" i="7"/>
  <c r="M538" i="7"/>
  <c r="L538" i="7"/>
  <c r="K538" i="7"/>
  <c r="J538" i="7"/>
  <c r="I538" i="7"/>
  <c r="V538" i="7" s="1"/>
  <c r="H538" i="7"/>
  <c r="G538" i="7"/>
  <c r="F538" i="7"/>
  <c r="T538" i="7" s="1"/>
  <c r="E538" i="7"/>
  <c r="D538" i="7"/>
  <c r="C538" i="7"/>
  <c r="U538" i="7" s="1"/>
  <c r="B538" i="7"/>
  <c r="A538" i="7"/>
  <c r="V537" i="7"/>
  <c r="T537" i="7"/>
  <c r="S537" i="7"/>
  <c r="R537" i="7"/>
  <c r="Q537" i="7"/>
  <c r="P537" i="7"/>
  <c r="O537" i="7"/>
  <c r="N537" i="7"/>
  <c r="M537" i="7"/>
  <c r="L537" i="7"/>
  <c r="K537" i="7"/>
  <c r="J537" i="7"/>
  <c r="I537" i="7"/>
  <c r="H537" i="7"/>
  <c r="G537" i="7"/>
  <c r="F537" i="7"/>
  <c r="E537" i="7"/>
  <c r="D537" i="7"/>
  <c r="C537" i="7"/>
  <c r="U537" i="7" s="1"/>
  <c r="B537" i="7"/>
  <c r="A537" i="7"/>
  <c r="V536" i="7"/>
  <c r="U536" i="7"/>
  <c r="R536" i="7"/>
  <c r="P536" i="7"/>
  <c r="O536" i="7"/>
  <c r="N536" i="7"/>
  <c r="M536" i="7"/>
  <c r="L536" i="7"/>
  <c r="K536" i="7"/>
  <c r="J536" i="7"/>
  <c r="I536" i="7"/>
  <c r="H536" i="7"/>
  <c r="G536" i="7"/>
  <c r="F536" i="7"/>
  <c r="T536" i="7" s="1"/>
  <c r="E536" i="7"/>
  <c r="D536" i="7"/>
  <c r="Q536" i="7" s="1"/>
  <c r="C536" i="7"/>
  <c r="B536" i="7"/>
  <c r="A536" i="7"/>
  <c r="Q535" i="7"/>
  <c r="P535" i="7"/>
  <c r="O535" i="7"/>
  <c r="N535" i="7"/>
  <c r="M535" i="7"/>
  <c r="L535" i="7"/>
  <c r="K535" i="7"/>
  <c r="J535" i="7"/>
  <c r="I535" i="7"/>
  <c r="V535" i="7" s="1"/>
  <c r="H535" i="7"/>
  <c r="G535" i="7"/>
  <c r="F535" i="7"/>
  <c r="T535" i="7" s="1"/>
  <c r="E535" i="7"/>
  <c r="D535" i="7"/>
  <c r="C535" i="7"/>
  <c r="U535" i="7" s="1"/>
  <c r="B535" i="7"/>
  <c r="R535" i="7" s="1"/>
  <c r="A535" i="7"/>
  <c r="U534" i="7"/>
  <c r="S534" i="7"/>
  <c r="R534" i="7"/>
  <c r="P534" i="7"/>
  <c r="O534" i="7"/>
  <c r="N534" i="7"/>
  <c r="M534" i="7"/>
  <c r="L534" i="7"/>
  <c r="K534" i="7"/>
  <c r="J534" i="7"/>
  <c r="I534" i="7"/>
  <c r="V534" i="7" s="1"/>
  <c r="H534" i="7"/>
  <c r="G534" i="7"/>
  <c r="F534" i="7"/>
  <c r="T534" i="7" s="1"/>
  <c r="E534" i="7"/>
  <c r="D534" i="7"/>
  <c r="Q534" i="7" s="1"/>
  <c r="C534" i="7"/>
  <c r="B534" i="7"/>
  <c r="A534" i="7"/>
  <c r="T533" i="7"/>
  <c r="Q533" i="7"/>
  <c r="P533" i="7"/>
  <c r="O533" i="7"/>
  <c r="N533" i="7"/>
  <c r="M533" i="7"/>
  <c r="L533" i="7"/>
  <c r="K533" i="7"/>
  <c r="J533" i="7"/>
  <c r="I533" i="7"/>
  <c r="V533" i="7" s="1"/>
  <c r="H533" i="7"/>
  <c r="G533" i="7"/>
  <c r="F533" i="7"/>
  <c r="E533" i="7"/>
  <c r="D533" i="7"/>
  <c r="C533" i="7"/>
  <c r="U533" i="7" s="1"/>
  <c r="B533" i="7"/>
  <c r="R533" i="7" s="1"/>
  <c r="A533" i="7"/>
  <c r="T532" i="7"/>
  <c r="S532" i="7"/>
  <c r="Q532" i="7"/>
  <c r="P532" i="7"/>
  <c r="O532" i="7"/>
  <c r="N532" i="7"/>
  <c r="M532" i="7"/>
  <c r="L532" i="7"/>
  <c r="K532" i="7"/>
  <c r="J532" i="7"/>
  <c r="I532" i="7"/>
  <c r="V532" i="7" s="1"/>
  <c r="H532" i="7"/>
  <c r="G532" i="7"/>
  <c r="F532" i="7"/>
  <c r="E532" i="7"/>
  <c r="D532" i="7"/>
  <c r="C532" i="7"/>
  <c r="U532" i="7" s="1"/>
  <c r="B532" i="7"/>
  <c r="R532" i="7" s="1"/>
  <c r="A532" i="7"/>
  <c r="V531" i="7"/>
  <c r="Q531" i="7"/>
  <c r="P531" i="7"/>
  <c r="O531" i="7"/>
  <c r="N531" i="7"/>
  <c r="M531" i="7"/>
  <c r="L531" i="7"/>
  <c r="K531" i="7"/>
  <c r="J531" i="7"/>
  <c r="I531" i="7"/>
  <c r="H531" i="7"/>
  <c r="G531" i="7"/>
  <c r="S531" i="7" s="1"/>
  <c r="F531" i="7"/>
  <c r="T531" i="7" s="1"/>
  <c r="E531" i="7"/>
  <c r="D531" i="7"/>
  <c r="C531" i="7"/>
  <c r="U531" i="7" s="1"/>
  <c r="B531" i="7"/>
  <c r="R531" i="7" s="1"/>
  <c r="A531" i="7"/>
  <c r="U530" i="7"/>
  <c r="T530" i="7"/>
  <c r="P530" i="7"/>
  <c r="O530" i="7"/>
  <c r="N530" i="7"/>
  <c r="M530" i="7"/>
  <c r="L530" i="7"/>
  <c r="K530" i="7"/>
  <c r="J530" i="7"/>
  <c r="I530" i="7"/>
  <c r="V530" i="7" s="1"/>
  <c r="H530" i="7"/>
  <c r="G530" i="7"/>
  <c r="S530" i="7" s="1"/>
  <c r="F530" i="7"/>
  <c r="E530" i="7"/>
  <c r="D530" i="7"/>
  <c r="Q530" i="7" s="1"/>
  <c r="C530" i="7"/>
  <c r="B530" i="7"/>
  <c r="R530" i="7" s="1"/>
  <c r="A530" i="7"/>
  <c r="Q529" i="7"/>
  <c r="P529" i="7"/>
  <c r="O529" i="7"/>
  <c r="N529" i="7"/>
  <c r="M529" i="7"/>
  <c r="L529" i="7"/>
  <c r="K529" i="7"/>
  <c r="J529" i="7"/>
  <c r="I529" i="7"/>
  <c r="V529" i="7" s="1"/>
  <c r="H529" i="7"/>
  <c r="G529" i="7"/>
  <c r="F529" i="7"/>
  <c r="T529" i="7" s="1"/>
  <c r="E529" i="7"/>
  <c r="D529" i="7"/>
  <c r="C529" i="7"/>
  <c r="U529" i="7" s="1"/>
  <c r="B529" i="7"/>
  <c r="R529" i="7" s="1"/>
  <c r="A529" i="7"/>
  <c r="R528" i="7"/>
  <c r="Q528" i="7"/>
  <c r="P528" i="7"/>
  <c r="O528" i="7"/>
  <c r="N528" i="7"/>
  <c r="M528" i="7"/>
  <c r="L528" i="7"/>
  <c r="K528" i="7"/>
  <c r="J528" i="7"/>
  <c r="I528" i="7"/>
  <c r="V528" i="7" s="1"/>
  <c r="H528" i="7"/>
  <c r="G528" i="7"/>
  <c r="S528" i="7" s="1"/>
  <c r="F528" i="7"/>
  <c r="T528" i="7" s="1"/>
  <c r="E528" i="7"/>
  <c r="D528" i="7"/>
  <c r="C528" i="7"/>
  <c r="U528" i="7" s="1"/>
  <c r="B528" i="7"/>
  <c r="A528" i="7"/>
  <c r="S527" i="7"/>
  <c r="R527" i="7"/>
  <c r="Q527" i="7"/>
  <c r="P527" i="7"/>
  <c r="O527" i="7"/>
  <c r="N527" i="7"/>
  <c r="M527" i="7"/>
  <c r="L527" i="7"/>
  <c r="K527" i="7"/>
  <c r="J527" i="7"/>
  <c r="I527" i="7"/>
  <c r="V527" i="7" s="1"/>
  <c r="H527" i="7"/>
  <c r="G527" i="7"/>
  <c r="F527" i="7"/>
  <c r="T527" i="7" s="1"/>
  <c r="E527" i="7"/>
  <c r="D527" i="7"/>
  <c r="C527" i="7"/>
  <c r="U527" i="7" s="1"/>
  <c r="B527" i="7"/>
  <c r="A527" i="7"/>
  <c r="V526" i="7"/>
  <c r="T526" i="7"/>
  <c r="S526" i="7"/>
  <c r="R526" i="7"/>
  <c r="Q526" i="7"/>
  <c r="P526" i="7"/>
  <c r="O526" i="7"/>
  <c r="N526" i="7"/>
  <c r="M526" i="7"/>
  <c r="L526" i="7"/>
  <c r="K526" i="7"/>
  <c r="J526" i="7"/>
  <c r="I526" i="7"/>
  <c r="H526" i="7"/>
  <c r="G526" i="7"/>
  <c r="F526" i="7"/>
  <c r="E526" i="7"/>
  <c r="D526" i="7"/>
  <c r="C526" i="7"/>
  <c r="U526" i="7" s="1"/>
  <c r="B526" i="7"/>
  <c r="A526" i="7"/>
  <c r="V525" i="7"/>
  <c r="U525" i="7"/>
  <c r="S525" i="7"/>
  <c r="R525" i="7"/>
  <c r="Q525" i="7"/>
  <c r="P525" i="7"/>
  <c r="O525" i="7"/>
  <c r="N525" i="7"/>
  <c r="M525" i="7"/>
  <c r="L525" i="7"/>
  <c r="K525" i="7"/>
  <c r="J525" i="7"/>
  <c r="I525" i="7"/>
  <c r="H525" i="7"/>
  <c r="G525" i="7"/>
  <c r="F525" i="7"/>
  <c r="T525" i="7" s="1"/>
  <c r="E525" i="7"/>
  <c r="D525" i="7"/>
  <c r="C525" i="7"/>
  <c r="B525" i="7"/>
  <c r="A525" i="7"/>
  <c r="V524" i="7"/>
  <c r="U524" i="7"/>
  <c r="T524" i="7"/>
  <c r="P524" i="7"/>
  <c r="O524" i="7"/>
  <c r="N524" i="7"/>
  <c r="M524" i="7"/>
  <c r="L524" i="7"/>
  <c r="K524" i="7"/>
  <c r="J524" i="7"/>
  <c r="I524" i="7"/>
  <c r="H524" i="7"/>
  <c r="G524" i="7"/>
  <c r="F524" i="7"/>
  <c r="E524" i="7"/>
  <c r="D524" i="7"/>
  <c r="Q524" i="7" s="1"/>
  <c r="C524" i="7"/>
  <c r="B524" i="7"/>
  <c r="R524" i="7" s="1"/>
  <c r="A524" i="7"/>
  <c r="U523" i="7"/>
  <c r="R523" i="7"/>
  <c r="Q523" i="7"/>
  <c r="P523" i="7"/>
  <c r="O523" i="7"/>
  <c r="N523" i="7"/>
  <c r="M523" i="7"/>
  <c r="L523" i="7"/>
  <c r="K523" i="7"/>
  <c r="J523" i="7"/>
  <c r="I523" i="7"/>
  <c r="V523" i="7" s="1"/>
  <c r="H523" i="7"/>
  <c r="G523" i="7"/>
  <c r="S523" i="7" s="1"/>
  <c r="F523" i="7"/>
  <c r="T523" i="7" s="1"/>
  <c r="E523" i="7"/>
  <c r="D523" i="7"/>
  <c r="C523" i="7"/>
  <c r="B523" i="7"/>
  <c r="A523" i="7"/>
  <c r="V522" i="7"/>
  <c r="P522" i="7"/>
  <c r="O522" i="7"/>
  <c r="N522" i="7"/>
  <c r="M522" i="7"/>
  <c r="L522" i="7"/>
  <c r="K522" i="7"/>
  <c r="J522" i="7"/>
  <c r="I522" i="7"/>
  <c r="H522" i="7"/>
  <c r="G522" i="7"/>
  <c r="S522" i="7" s="1"/>
  <c r="F522" i="7"/>
  <c r="T522" i="7" s="1"/>
  <c r="E522" i="7"/>
  <c r="D522" i="7"/>
  <c r="Q522" i="7" s="1"/>
  <c r="C522" i="7"/>
  <c r="U522" i="7" s="1"/>
  <c r="B522" i="7"/>
  <c r="R522" i="7" s="1"/>
  <c r="A522" i="7"/>
  <c r="U521" i="7"/>
  <c r="P521" i="7"/>
  <c r="O521" i="7"/>
  <c r="N521" i="7"/>
  <c r="M521" i="7"/>
  <c r="L521" i="7"/>
  <c r="K521" i="7"/>
  <c r="J521" i="7"/>
  <c r="I521" i="7"/>
  <c r="V521" i="7" s="1"/>
  <c r="H521" i="7"/>
  <c r="G521" i="7"/>
  <c r="S521" i="7" s="1"/>
  <c r="F521" i="7"/>
  <c r="T521" i="7" s="1"/>
  <c r="E521" i="7"/>
  <c r="D521" i="7"/>
  <c r="Q521" i="7" s="1"/>
  <c r="C521" i="7"/>
  <c r="B521" i="7"/>
  <c r="R521" i="7" s="1"/>
  <c r="A521" i="7"/>
  <c r="T520" i="7"/>
  <c r="R520" i="7"/>
  <c r="Q520" i="7"/>
  <c r="P520" i="7"/>
  <c r="O520" i="7"/>
  <c r="N520" i="7"/>
  <c r="M520" i="7"/>
  <c r="L520" i="7"/>
  <c r="K520" i="7"/>
  <c r="J520" i="7"/>
  <c r="I520" i="7"/>
  <c r="V520" i="7" s="1"/>
  <c r="H520" i="7"/>
  <c r="G520" i="7"/>
  <c r="S520" i="7" s="1"/>
  <c r="F520" i="7"/>
  <c r="E520" i="7"/>
  <c r="D520" i="7"/>
  <c r="C520" i="7"/>
  <c r="U520" i="7" s="1"/>
  <c r="B520" i="7"/>
  <c r="A520" i="7"/>
  <c r="V519" i="7"/>
  <c r="U519" i="7"/>
  <c r="T519" i="7"/>
  <c r="Q519" i="7"/>
  <c r="P519" i="7"/>
  <c r="O519" i="7"/>
  <c r="N519" i="7"/>
  <c r="M519" i="7"/>
  <c r="L519" i="7"/>
  <c r="K519" i="7"/>
  <c r="J519" i="7"/>
  <c r="I519" i="7"/>
  <c r="H519" i="7"/>
  <c r="G519" i="7"/>
  <c r="S519" i="7" s="1"/>
  <c r="F519" i="7"/>
  <c r="E519" i="7"/>
  <c r="D519" i="7"/>
  <c r="C519" i="7"/>
  <c r="B519" i="7"/>
  <c r="R519" i="7" s="1"/>
  <c r="A519" i="7"/>
  <c r="T518" i="7"/>
  <c r="S518" i="7"/>
  <c r="R518" i="7"/>
  <c r="Q518" i="7"/>
  <c r="P518" i="7"/>
  <c r="O518" i="7"/>
  <c r="N518" i="7"/>
  <c r="M518" i="7"/>
  <c r="L518" i="7"/>
  <c r="K518" i="7"/>
  <c r="J518" i="7"/>
  <c r="I518" i="7"/>
  <c r="V518" i="7" s="1"/>
  <c r="H518" i="7"/>
  <c r="G518" i="7"/>
  <c r="F518" i="7"/>
  <c r="E518" i="7"/>
  <c r="D518" i="7"/>
  <c r="C518" i="7"/>
  <c r="U518" i="7" s="1"/>
  <c r="B518" i="7"/>
  <c r="A518" i="7"/>
  <c r="V517" i="7"/>
  <c r="P517" i="7"/>
  <c r="O517" i="7"/>
  <c r="N517" i="7"/>
  <c r="M517" i="7"/>
  <c r="L517" i="7"/>
  <c r="K517" i="7"/>
  <c r="J517" i="7"/>
  <c r="I517" i="7"/>
  <c r="H517" i="7"/>
  <c r="G517" i="7"/>
  <c r="S517" i="7" s="1"/>
  <c r="F517" i="7"/>
  <c r="T517" i="7" s="1"/>
  <c r="E517" i="7"/>
  <c r="D517" i="7"/>
  <c r="Q517" i="7" s="1"/>
  <c r="C517" i="7"/>
  <c r="U517" i="7" s="1"/>
  <c r="B517" i="7"/>
  <c r="R517" i="7" s="1"/>
  <c r="A517" i="7"/>
  <c r="R516" i="7"/>
  <c r="P516" i="7"/>
  <c r="O516" i="7"/>
  <c r="N516" i="7"/>
  <c r="M516" i="7"/>
  <c r="L516" i="7"/>
  <c r="K516" i="7"/>
  <c r="J516" i="7"/>
  <c r="I516" i="7"/>
  <c r="V516" i="7" s="1"/>
  <c r="H516" i="7"/>
  <c r="G516" i="7"/>
  <c r="S516" i="7" s="1"/>
  <c r="F516" i="7"/>
  <c r="T516" i="7" s="1"/>
  <c r="E516" i="7"/>
  <c r="D516" i="7"/>
  <c r="Q516" i="7" s="1"/>
  <c r="C516" i="7"/>
  <c r="U516" i="7" s="1"/>
  <c r="B516" i="7"/>
  <c r="A516" i="7"/>
  <c r="T515" i="7"/>
  <c r="Q515" i="7"/>
  <c r="P515" i="7"/>
  <c r="O515" i="7"/>
  <c r="N515" i="7"/>
  <c r="M515" i="7"/>
  <c r="L515" i="7"/>
  <c r="K515" i="7"/>
  <c r="J515" i="7"/>
  <c r="I515" i="7"/>
  <c r="V515" i="7" s="1"/>
  <c r="H515" i="7"/>
  <c r="G515" i="7"/>
  <c r="S515" i="7" s="1"/>
  <c r="F515" i="7"/>
  <c r="E515" i="7"/>
  <c r="D515" i="7"/>
  <c r="C515" i="7"/>
  <c r="U515" i="7" s="1"/>
  <c r="B515" i="7"/>
  <c r="R515" i="7" s="1"/>
  <c r="A515" i="7"/>
  <c r="R514" i="7"/>
  <c r="P514" i="7"/>
  <c r="O514" i="7"/>
  <c r="N514" i="7"/>
  <c r="M514" i="7"/>
  <c r="L514" i="7"/>
  <c r="K514" i="7"/>
  <c r="J514" i="7"/>
  <c r="I514" i="7"/>
  <c r="V514" i="7" s="1"/>
  <c r="H514" i="7"/>
  <c r="G514" i="7"/>
  <c r="S514" i="7" s="1"/>
  <c r="F514" i="7"/>
  <c r="T514" i="7" s="1"/>
  <c r="E514" i="7"/>
  <c r="D514" i="7"/>
  <c r="Q514" i="7" s="1"/>
  <c r="C514" i="7"/>
  <c r="U514" i="7" s="1"/>
  <c r="B514" i="7"/>
  <c r="A514" i="7"/>
  <c r="V513" i="7"/>
  <c r="T513" i="7"/>
  <c r="Q513" i="7"/>
  <c r="P513" i="7"/>
  <c r="O513" i="7"/>
  <c r="N513" i="7"/>
  <c r="M513" i="7"/>
  <c r="L513" i="7"/>
  <c r="K513" i="7"/>
  <c r="J513" i="7"/>
  <c r="I513" i="7"/>
  <c r="H513" i="7"/>
  <c r="G513" i="7"/>
  <c r="S513" i="7" s="1"/>
  <c r="F513" i="7"/>
  <c r="E513" i="7"/>
  <c r="D513" i="7"/>
  <c r="C513" i="7"/>
  <c r="U513" i="7" s="1"/>
  <c r="B513" i="7"/>
  <c r="R513" i="7" s="1"/>
  <c r="A513" i="7"/>
  <c r="V512" i="7"/>
  <c r="U512" i="7"/>
  <c r="T512" i="7"/>
  <c r="S512" i="7"/>
  <c r="Q512" i="7"/>
  <c r="P512" i="7"/>
  <c r="O512" i="7"/>
  <c r="N512" i="7"/>
  <c r="M512" i="7"/>
  <c r="L512" i="7"/>
  <c r="K512" i="7"/>
  <c r="J512" i="7"/>
  <c r="I512" i="7"/>
  <c r="H512" i="7"/>
  <c r="G512" i="7"/>
  <c r="F512" i="7"/>
  <c r="E512" i="7"/>
  <c r="D512" i="7"/>
  <c r="C512" i="7"/>
  <c r="B512" i="7"/>
  <c r="R512" i="7" s="1"/>
  <c r="A512" i="7"/>
  <c r="T511" i="7"/>
  <c r="S511" i="7"/>
  <c r="R511" i="7"/>
  <c r="Q511" i="7"/>
  <c r="P511" i="7"/>
  <c r="O511" i="7"/>
  <c r="N511" i="7"/>
  <c r="M511" i="7"/>
  <c r="L511" i="7"/>
  <c r="K511" i="7"/>
  <c r="J511" i="7"/>
  <c r="I511" i="7"/>
  <c r="V511" i="7" s="1"/>
  <c r="H511" i="7"/>
  <c r="G511" i="7"/>
  <c r="F511" i="7"/>
  <c r="E511" i="7"/>
  <c r="D511" i="7"/>
  <c r="C511" i="7"/>
  <c r="U511" i="7" s="1"/>
  <c r="B511" i="7"/>
  <c r="A511" i="7"/>
  <c r="V510" i="7"/>
  <c r="U510" i="7"/>
  <c r="R510" i="7"/>
  <c r="Q510" i="7"/>
  <c r="P510" i="7"/>
  <c r="O510" i="7"/>
  <c r="N510" i="7"/>
  <c r="M510" i="7"/>
  <c r="L510" i="7"/>
  <c r="K510" i="7"/>
  <c r="J510" i="7"/>
  <c r="I510" i="7"/>
  <c r="H510" i="7"/>
  <c r="G510" i="7"/>
  <c r="S510" i="7" s="1"/>
  <c r="F510" i="7"/>
  <c r="T510" i="7" s="1"/>
  <c r="E510" i="7"/>
  <c r="D510" i="7"/>
  <c r="C510" i="7"/>
  <c r="B510" i="7"/>
  <c r="A510" i="7"/>
  <c r="U509" i="7"/>
  <c r="R509" i="7"/>
  <c r="Q509" i="7"/>
  <c r="P509" i="7"/>
  <c r="O509" i="7"/>
  <c r="N509" i="7"/>
  <c r="M509" i="7"/>
  <c r="L509" i="7"/>
  <c r="K509" i="7"/>
  <c r="J509" i="7"/>
  <c r="I509" i="7"/>
  <c r="V509" i="7" s="1"/>
  <c r="H509" i="7"/>
  <c r="G509" i="7"/>
  <c r="S509" i="7" s="1"/>
  <c r="F509" i="7"/>
  <c r="T509" i="7" s="1"/>
  <c r="E509" i="7"/>
  <c r="D509" i="7"/>
  <c r="C509" i="7"/>
  <c r="B509" i="7"/>
  <c r="A509" i="7"/>
  <c r="V508" i="7"/>
  <c r="U508" i="7"/>
  <c r="T508" i="7"/>
  <c r="S508" i="7"/>
  <c r="P508" i="7"/>
  <c r="O508" i="7"/>
  <c r="N508" i="7"/>
  <c r="M508" i="7"/>
  <c r="L508" i="7"/>
  <c r="K508" i="7"/>
  <c r="J508" i="7"/>
  <c r="I508" i="7"/>
  <c r="H508" i="7"/>
  <c r="G508" i="7"/>
  <c r="F508" i="7"/>
  <c r="E508" i="7"/>
  <c r="D508" i="7"/>
  <c r="Q508" i="7" s="1"/>
  <c r="C508" i="7"/>
  <c r="B508" i="7"/>
  <c r="R508" i="7" s="1"/>
  <c r="A508" i="7"/>
  <c r="V507" i="7"/>
  <c r="R507" i="7"/>
  <c r="P507" i="7"/>
  <c r="O507" i="7"/>
  <c r="N507" i="7"/>
  <c r="M507" i="7"/>
  <c r="L507" i="7"/>
  <c r="K507" i="7"/>
  <c r="J507" i="7"/>
  <c r="I507" i="7"/>
  <c r="H507" i="7"/>
  <c r="G507" i="7"/>
  <c r="S507" i="7" s="1"/>
  <c r="F507" i="7"/>
  <c r="T507" i="7" s="1"/>
  <c r="E507" i="7"/>
  <c r="D507" i="7"/>
  <c r="Q507" i="7" s="1"/>
  <c r="C507" i="7"/>
  <c r="U507" i="7" s="1"/>
  <c r="B507" i="7"/>
  <c r="A507" i="7"/>
  <c r="T506" i="7"/>
  <c r="R506" i="7"/>
  <c r="Q506" i="7"/>
  <c r="P506" i="7"/>
  <c r="O506" i="7"/>
  <c r="N506" i="7"/>
  <c r="M506" i="7"/>
  <c r="L506" i="7"/>
  <c r="K506" i="7"/>
  <c r="J506" i="7"/>
  <c r="I506" i="7"/>
  <c r="V506" i="7" s="1"/>
  <c r="H506" i="7"/>
  <c r="G506" i="7"/>
  <c r="S506" i="7" s="1"/>
  <c r="F506" i="7"/>
  <c r="E506" i="7"/>
  <c r="D506" i="7"/>
  <c r="C506" i="7"/>
  <c r="U506" i="7" s="1"/>
  <c r="B506" i="7"/>
  <c r="A506" i="7"/>
  <c r="V505" i="7"/>
  <c r="U505" i="7"/>
  <c r="T505" i="7"/>
  <c r="P505" i="7"/>
  <c r="O505" i="7"/>
  <c r="N505" i="7"/>
  <c r="M505" i="7"/>
  <c r="L505" i="7"/>
  <c r="K505" i="7"/>
  <c r="J505" i="7"/>
  <c r="I505" i="7"/>
  <c r="H505" i="7"/>
  <c r="G505" i="7"/>
  <c r="F505" i="7"/>
  <c r="E505" i="7"/>
  <c r="D505" i="7"/>
  <c r="Q505" i="7" s="1"/>
  <c r="C505" i="7"/>
  <c r="B505" i="7"/>
  <c r="R505" i="7" s="1"/>
  <c r="A505" i="7"/>
  <c r="R504" i="7"/>
  <c r="Q504" i="7"/>
  <c r="P504" i="7"/>
  <c r="O504" i="7"/>
  <c r="N504" i="7"/>
  <c r="M504" i="7"/>
  <c r="L504" i="7"/>
  <c r="K504" i="7"/>
  <c r="J504" i="7"/>
  <c r="I504" i="7"/>
  <c r="V504" i="7" s="1"/>
  <c r="H504" i="7"/>
  <c r="G504" i="7"/>
  <c r="F504" i="7"/>
  <c r="T504" i="7" s="1"/>
  <c r="E504" i="7"/>
  <c r="D504" i="7"/>
  <c r="C504" i="7"/>
  <c r="U504" i="7" s="1"/>
  <c r="B504" i="7"/>
  <c r="A504" i="7"/>
  <c r="V503" i="7"/>
  <c r="T503" i="7"/>
  <c r="S503" i="7"/>
  <c r="Q503" i="7"/>
  <c r="P503" i="7"/>
  <c r="O503" i="7"/>
  <c r="N503" i="7"/>
  <c r="M503" i="7"/>
  <c r="L503" i="7"/>
  <c r="K503" i="7"/>
  <c r="J503" i="7"/>
  <c r="I503" i="7"/>
  <c r="H503" i="7"/>
  <c r="G503" i="7"/>
  <c r="F503" i="7"/>
  <c r="E503" i="7"/>
  <c r="D503" i="7"/>
  <c r="C503" i="7"/>
  <c r="U503" i="7" s="1"/>
  <c r="B503" i="7"/>
  <c r="R503" i="7" s="1"/>
  <c r="A503" i="7"/>
  <c r="S502" i="7"/>
  <c r="R502" i="7"/>
  <c r="Q502" i="7"/>
  <c r="P502" i="7"/>
  <c r="O502" i="7"/>
  <c r="N502" i="7"/>
  <c r="M502" i="7"/>
  <c r="L502" i="7"/>
  <c r="K502" i="7"/>
  <c r="J502" i="7"/>
  <c r="I502" i="7"/>
  <c r="V502" i="7" s="1"/>
  <c r="H502" i="7"/>
  <c r="G502" i="7"/>
  <c r="F502" i="7"/>
  <c r="T502" i="7" s="1"/>
  <c r="E502" i="7"/>
  <c r="D502" i="7"/>
  <c r="C502" i="7"/>
  <c r="U502" i="7" s="1"/>
  <c r="B502" i="7"/>
  <c r="A502" i="7"/>
  <c r="U501" i="7"/>
  <c r="T501" i="7"/>
  <c r="P501" i="7"/>
  <c r="O501" i="7"/>
  <c r="N501" i="7"/>
  <c r="M501" i="7"/>
  <c r="L501" i="7"/>
  <c r="K501" i="7"/>
  <c r="J501" i="7"/>
  <c r="I501" i="7"/>
  <c r="V501" i="7" s="1"/>
  <c r="H501" i="7"/>
  <c r="G501" i="7"/>
  <c r="S501" i="7" s="1"/>
  <c r="F501" i="7"/>
  <c r="E501" i="7"/>
  <c r="D501" i="7"/>
  <c r="Q501" i="7" s="1"/>
  <c r="C501" i="7"/>
  <c r="B501" i="7"/>
  <c r="R501" i="7" s="1"/>
  <c r="A501" i="7"/>
  <c r="T500" i="7"/>
  <c r="S500" i="7"/>
  <c r="R500" i="7"/>
  <c r="P500" i="7"/>
  <c r="O500" i="7"/>
  <c r="N500" i="7"/>
  <c r="M500" i="7"/>
  <c r="L500" i="7"/>
  <c r="K500" i="7"/>
  <c r="J500" i="7"/>
  <c r="I500" i="7"/>
  <c r="V500" i="7" s="1"/>
  <c r="H500" i="7"/>
  <c r="G500" i="7"/>
  <c r="F500" i="7"/>
  <c r="E500" i="7"/>
  <c r="D500" i="7"/>
  <c r="Q500" i="7" s="1"/>
  <c r="C500" i="7"/>
  <c r="U500" i="7" s="1"/>
  <c r="B500" i="7"/>
  <c r="A500" i="7"/>
  <c r="V499" i="7"/>
  <c r="R499" i="7"/>
  <c r="P499" i="7"/>
  <c r="O499" i="7"/>
  <c r="N499" i="7"/>
  <c r="M499" i="7"/>
  <c r="L499" i="7"/>
  <c r="K499" i="7"/>
  <c r="J499" i="7"/>
  <c r="I499" i="7"/>
  <c r="H499" i="7"/>
  <c r="G499" i="7"/>
  <c r="F499" i="7"/>
  <c r="T499" i="7" s="1"/>
  <c r="E499" i="7"/>
  <c r="D499" i="7"/>
  <c r="Q499" i="7" s="1"/>
  <c r="C499" i="7"/>
  <c r="U499" i="7" s="1"/>
  <c r="B499" i="7"/>
  <c r="A499" i="7"/>
  <c r="R498" i="7"/>
  <c r="Q498" i="7"/>
  <c r="P498" i="7"/>
  <c r="O498" i="7"/>
  <c r="N498" i="7"/>
  <c r="M498" i="7"/>
  <c r="L498" i="7"/>
  <c r="K498" i="7"/>
  <c r="J498" i="7"/>
  <c r="I498" i="7"/>
  <c r="V498" i="7" s="1"/>
  <c r="H498" i="7"/>
  <c r="G498" i="7"/>
  <c r="F498" i="7"/>
  <c r="T498" i="7" s="1"/>
  <c r="E498" i="7"/>
  <c r="D498" i="7"/>
  <c r="C498" i="7"/>
  <c r="U498" i="7" s="1"/>
  <c r="B498" i="7"/>
  <c r="A498" i="7"/>
  <c r="V497" i="7"/>
  <c r="T497" i="7"/>
  <c r="R497" i="7"/>
  <c r="Q497" i="7"/>
  <c r="P497" i="7"/>
  <c r="O497" i="7"/>
  <c r="N497" i="7"/>
  <c r="M497" i="7"/>
  <c r="L497" i="7"/>
  <c r="K497" i="7"/>
  <c r="J497" i="7"/>
  <c r="I497" i="7"/>
  <c r="H497" i="7"/>
  <c r="G497" i="7"/>
  <c r="S497" i="7" s="1"/>
  <c r="F497" i="7"/>
  <c r="E497" i="7"/>
  <c r="D497" i="7"/>
  <c r="C497" i="7"/>
  <c r="U497" i="7" s="1"/>
  <c r="B497" i="7"/>
  <c r="A497" i="7"/>
  <c r="V496" i="7"/>
  <c r="T496" i="7"/>
  <c r="S496" i="7"/>
  <c r="Q496" i="7"/>
  <c r="P496" i="7"/>
  <c r="O496" i="7"/>
  <c r="N496" i="7"/>
  <c r="M496" i="7"/>
  <c r="L496" i="7"/>
  <c r="K496" i="7"/>
  <c r="J496" i="7"/>
  <c r="I496" i="7"/>
  <c r="H496" i="7"/>
  <c r="G496" i="7"/>
  <c r="F496" i="7"/>
  <c r="E496" i="7"/>
  <c r="D496" i="7"/>
  <c r="C496" i="7"/>
  <c r="U496" i="7" s="1"/>
  <c r="B496" i="7"/>
  <c r="R496" i="7" s="1"/>
  <c r="A496" i="7"/>
  <c r="V495" i="7"/>
  <c r="U495" i="7"/>
  <c r="S495" i="7"/>
  <c r="P495" i="7"/>
  <c r="O495" i="7"/>
  <c r="N495" i="7"/>
  <c r="M495" i="7"/>
  <c r="L495" i="7"/>
  <c r="K495" i="7"/>
  <c r="J495" i="7"/>
  <c r="I495" i="7"/>
  <c r="H495" i="7"/>
  <c r="G495" i="7"/>
  <c r="F495" i="7"/>
  <c r="T495" i="7" s="1"/>
  <c r="E495" i="7"/>
  <c r="D495" i="7"/>
  <c r="Q495" i="7" s="1"/>
  <c r="C495" i="7"/>
  <c r="B495" i="7"/>
  <c r="R495" i="7" s="1"/>
  <c r="A495" i="7"/>
  <c r="U494" i="7"/>
  <c r="S494" i="7"/>
  <c r="Q494" i="7"/>
  <c r="P494" i="7"/>
  <c r="O494" i="7"/>
  <c r="N494" i="7"/>
  <c r="M494" i="7"/>
  <c r="L494" i="7"/>
  <c r="K494" i="7"/>
  <c r="J494" i="7"/>
  <c r="I494" i="7"/>
  <c r="V494" i="7" s="1"/>
  <c r="H494" i="7"/>
  <c r="G494" i="7"/>
  <c r="F494" i="7"/>
  <c r="T494" i="7" s="1"/>
  <c r="E494" i="7"/>
  <c r="D494" i="7"/>
  <c r="C494" i="7"/>
  <c r="B494" i="7"/>
  <c r="R494" i="7" s="1"/>
  <c r="A494" i="7"/>
  <c r="U493" i="7"/>
  <c r="T493" i="7"/>
  <c r="R493" i="7"/>
  <c r="Q493" i="7"/>
  <c r="P493" i="7"/>
  <c r="O493" i="7"/>
  <c r="N493" i="7"/>
  <c r="M493" i="7"/>
  <c r="L493" i="7"/>
  <c r="K493" i="7"/>
  <c r="J493" i="7"/>
  <c r="I493" i="7"/>
  <c r="V493" i="7" s="1"/>
  <c r="H493" i="7"/>
  <c r="G493" i="7"/>
  <c r="F493" i="7"/>
  <c r="E493" i="7"/>
  <c r="D493" i="7"/>
  <c r="C493" i="7"/>
  <c r="B493" i="7"/>
  <c r="A493" i="7"/>
  <c r="V492" i="7"/>
  <c r="S492" i="7"/>
  <c r="R492" i="7"/>
  <c r="P492" i="7"/>
  <c r="O492" i="7"/>
  <c r="N492" i="7"/>
  <c r="M492" i="7"/>
  <c r="L492" i="7"/>
  <c r="K492" i="7"/>
  <c r="J492" i="7"/>
  <c r="I492" i="7"/>
  <c r="H492" i="7"/>
  <c r="G492" i="7"/>
  <c r="F492" i="7"/>
  <c r="T492" i="7" s="1"/>
  <c r="E492" i="7"/>
  <c r="D492" i="7"/>
  <c r="Q492" i="7" s="1"/>
  <c r="C492" i="7"/>
  <c r="U492" i="7" s="1"/>
  <c r="B492" i="7"/>
  <c r="A492" i="7"/>
  <c r="T491" i="7"/>
  <c r="P491" i="7"/>
  <c r="O491" i="7"/>
  <c r="N491" i="7"/>
  <c r="M491" i="7"/>
  <c r="L491" i="7"/>
  <c r="K491" i="7"/>
  <c r="J491" i="7"/>
  <c r="I491" i="7"/>
  <c r="V491" i="7" s="1"/>
  <c r="H491" i="7"/>
  <c r="S491" i="7" s="1"/>
  <c r="G491" i="7"/>
  <c r="F491" i="7"/>
  <c r="E491" i="7"/>
  <c r="D491" i="7"/>
  <c r="Q491" i="7" s="1"/>
  <c r="C491" i="7"/>
  <c r="U491" i="7" s="1"/>
  <c r="B491" i="7"/>
  <c r="R491" i="7" s="1"/>
  <c r="A491" i="7"/>
  <c r="V490" i="7"/>
  <c r="T490" i="7"/>
  <c r="P490" i="7"/>
  <c r="O490" i="7"/>
  <c r="N490" i="7"/>
  <c r="M490" i="7"/>
  <c r="L490" i="7"/>
  <c r="K490" i="7"/>
  <c r="J490" i="7"/>
  <c r="I490" i="7"/>
  <c r="H490" i="7"/>
  <c r="G490" i="7"/>
  <c r="S490" i="7" s="1"/>
  <c r="F490" i="7"/>
  <c r="E490" i="7"/>
  <c r="D490" i="7"/>
  <c r="Q490" i="7" s="1"/>
  <c r="C490" i="7"/>
  <c r="U490" i="7" s="1"/>
  <c r="B490" i="7"/>
  <c r="R490" i="7" s="1"/>
  <c r="A490" i="7"/>
  <c r="U489" i="7"/>
  <c r="S489" i="7"/>
  <c r="R489" i="7"/>
  <c r="Q489" i="7"/>
  <c r="P489" i="7"/>
  <c r="O489" i="7"/>
  <c r="N489" i="7"/>
  <c r="M489" i="7"/>
  <c r="L489" i="7"/>
  <c r="K489" i="7"/>
  <c r="J489" i="7"/>
  <c r="I489" i="7"/>
  <c r="V489" i="7" s="1"/>
  <c r="H489" i="7"/>
  <c r="G489" i="7"/>
  <c r="F489" i="7"/>
  <c r="T489" i="7" s="1"/>
  <c r="E489" i="7"/>
  <c r="D489" i="7"/>
  <c r="C489" i="7"/>
  <c r="B489" i="7"/>
  <c r="A489" i="7"/>
  <c r="V488" i="7"/>
  <c r="T488" i="7"/>
  <c r="S488" i="7"/>
  <c r="Q488" i="7"/>
  <c r="P488" i="7"/>
  <c r="O488" i="7"/>
  <c r="N488" i="7"/>
  <c r="M488" i="7"/>
  <c r="L488" i="7"/>
  <c r="K488" i="7"/>
  <c r="J488" i="7"/>
  <c r="I488" i="7"/>
  <c r="H488" i="7"/>
  <c r="G488" i="7"/>
  <c r="F488" i="7"/>
  <c r="E488" i="7"/>
  <c r="D488" i="7"/>
  <c r="C488" i="7"/>
  <c r="U488" i="7" s="1"/>
  <c r="B488" i="7"/>
  <c r="R488" i="7" s="1"/>
  <c r="A488" i="7"/>
  <c r="V487" i="7"/>
  <c r="T487" i="7"/>
  <c r="P487" i="7"/>
  <c r="O487" i="7"/>
  <c r="N487" i="7"/>
  <c r="M487" i="7"/>
  <c r="L487" i="7"/>
  <c r="K487" i="7"/>
  <c r="J487" i="7"/>
  <c r="I487" i="7"/>
  <c r="H487" i="7"/>
  <c r="G487" i="7"/>
  <c r="S487" i="7" s="1"/>
  <c r="F487" i="7"/>
  <c r="E487" i="7"/>
  <c r="D487" i="7"/>
  <c r="Q487" i="7" s="1"/>
  <c r="C487" i="7"/>
  <c r="U487" i="7" s="1"/>
  <c r="B487" i="7"/>
  <c r="R487" i="7" s="1"/>
  <c r="A487" i="7"/>
  <c r="S486" i="7"/>
  <c r="R486" i="7"/>
  <c r="Q486" i="7"/>
  <c r="P486" i="7"/>
  <c r="O486" i="7"/>
  <c r="N486" i="7"/>
  <c r="M486" i="7"/>
  <c r="L486" i="7"/>
  <c r="K486" i="7"/>
  <c r="J486" i="7"/>
  <c r="I486" i="7"/>
  <c r="V486" i="7" s="1"/>
  <c r="H486" i="7"/>
  <c r="G486" i="7"/>
  <c r="F486" i="7"/>
  <c r="T486" i="7" s="1"/>
  <c r="E486" i="7"/>
  <c r="D486" i="7"/>
  <c r="C486" i="7"/>
  <c r="U486" i="7" s="1"/>
  <c r="B486" i="7"/>
  <c r="A486" i="7"/>
  <c r="U485" i="7"/>
  <c r="T485" i="7"/>
  <c r="P485" i="7"/>
  <c r="O485" i="7"/>
  <c r="N485" i="7"/>
  <c r="M485" i="7"/>
  <c r="L485" i="7"/>
  <c r="K485" i="7"/>
  <c r="J485" i="7"/>
  <c r="I485" i="7"/>
  <c r="V485" i="7" s="1"/>
  <c r="H485" i="7"/>
  <c r="G485" i="7"/>
  <c r="S485" i="7" s="1"/>
  <c r="F485" i="7"/>
  <c r="E485" i="7"/>
  <c r="D485" i="7"/>
  <c r="Q485" i="7" s="1"/>
  <c r="C485" i="7"/>
  <c r="B485" i="7"/>
  <c r="R485" i="7" s="1"/>
  <c r="A485" i="7"/>
  <c r="R484" i="7"/>
  <c r="Q484" i="7"/>
  <c r="P484" i="7"/>
  <c r="O484" i="7"/>
  <c r="N484" i="7"/>
  <c r="M484" i="7"/>
  <c r="L484" i="7"/>
  <c r="K484" i="7"/>
  <c r="J484" i="7"/>
  <c r="I484" i="7"/>
  <c r="V484" i="7" s="1"/>
  <c r="H484" i="7"/>
  <c r="S484" i="7" s="1"/>
  <c r="G484" i="7"/>
  <c r="F484" i="7"/>
  <c r="T484" i="7" s="1"/>
  <c r="E484" i="7"/>
  <c r="D484" i="7"/>
  <c r="C484" i="7"/>
  <c r="U484" i="7" s="1"/>
  <c r="B484" i="7"/>
  <c r="A484" i="7"/>
  <c r="V483" i="7"/>
  <c r="T483" i="7"/>
  <c r="S483" i="7"/>
  <c r="R483" i="7"/>
  <c r="P483" i="7"/>
  <c r="O483" i="7"/>
  <c r="N483" i="7"/>
  <c r="M483" i="7"/>
  <c r="L483" i="7"/>
  <c r="K483" i="7"/>
  <c r="J483" i="7"/>
  <c r="I483" i="7"/>
  <c r="H483" i="7"/>
  <c r="G483" i="7"/>
  <c r="F483" i="7"/>
  <c r="E483" i="7"/>
  <c r="D483" i="7"/>
  <c r="Q483" i="7" s="1"/>
  <c r="C483" i="7"/>
  <c r="U483" i="7" s="1"/>
  <c r="B483" i="7"/>
  <c r="A483" i="7"/>
  <c r="T482" i="7"/>
  <c r="S482" i="7"/>
  <c r="R482" i="7"/>
  <c r="Q482" i="7"/>
  <c r="P482" i="7"/>
  <c r="O482" i="7"/>
  <c r="N482" i="7"/>
  <c r="M482" i="7"/>
  <c r="L482" i="7"/>
  <c r="K482" i="7"/>
  <c r="J482" i="7"/>
  <c r="I482" i="7"/>
  <c r="V482" i="7" s="1"/>
  <c r="H482" i="7"/>
  <c r="G482" i="7"/>
  <c r="F482" i="7"/>
  <c r="E482" i="7"/>
  <c r="D482" i="7"/>
  <c r="C482" i="7"/>
  <c r="U482" i="7" s="1"/>
  <c r="B482" i="7"/>
  <c r="A482" i="7"/>
  <c r="V481" i="7"/>
  <c r="U481" i="7"/>
  <c r="T481" i="7"/>
  <c r="Q481" i="7"/>
  <c r="P481" i="7"/>
  <c r="O481" i="7"/>
  <c r="N481" i="7"/>
  <c r="M481" i="7"/>
  <c r="L481" i="7"/>
  <c r="K481" i="7"/>
  <c r="J481" i="7"/>
  <c r="I481" i="7"/>
  <c r="H481" i="7"/>
  <c r="G481" i="7"/>
  <c r="S481" i="7" s="1"/>
  <c r="F481" i="7"/>
  <c r="E481" i="7"/>
  <c r="D481" i="7"/>
  <c r="C481" i="7"/>
  <c r="B481" i="7"/>
  <c r="R481" i="7" s="1"/>
  <c r="A481" i="7"/>
  <c r="U480" i="7"/>
  <c r="S480" i="7"/>
  <c r="R480" i="7"/>
  <c r="P480" i="7"/>
  <c r="O480" i="7"/>
  <c r="N480" i="7"/>
  <c r="M480" i="7"/>
  <c r="L480" i="7"/>
  <c r="K480" i="7"/>
  <c r="J480" i="7"/>
  <c r="I480" i="7"/>
  <c r="V480" i="7" s="1"/>
  <c r="H480" i="7"/>
  <c r="G480" i="7"/>
  <c r="F480" i="7"/>
  <c r="T480" i="7" s="1"/>
  <c r="E480" i="7"/>
  <c r="D480" i="7"/>
  <c r="Q480" i="7" s="1"/>
  <c r="C480" i="7"/>
  <c r="B480" i="7"/>
  <c r="A480" i="7"/>
  <c r="T479" i="7"/>
  <c r="S479" i="7"/>
  <c r="Q479" i="7"/>
  <c r="P479" i="7"/>
  <c r="O479" i="7"/>
  <c r="N479" i="7"/>
  <c r="M479" i="7"/>
  <c r="L479" i="7"/>
  <c r="K479" i="7"/>
  <c r="J479" i="7"/>
  <c r="I479" i="7"/>
  <c r="V479" i="7" s="1"/>
  <c r="H479" i="7"/>
  <c r="G479" i="7"/>
  <c r="F479" i="7"/>
  <c r="E479" i="7"/>
  <c r="D479" i="7"/>
  <c r="C479" i="7"/>
  <c r="U479" i="7" s="1"/>
  <c r="B479" i="7"/>
  <c r="R479" i="7" s="1"/>
  <c r="A479" i="7"/>
  <c r="V478" i="7"/>
  <c r="Q478" i="7"/>
  <c r="P478" i="7"/>
  <c r="O478" i="7"/>
  <c r="N478" i="7"/>
  <c r="M478" i="7"/>
  <c r="L478" i="7"/>
  <c r="K478" i="7"/>
  <c r="J478" i="7"/>
  <c r="I478" i="7"/>
  <c r="H478" i="7"/>
  <c r="G478" i="7"/>
  <c r="S478" i="7" s="1"/>
  <c r="F478" i="7"/>
  <c r="T478" i="7" s="1"/>
  <c r="E478" i="7"/>
  <c r="D478" i="7"/>
  <c r="C478" i="7"/>
  <c r="U478" i="7" s="1"/>
  <c r="B478" i="7"/>
  <c r="R478" i="7" s="1"/>
  <c r="A478" i="7"/>
  <c r="U477" i="7"/>
  <c r="T477" i="7"/>
  <c r="P477" i="7"/>
  <c r="O477" i="7"/>
  <c r="N477" i="7"/>
  <c r="M477" i="7"/>
  <c r="L477" i="7"/>
  <c r="K477" i="7"/>
  <c r="J477" i="7"/>
  <c r="I477" i="7"/>
  <c r="V477" i="7" s="1"/>
  <c r="H477" i="7"/>
  <c r="S477" i="7" s="1"/>
  <c r="G477" i="7"/>
  <c r="F477" i="7"/>
  <c r="E477" i="7"/>
  <c r="D477" i="7"/>
  <c r="Q477" i="7" s="1"/>
  <c r="C477" i="7"/>
  <c r="B477" i="7"/>
  <c r="R477" i="7" s="1"/>
  <c r="A477" i="7"/>
  <c r="U476" i="7"/>
  <c r="P476" i="7"/>
  <c r="O476" i="7"/>
  <c r="N476" i="7"/>
  <c r="M476" i="7"/>
  <c r="L476" i="7"/>
  <c r="K476" i="7"/>
  <c r="J476" i="7"/>
  <c r="I476" i="7"/>
  <c r="V476" i="7" s="1"/>
  <c r="H476" i="7"/>
  <c r="G476" i="7"/>
  <c r="S476" i="7" s="1"/>
  <c r="F476" i="7"/>
  <c r="T476" i="7" s="1"/>
  <c r="E476" i="7"/>
  <c r="D476" i="7"/>
  <c r="Q476" i="7" s="1"/>
  <c r="C476" i="7"/>
  <c r="B476" i="7"/>
  <c r="R476" i="7" s="1"/>
  <c r="A476" i="7"/>
  <c r="Q475" i="7"/>
  <c r="P475" i="7"/>
  <c r="O475" i="7"/>
  <c r="N475" i="7"/>
  <c r="M475" i="7"/>
  <c r="L475" i="7"/>
  <c r="K475" i="7"/>
  <c r="J475" i="7"/>
  <c r="I475" i="7"/>
  <c r="V475" i="7" s="1"/>
  <c r="H475" i="7"/>
  <c r="G475" i="7"/>
  <c r="S475" i="7" s="1"/>
  <c r="F475" i="7"/>
  <c r="T475" i="7" s="1"/>
  <c r="E475" i="7"/>
  <c r="D475" i="7"/>
  <c r="C475" i="7"/>
  <c r="U475" i="7" s="1"/>
  <c r="B475" i="7"/>
  <c r="R475" i="7" s="1"/>
  <c r="A475" i="7"/>
  <c r="R474" i="7"/>
  <c r="Q474" i="7"/>
  <c r="P474" i="7"/>
  <c r="O474" i="7"/>
  <c r="N474" i="7"/>
  <c r="M474" i="7"/>
  <c r="L474" i="7"/>
  <c r="K474" i="7"/>
  <c r="J474" i="7"/>
  <c r="I474" i="7"/>
  <c r="V474" i="7" s="1"/>
  <c r="H474" i="7"/>
  <c r="G474" i="7"/>
  <c r="S474" i="7" s="1"/>
  <c r="F474" i="7"/>
  <c r="T474" i="7" s="1"/>
  <c r="E474" i="7"/>
  <c r="D474" i="7"/>
  <c r="C474" i="7"/>
  <c r="U474" i="7" s="1"/>
  <c r="B474" i="7"/>
  <c r="A474" i="7"/>
  <c r="V473" i="7"/>
  <c r="T473" i="7"/>
  <c r="S473" i="7"/>
  <c r="Q473" i="7"/>
  <c r="P473" i="7"/>
  <c r="O473" i="7"/>
  <c r="N473" i="7"/>
  <c r="M473" i="7"/>
  <c r="L473" i="7"/>
  <c r="K473" i="7"/>
  <c r="J473" i="7"/>
  <c r="I473" i="7"/>
  <c r="H473" i="7"/>
  <c r="G473" i="7"/>
  <c r="F473" i="7"/>
  <c r="E473" i="7"/>
  <c r="D473" i="7"/>
  <c r="C473" i="7"/>
  <c r="U473" i="7" s="1"/>
  <c r="B473" i="7"/>
  <c r="R473" i="7" s="1"/>
  <c r="A473" i="7"/>
  <c r="V472" i="7"/>
  <c r="U472" i="7"/>
  <c r="R472" i="7"/>
  <c r="Q472" i="7"/>
  <c r="P472" i="7"/>
  <c r="O472" i="7"/>
  <c r="N472" i="7"/>
  <c r="M472" i="7"/>
  <c r="L472" i="7"/>
  <c r="K472" i="7"/>
  <c r="J472" i="7"/>
  <c r="I472" i="7"/>
  <c r="H472" i="7"/>
  <c r="G472" i="7"/>
  <c r="S472" i="7" s="1"/>
  <c r="F472" i="7"/>
  <c r="T472" i="7" s="1"/>
  <c r="E472" i="7"/>
  <c r="D472" i="7"/>
  <c r="C472" i="7"/>
  <c r="B472" i="7"/>
  <c r="A472" i="7"/>
  <c r="U471" i="7"/>
  <c r="S471" i="7"/>
  <c r="R471" i="7"/>
  <c r="Q471" i="7"/>
  <c r="P471" i="7"/>
  <c r="O471" i="7"/>
  <c r="N471" i="7"/>
  <c r="M471" i="7"/>
  <c r="L471" i="7"/>
  <c r="K471" i="7"/>
  <c r="J471" i="7"/>
  <c r="I471" i="7"/>
  <c r="V471" i="7" s="1"/>
  <c r="H471" i="7"/>
  <c r="G471" i="7"/>
  <c r="F471" i="7"/>
  <c r="T471" i="7" s="1"/>
  <c r="E471" i="7"/>
  <c r="D471" i="7"/>
  <c r="C471" i="7"/>
  <c r="B471" i="7"/>
  <c r="A471" i="7"/>
  <c r="V470" i="7"/>
  <c r="U470" i="7"/>
  <c r="T470" i="7"/>
  <c r="P470" i="7"/>
  <c r="O470" i="7"/>
  <c r="N470" i="7"/>
  <c r="M470" i="7"/>
  <c r="L470" i="7"/>
  <c r="K470" i="7"/>
  <c r="J470" i="7"/>
  <c r="I470" i="7"/>
  <c r="H470" i="7"/>
  <c r="G470" i="7"/>
  <c r="F470" i="7"/>
  <c r="E470" i="7"/>
  <c r="D470" i="7"/>
  <c r="Q470" i="7" s="1"/>
  <c r="C470" i="7"/>
  <c r="B470" i="7"/>
  <c r="R470" i="7" s="1"/>
  <c r="A470" i="7"/>
  <c r="V469" i="7"/>
  <c r="R469" i="7"/>
  <c r="P469" i="7"/>
  <c r="O469" i="7"/>
  <c r="N469" i="7"/>
  <c r="M469" i="7"/>
  <c r="L469" i="7"/>
  <c r="K469" i="7"/>
  <c r="J469" i="7"/>
  <c r="I469" i="7"/>
  <c r="H469" i="7"/>
  <c r="G469" i="7"/>
  <c r="S469" i="7" s="1"/>
  <c r="F469" i="7"/>
  <c r="T469" i="7" s="1"/>
  <c r="E469" i="7"/>
  <c r="D469" i="7"/>
  <c r="Q469" i="7" s="1"/>
  <c r="C469" i="7"/>
  <c r="U469" i="7" s="1"/>
  <c r="B469" i="7"/>
  <c r="A469" i="7"/>
  <c r="V468" i="7"/>
  <c r="T468" i="7"/>
  <c r="R468" i="7"/>
  <c r="Q468" i="7"/>
  <c r="P468" i="7"/>
  <c r="O468" i="7"/>
  <c r="N468" i="7"/>
  <c r="M468" i="7"/>
  <c r="L468" i="7"/>
  <c r="K468" i="7"/>
  <c r="J468" i="7"/>
  <c r="I468" i="7"/>
  <c r="H468" i="7"/>
  <c r="S468" i="7" s="1"/>
  <c r="G468" i="7"/>
  <c r="F468" i="7"/>
  <c r="E468" i="7"/>
  <c r="D468" i="7"/>
  <c r="C468" i="7"/>
  <c r="U468" i="7" s="1"/>
  <c r="B468" i="7"/>
  <c r="A468" i="7"/>
  <c r="V467" i="7"/>
  <c r="T467" i="7"/>
  <c r="S467" i="7"/>
  <c r="Q467" i="7"/>
  <c r="P467" i="7"/>
  <c r="O467" i="7"/>
  <c r="N467" i="7"/>
  <c r="M467" i="7"/>
  <c r="L467" i="7"/>
  <c r="K467" i="7"/>
  <c r="J467" i="7"/>
  <c r="I467" i="7"/>
  <c r="H467" i="7"/>
  <c r="G467" i="7"/>
  <c r="F467" i="7"/>
  <c r="E467" i="7"/>
  <c r="D467" i="7"/>
  <c r="C467" i="7"/>
  <c r="U467" i="7" s="1"/>
  <c r="B467" i="7"/>
  <c r="R467" i="7" s="1"/>
  <c r="A467" i="7"/>
  <c r="U466" i="7"/>
  <c r="T466" i="7"/>
  <c r="R466" i="7"/>
  <c r="Q466" i="7"/>
  <c r="P466" i="7"/>
  <c r="O466" i="7"/>
  <c r="N466" i="7"/>
  <c r="M466" i="7"/>
  <c r="L466" i="7"/>
  <c r="K466" i="7"/>
  <c r="J466" i="7"/>
  <c r="I466" i="7"/>
  <c r="V466" i="7" s="1"/>
  <c r="H466" i="7"/>
  <c r="G466" i="7"/>
  <c r="F466" i="7"/>
  <c r="E466" i="7"/>
  <c r="D466" i="7"/>
  <c r="C466" i="7"/>
  <c r="B466" i="7"/>
  <c r="A466" i="7"/>
  <c r="V465" i="7"/>
  <c r="Q465" i="7"/>
  <c r="P465" i="7"/>
  <c r="O465" i="7"/>
  <c r="N465" i="7"/>
  <c r="M465" i="7"/>
  <c r="L465" i="7"/>
  <c r="K465" i="7"/>
  <c r="J465" i="7"/>
  <c r="I465" i="7"/>
  <c r="H465" i="7"/>
  <c r="G465" i="7"/>
  <c r="S465" i="7" s="1"/>
  <c r="F465" i="7"/>
  <c r="T465" i="7" s="1"/>
  <c r="E465" i="7"/>
  <c r="D465" i="7"/>
  <c r="C465" i="7"/>
  <c r="U465" i="7" s="1"/>
  <c r="B465" i="7"/>
  <c r="R465" i="7" s="1"/>
  <c r="A465" i="7"/>
  <c r="R464" i="7"/>
  <c r="P464" i="7"/>
  <c r="O464" i="7"/>
  <c r="N464" i="7"/>
  <c r="M464" i="7"/>
  <c r="L464" i="7"/>
  <c r="K464" i="7"/>
  <c r="J464" i="7"/>
  <c r="I464" i="7"/>
  <c r="V464" i="7" s="1"/>
  <c r="H464" i="7"/>
  <c r="G464" i="7"/>
  <c r="F464" i="7"/>
  <c r="T464" i="7" s="1"/>
  <c r="E464" i="7"/>
  <c r="D464" i="7"/>
  <c r="Q464" i="7" s="1"/>
  <c r="C464" i="7"/>
  <c r="U464" i="7" s="1"/>
  <c r="B464" i="7"/>
  <c r="A464" i="7"/>
  <c r="V463" i="7"/>
  <c r="T463" i="7"/>
  <c r="P463" i="7"/>
  <c r="O463" i="7"/>
  <c r="N463" i="7"/>
  <c r="M463" i="7"/>
  <c r="L463" i="7"/>
  <c r="K463" i="7"/>
  <c r="J463" i="7"/>
  <c r="I463" i="7"/>
  <c r="H463" i="7"/>
  <c r="G463" i="7"/>
  <c r="F463" i="7"/>
  <c r="E463" i="7"/>
  <c r="D463" i="7"/>
  <c r="Q463" i="7" s="1"/>
  <c r="C463" i="7"/>
  <c r="U463" i="7" s="1"/>
  <c r="B463" i="7"/>
  <c r="R463" i="7" s="1"/>
  <c r="A463" i="7"/>
  <c r="V462" i="7"/>
  <c r="R462" i="7"/>
  <c r="Q462" i="7"/>
  <c r="P462" i="7"/>
  <c r="O462" i="7"/>
  <c r="N462" i="7"/>
  <c r="M462" i="7"/>
  <c r="L462" i="7"/>
  <c r="K462" i="7"/>
  <c r="J462" i="7"/>
  <c r="I462" i="7"/>
  <c r="H462" i="7"/>
  <c r="G462" i="7"/>
  <c r="S462" i="7" s="1"/>
  <c r="F462" i="7"/>
  <c r="T462" i="7" s="1"/>
  <c r="E462" i="7"/>
  <c r="D462" i="7"/>
  <c r="C462" i="7"/>
  <c r="U462" i="7" s="1"/>
  <c r="B462" i="7"/>
  <c r="A462" i="7"/>
  <c r="U461" i="7"/>
  <c r="T461" i="7"/>
  <c r="R461" i="7"/>
  <c r="P461" i="7"/>
  <c r="O461" i="7"/>
  <c r="N461" i="7"/>
  <c r="M461" i="7"/>
  <c r="L461" i="7"/>
  <c r="K461" i="7"/>
  <c r="J461" i="7"/>
  <c r="I461" i="7"/>
  <c r="V461" i="7" s="1"/>
  <c r="H461" i="7"/>
  <c r="S461" i="7" s="1"/>
  <c r="G461" i="7"/>
  <c r="F461" i="7"/>
  <c r="E461" i="7"/>
  <c r="D461" i="7"/>
  <c r="Q461" i="7" s="1"/>
  <c r="C461" i="7"/>
  <c r="B461" i="7"/>
  <c r="A461" i="7"/>
  <c r="V460" i="7"/>
  <c r="S460" i="7"/>
  <c r="R460" i="7"/>
  <c r="Q460" i="7"/>
  <c r="P460" i="7"/>
  <c r="O460" i="7"/>
  <c r="N460" i="7"/>
  <c r="M460" i="7"/>
  <c r="L460" i="7"/>
  <c r="K460" i="7"/>
  <c r="J460" i="7"/>
  <c r="I460" i="7"/>
  <c r="H460" i="7"/>
  <c r="G460" i="7"/>
  <c r="F460" i="7"/>
  <c r="T460" i="7" s="1"/>
  <c r="E460" i="7"/>
  <c r="D460" i="7"/>
  <c r="C460" i="7"/>
  <c r="U460" i="7" s="1"/>
  <c r="B460" i="7"/>
  <c r="A460" i="7"/>
  <c r="V459" i="7"/>
  <c r="T459" i="7"/>
  <c r="R459" i="7"/>
  <c r="Q459" i="7"/>
  <c r="P459" i="7"/>
  <c r="O459" i="7"/>
  <c r="N459" i="7"/>
  <c r="M459" i="7"/>
  <c r="L459" i="7"/>
  <c r="K459" i="7"/>
  <c r="J459" i="7"/>
  <c r="I459" i="7"/>
  <c r="H459" i="7"/>
  <c r="G459" i="7"/>
  <c r="S459" i="7" s="1"/>
  <c r="F459" i="7"/>
  <c r="E459" i="7"/>
  <c r="D459" i="7"/>
  <c r="C459" i="7"/>
  <c r="U459" i="7" s="1"/>
  <c r="B459" i="7"/>
  <c r="A459" i="7"/>
  <c r="V458" i="7"/>
  <c r="U458" i="7"/>
  <c r="T458" i="7"/>
  <c r="S458" i="7"/>
  <c r="Q458" i="7"/>
  <c r="P458" i="7"/>
  <c r="O458" i="7"/>
  <c r="N458" i="7"/>
  <c r="M458" i="7"/>
  <c r="L458" i="7"/>
  <c r="K458" i="7"/>
  <c r="J458" i="7"/>
  <c r="I458" i="7"/>
  <c r="H458" i="7"/>
  <c r="G458" i="7"/>
  <c r="F458" i="7"/>
  <c r="E458" i="7"/>
  <c r="D458" i="7"/>
  <c r="C458" i="7"/>
  <c r="B458" i="7"/>
  <c r="R458" i="7" s="1"/>
  <c r="A458" i="7"/>
  <c r="T457" i="7"/>
  <c r="S457" i="7"/>
  <c r="Q457" i="7"/>
  <c r="P457" i="7"/>
  <c r="O457" i="7"/>
  <c r="N457" i="7"/>
  <c r="M457" i="7"/>
  <c r="L457" i="7"/>
  <c r="K457" i="7"/>
  <c r="J457" i="7"/>
  <c r="I457" i="7"/>
  <c r="V457" i="7" s="1"/>
  <c r="H457" i="7"/>
  <c r="G457" i="7"/>
  <c r="F457" i="7"/>
  <c r="E457" i="7"/>
  <c r="D457" i="7"/>
  <c r="C457" i="7"/>
  <c r="U457" i="7" s="1"/>
  <c r="B457" i="7"/>
  <c r="R457" i="7" s="1"/>
  <c r="A457" i="7"/>
  <c r="Q456" i="7"/>
  <c r="P456" i="7"/>
  <c r="O456" i="7"/>
  <c r="N456" i="7"/>
  <c r="M456" i="7"/>
  <c r="L456" i="7"/>
  <c r="K456" i="7"/>
  <c r="J456" i="7"/>
  <c r="I456" i="7"/>
  <c r="V456" i="7" s="1"/>
  <c r="H456" i="7"/>
  <c r="G456" i="7"/>
  <c r="S456" i="7" s="1"/>
  <c r="F456" i="7"/>
  <c r="T456" i="7" s="1"/>
  <c r="E456" i="7"/>
  <c r="D456" i="7"/>
  <c r="C456" i="7"/>
  <c r="U456" i="7" s="1"/>
  <c r="B456" i="7"/>
  <c r="R456" i="7" s="1"/>
  <c r="A456" i="7"/>
  <c r="U455" i="7"/>
  <c r="S455" i="7"/>
  <c r="R455" i="7"/>
  <c r="Q455" i="7"/>
  <c r="P455" i="7"/>
  <c r="O455" i="7"/>
  <c r="N455" i="7"/>
  <c r="M455" i="7"/>
  <c r="L455" i="7"/>
  <c r="K455" i="7"/>
  <c r="J455" i="7"/>
  <c r="I455" i="7"/>
  <c r="V455" i="7" s="1"/>
  <c r="H455" i="7"/>
  <c r="G455" i="7"/>
  <c r="F455" i="7"/>
  <c r="T455" i="7" s="1"/>
  <c r="E455" i="7"/>
  <c r="D455" i="7"/>
  <c r="C455" i="7"/>
  <c r="B455" i="7"/>
  <c r="A455" i="7"/>
  <c r="U454" i="7"/>
  <c r="T454" i="7"/>
  <c r="Q454" i="7"/>
  <c r="P454" i="7"/>
  <c r="O454" i="7"/>
  <c r="N454" i="7"/>
  <c r="M454" i="7"/>
  <c r="L454" i="7"/>
  <c r="K454" i="7"/>
  <c r="J454" i="7"/>
  <c r="I454" i="7"/>
  <c r="V454" i="7" s="1"/>
  <c r="H454" i="7"/>
  <c r="G454" i="7"/>
  <c r="S454" i="7" s="1"/>
  <c r="F454" i="7"/>
  <c r="E454" i="7"/>
  <c r="D454" i="7"/>
  <c r="C454" i="7"/>
  <c r="B454" i="7"/>
  <c r="R454" i="7" s="1"/>
  <c r="A454" i="7"/>
  <c r="V453" i="7"/>
  <c r="U453" i="7"/>
  <c r="S453" i="7"/>
  <c r="R453" i="7"/>
  <c r="Q453" i="7"/>
  <c r="P453" i="7"/>
  <c r="O453" i="7"/>
  <c r="N453" i="7"/>
  <c r="M453" i="7"/>
  <c r="L453" i="7"/>
  <c r="K453" i="7"/>
  <c r="J453" i="7"/>
  <c r="I453" i="7"/>
  <c r="H453" i="7"/>
  <c r="G453" i="7"/>
  <c r="F453" i="7"/>
  <c r="T453" i="7" s="1"/>
  <c r="E453" i="7"/>
  <c r="D453" i="7"/>
  <c r="C453" i="7"/>
  <c r="B453" i="7"/>
  <c r="A453" i="7"/>
  <c r="V452" i="7"/>
  <c r="T452" i="7"/>
  <c r="S452" i="7"/>
  <c r="R452" i="7"/>
  <c r="Q452" i="7"/>
  <c r="P452" i="7"/>
  <c r="O452" i="7"/>
  <c r="N452" i="7"/>
  <c r="M452" i="7"/>
  <c r="L452" i="7"/>
  <c r="K452" i="7"/>
  <c r="J452" i="7"/>
  <c r="I452" i="7"/>
  <c r="H452" i="7"/>
  <c r="G452" i="7"/>
  <c r="F452" i="7"/>
  <c r="E452" i="7"/>
  <c r="D452" i="7"/>
  <c r="C452" i="7"/>
  <c r="U452" i="7" s="1"/>
  <c r="B452" i="7"/>
  <c r="A452" i="7"/>
  <c r="P451" i="7"/>
  <c r="O451" i="7"/>
  <c r="N451" i="7"/>
  <c r="M451" i="7"/>
  <c r="L451" i="7"/>
  <c r="K451" i="7"/>
  <c r="J451" i="7"/>
  <c r="I451" i="7"/>
  <c r="V451" i="7" s="1"/>
  <c r="H451" i="7"/>
  <c r="G451" i="7"/>
  <c r="S451" i="7" s="1"/>
  <c r="F451" i="7"/>
  <c r="T451" i="7" s="1"/>
  <c r="E451" i="7"/>
  <c r="D451" i="7"/>
  <c r="Q451" i="7" s="1"/>
  <c r="C451" i="7"/>
  <c r="U451" i="7" s="1"/>
  <c r="B451" i="7"/>
  <c r="R451" i="7" s="1"/>
  <c r="A451" i="7"/>
  <c r="P450" i="7"/>
  <c r="O450" i="7"/>
  <c r="N450" i="7"/>
  <c r="M450" i="7"/>
  <c r="L450" i="7"/>
  <c r="K450" i="7"/>
  <c r="J450" i="7"/>
  <c r="I450" i="7"/>
  <c r="V450" i="7" s="1"/>
  <c r="H450" i="7"/>
  <c r="G450" i="7"/>
  <c r="F450" i="7"/>
  <c r="T450" i="7" s="1"/>
  <c r="E450" i="7"/>
  <c r="D450" i="7"/>
  <c r="Q450" i="7" s="1"/>
  <c r="C450" i="7"/>
  <c r="U450" i="7" s="1"/>
  <c r="B450" i="7"/>
  <c r="R450" i="7" s="1"/>
  <c r="A450" i="7"/>
  <c r="T449" i="7"/>
  <c r="P449" i="7"/>
  <c r="O449" i="7"/>
  <c r="N449" i="7"/>
  <c r="M449" i="7"/>
  <c r="L449" i="7"/>
  <c r="K449" i="7"/>
  <c r="J449" i="7"/>
  <c r="I449" i="7"/>
  <c r="V449" i="7" s="1"/>
  <c r="H449" i="7"/>
  <c r="G449" i="7"/>
  <c r="S449" i="7" s="1"/>
  <c r="F449" i="7"/>
  <c r="E449" i="7"/>
  <c r="D449" i="7"/>
  <c r="Q449" i="7" s="1"/>
  <c r="C449" i="7"/>
  <c r="U449" i="7" s="1"/>
  <c r="B449" i="7"/>
  <c r="R449" i="7" s="1"/>
  <c r="A449" i="7"/>
  <c r="R448" i="7"/>
  <c r="Q448" i="7"/>
  <c r="P448" i="7"/>
  <c r="O448" i="7"/>
  <c r="N448" i="7"/>
  <c r="M448" i="7"/>
  <c r="L448" i="7"/>
  <c r="K448" i="7"/>
  <c r="J448" i="7"/>
  <c r="I448" i="7"/>
  <c r="V448" i="7" s="1"/>
  <c r="H448" i="7"/>
  <c r="G448" i="7"/>
  <c r="S448" i="7" s="1"/>
  <c r="F448" i="7"/>
  <c r="T448" i="7" s="1"/>
  <c r="E448" i="7"/>
  <c r="D448" i="7"/>
  <c r="C448" i="7"/>
  <c r="U448" i="7" s="1"/>
  <c r="B448" i="7"/>
  <c r="A448" i="7"/>
  <c r="T447" i="7"/>
  <c r="S447" i="7"/>
  <c r="Q447" i="7"/>
  <c r="P447" i="7"/>
  <c r="O447" i="7"/>
  <c r="N447" i="7"/>
  <c r="M447" i="7"/>
  <c r="L447" i="7"/>
  <c r="K447" i="7"/>
  <c r="J447" i="7"/>
  <c r="I447" i="7"/>
  <c r="V447" i="7" s="1"/>
  <c r="H447" i="7"/>
  <c r="G447" i="7"/>
  <c r="F447" i="7"/>
  <c r="E447" i="7"/>
  <c r="D447" i="7"/>
  <c r="C447" i="7"/>
  <c r="U447" i="7" s="1"/>
  <c r="B447" i="7"/>
  <c r="R447" i="7" s="1"/>
  <c r="A447" i="7"/>
  <c r="V446" i="7"/>
  <c r="U446" i="7"/>
  <c r="T446" i="7"/>
  <c r="S446" i="7"/>
  <c r="P446" i="7"/>
  <c r="O446" i="7"/>
  <c r="N446" i="7"/>
  <c r="M446" i="7"/>
  <c r="L446" i="7"/>
  <c r="K446" i="7"/>
  <c r="J446" i="7"/>
  <c r="I446" i="7"/>
  <c r="H446" i="7"/>
  <c r="G446" i="7"/>
  <c r="F446" i="7"/>
  <c r="E446" i="7"/>
  <c r="D446" i="7"/>
  <c r="Q446" i="7" s="1"/>
  <c r="C446" i="7"/>
  <c r="B446" i="7"/>
  <c r="R446" i="7" s="1"/>
  <c r="A446" i="7"/>
  <c r="T445" i="7"/>
  <c r="S445" i="7"/>
  <c r="R445" i="7"/>
  <c r="Q445" i="7"/>
  <c r="P445" i="7"/>
  <c r="O445" i="7"/>
  <c r="N445" i="7"/>
  <c r="M445" i="7"/>
  <c r="L445" i="7"/>
  <c r="K445" i="7"/>
  <c r="J445" i="7"/>
  <c r="I445" i="7"/>
  <c r="V445" i="7" s="1"/>
  <c r="H445" i="7"/>
  <c r="G445" i="7"/>
  <c r="F445" i="7"/>
  <c r="E445" i="7"/>
  <c r="D445" i="7"/>
  <c r="C445" i="7"/>
  <c r="U445" i="7" s="1"/>
  <c r="B445" i="7"/>
  <c r="A445" i="7"/>
  <c r="V444" i="7"/>
  <c r="U444" i="7"/>
  <c r="S444" i="7"/>
  <c r="R444" i="7"/>
  <c r="P444" i="7"/>
  <c r="O444" i="7"/>
  <c r="N444" i="7"/>
  <c r="M444" i="7"/>
  <c r="L444" i="7"/>
  <c r="K444" i="7"/>
  <c r="J444" i="7"/>
  <c r="I444" i="7"/>
  <c r="H444" i="7"/>
  <c r="G444" i="7"/>
  <c r="F444" i="7"/>
  <c r="T444" i="7" s="1"/>
  <c r="E444" i="7"/>
  <c r="D444" i="7"/>
  <c r="Q444" i="7" s="1"/>
  <c r="C444" i="7"/>
  <c r="B444" i="7"/>
  <c r="A444" i="7"/>
  <c r="V443" i="7"/>
  <c r="T443" i="7"/>
  <c r="P443" i="7"/>
  <c r="O443" i="7"/>
  <c r="N443" i="7"/>
  <c r="M443" i="7"/>
  <c r="L443" i="7"/>
  <c r="K443" i="7"/>
  <c r="J443" i="7"/>
  <c r="I443" i="7"/>
  <c r="H443" i="7"/>
  <c r="G443" i="7"/>
  <c r="F443" i="7"/>
  <c r="E443" i="7"/>
  <c r="D443" i="7"/>
  <c r="Q443" i="7" s="1"/>
  <c r="C443" i="7"/>
  <c r="U443" i="7" s="1"/>
  <c r="B443" i="7"/>
  <c r="R443" i="7" s="1"/>
  <c r="A443" i="7"/>
  <c r="U442" i="7"/>
  <c r="Q442" i="7"/>
  <c r="P442" i="7"/>
  <c r="O442" i="7"/>
  <c r="N442" i="7"/>
  <c r="M442" i="7"/>
  <c r="L442" i="7"/>
  <c r="K442" i="7"/>
  <c r="J442" i="7"/>
  <c r="I442" i="7"/>
  <c r="V442" i="7" s="1"/>
  <c r="H442" i="7"/>
  <c r="G442" i="7"/>
  <c r="F442" i="7"/>
  <c r="T442" i="7" s="1"/>
  <c r="E442" i="7"/>
  <c r="D442" i="7"/>
  <c r="C442" i="7"/>
  <c r="B442" i="7"/>
  <c r="R442" i="7" s="1"/>
  <c r="A442" i="7"/>
  <c r="U441" i="7"/>
  <c r="S441" i="7"/>
  <c r="Q441" i="7"/>
  <c r="P441" i="7"/>
  <c r="O441" i="7"/>
  <c r="N441" i="7"/>
  <c r="M441" i="7"/>
  <c r="L441" i="7"/>
  <c r="K441" i="7"/>
  <c r="J441" i="7"/>
  <c r="I441" i="7"/>
  <c r="V441" i="7" s="1"/>
  <c r="H441" i="7"/>
  <c r="G441" i="7"/>
  <c r="F441" i="7"/>
  <c r="T441" i="7" s="1"/>
  <c r="E441" i="7"/>
  <c r="D441" i="7"/>
  <c r="C441" i="7"/>
  <c r="B441" i="7"/>
  <c r="R441" i="7" s="1"/>
  <c r="A441" i="7"/>
  <c r="U440" i="7"/>
  <c r="T440" i="7"/>
  <c r="Q440" i="7"/>
  <c r="P440" i="7"/>
  <c r="O440" i="7"/>
  <c r="N440" i="7"/>
  <c r="M440" i="7"/>
  <c r="L440" i="7"/>
  <c r="K440" i="7"/>
  <c r="J440" i="7"/>
  <c r="I440" i="7"/>
  <c r="V440" i="7" s="1"/>
  <c r="H440" i="7"/>
  <c r="S440" i="7" s="1"/>
  <c r="G440" i="7"/>
  <c r="F440" i="7"/>
  <c r="E440" i="7"/>
  <c r="D440" i="7"/>
  <c r="C440" i="7"/>
  <c r="B440" i="7"/>
  <c r="R440" i="7" s="1"/>
  <c r="A440" i="7"/>
  <c r="T439" i="7"/>
  <c r="S439" i="7"/>
  <c r="Q439" i="7"/>
  <c r="P439" i="7"/>
  <c r="O439" i="7"/>
  <c r="N439" i="7"/>
  <c r="M439" i="7"/>
  <c r="L439" i="7"/>
  <c r="K439" i="7"/>
  <c r="J439" i="7"/>
  <c r="I439" i="7"/>
  <c r="V439" i="7" s="1"/>
  <c r="H439" i="7"/>
  <c r="G439" i="7"/>
  <c r="F439" i="7"/>
  <c r="E439" i="7"/>
  <c r="D439" i="7"/>
  <c r="C439" i="7"/>
  <c r="U439" i="7" s="1"/>
  <c r="B439" i="7"/>
  <c r="R439" i="7" s="1"/>
  <c r="A439" i="7"/>
  <c r="V438" i="7"/>
  <c r="U438" i="7"/>
  <c r="T438" i="7"/>
  <c r="S438" i="7"/>
  <c r="P438" i="7"/>
  <c r="O438" i="7"/>
  <c r="N438" i="7"/>
  <c r="M438" i="7"/>
  <c r="L438" i="7"/>
  <c r="K438" i="7"/>
  <c r="J438" i="7"/>
  <c r="I438" i="7"/>
  <c r="H438" i="7"/>
  <c r="G438" i="7"/>
  <c r="F438" i="7"/>
  <c r="E438" i="7"/>
  <c r="D438" i="7"/>
  <c r="Q438" i="7" s="1"/>
  <c r="C438" i="7"/>
  <c r="B438" i="7"/>
  <c r="R438" i="7" s="1"/>
  <c r="A438" i="7"/>
  <c r="V437" i="7"/>
  <c r="R437" i="7"/>
  <c r="P437" i="7"/>
  <c r="O437" i="7"/>
  <c r="N437" i="7"/>
  <c r="M437" i="7"/>
  <c r="L437" i="7"/>
  <c r="K437" i="7"/>
  <c r="J437" i="7"/>
  <c r="I437" i="7"/>
  <c r="H437" i="7"/>
  <c r="G437" i="7"/>
  <c r="S437" i="7" s="1"/>
  <c r="F437" i="7"/>
  <c r="T437" i="7" s="1"/>
  <c r="E437" i="7"/>
  <c r="D437" i="7"/>
  <c r="Q437" i="7" s="1"/>
  <c r="C437" i="7"/>
  <c r="U437" i="7" s="1"/>
  <c r="B437" i="7"/>
  <c r="A437" i="7"/>
  <c r="V436" i="7"/>
  <c r="T436" i="7"/>
  <c r="P436" i="7"/>
  <c r="O436" i="7"/>
  <c r="N436" i="7"/>
  <c r="M436" i="7"/>
  <c r="L436" i="7"/>
  <c r="K436" i="7"/>
  <c r="J436" i="7"/>
  <c r="I436" i="7"/>
  <c r="H436" i="7"/>
  <c r="G436" i="7"/>
  <c r="F436" i="7"/>
  <c r="E436" i="7"/>
  <c r="D436" i="7"/>
  <c r="Q436" i="7" s="1"/>
  <c r="C436" i="7"/>
  <c r="U436" i="7" s="1"/>
  <c r="B436" i="7"/>
  <c r="R436" i="7" s="1"/>
  <c r="A436" i="7"/>
  <c r="U435" i="7"/>
  <c r="S435" i="7"/>
  <c r="R435" i="7"/>
  <c r="P435" i="7"/>
  <c r="O435" i="7"/>
  <c r="N435" i="7"/>
  <c r="M435" i="7"/>
  <c r="L435" i="7"/>
  <c r="K435" i="7"/>
  <c r="J435" i="7"/>
  <c r="I435" i="7"/>
  <c r="V435" i="7" s="1"/>
  <c r="H435" i="7"/>
  <c r="G435" i="7"/>
  <c r="F435" i="7"/>
  <c r="T435" i="7" s="1"/>
  <c r="E435" i="7"/>
  <c r="D435" i="7"/>
  <c r="Q435" i="7" s="1"/>
  <c r="C435" i="7"/>
  <c r="B435" i="7"/>
  <c r="A435" i="7"/>
  <c r="T434" i="7"/>
  <c r="R434" i="7"/>
  <c r="Q434" i="7"/>
  <c r="P434" i="7"/>
  <c r="O434" i="7"/>
  <c r="N434" i="7"/>
  <c r="M434" i="7"/>
  <c r="L434" i="7"/>
  <c r="K434" i="7"/>
  <c r="J434" i="7"/>
  <c r="I434" i="7"/>
  <c r="V434" i="7" s="1"/>
  <c r="H434" i="7"/>
  <c r="S434" i="7" s="1"/>
  <c r="G434" i="7"/>
  <c r="F434" i="7"/>
  <c r="E434" i="7"/>
  <c r="D434" i="7"/>
  <c r="C434" i="7"/>
  <c r="U434" i="7" s="1"/>
  <c r="B434" i="7"/>
  <c r="A434" i="7"/>
  <c r="V433" i="7"/>
  <c r="T433" i="7"/>
  <c r="S433" i="7"/>
  <c r="Q433" i="7"/>
  <c r="P433" i="7"/>
  <c r="O433" i="7"/>
  <c r="N433" i="7"/>
  <c r="M433" i="7"/>
  <c r="L433" i="7"/>
  <c r="K433" i="7"/>
  <c r="J433" i="7"/>
  <c r="I433" i="7"/>
  <c r="H433" i="7"/>
  <c r="G433" i="7"/>
  <c r="F433" i="7"/>
  <c r="E433" i="7"/>
  <c r="D433" i="7"/>
  <c r="C433" i="7"/>
  <c r="U433" i="7" s="1"/>
  <c r="B433" i="7"/>
  <c r="R433" i="7" s="1"/>
  <c r="A433" i="7"/>
  <c r="V432" i="7"/>
  <c r="U432" i="7"/>
  <c r="R432" i="7"/>
  <c r="P432" i="7"/>
  <c r="O432" i="7"/>
  <c r="N432" i="7"/>
  <c r="M432" i="7"/>
  <c r="L432" i="7"/>
  <c r="K432" i="7"/>
  <c r="J432" i="7"/>
  <c r="I432" i="7"/>
  <c r="H432" i="7"/>
  <c r="G432" i="7"/>
  <c r="S432" i="7" s="1"/>
  <c r="F432" i="7"/>
  <c r="T432" i="7" s="1"/>
  <c r="E432" i="7"/>
  <c r="D432" i="7"/>
  <c r="Q432" i="7" s="1"/>
  <c r="C432" i="7"/>
  <c r="B432" i="7"/>
  <c r="A432" i="7"/>
  <c r="V431" i="7"/>
  <c r="U431" i="7"/>
  <c r="Q431" i="7"/>
  <c r="P431" i="7"/>
  <c r="O431" i="7"/>
  <c r="N431" i="7"/>
  <c r="M431" i="7"/>
  <c r="L431" i="7"/>
  <c r="K431" i="7"/>
  <c r="J431" i="7"/>
  <c r="I431" i="7"/>
  <c r="H431" i="7"/>
  <c r="G431" i="7"/>
  <c r="F431" i="7"/>
  <c r="T431" i="7" s="1"/>
  <c r="E431" i="7"/>
  <c r="D431" i="7"/>
  <c r="C431" i="7"/>
  <c r="B431" i="7"/>
  <c r="R431" i="7" s="1"/>
  <c r="A431" i="7"/>
  <c r="T430" i="7"/>
  <c r="Q430" i="7"/>
  <c r="P430" i="7"/>
  <c r="O430" i="7"/>
  <c r="N430" i="7"/>
  <c r="M430" i="7"/>
  <c r="L430" i="7"/>
  <c r="K430" i="7"/>
  <c r="J430" i="7"/>
  <c r="I430" i="7"/>
  <c r="V430" i="7" s="1"/>
  <c r="H430" i="7"/>
  <c r="G430" i="7"/>
  <c r="F430" i="7"/>
  <c r="E430" i="7"/>
  <c r="D430" i="7"/>
  <c r="C430" i="7"/>
  <c r="U430" i="7" s="1"/>
  <c r="B430" i="7"/>
  <c r="R430" i="7" s="1"/>
  <c r="A430" i="7"/>
  <c r="V429" i="7"/>
  <c r="U429" i="7"/>
  <c r="T429" i="7"/>
  <c r="S429" i="7"/>
  <c r="P429" i="7"/>
  <c r="O429" i="7"/>
  <c r="N429" i="7"/>
  <c r="M429" i="7"/>
  <c r="L429" i="7"/>
  <c r="K429" i="7"/>
  <c r="J429" i="7"/>
  <c r="I429" i="7"/>
  <c r="H429" i="7"/>
  <c r="G429" i="7"/>
  <c r="F429" i="7"/>
  <c r="E429" i="7"/>
  <c r="D429" i="7"/>
  <c r="Q429" i="7" s="1"/>
  <c r="C429" i="7"/>
  <c r="B429" i="7"/>
  <c r="R429" i="7" s="1"/>
  <c r="A429" i="7"/>
  <c r="Q428" i="7"/>
  <c r="P428" i="7"/>
  <c r="O428" i="7"/>
  <c r="N428" i="7"/>
  <c r="M428" i="7"/>
  <c r="L428" i="7"/>
  <c r="K428" i="7"/>
  <c r="J428" i="7"/>
  <c r="I428" i="7"/>
  <c r="V428" i="7" s="1"/>
  <c r="H428" i="7"/>
  <c r="G428" i="7"/>
  <c r="S428" i="7" s="1"/>
  <c r="F428" i="7"/>
  <c r="T428" i="7" s="1"/>
  <c r="E428" i="7"/>
  <c r="D428" i="7"/>
  <c r="C428" i="7"/>
  <c r="U428" i="7" s="1"/>
  <c r="B428" i="7"/>
  <c r="R428" i="7" s="1"/>
  <c r="A428" i="7"/>
  <c r="T427" i="7"/>
  <c r="P427" i="7"/>
  <c r="O427" i="7"/>
  <c r="N427" i="7"/>
  <c r="M427" i="7"/>
  <c r="L427" i="7"/>
  <c r="K427" i="7"/>
  <c r="J427" i="7"/>
  <c r="I427" i="7"/>
  <c r="V427" i="7" s="1"/>
  <c r="H427" i="7"/>
  <c r="G427" i="7"/>
  <c r="S427" i="7" s="1"/>
  <c r="F427" i="7"/>
  <c r="E427" i="7"/>
  <c r="D427" i="7"/>
  <c r="Q427" i="7" s="1"/>
  <c r="C427" i="7"/>
  <c r="U427" i="7" s="1"/>
  <c r="B427" i="7"/>
  <c r="R427" i="7" s="1"/>
  <c r="A427" i="7"/>
  <c r="U426" i="7"/>
  <c r="S426" i="7"/>
  <c r="R426" i="7"/>
  <c r="Q426" i="7"/>
  <c r="P426" i="7"/>
  <c r="O426" i="7"/>
  <c r="N426" i="7"/>
  <c r="M426" i="7"/>
  <c r="L426" i="7"/>
  <c r="K426" i="7"/>
  <c r="J426" i="7"/>
  <c r="I426" i="7"/>
  <c r="V426" i="7" s="1"/>
  <c r="H426" i="7"/>
  <c r="G426" i="7"/>
  <c r="F426" i="7"/>
  <c r="T426" i="7" s="1"/>
  <c r="E426" i="7"/>
  <c r="D426" i="7"/>
  <c r="C426" i="7"/>
  <c r="B426" i="7"/>
  <c r="A426" i="7"/>
  <c r="T425" i="7"/>
  <c r="S425" i="7"/>
  <c r="R425" i="7"/>
  <c r="Q425" i="7"/>
  <c r="P425" i="7"/>
  <c r="O425" i="7"/>
  <c r="N425" i="7"/>
  <c r="M425" i="7"/>
  <c r="L425" i="7"/>
  <c r="K425" i="7"/>
  <c r="J425" i="7"/>
  <c r="I425" i="7"/>
  <c r="V425" i="7" s="1"/>
  <c r="H425" i="7"/>
  <c r="G425" i="7"/>
  <c r="F425" i="7"/>
  <c r="E425" i="7"/>
  <c r="D425" i="7"/>
  <c r="C425" i="7"/>
  <c r="U425" i="7" s="1"/>
  <c r="B425" i="7"/>
  <c r="A425" i="7"/>
  <c r="V424" i="7"/>
  <c r="P424" i="7"/>
  <c r="O424" i="7"/>
  <c r="N424" i="7"/>
  <c r="M424" i="7"/>
  <c r="L424" i="7"/>
  <c r="K424" i="7"/>
  <c r="J424" i="7"/>
  <c r="I424" i="7"/>
  <c r="H424" i="7"/>
  <c r="G424" i="7"/>
  <c r="S424" i="7" s="1"/>
  <c r="F424" i="7"/>
  <c r="T424" i="7" s="1"/>
  <c r="E424" i="7"/>
  <c r="D424" i="7"/>
  <c r="Q424" i="7" s="1"/>
  <c r="C424" i="7"/>
  <c r="U424" i="7" s="1"/>
  <c r="B424" i="7"/>
  <c r="R424" i="7" s="1"/>
  <c r="A424" i="7"/>
  <c r="U423" i="7"/>
  <c r="R423" i="7"/>
  <c r="P423" i="7"/>
  <c r="O423" i="7"/>
  <c r="N423" i="7"/>
  <c r="M423" i="7"/>
  <c r="L423" i="7"/>
  <c r="K423" i="7"/>
  <c r="J423" i="7"/>
  <c r="I423" i="7"/>
  <c r="V423" i="7" s="1"/>
  <c r="H423" i="7"/>
  <c r="G423" i="7"/>
  <c r="S423" i="7" s="1"/>
  <c r="F423" i="7"/>
  <c r="T423" i="7" s="1"/>
  <c r="E423" i="7"/>
  <c r="D423" i="7"/>
  <c r="Q423" i="7" s="1"/>
  <c r="C423" i="7"/>
  <c r="B423" i="7"/>
  <c r="A423" i="7"/>
  <c r="U422" i="7"/>
  <c r="P422" i="7"/>
  <c r="O422" i="7"/>
  <c r="N422" i="7"/>
  <c r="M422" i="7"/>
  <c r="L422" i="7"/>
  <c r="K422" i="7"/>
  <c r="J422" i="7"/>
  <c r="I422" i="7"/>
  <c r="V422" i="7" s="1"/>
  <c r="H422" i="7"/>
  <c r="G422" i="7"/>
  <c r="S422" i="7" s="1"/>
  <c r="F422" i="7"/>
  <c r="T422" i="7" s="1"/>
  <c r="E422" i="7"/>
  <c r="D422" i="7"/>
  <c r="Q422" i="7" s="1"/>
  <c r="C422" i="7"/>
  <c r="B422" i="7"/>
  <c r="R422" i="7" s="1"/>
  <c r="A422" i="7"/>
  <c r="U421" i="7"/>
  <c r="Q421" i="7"/>
  <c r="P421" i="7"/>
  <c r="O421" i="7"/>
  <c r="N421" i="7"/>
  <c r="M421" i="7"/>
  <c r="L421" i="7"/>
  <c r="K421" i="7"/>
  <c r="J421" i="7"/>
  <c r="I421" i="7"/>
  <c r="V421" i="7" s="1"/>
  <c r="H421" i="7"/>
  <c r="G421" i="7"/>
  <c r="S421" i="7" s="1"/>
  <c r="F421" i="7"/>
  <c r="T421" i="7" s="1"/>
  <c r="E421" i="7"/>
  <c r="D421" i="7"/>
  <c r="C421" i="7"/>
  <c r="B421" i="7"/>
  <c r="R421" i="7" s="1"/>
  <c r="A421" i="7"/>
  <c r="Q420" i="7"/>
  <c r="P420" i="7"/>
  <c r="O420" i="7"/>
  <c r="N420" i="7"/>
  <c r="M420" i="7"/>
  <c r="L420" i="7"/>
  <c r="K420" i="7"/>
  <c r="J420" i="7"/>
  <c r="I420" i="7"/>
  <c r="V420" i="7" s="1"/>
  <c r="H420" i="7"/>
  <c r="G420" i="7"/>
  <c r="S420" i="7" s="1"/>
  <c r="F420" i="7"/>
  <c r="T420" i="7" s="1"/>
  <c r="E420" i="7"/>
  <c r="D420" i="7"/>
  <c r="C420" i="7"/>
  <c r="U420" i="7" s="1"/>
  <c r="B420" i="7"/>
  <c r="R420" i="7" s="1"/>
  <c r="A420" i="7"/>
  <c r="V419" i="7"/>
  <c r="T419" i="7"/>
  <c r="S419" i="7"/>
  <c r="Q419" i="7"/>
  <c r="P419" i="7"/>
  <c r="O419" i="7"/>
  <c r="N419" i="7"/>
  <c r="M419" i="7"/>
  <c r="L419" i="7"/>
  <c r="K419" i="7"/>
  <c r="J419" i="7"/>
  <c r="I419" i="7"/>
  <c r="H419" i="7"/>
  <c r="G419" i="7"/>
  <c r="F419" i="7"/>
  <c r="E419" i="7"/>
  <c r="D419" i="7"/>
  <c r="C419" i="7"/>
  <c r="U419" i="7" s="1"/>
  <c r="B419" i="7"/>
  <c r="R419" i="7" s="1"/>
  <c r="A419" i="7"/>
  <c r="V418" i="7"/>
  <c r="T418" i="7"/>
  <c r="S418" i="7"/>
  <c r="Q418" i="7"/>
  <c r="P418" i="7"/>
  <c r="O418" i="7"/>
  <c r="N418" i="7"/>
  <c r="M418" i="7"/>
  <c r="L418" i="7"/>
  <c r="K418" i="7"/>
  <c r="J418" i="7"/>
  <c r="I418" i="7"/>
  <c r="H418" i="7"/>
  <c r="G418" i="7"/>
  <c r="F418" i="7"/>
  <c r="E418" i="7"/>
  <c r="D418" i="7"/>
  <c r="C418" i="7"/>
  <c r="U418" i="7" s="1"/>
  <c r="B418" i="7"/>
  <c r="R418" i="7" s="1"/>
  <c r="A418" i="7"/>
  <c r="U417" i="7"/>
  <c r="S417" i="7"/>
  <c r="R417" i="7"/>
  <c r="Q417" i="7"/>
  <c r="P417" i="7"/>
  <c r="O417" i="7"/>
  <c r="N417" i="7"/>
  <c r="M417" i="7"/>
  <c r="L417" i="7"/>
  <c r="K417" i="7"/>
  <c r="J417" i="7"/>
  <c r="I417" i="7"/>
  <c r="V417" i="7" s="1"/>
  <c r="H417" i="7"/>
  <c r="G417" i="7"/>
  <c r="F417" i="7"/>
  <c r="T417" i="7" s="1"/>
  <c r="E417" i="7"/>
  <c r="D417" i="7"/>
  <c r="C417" i="7"/>
  <c r="B417" i="7"/>
  <c r="A417" i="7"/>
  <c r="V416" i="7"/>
  <c r="U416" i="7"/>
  <c r="T416" i="7"/>
  <c r="P416" i="7"/>
  <c r="O416" i="7"/>
  <c r="N416" i="7"/>
  <c r="M416" i="7"/>
  <c r="L416" i="7"/>
  <c r="K416" i="7"/>
  <c r="J416" i="7"/>
  <c r="I416" i="7"/>
  <c r="H416" i="7"/>
  <c r="G416" i="7"/>
  <c r="S416" i="7" s="1"/>
  <c r="F416" i="7"/>
  <c r="E416" i="7"/>
  <c r="D416" i="7"/>
  <c r="Q416" i="7" s="1"/>
  <c r="C416" i="7"/>
  <c r="B416" i="7"/>
  <c r="R416" i="7" s="1"/>
  <c r="A416" i="7"/>
  <c r="T415" i="7"/>
  <c r="Q415" i="7"/>
  <c r="P415" i="7"/>
  <c r="O415" i="7"/>
  <c r="N415" i="7"/>
  <c r="M415" i="7"/>
  <c r="L415" i="7"/>
  <c r="K415" i="7"/>
  <c r="J415" i="7"/>
  <c r="I415" i="7"/>
  <c r="V415" i="7" s="1"/>
  <c r="H415" i="7"/>
  <c r="G415" i="7"/>
  <c r="S415" i="7" s="1"/>
  <c r="F415" i="7"/>
  <c r="E415" i="7"/>
  <c r="D415" i="7"/>
  <c r="C415" i="7"/>
  <c r="U415" i="7" s="1"/>
  <c r="B415" i="7"/>
  <c r="R415" i="7" s="1"/>
  <c r="A415" i="7"/>
  <c r="V414" i="7"/>
  <c r="S414" i="7"/>
  <c r="R414" i="7"/>
  <c r="P414" i="7"/>
  <c r="O414" i="7"/>
  <c r="N414" i="7"/>
  <c r="M414" i="7"/>
  <c r="L414" i="7"/>
  <c r="K414" i="7"/>
  <c r="J414" i="7"/>
  <c r="I414" i="7"/>
  <c r="H414" i="7"/>
  <c r="G414" i="7"/>
  <c r="F414" i="7"/>
  <c r="T414" i="7" s="1"/>
  <c r="E414" i="7"/>
  <c r="D414" i="7"/>
  <c r="Q414" i="7" s="1"/>
  <c r="C414" i="7"/>
  <c r="U414" i="7" s="1"/>
  <c r="B414" i="7"/>
  <c r="A414" i="7"/>
  <c r="Q413" i="7"/>
  <c r="P413" i="7"/>
  <c r="O413" i="7"/>
  <c r="N413" i="7"/>
  <c r="M413" i="7"/>
  <c r="L413" i="7"/>
  <c r="K413" i="7"/>
  <c r="J413" i="7"/>
  <c r="I413" i="7"/>
  <c r="V413" i="7" s="1"/>
  <c r="H413" i="7"/>
  <c r="G413" i="7"/>
  <c r="S413" i="7" s="1"/>
  <c r="F413" i="7"/>
  <c r="T413" i="7" s="1"/>
  <c r="E413" i="7"/>
  <c r="D413" i="7"/>
  <c r="C413" i="7"/>
  <c r="U413" i="7" s="1"/>
  <c r="B413" i="7"/>
  <c r="R413" i="7" s="1"/>
  <c r="A413" i="7"/>
  <c r="V412" i="7"/>
  <c r="T412" i="7"/>
  <c r="S412" i="7"/>
  <c r="R412" i="7"/>
  <c r="Q412" i="7"/>
  <c r="P412" i="7"/>
  <c r="O412" i="7"/>
  <c r="N412" i="7"/>
  <c r="M412" i="7"/>
  <c r="L412" i="7"/>
  <c r="K412" i="7"/>
  <c r="J412" i="7"/>
  <c r="I412" i="7"/>
  <c r="H412" i="7"/>
  <c r="G412" i="7"/>
  <c r="F412" i="7"/>
  <c r="E412" i="7"/>
  <c r="D412" i="7"/>
  <c r="C412" i="7"/>
  <c r="U412" i="7" s="1"/>
  <c r="B412" i="7"/>
  <c r="A412" i="7"/>
  <c r="V411" i="7"/>
  <c r="U411" i="7"/>
  <c r="S411" i="7"/>
  <c r="R411" i="7"/>
  <c r="P411" i="7"/>
  <c r="O411" i="7"/>
  <c r="N411" i="7"/>
  <c r="M411" i="7"/>
  <c r="L411" i="7"/>
  <c r="K411" i="7"/>
  <c r="J411" i="7"/>
  <c r="I411" i="7"/>
  <c r="H411" i="7"/>
  <c r="G411" i="7"/>
  <c r="F411" i="7"/>
  <c r="T411" i="7" s="1"/>
  <c r="E411" i="7"/>
  <c r="D411" i="7"/>
  <c r="Q411" i="7" s="1"/>
  <c r="C411" i="7"/>
  <c r="B411" i="7"/>
  <c r="A411" i="7"/>
  <c r="T410" i="7"/>
  <c r="Q410" i="7"/>
  <c r="P410" i="7"/>
  <c r="O410" i="7"/>
  <c r="N410" i="7"/>
  <c r="M410" i="7"/>
  <c r="L410" i="7"/>
  <c r="K410" i="7"/>
  <c r="J410" i="7"/>
  <c r="I410" i="7"/>
  <c r="V410" i="7" s="1"/>
  <c r="H410" i="7"/>
  <c r="G410" i="7"/>
  <c r="S410" i="7" s="1"/>
  <c r="F410" i="7"/>
  <c r="E410" i="7"/>
  <c r="D410" i="7"/>
  <c r="C410" i="7"/>
  <c r="U410" i="7" s="1"/>
  <c r="B410" i="7"/>
  <c r="R410" i="7" s="1"/>
  <c r="A410" i="7"/>
  <c r="U409" i="7"/>
  <c r="S409" i="7"/>
  <c r="R409" i="7"/>
  <c r="Q409" i="7"/>
  <c r="P409" i="7"/>
  <c r="O409" i="7"/>
  <c r="N409" i="7"/>
  <c r="M409" i="7"/>
  <c r="L409" i="7"/>
  <c r="K409" i="7"/>
  <c r="J409" i="7"/>
  <c r="I409" i="7"/>
  <c r="V409" i="7" s="1"/>
  <c r="H409" i="7"/>
  <c r="G409" i="7"/>
  <c r="F409" i="7"/>
  <c r="T409" i="7" s="1"/>
  <c r="E409" i="7"/>
  <c r="D409" i="7"/>
  <c r="C409" i="7"/>
  <c r="B409" i="7"/>
  <c r="A409" i="7"/>
  <c r="U408" i="7"/>
  <c r="T408" i="7"/>
  <c r="R408" i="7"/>
  <c r="P408" i="7"/>
  <c r="O408" i="7"/>
  <c r="N408" i="7"/>
  <c r="M408" i="7"/>
  <c r="L408" i="7"/>
  <c r="K408" i="7"/>
  <c r="J408" i="7"/>
  <c r="I408" i="7"/>
  <c r="V408" i="7" s="1"/>
  <c r="H408" i="7"/>
  <c r="G408" i="7"/>
  <c r="S408" i="7" s="1"/>
  <c r="F408" i="7"/>
  <c r="E408" i="7"/>
  <c r="D408" i="7"/>
  <c r="Q408" i="7" s="1"/>
  <c r="C408" i="7"/>
  <c r="B408" i="7"/>
  <c r="A408" i="7"/>
  <c r="V407" i="7"/>
  <c r="Q407" i="7"/>
  <c r="P407" i="7"/>
  <c r="O407" i="7"/>
  <c r="N407" i="7"/>
  <c r="M407" i="7"/>
  <c r="L407" i="7"/>
  <c r="K407" i="7"/>
  <c r="J407" i="7"/>
  <c r="I407" i="7"/>
  <c r="H407" i="7"/>
  <c r="S407" i="7" s="1"/>
  <c r="G407" i="7"/>
  <c r="F407" i="7"/>
  <c r="T407" i="7" s="1"/>
  <c r="E407" i="7"/>
  <c r="D407" i="7"/>
  <c r="C407" i="7"/>
  <c r="U407" i="7" s="1"/>
  <c r="B407" i="7"/>
  <c r="R407" i="7" s="1"/>
  <c r="A407" i="7"/>
  <c r="V406" i="7"/>
  <c r="U406" i="7"/>
  <c r="T406" i="7"/>
  <c r="Q406" i="7"/>
  <c r="P406" i="7"/>
  <c r="O406" i="7"/>
  <c r="N406" i="7"/>
  <c r="M406" i="7"/>
  <c r="L406" i="7"/>
  <c r="K406" i="7"/>
  <c r="J406" i="7"/>
  <c r="I406" i="7"/>
  <c r="H406" i="7"/>
  <c r="G406" i="7"/>
  <c r="F406" i="7"/>
  <c r="E406" i="7"/>
  <c r="D406" i="7"/>
  <c r="C406" i="7"/>
  <c r="B406" i="7"/>
  <c r="R406" i="7" s="1"/>
  <c r="A406" i="7"/>
  <c r="T405" i="7"/>
  <c r="S405" i="7"/>
  <c r="R405" i="7"/>
  <c r="Q405" i="7"/>
  <c r="P405" i="7"/>
  <c r="O405" i="7"/>
  <c r="N405" i="7"/>
  <c r="M405" i="7"/>
  <c r="L405" i="7"/>
  <c r="K405" i="7"/>
  <c r="J405" i="7"/>
  <c r="I405" i="7"/>
  <c r="V405" i="7" s="1"/>
  <c r="H405" i="7"/>
  <c r="G405" i="7"/>
  <c r="F405" i="7"/>
  <c r="E405" i="7"/>
  <c r="D405" i="7"/>
  <c r="C405" i="7"/>
  <c r="U405" i="7" s="1"/>
  <c r="B405" i="7"/>
  <c r="A405" i="7"/>
  <c r="V404" i="7"/>
  <c r="U404" i="7"/>
  <c r="T404" i="7"/>
  <c r="Q404" i="7"/>
  <c r="P404" i="7"/>
  <c r="O404" i="7"/>
  <c r="N404" i="7"/>
  <c r="M404" i="7"/>
  <c r="L404" i="7"/>
  <c r="K404" i="7"/>
  <c r="J404" i="7"/>
  <c r="I404" i="7"/>
  <c r="H404" i="7"/>
  <c r="G404" i="7"/>
  <c r="S404" i="7" s="1"/>
  <c r="F404" i="7"/>
  <c r="E404" i="7"/>
  <c r="D404" i="7"/>
  <c r="C404" i="7"/>
  <c r="B404" i="7"/>
  <c r="R404" i="7" s="1"/>
  <c r="A404" i="7"/>
  <c r="U403" i="7"/>
  <c r="T403" i="7"/>
  <c r="S403" i="7"/>
  <c r="Q403" i="7"/>
  <c r="P403" i="7"/>
  <c r="O403" i="7"/>
  <c r="N403" i="7"/>
  <c r="M403" i="7"/>
  <c r="L403" i="7"/>
  <c r="K403" i="7"/>
  <c r="J403" i="7"/>
  <c r="I403" i="7"/>
  <c r="V403" i="7" s="1"/>
  <c r="H403" i="7"/>
  <c r="G403" i="7"/>
  <c r="F403" i="7"/>
  <c r="E403" i="7"/>
  <c r="D403" i="7"/>
  <c r="C403" i="7"/>
  <c r="B403" i="7"/>
  <c r="R403" i="7" s="1"/>
  <c r="A403" i="7"/>
  <c r="P402" i="7"/>
  <c r="O402" i="7"/>
  <c r="N402" i="7"/>
  <c r="M402" i="7"/>
  <c r="L402" i="7"/>
  <c r="K402" i="7"/>
  <c r="J402" i="7"/>
  <c r="I402" i="7"/>
  <c r="V402" i="7" s="1"/>
  <c r="H402" i="7"/>
  <c r="S402" i="7" s="1"/>
  <c r="G402" i="7"/>
  <c r="F402" i="7"/>
  <c r="T402" i="7" s="1"/>
  <c r="E402" i="7"/>
  <c r="D402" i="7"/>
  <c r="Q402" i="7" s="1"/>
  <c r="C402" i="7"/>
  <c r="U402" i="7" s="1"/>
  <c r="B402" i="7"/>
  <c r="R402" i="7" s="1"/>
  <c r="A402" i="7"/>
  <c r="V401" i="7"/>
  <c r="R401" i="7"/>
  <c r="P401" i="7"/>
  <c r="O401" i="7"/>
  <c r="N401" i="7"/>
  <c r="M401" i="7"/>
  <c r="L401" i="7"/>
  <c r="K401" i="7"/>
  <c r="J401" i="7"/>
  <c r="I401" i="7"/>
  <c r="H401" i="7"/>
  <c r="G401" i="7"/>
  <c r="F401" i="7"/>
  <c r="T401" i="7" s="1"/>
  <c r="E401" i="7"/>
  <c r="D401" i="7"/>
  <c r="Q401" i="7" s="1"/>
  <c r="C401" i="7"/>
  <c r="U401" i="7" s="1"/>
  <c r="B401" i="7"/>
  <c r="A401" i="7"/>
  <c r="T400" i="7"/>
  <c r="R400" i="7"/>
  <c r="Q400" i="7"/>
  <c r="P400" i="7"/>
  <c r="O400" i="7"/>
  <c r="N400" i="7"/>
  <c r="M400" i="7"/>
  <c r="L400" i="7"/>
  <c r="K400" i="7"/>
  <c r="J400" i="7"/>
  <c r="I400" i="7"/>
  <c r="V400" i="7" s="1"/>
  <c r="H400" i="7"/>
  <c r="S400" i="7" s="1"/>
  <c r="G400" i="7"/>
  <c r="F400" i="7"/>
  <c r="E400" i="7"/>
  <c r="D400" i="7"/>
  <c r="C400" i="7"/>
  <c r="U400" i="7" s="1"/>
  <c r="B400" i="7"/>
  <c r="A400" i="7"/>
  <c r="V399" i="7"/>
  <c r="T399" i="7"/>
  <c r="S399" i="7"/>
  <c r="R399" i="7"/>
  <c r="P399" i="7"/>
  <c r="O399" i="7"/>
  <c r="N399" i="7"/>
  <c r="M399" i="7"/>
  <c r="L399" i="7"/>
  <c r="K399" i="7"/>
  <c r="J399" i="7"/>
  <c r="I399" i="7"/>
  <c r="H399" i="7"/>
  <c r="G399" i="7"/>
  <c r="F399" i="7"/>
  <c r="E399" i="7"/>
  <c r="D399" i="7"/>
  <c r="Q399" i="7" s="1"/>
  <c r="C399" i="7"/>
  <c r="U399" i="7" s="1"/>
  <c r="B399" i="7"/>
  <c r="A399" i="7"/>
  <c r="V398" i="7"/>
  <c r="T398" i="7"/>
  <c r="S398" i="7"/>
  <c r="Q398" i="7"/>
  <c r="P398" i="7"/>
  <c r="O398" i="7"/>
  <c r="N398" i="7"/>
  <c r="M398" i="7"/>
  <c r="L398" i="7"/>
  <c r="K398" i="7"/>
  <c r="J398" i="7"/>
  <c r="I398" i="7"/>
  <c r="H398" i="7"/>
  <c r="G398" i="7"/>
  <c r="F398" i="7"/>
  <c r="E398" i="7"/>
  <c r="D398" i="7"/>
  <c r="C398" i="7"/>
  <c r="U398" i="7" s="1"/>
  <c r="B398" i="7"/>
  <c r="R398" i="7" s="1"/>
  <c r="A398" i="7"/>
  <c r="V397" i="7"/>
  <c r="T397" i="7"/>
  <c r="P397" i="7"/>
  <c r="O397" i="7"/>
  <c r="N397" i="7"/>
  <c r="M397" i="7"/>
  <c r="L397" i="7"/>
  <c r="K397" i="7"/>
  <c r="J397" i="7"/>
  <c r="I397" i="7"/>
  <c r="H397" i="7"/>
  <c r="G397" i="7"/>
  <c r="S397" i="7" s="1"/>
  <c r="F397" i="7"/>
  <c r="E397" i="7"/>
  <c r="D397" i="7"/>
  <c r="Q397" i="7" s="1"/>
  <c r="C397" i="7"/>
  <c r="U397" i="7" s="1"/>
  <c r="B397" i="7"/>
  <c r="R397" i="7" s="1"/>
  <c r="A397" i="7"/>
  <c r="R396" i="7"/>
  <c r="Q396" i="7"/>
  <c r="P396" i="7"/>
  <c r="O396" i="7"/>
  <c r="N396" i="7"/>
  <c r="M396" i="7"/>
  <c r="L396" i="7"/>
  <c r="K396" i="7"/>
  <c r="J396" i="7"/>
  <c r="I396" i="7"/>
  <c r="V396" i="7" s="1"/>
  <c r="H396" i="7"/>
  <c r="G396" i="7"/>
  <c r="S396" i="7" s="1"/>
  <c r="F396" i="7"/>
  <c r="T396" i="7" s="1"/>
  <c r="E396" i="7"/>
  <c r="D396" i="7"/>
  <c r="C396" i="7"/>
  <c r="U396" i="7" s="1"/>
  <c r="B396" i="7"/>
  <c r="A396" i="7"/>
  <c r="V395" i="7"/>
  <c r="P395" i="7"/>
  <c r="O395" i="7"/>
  <c r="N395" i="7"/>
  <c r="M395" i="7"/>
  <c r="L395" i="7"/>
  <c r="K395" i="7"/>
  <c r="J395" i="7"/>
  <c r="I395" i="7"/>
  <c r="H395" i="7"/>
  <c r="G395" i="7"/>
  <c r="S395" i="7" s="1"/>
  <c r="F395" i="7"/>
  <c r="T395" i="7" s="1"/>
  <c r="E395" i="7"/>
  <c r="D395" i="7"/>
  <c r="Q395" i="7" s="1"/>
  <c r="C395" i="7"/>
  <c r="U395" i="7" s="1"/>
  <c r="B395" i="7"/>
  <c r="R395" i="7" s="1"/>
  <c r="A395" i="7"/>
  <c r="T394" i="7"/>
  <c r="S394" i="7"/>
  <c r="R394" i="7"/>
  <c r="Q394" i="7"/>
  <c r="P394" i="7"/>
  <c r="O394" i="7"/>
  <c r="N394" i="7"/>
  <c r="M394" i="7"/>
  <c r="L394" i="7"/>
  <c r="K394" i="7"/>
  <c r="J394" i="7"/>
  <c r="I394" i="7"/>
  <c r="V394" i="7" s="1"/>
  <c r="H394" i="7"/>
  <c r="G394" i="7"/>
  <c r="F394" i="7"/>
  <c r="E394" i="7"/>
  <c r="D394" i="7"/>
  <c r="C394" i="7"/>
  <c r="U394" i="7" s="1"/>
  <c r="B394" i="7"/>
  <c r="A394" i="7"/>
  <c r="V393" i="7"/>
  <c r="U393" i="7"/>
  <c r="S393" i="7"/>
  <c r="P393" i="7"/>
  <c r="O393" i="7"/>
  <c r="N393" i="7"/>
  <c r="M393" i="7"/>
  <c r="L393" i="7"/>
  <c r="K393" i="7"/>
  <c r="J393" i="7"/>
  <c r="I393" i="7"/>
  <c r="H393" i="7"/>
  <c r="G393" i="7"/>
  <c r="F393" i="7"/>
  <c r="T393" i="7" s="1"/>
  <c r="E393" i="7"/>
  <c r="D393" i="7"/>
  <c r="Q393" i="7" s="1"/>
  <c r="C393" i="7"/>
  <c r="B393" i="7"/>
  <c r="R393" i="7" s="1"/>
  <c r="A393" i="7"/>
  <c r="V392" i="7"/>
  <c r="R392" i="7"/>
  <c r="P392" i="7"/>
  <c r="O392" i="7"/>
  <c r="N392" i="7"/>
  <c r="M392" i="7"/>
  <c r="L392" i="7"/>
  <c r="K392" i="7"/>
  <c r="J392" i="7"/>
  <c r="I392" i="7"/>
  <c r="H392" i="7"/>
  <c r="G392" i="7"/>
  <c r="S392" i="7" s="1"/>
  <c r="F392" i="7"/>
  <c r="T392" i="7" s="1"/>
  <c r="E392" i="7"/>
  <c r="D392" i="7"/>
  <c r="Q392" i="7" s="1"/>
  <c r="C392" i="7"/>
  <c r="U392" i="7" s="1"/>
  <c r="B392" i="7"/>
  <c r="A392" i="7"/>
  <c r="V391" i="7"/>
  <c r="T391" i="7"/>
  <c r="S391" i="7"/>
  <c r="R391" i="7"/>
  <c r="Q391" i="7"/>
  <c r="P391" i="7"/>
  <c r="O391" i="7"/>
  <c r="N391" i="7"/>
  <c r="M391" i="7"/>
  <c r="L391" i="7"/>
  <c r="K391" i="7"/>
  <c r="J391" i="7"/>
  <c r="I391" i="7"/>
  <c r="H391" i="7"/>
  <c r="G391" i="7"/>
  <c r="F391" i="7"/>
  <c r="E391" i="7"/>
  <c r="D391" i="7"/>
  <c r="C391" i="7"/>
  <c r="U391" i="7" s="1"/>
  <c r="B391" i="7"/>
  <c r="A391" i="7"/>
  <c r="V390" i="7"/>
  <c r="U390" i="7"/>
  <c r="T390" i="7"/>
  <c r="P390" i="7"/>
  <c r="O390" i="7"/>
  <c r="N390" i="7"/>
  <c r="M390" i="7"/>
  <c r="L390" i="7"/>
  <c r="K390" i="7"/>
  <c r="J390" i="7"/>
  <c r="I390" i="7"/>
  <c r="H390" i="7"/>
  <c r="G390" i="7"/>
  <c r="S390" i="7" s="1"/>
  <c r="F390" i="7"/>
  <c r="E390" i="7"/>
  <c r="D390" i="7"/>
  <c r="Q390" i="7" s="1"/>
  <c r="C390" i="7"/>
  <c r="B390" i="7"/>
  <c r="R390" i="7" s="1"/>
  <c r="A390" i="7"/>
  <c r="S389" i="7"/>
  <c r="R389" i="7"/>
  <c r="Q389" i="7"/>
  <c r="P389" i="7"/>
  <c r="O389" i="7"/>
  <c r="N389" i="7"/>
  <c r="M389" i="7"/>
  <c r="L389" i="7"/>
  <c r="K389" i="7"/>
  <c r="J389" i="7"/>
  <c r="I389" i="7"/>
  <c r="V389" i="7" s="1"/>
  <c r="H389" i="7"/>
  <c r="G389" i="7"/>
  <c r="F389" i="7"/>
  <c r="T389" i="7" s="1"/>
  <c r="E389" i="7"/>
  <c r="D389" i="7"/>
  <c r="C389" i="7"/>
  <c r="U389" i="7" s="1"/>
  <c r="B389" i="7"/>
  <c r="A389" i="7"/>
  <c r="V388" i="7"/>
  <c r="U388" i="7"/>
  <c r="T388" i="7"/>
  <c r="P388" i="7"/>
  <c r="O388" i="7"/>
  <c r="N388" i="7"/>
  <c r="M388" i="7"/>
  <c r="L388" i="7"/>
  <c r="K388" i="7"/>
  <c r="J388" i="7"/>
  <c r="I388" i="7"/>
  <c r="H388" i="7"/>
  <c r="G388" i="7"/>
  <c r="S388" i="7" s="1"/>
  <c r="F388" i="7"/>
  <c r="E388" i="7"/>
  <c r="D388" i="7"/>
  <c r="Q388" i="7" s="1"/>
  <c r="C388" i="7"/>
  <c r="B388" i="7"/>
  <c r="R388" i="7" s="1"/>
  <c r="A388" i="7"/>
  <c r="S387" i="7"/>
  <c r="R387" i="7"/>
  <c r="Q387" i="7"/>
  <c r="P387" i="7"/>
  <c r="O387" i="7"/>
  <c r="N387" i="7"/>
  <c r="M387" i="7"/>
  <c r="L387" i="7"/>
  <c r="K387" i="7"/>
  <c r="J387" i="7"/>
  <c r="I387" i="7"/>
  <c r="V387" i="7" s="1"/>
  <c r="H387" i="7"/>
  <c r="G387" i="7"/>
  <c r="F387" i="7"/>
  <c r="T387" i="7" s="1"/>
  <c r="E387" i="7"/>
  <c r="D387" i="7"/>
  <c r="C387" i="7"/>
  <c r="U387" i="7" s="1"/>
  <c r="B387" i="7"/>
  <c r="A387" i="7"/>
  <c r="V386" i="7"/>
  <c r="U386" i="7"/>
  <c r="T386" i="7"/>
  <c r="Q386" i="7"/>
  <c r="P386" i="7"/>
  <c r="O386" i="7"/>
  <c r="N386" i="7"/>
  <c r="M386" i="7"/>
  <c r="L386" i="7"/>
  <c r="K386" i="7"/>
  <c r="J386" i="7"/>
  <c r="I386" i="7"/>
  <c r="H386" i="7"/>
  <c r="G386" i="7"/>
  <c r="S386" i="7" s="1"/>
  <c r="F386" i="7"/>
  <c r="E386" i="7"/>
  <c r="D386" i="7"/>
  <c r="C386" i="7"/>
  <c r="B386" i="7"/>
  <c r="R386" i="7" s="1"/>
  <c r="A386" i="7"/>
  <c r="U385" i="7"/>
  <c r="P385" i="7"/>
  <c r="O385" i="7"/>
  <c r="N385" i="7"/>
  <c r="M385" i="7"/>
  <c r="L385" i="7"/>
  <c r="K385" i="7"/>
  <c r="J385" i="7"/>
  <c r="I385" i="7"/>
  <c r="V385" i="7" s="1"/>
  <c r="H385" i="7"/>
  <c r="G385" i="7"/>
  <c r="S385" i="7" s="1"/>
  <c r="F385" i="7"/>
  <c r="T385" i="7" s="1"/>
  <c r="E385" i="7"/>
  <c r="D385" i="7"/>
  <c r="Q385" i="7" s="1"/>
  <c r="C385" i="7"/>
  <c r="B385" i="7"/>
  <c r="R385" i="7" s="1"/>
  <c r="A385" i="7"/>
  <c r="P384" i="7"/>
  <c r="O384" i="7"/>
  <c r="N384" i="7"/>
  <c r="M384" i="7"/>
  <c r="L384" i="7"/>
  <c r="K384" i="7"/>
  <c r="J384" i="7"/>
  <c r="I384" i="7"/>
  <c r="V384" i="7" s="1"/>
  <c r="H384" i="7"/>
  <c r="G384" i="7"/>
  <c r="S384" i="7" s="1"/>
  <c r="F384" i="7"/>
  <c r="T384" i="7" s="1"/>
  <c r="E384" i="7"/>
  <c r="D384" i="7"/>
  <c r="Q384" i="7" s="1"/>
  <c r="C384" i="7"/>
  <c r="U384" i="7" s="1"/>
  <c r="B384" i="7"/>
  <c r="R384" i="7" s="1"/>
  <c r="A384" i="7"/>
  <c r="R383" i="7"/>
  <c r="P383" i="7"/>
  <c r="O383" i="7"/>
  <c r="N383" i="7"/>
  <c r="M383" i="7"/>
  <c r="L383" i="7"/>
  <c r="K383" i="7"/>
  <c r="J383" i="7"/>
  <c r="I383" i="7"/>
  <c r="V383" i="7" s="1"/>
  <c r="H383" i="7"/>
  <c r="G383" i="7"/>
  <c r="S383" i="7" s="1"/>
  <c r="F383" i="7"/>
  <c r="T383" i="7" s="1"/>
  <c r="E383" i="7"/>
  <c r="D383" i="7"/>
  <c r="Q383" i="7" s="1"/>
  <c r="C383" i="7"/>
  <c r="U383" i="7" s="1"/>
  <c r="B383" i="7"/>
  <c r="A383" i="7"/>
  <c r="T382" i="7"/>
  <c r="S382" i="7"/>
  <c r="Q382" i="7"/>
  <c r="P382" i="7"/>
  <c r="O382" i="7"/>
  <c r="N382" i="7"/>
  <c r="M382" i="7"/>
  <c r="L382" i="7"/>
  <c r="K382" i="7"/>
  <c r="J382" i="7"/>
  <c r="I382" i="7"/>
  <c r="V382" i="7" s="1"/>
  <c r="H382" i="7"/>
  <c r="G382" i="7"/>
  <c r="F382" i="7"/>
  <c r="E382" i="7"/>
  <c r="D382" i="7"/>
  <c r="C382" i="7"/>
  <c r="U382" i="7" s="1"/>
  <c r="B382" i="7"/>
  <c r="R382" i="7" s="1"/>
  <c r="A382" i="7"/>
  <c r="V381" i="7"/>
  <c r="T381" i="7"/>
  <c r="S381" i="7"/>
  <c r="Q381" i="7"/>
  <c r="P381" i="7"/>
  <c r="O381" i="7"/>
  <c r="N381" i="7"/>
  <c r="M381" i="7"/>
  <c r="L381" i="7"/>
  <c r="K381" i="7"/>
  <c r="J381" i="7"/>
  <c r="I381" i="7"/>
  <c r="H381" i="7"/>
  <c r="G381" i="7"/>
  <c r="F381" i="7"/>
  <c r="E381" i="7"/>
  <c r="D381" i="7"/>
  <c r="C381" i="7"/>
  <c r="U381" i="7" s="1"/>
  <c r="B381" i="7"/>
  <c r="R381" i="7" s="1"/>
  <c r="A381" i="7"/>
  <c r="V380" i="7"/>
  <c r="T380" i="7"/>
  <c r="R380" i="7"/>
  <c r="Q380" i="7"/>
  <c r="P380" i="7"/>
  <c r="O380" i="7"/>
  <c r="N380" i="7"/>
  <c r="M380" i="7"/>
  <c r="L380" i="7"/>
  <c r="K380" i="7"/>
  <c r="J380" i="7"/>
  <c r="I380" i="7"/>
  <c r="H380" i="7"/>
  <c r="G380" i="7"/>
  <c r="S380" i="7" s="1"/>
  <c r="F380" i="7"/>
  <c r="E380" i="7"/>
  <c r="D380" i="7"/>
  <c r="C380" i="7"/>
  <c r="U380" i="7" s="1"/>
  <c r="B380" i="7"/>
  <c r="A380" i="7"/>
  <c r="V379" i="7"/>
  <c r="U379" i="7"/>
  <c r="P379" i="7"/>
  <c r="O379" i="7"/>
  <c r="N379" i="7"/>
  <c r="M379" i="7"/>
  <c r="L379" i="7"/>
  <c r="K379" i="7"/>
  <c r="J379" i="7"/>
  <c r="I379" i="7"/>
  <c r="H379" i="7"/>
  <c r="G379" i="7"/>
  <c r="S379" i="7" s="1"/>
  <c r="F379" i="7"/>
  <c r="T379" i="7" s="1"/>
  <c r="E379" i="7"/>
  <c r="D379" i="7"/>
  <c r="Q379" i="7" s="1"/>
  <c r="C379" i="7"/>
  <c r="B379" i="7"/>
  <c r="R379" i="7" s="1"/>
  <c r="A379" i="7"/>
  <c r="U378" i="7"/>
  <c r="Q378" i="7"/>
  <c r="P378" i="7"/>
  <c r="O378" i="7"/>
  <c r="N378" i="7"/>
  <c r="M378" i="7"/>
  <c r="L378" i="7"/>
  <c r="K378" i="7"/>
  <c r="J378" i="7"/>
  <c r="I378" i="7"/>
  <c r="V378" i="7" s="1"/>
  <c r="H378" i="7"/>
  <c r="G378" i="7"/>
  <c r="S378" i="7" s="1"/>
  <c r="F378" i="7"/>
  <c r="T378" i="7" s="1"/>
  <c r="E378" i="7"/>
  <c r="D378" i="7"/>
  <c r="C378" i="7"/>
  <c r="B378" i="7"/>
  <c r="R378" i="7" s="1"/>
  <c r="A378" i="7"/>
  <c r="V377" i="7"/>
  <c r="U377" i="7"/>
  <c r="T377" i="7"/>
  <c r="S377" i="7"/>
  <c r="Q377" i="7"/>
  <c r="P377" i="7"/>
  <c r="O377" i="7"/>
  <c r="N377" i="7"/>
  <c r="M377" i="7"/>
  <c r="L377" i="7"/>
  <c r="K377" i="7"/>
  <c r="J377" i="7"/>
  <c r="I377" i="7"/>
  <c r="H377" i="7"/>
  <c r="G377" i="7"/>
  <c r="F377" i="7"/>
  <c r="E377" i="7"/>
  <c r="D377" i="7"/>
  <c r="C377" i="7"/>
  <c r="B377" i="7"/>
  <c r="R377" i="7" s="1"/>
  <c r="A377" i="7"/>
  <c r="U376" i="7"/>
  <c r="T376" i="7"/>
  <c r="S376" i="7"/>
  <c r="Q376" i="7"/>
  <c r="P376" i="7"/>
  <c r="O376" i="7"/>
  <c r="N376" i="7"/>
  <c r="M376" i="7"/>
  <c r="L376" i="7"/>
  <c r="K376" i="7"/>
  <c r="J376" i="7"/>
  <c r="I376" i="7"/>
  <c r="V376" i="7" s="1"/>
  <c r="H376" i="7"/>
  <c r="G376" i="7"/>
  <c r="F376" i="7"/>
  <c r="E376" i="7"/>
  <c r="D376" i="7"/>
  <c r="C376" i="7"/>
  <c r="B376" i="7"/>
  <c r="R376" i="7" s="1"/>
  <c r="A376" i="7"/>
  <c r="V375" i="7"/>
  <c r="U375" i="7"/>
  <c r="S375" i="7"/>
  <c r="P375" i="7"/>
  <c r="O375" i="7"/>
  <c r="N375" i="7"/>
  <c r="M375" i="7"/>
  <c r="L375" i="7"/>
  <c r="K375" i="7"/>
  <c r="J375" i="7"/>
  <c r="I375" i="7"/>
  <c r="H375" i="7"/>
  <c r="G375" i="7"/>
  <c r="F375" i="7"/>
  <c r="T375" i="7" s="1"/>
  <c r="E375" i="7"/>
  <c r="D375" i="7"/>
  <c r="Q375" i="7" s="1"/>
  <c r="C375" i="7"/>
  <c r="B375" i="7"/>
  <c r="R375" i="7" s="1"/>
  <c r="A375" i="7"/>
  <c r="V374" i="7"/>
  <c r="R374" i="7"/>
  <c r="P374" i="7"/>
  <c r="O374" i="7"/>
  <c r="N374" i="7"/>
  <c r="M374" i="7"/>
  <c r="L374" i="7"/>
  <c r="K374" i="7"/>
  <c r="J374" i="7"/>
  <c r="I374" i="7"/>
  <c r="H374" i="7"/>
  <c r="G374" i="7"/>
  <c r="S374" i="7" s="1"/>
  <c r="F374" i="7"/>
  <c r="T374" i="7" s="1"/>
  <c r="E374" i="7"/>
  <c r="D374" i="7"/>
  <c r="Q374" i="7" s="1"/>
  <c r="C374" i="7"/>
  <c r="U374" i="7" s="1"/>
  <c r="B374" i="7"/>
  <c r="A374" i="7"/>
  <c r="V373" i="7"/>
  <c r="U373" i="7"/>
  <c r="T373" i="7"/>
  <c r="S373" i="7"/>
  <c r="P373" i="7"/>
  <c r="O373" i="7"/>
  <c r="N373" i="7"/>
  <c r="M373" i="7"/>
  <c r="L373" i="7"/>
  <c r="K373" i="7"/>
  <c r="J373" i="7"/>
  <c r="I373" i="7"/>
  <c r="H373" i="7"/>
  <c r="G373" i="7"/>
  <c r="F373" i="7"/>
  <c r="E373" i="7"/>
  <c r="D373" i="7"/>
  <c r="Q373" i="7" s="1"/>
  <c r="C373" i="7"/>
  <c r="B373" i="7"/>
  <c r="R373" i="7" s="1"/>
  <c r="A373" i="7"/>
  <c r="V372" i="7"/>
  <c r="P372" i="7"/>
  <c r="O372" i="7"/>
  <c r="N372" i="7"/>
  <c r="M372" i="7"/>
  <c r="L372" i="7"/>
  <c r="K372" i="7"/>
  <c r="J372" i="7"/>
  <c r="I372" i="7"/>
  <c r="H372" i="7"/>
  <c r="G372" i="7"/>
  <c r="S372" i="7" s="1"/>
  <c r="F372" i="7"/>
  <c r="T372" i="7" s="1"/>
  <c r="E372" i="7"/>
  <c r="D372" i="7"/>
  <c r="Q372" i="7" s="1"/>
  <c r="C372" i="7"/>
  <c r="U372" i="7" s="1"/>
  <c r="B372" i="7"/>
  <c r="R372" i="7" s="1"/>
  <c r="A372" i="7"/>
  <c r="R371" i="7"/>
  <c r="Q371" i="7"/>
  <c r="P371" i="7"/>
  <c r="O371" i="7"/>
  <c r="N371" i="7"/>
  <c r="M371" i="7"/>
  <c r="L371" i="7"/>
  <c r="K371" i="7"/>
  <c r="J371" i="7"/>
  <c r="I371" i="7"/>
  <c r="V371" i="7" s="1"/>
  <c r="H371" i="7"/>
  <c r="G371" i="7"/>
  <c r="S371" i="7" s="1"/>
  <c r="F371" i="7"/>
  <c r="T371" i="7" s="1"/>
  <c r="E371" i="7"/>
  <c r="D371" i="7"/>
  <c r="C371" i="7"/>
  <c r="U371" i="7" s="1"/>
  <c r="B371" i="7"/>
  <c r="A371" i="7"/>
  <c r="U370" i="7"/>
  <c r="T370" i="7"/>
  <c r="Q370" i="7"/>
  <c r="P370" i="7"/>
  <c r="O370" i="7"/>
  <c r="N370" i="7"/>
  <c r="M370" i="7"/>
  <c r="L370" i="7"/>
  <c r="K370" i="7"/>
  <c r="J370" i="7"/>
  <c r="I370" i="7"/>
  <c r="V370" i="7" s="1"/>
  <c r="H370" i="7"/>
  <c r="G370" i="7"/>
  <c r="F370" i="7"/>
  <c r="E370" i="7"/>
  <c r="D370" i="7"/>
  <c r="C370" i="7"/>
  <c r="B370" i="7"/>
  <c r="R370" i="7" s="1"/>
  <c r="A370" i="7"/>
  <c r="S369" i="7"/>
  <c r="R369" i="7"/>
  <c r="Q369" i="7"/>
  <c r="P369" i="7"/>
  <c r="O369" i="7"/>
  <c r="N369" i="7"/>
  <c r="M369" i="7"/>
  <c r="L369" i="7"/>
  <c r="K369" i="7"/>
  <c r="J369" i="7"/>
  <c r="I369" i="7"/>
  <c r="V369" i="7" s="1"/>
  <c r="H369" i="7"/>
  <c r="G369" i="7"/>
  <c r="F369" i="7"/>
  <c r="T369" i="7" s="1"/>
  <c r="E369" i="7"/>
  <c r="D369" i="7"/>
  <c r="C369" i="7"/>
  <c r="U369" i="7" s="1"/>
  <c r="B369" i="7"/>
  <c r="A369" i="7"/>
  <c r="V368" i="7"/>
  <c r="U368" i="7"/>
  <c r="S368" i="7"/>
  <c r="P368" i="7"/>
  <c r="O368" i="7"/>
  <c r="N368" i="7"/>
  <c r="M368" i="7"/>
  <c r="L368" i="7"/>
  <c r="K368" i="7"/>
  <c r="J368" i="7"/>
  <c r="I368" i="7"/>
  <c r="H368" i="7"/>
  <c r="G368" i="7"/>
  <c r="F368" i="7"/>
  <c r="T368" i="7" s="1"/>
  <c r="E368" i="7"/>
  <c r="D368" i="7"/>
  <c r="Q368" i="7" s="1"/>
  <c r="C368" i="7"/>
  <c r="B368" i="7"/>
  <c r="R368" i="7" s="1"/>
  <c r="A368" i="7"/>
  <c r="T367" i="7"/>
  <c r="P367" i="7"/>
  <c r="O367" i="7"/>
  <c r="N367" i="7"/>
  <c r="M367" i="7"/>
  <c r="L367" i="7"/>
  <c r="K367" i="7"/>
  <c r="J367" i="7"/>
  <c r="I367" i="7"/>
  <c r="V367" i="7" s="1"/>
  <c r="H367" i="7"/>
  <c r="G367" i="7"/>
  <c r="S367" i="7" s="1"/>
  <c r="F367" i="7"/>
  <c r="E367" i="7"/>
  <c r="D367" i="7"/>
  <c r="Q367" i="7" s="1"/>
  <c r="C367" i="7"/>
  <c r="U367" i="7" s="1"/>
  <c r="B367" i="7"/>
  <c r="R367" i="7" s="1"/>
  <c r="A367" i="7"/>
  <c r="P366" i="7"/>
  <c r="O366" i="7"/>
  <c r="N366" i="7"/>
  <c r="M366" i="7"/>
  <c r="L366" i="7"/>
  <c r="K366" i="7"/>
  <c r="J366" i="7"/>
  <c r="I366" i="7"/>
  <c r="V366" i="7" s="1"/>
  <c r="H366" i="7"/>
  <c r="G366" i="7"/>
  <c r="F366" i="7"/>
  <c r="T366" i="7" s="1"/>
  <c r="E366" i="7"/>
  <c r="D366" i="7"/>
  <c r="Q366" i="7" s="1"/>
  <c r="C366" i="7"/>
  <c r="U366" i="7" s="1"/>
  <c r="B366" i="7"/>
  <c r="R366" i="7" s="1"/>
  <c r="A366" i="7"/>
  <c r="R365" i="7"/>
  <c r="Q365" i="7"/>
  <c r="P365" i="7"/>
  <c r="O365" i="7"/>
  <c r="N365" i="7"/>
  <c r="M365" i="7"/>
  <c r="L365" i="7"/>
  <c r="K365" i="7"/>
  <c r="J365" i="7"/>
  <c r="I365" i="7"/>
  <c r="V365" i="7" s="1"/>
  <c r="H365" i="7"/>
  <c r="G365" i="7"/>
  <c r="F365" i="7"/>
  <c r="T365" i="7" s="1"/>
  <c r="E365" i="7"/>
  <c r="D365" i="7"/>
  <c r="C365" i="7"/>
  <c r="U365" i="7" s="1"/>
  <c r="B365" i="7"/>
  <c r="A365" i="7"/>
  <c r="T364" i="7"/>
  <c r="S364" i="7"/>
  <c r="Q364" i="7"/>
  <c r="P364" i="7"/>
  <c r="O364" i="7"/>
  <c r="N364" i="7"/>
  <c r="M364" i="7"/>
  <c r="L364" i="7"/>
  <c r="K364" i="7"/>
  <c r="J364" i="7"/>
  <c r="I364" i="7"/>
  <c r="V364" i="7" s="1"/>
  <c r="H364" i="7"/>
  <c r="G364" i="7"/>
  <c r="F364" i="7"/>
  <c r="E364" i="7"/>
  <c r="D364" i="7"/>
  <c r="C364" i="7"/>
  <c r="U364" i="7" s="1"/>
  <c r="B364" i="7"/>
  <c r="R364" i="7" s="1"/>
  <c r="A364" i="7"/>
  <c r="V363" i="7"/>
  <c r="T363" i="7"/>
  <c r="S363" i="7"/>
  <c r="R363" i="7"/>
  <c r="Q363" i="7"/>
  <c r="P363" i="7"/>
  <c r="O363" i="7"/>
  <c r="N363" i="7"/>
  <c r="M363" i="7"/>
  <c r="L363" i="7"/>
  <c r="K363" i="7"/>
  <c r="J363" i="7"/>
  <c r="I363" i="7"/>
  <c r="H363" i="7"/>
  <c r="G363" i="7"/>
  <c r="F363" i="7"/>
  <c r="E363" i="7"/>
  <c r="D363" i="7"/>
  <c r="C363" i="7"/>
  <c r="U363" i="7" s="1"/>
  <c r="B363" i="7"/>
  <c r="A363" i="7"/>
  <c r="V362" i="7"/>
  <c r="U362" i="7"/>
  <c r="R362" i="7"/>
  <c r="Q362" i="7"/>
  <c r="P362" i="7"/>
  <c r="O362" i="7"/>
  <c r="N362" i="7"/>
  <c r="M362" i="7"/>
  <c r="L362" i="7"/>
  <c r="K362" i="7"/>
  <c r="J362" i="7"/>
  <c r="I362" i="7"/>
  <c r="H362" i="7"/>
  <c r="G362" i="7"/>
  <c r="S362" i="7" s="1"/>
  <c r="F362" i="7"/>
  <c r="T362" i="7" s="1"/>
  <c r="E362" i="7"/>
  <c r="D362" i="7"/>
  <c r="C362" i="7"/>
  <c r="B362" i="7"/>
  <c r="A362" i="7"/>
  <c r="V361" i="7"/>
  <c r="U361" i="7"/>
  <c r="P361" i="7"/>
  <c r="O361" i="7"/>
  <c r="N361" i="7"/>
  <c r="M361" i="7"/>
  <c r="L361" i="7"/>
  <c r="K361" i="7"/>
  <c r="J361" i="7"/>
  <c r="I361" i="7"/>
  <c r="H361" i="7"/>
  <c r="G361" i="7"/>
  <c r="S361" i="7" s="1"/>
  <c r="F361" i="7"/>
  <c r="T361" i="7" s="1"/>
  <c r="E361" i="7"/>
  <c r="D361" i="7"/>
  <c r="Q361" i="7" s="1"/>
  <c r="C361" i="7"/>
  <c r="B361" i="7"/>
  <c r="R361" i="7" s="1"/>
  <c r="A361" i="7"/>
  <c r="Q360" i="7"/>
  <c r="P360" i="7"/>
  <c r="O360" i="7"/>
  <c r="N360" i="7"/>
  <c r="M360" i="7"/>
  <c r="L360" i="7"/>
  <c r="K360" i="7"/>
  <c r="J360" i="7"/>
  <c r="I360" i="7"/>
  <c r="V360" i="7" s="1"/>
  <c r="H360" i="7"/>
  <c r="G360" i="7"/>
  <c r="S360" i="7" s="1"/>
  <c r="F360" i="7"/>
  <c r="T360" i="7" s="1"/>
  <c r="E360" i="7"/>
  <c r="D360" i="7"/>
  <c r="C360" i="7"/>
  <c r="U360" i="7" s="1"/>
  <c r="B360" i="7"/>
  <c r="R360" i="7" s="1"/>
  <c r="A360" i="7"/>
  <c r="V359" i="7"/>
  <c r="T359" i="7"/>
  <c r="S359" i="7"/>
  <c r="Q359" i="7"/>
  <c r="P359" i="7"/>
  <c r="O359" i="7"/>
  <c r="N359" i="7"/>
  <c r="M359" i="7"/>
  <c r="L359" i="7"/>
  <c r="K359" i="7"/>
  <c r="J359" i="7"/>
  <c r="I359" i="7"/>
  <c r="H359" i="7"/>
  <c r="G359" i="7"/>
  <c r="F359" i="7"/>
  <c r="E359" i="7"/>
  <c r="D359" i="7"/>
  <c r="C359" i="7"/>
  <c r="U359" i="7" s="1"/>
  <c r="B359" i="7"/>
  <c r="R359" i="7" s="1"/>
  <c r="A359" i="7"/>
  <c r="V358" i="7"/>
  <c r="U358" i="7"/>
  <c r="P358" i="7"/>
  <c r="O358" i="7"/>
  <c r="N358" i="7"/>
  <c r="M358" i="7"/>
  <c r="L358" i="7"/>
  <c r="K358" i="7"/>
  <c r="J358" i="7"/>
  <c r="I358" i="7"/>
  <c r="H358" i="7"/>
  <c r="G358" i="7"/>
  <c r="S358" i="7" s="1"/>
  <c r="F358" i="7"/>
  <c r="T358" i="7" s="1"/>
  <c r="E358" i="7"/>
  <c r="D358" i="7"/>
  <c r="Q358" i="7" s="1"/>
  <c r="C358" i="7"/>
  <c r="B358" i="7"/>
  <c r="R358" i="7" s="1"/>
  <c r="A358" i="7"/>
  <c r="U357" i="7"/>
  <c r="P357" i="7"/>
  <c r="O357" i="7"/>
  <c r="N357" i="7"/>
  <c r="M357" i="7"/>
  <c r="L357" i="7"/>
  <c r="K357" i="7"/>
  <c r="J357" i="7"/>
  <c r="I357" i="7"/>
  <c r="V357" i="7" s="1"/>
  <c r="H357" i="7"/>
  <c r="G357" i="7"/>
  <c r="S357" i="7" s="1"/>
  <c r="F357" i="7"/>
  <c r="T357" i="7" s="1"/>
  <c r="E357" i="7"/>
  <c r="D357" i="7"/>
  <c r="Q357" i="7" s="1"/>
  <c r="C357" i="7"/>
  <c r="B357" i="7"/>
  <c r="R357" i="7" s="1"/>
  <c r="A357" i="7"/>
  <c r="R356" i="7"/>
  <c r="Q356" i="7"/>
  <c r="P356" i="7"/>
  <c r="O356" i="7"/>
  <c r="N356" i="7"/>
  <c r="M356" i="7"/>
  <c r="L356" i="7"/>
  <c r="K356" i="7"/>
  <c r="J356" i="7"/>
  <c r="I356" i="7"/>
  <c r="V356" i="7" s="1"/>
  <c r="H356" i="7"/>
  <c r="G356" i="7"/>
  <c r="S356" i="7" s="1"/>
  <c r="F356" i="7"/>
  <c r="T356" i="7" s="1"/>
  <c r="E356" i="7"/>
  <c r="D356" i="7"/>
  <c r="C356" i="7"/>
  <c r="U356" i="7" s="1"/>
  <c r="B356" i="7"/>
  <c r="A356" i="7"/>
  <c r="U355" i="7"/>
  <c r="T355" i="7"/>
  <c r="P355" i="7"/>
  <c r="O355" i="7"/>
  <c r="N355" i="7"/>
  <c r="M355" i="7"/>
  <c r="L355" i="7"/>
  <c r="K355" i="7"/>
  <c r="J355" i="7"/>
  <c r="I355" i="7"/>
  <c r="V355" i="7" s="1"/>
  <c r="H355" i="7"/>
  <c r="S355" i="7" s="1"/>
  <c r="G355" i="7"/>
  <c r="F355" i="7"/>
  <c r="E355" i="7"/>
  <c r="D355" i="7"/>
  <c r="Q355" i="7" s="1"/>
  <c r="C355" i="7"/>
  <c r="B355" i="7"/>
  <c r="R355" i="7" s="1"/>
  <c r="A355" i="7"/>
  <c r="T354" i="7"/>
  <c r="S354" i="7"/>
  <c r="Q354" i="7"/>
  <c r="P354" i="7"/>
  <c r="O354" i="7"/>
  <c r="N354" i="7"/>
  <c r="M354" i="7"/>
  <c r="L354" i="7"/>
  <c r="K354" i="7"/>
  <c r="J354" i="7"/>
  <c r="I354" i="7"/>
  <c r="V354" i="7" s="1"/>
  <c r="H354" i="7"/>
  <c r="G354" i="7"/>
  <c r="F354" i="7"/>
  <c r="E354" i="7"/>
  <c r="D354" i="7"/>
  <c r="C354" i="7"/>
  <c r="U354" i="7" s="1"/>
  <c r="B354" i="7"/>
  <c r="R354" i="7" s="1"/>
  <c r="A354" i="7"/>
  <c r="V353" i="7"/>
  <c r="S353" i="7"/>
  <c r="R353" i="7"/>
  <c r="Q353" i="7"/>
  <c r="P353" i="7"/>
  <c r="O353" i="7"/>
  <c r="N353" i="7"/>
  <c r="M353" i="7"/>
  <c r="L353" i="7"/>
  <c r="K353" i="7"/>
  <c r="J353" i="7"/>
  <c r="I353" i="7"/>
  <c r="H353" i="7"/>
  <c r="G353" i="7"/>
  <c r="F353" i="7"/>
  <c r="T353" i="7" s="1"/>
  <c r="E353" i="7"/>
  <c r="D353" i="7"/>
  <c r="C353" i="7"/>
  <c r="U353" i="7" s="1"/>
  <c r="B353" i="7"/>
  <c r="A353" i="7"/>
  <c r="V352" i="7"/>
  <c r="T352" i="7"/>
  <c r="Q352" i="7"/>
  <c r="P352" i="7"/>
  <c r="O352" i="7"/>
  <c r="N352" i="7"/>
  <c r="M352" i="7"/>
  <c r="L352" i="7"/>
  <c r="K352" i="7"/>
  <c r="J352" i="7"/>
  <c r="I352" i="7"/>
  <c r="H352" i="7"/>
  <c r="G352" i="7"/>
  <c r="S352" i="7" s="1"/>
  <c r="F352" i="7"/>
  <c r="E352" i="7"/>
  <c r="D352" i="7"/>
  <c r="C352" i="7"/>
  <c r="U352" i="7" s="1"/>
  <c r="B352" i="7"/>
  <c r="R352" i="7" s="1"/>
  <c r="A352" i="7"/>
  <c r="U351" i="7"/>
  <c r="T351" i="7"/>
  <c r="S351" i="7"/>
  <c r="Q351" i="7"/>
  <c r="P351" i="7"/>
  <c r="O351" i="7"/>
  <c r="N351" i="7"/>
  <c r="M351" i="7"/>
  <c r="L351" i="7"/>
  <c r="K351" i="7"/>
  <c r="J351" i="7"/>
  <c r="I351" i="7"/>
  <c r="V351" i="7" s="1"/>
  <c r="H351" i="7"/>
  <c r="G351" i="7"/>
  <c r="F351" i="7"/>
  <c r="E351" i="7"/>
  <c r="D351" i="7"/>
  <c r="C351" i="7"/>
  <c r="B351" i="7"/>
  <c r="R351" i="7" s="1"/>
  <c r="A351" i="7"/>
  <c r="V350" i="7"/>
  <c r="T350" i="7"/>
  <c r="P350" i="7"/>
  <c r="O350" i="7"/>
  <c r="N350" i="7"/>
  <c r="M350" i="7"/>
  <c r="L350" i="7"/>
  <c r="K350" i="7"/>
  <c r="J350" i="7"/>
  <c r="I350" i="7"/>
  <c r="H350" i="7"/>
  <c r="G350" i="7"/>
  <c r="S350" i="7" s="1"/>
  <c r="F350" i="7"/>
  <c r="E350" i="7"/>
  <c r="D350" i="7"/>
  <c r="Q350" i="7" s="1"/>
  <c r="C350" i="7"/>
  <c r="U350" i="7" s="1"/>
  <c r="B350" i="7"/>
  <c r="R350" i="7" s="1"/>
  <c r="A350" i="7"/>
  <c r="R349" i="7"/>
  <c r="Q349" i="7"/>
  <c r="P349" i="7"/>
  <c r="O349" i="7"/>
  <c r="N349" i="7"/>
  <c r="M349" i="7"/>
  <c r="L349" i="7"/>
  <c r="K349" i="7"/>
  <c r="J349" i="7"/>
  <c r="I349" i="7"/>
  <c r="V349" i="7" s="1"/>
  <c r="H349" i="7"/>
  <c r="G349" i="7"/>
  <c r="S349" i="7" s="1"/>
  <c r="F349" i="7"/>
  <c r="T349" i="7" s="1"/>
  <c r="E349" i="7"/>
  <c r="D349" i="7"/>
  <c r="C349" i="7"/>
  <c r="U349" i="7" s="1"/>
  <c r="B349" i="7"/>
  <c r="A349" i="7"/>
  <c r="V348" i="7"/>
  <c r="T348" i="7"/>
  <c r="S348" i="7"/>
  <c r="R348" i="7"/>
  <c r="P348" i="7"/>
  <c r="O348" i="7"/>
  <c r="N348" i="7"/>
  <c r="M348" i="7"/>
  <c r="L348" i="7"/>
  <c r="K348" i="7"/>
  <c r="J348" i="7"/>
  <c r="I348" i="7"/>
  <c r="H348" i="7"/>
  <c r="G348" i="7"/>
  <c r="F348" i="7"/>
  <c r="E348" i="7"/>
  <c r="D348" i="7"/>
  <c r="Q348" i="7" s="1"/>
  <c r="C348" i="7"/>
  <c r="U348" i="7" s="1"/>
  <c r="B348" i="7"/>
  <c r="A348" i="7"/>
  <c r="V347" i="7"/>
  <c r="S347" i="7"/>
  <c r="R347" i="7"/>
  <c r="Q347" i="7"/>
  <c r="P347" i="7"/>
  <c r="O347" i="7"/>
  <c r="N347" i="7"/>
  <c r="M347" i="7"/>
  <c r="L347" i="7"/>
  <c r="K347" i="7"/>
  <c r="J347" i="7"/>
  <c r="I347" i="7"/>
  <c r="H347" i="7"/>
  <c r="G347" i="7"/>
  <c r="F347" i="7"/>
  <c r="T347" i="7" s="1"/>
  <c r="E347" i="7"/>
  <c r="D347" i="7"/>
  <c r="C347" i="7"/>
  <c r="U347" i="7" s="1"/>
  <c r="B347" i="7"/>
  <c r="A347" i="7"/>
  <c r="T346" i="7"/>
  <c r="S346" i="7"/>
  <c r="P346" i="7"/>
  <c r="O346" i="7"/>
  <c r="N346" i="7"/>
  <c r="M346" i="7"/>
  <c r="L346" i="7"/>
  <c r="K346" i="7"/>
  <c r="J346" i="7"/>
  <c r="I346" i="7"/>
  <c r="V346" i="7" s="1"/>
  <c r="H346" i="7"/>
  <c r="G346" i="7"/>
  <c r="F346" i="7"/>
  <c r="E346" i="7"/>
  <c r="D346" i="7"/>
  <c r="Q346" i="7" s="1"/>
  <c r="C346" i="7"/>
  <c r="U346" i="7" s="1"/>
  <c r="B346" i="7"/>
  <c r="R346" i="7" s="1"/>
  <c r="A346" i="7"/>
  <c r="P345" i="7"/>
  <c r="O345" i="7"/>
  <c r="N345" i="7"/>
  <c r="M345" i="7"/>
  <c r="L345" i="7"/>
  <c r="K345" i="7"/>
  <c r="J345" i="7"/>
  <c r="I345" i="7"/>
  <c r="V345" i="7" s="1"/>
  <c r="H345" i="7"/>
  <c r="G345" i="7"/>
  <c r="S345" i="7" s="1"/>
  <c r="F345" i="7"/>
  <c r="T345" i="7" s="1"/>
  <c r="E345" i="7"/>
  <c r="D345" i="7"/>
  <c r="Q345" i="7" s="1"/>
  <c r="C345" i="7"/>
  <c r="U345" i="7" s="1"/>
  <c r="B345" i="7"/>
  <c r="R345" i="7" s="1"/>
  <c r="A345" i="7"/>
  <c r="R344" i="7"/>
  <c r="Q344" i="7"/>
  <c r="P344" i="7"/>
  <c r="O344" i="7"/>
  <c r="N344" i="7"/>
  <c r="M344" i="7"/>
  <c r="L344" i="7"/>
  <c r="K344" i="7"/>
  <c r="J344" i="7"/>
  <c r="I344" i="7"/>
  <c r="V344" i="7" s="1"/>
  <c r="H344" i="7"/>
  <c r="G344" i="7"/>
  <c r="S344" i="7" s="1"/>
  <c r="F344" i="7"/>
  <c r="T344" i="7" s="1"/>
  <c r="E344" i="7"/>
  <c r="D344" i="7"/>
  <c r="C344" i="7"/>
  <c r="U344" i="7" s="1"/>
  <c r="B344" i="7"/>
  <c r="A344" i="7"/>
  <c r="U343" i="7"/>
  <c r="T343" i="7"/>
  <c r="Q343" i="7"/>
  <c r="P343" i="7"/>
  <c r="O343" i="7"/>
  <c r="N343" i="7"/>
  <c r="M343" i="7"/>
  <c r="L343" i="7"/>
  <c r="K343" i="7"/>
  <c r="J343" i="7"/>
  <c r="I343" i="7"/>
  <c r="V343" i="7" s="1"/>
  <c r="H343" i="7"/>
  <c r="G343" i="7"/>
  <c r="S343" i="7" s="1"/>
  <c r="F343" i="7"/>
  <c r="E343" i="7"/>
  <c r="D343" i="7"/>
  <c r="C343" i="7"/>
  <c r="B343" i="7"/>
  <c r="R343" i="7" s="1"/>
  <c r="A343" i="7"/>
  <c r="T342" i="7"/>
  <c r="S342" i="7"/>
  <c r="Q342" i="7"/>
  <c r="P342" i="7"/>
  <c r="O342" i="7"/>
  <c r="N342" i="7"/>
  <c r="M342" i="7"/>
  <c r="L342" i="7"/>
  <c r="K342" i="7"/>
  <c r="J342" i="7"/>
  <c r="I342" i="7"/>
  <c r="V342" i="7" s="1"/>
  <c r="H342" i="7"/>
  <c r="G342" i="7"/>
  <c r="F342" i="7"/>
  <c r="E342" i="7"/>
  <c r="D342" i="7"/>
  <c r="C342" i="7"/>
  <c r="U342" i="7" s="1"/>
  <c r="B342" i="7"/>
  <c r="R342" i="7" s="1"/>
  <c r="A342" i="7"/>
  <c r="V341" i="7"/>
  <c r="T341" i="7"/>
  <c r="Q341" i="7"/>
  <c r="P341" i="7"/>
  <c r="O341" i="7"/>
  <c r="N341" i="7"/>
  <c r="M341" i="7"/>
  <c r="L341" i="7"/>
  <c r="K341" i="7"/>
  <c r="J341" i="7"/>
  <c r="I341" i="7"/>
  <c r="H341" i="7"/>
  <c r="G341" i="7"/>
  <c r="S341" i="7" s="1"/>
  <c r="F341" i="7"/>
  <c r="E341" i="7"/>
  <c r="D341" i="7"/>
  <c r="C341" i="7"/>
  <c r="U341" i="7" s="1"/>
  <c r="B341" i="7"/>
  <c r="R341" i="7" s="1"/>
  <c r="A341" i="7"/>
  <c r="U340" i="7"/>
  <c r="T340" i="7"/>
  <c r="S340" i="7"/>
  <c r="R340" i="7"/>
  <c r="P340" i="7"/>
  <c r="O340" i="7"/>
  <c r="N340" i="7"/>
  <c r="M340" i="7"/>
  <c r="L340" i="7"/>
  <c r="K340" i="7"/>
  <c r="J340" i="7"/>
  <c r="I340" i="7"/>
  <c r="V340" i="7" s="1"/>
  <c r="H340" i="7"/>
  <c r="G340" i="7"/>
  <c r="F340" i="7"/>
  <c r="E340" i="7"/>
  <c r="D340" i="7"/>
  <c r="Q340" i="7" s="1"/>
  <c r="C340" i="7"/>
  <c r="B340" i="7"/>
  <c r="A340" i="7"/>
  <c r="P339" i="7"/>
  <c r="O339" i="7"/>
  <c r="N339" i="7"/>
  <c r="M339" i="7"/>
  <c r="L339" i="7"/>
  <c r="K339" i="7"/>
  <c r="J339" i="7"/>
  <c r="I339" i="7"/>
  <c r="V339" i="7" s="1"/>
  <c r="H339" i="7"/>
  <c r="G339" i="7"/>
  <c r="S339" i="7" s="1"/>
  <c r="F339" i="7"/>
  <c r="T339" i="7" s="1"/>
  <c r="E339" i="7"/>
  <c r="D339" i="7"/>
  <c r="Q339" i="7" s="1"/>
  <c r="C339" i="7"/>
  <c r="U339" i="7" s="1"/>
  <c r="B339" i="7"/>
  <c r="R339" i="7" s="1"/>
  <c r="A339" i="7"/>
  <c r="R338" i="7"/>
  <c r="Q338" i="7"/>
  <c r="P338" i="7"/>
  <c r="O338" i="7"/>
  <c r="N338" i="7"/>
  <c r="M338" i="7"/>
  <c r="L338" i="7"/>
  <c r="K338" i="7"/>
  <c r="J338" i="7"/>
  <c r="I338" i="7"/>
  <c r="V338" i="7" s="1"/>
  <c r="H338" i="7"/>
  <c r="G338" i="7"/>
  <c r="S338" i="7" s="1"/>
  <c r="F338" i="7"/>
  <c r="T338" i="7" s="1"/>
  <c r="E338" i="7"/>
  <c r="D338" i="7"/>
  <c r="C338" i="7"/>
  <c r="U338" i="7" s="1"/>
  <c r="B338" i="7"/>
  <c r="A338" i="7"/>
  <c r="V337" i="7"/>
  <c r="T337" i="7"/>
  <c r="S337" i="7"/>
  <c r="R337" i="7"/>
  <c r="P337" i="7"/>
  <c r="O337" i="7"/>
  <c r="N337" i="7"/>
  <c r="M337" i="7"/>
  <c r="L337" i="7"/>
  <c r="K337" i="7"/>
  <c r="J337" i="7"/>
  <c r="I337" i="7"/>
  <c r="H337" i="7"/>
  <c r="G337" i="7"/>
  <c r="F337" i="7"/>
  <c r="E337" i="7"/>
  <c r="D337" i="7"/>
  <c r="Q337" i="7" s="1"/>
  <c r="C337" i="7"/>
  <c r="U337" i="7" s="1"/>
  <c r="B337" i="7"/>
  <c r="A337" i="7"/>
  <c r="V336" i="7"/>
  <c r="R336" i="7"/>
  <c r="Q336" i="7"/>
  <c r="P336" i="7"/>
  <c r="O336" i="7"/>
  <c r="N336" i="7"/>
  <c r="M336" i="7"/>
  <c r="L336" i="7"/>
  <c r="K336" i="7"/>
  <c r="J336" i="7"/>
  <c r="I336" i="7"/>
  <c r="H336" i="7"/>
  <c r="S336" i="7" s="1"/>
  <c r="G336" i="7"/>
  <c r="F336" i="7"/>
  <c r="T336" i="7" s="1"/>
  <c r="E336" i="7"/>
  <c r="D336" i="7"/>
  <c r="C336" i="7"/>
  <c r="U336" i="7" s="1"/>
  <c r="B336" i="7"/>
  <c r="A336" i="7"/>
  <c r="V335" i="7"/>
  <c r="U335" i="7"/>
  <c r="P335" i="7"/>
  <c r="O335" i="7"/>
  <c r="N335" i="7"/>
  <c r="M335" i="7"/>
  <c r="L335" i="7"/>
  <c r="K335" i="7"/>
  <c r="J335" i="7"/>
  <c r="I335" i="7"/>
  <c r="H335" i="7"/>
  <c r="S335" i="7" s="1"/>
  <c r="G335" i="7"/>
  <c r="F335" i="7"/>
  <c r="T335" i="7" s="1"/>
  <c r="E335" i="7"/>
  <c r="D335" i="7"/>
  <c r="Q335" i="7" s="1"/>
  <c r="C335" i="7"/>
  <c r="B335" i="7"/>
  <c r="R335" i="7" s="1"/>
  <c r="A335" i="7"/>
  <c r="P334" i="7"/>
  <c r="O334" i="7"/>
  <c r="N334" i="7"/>
  <c r="M334" i="7"/>
  <c r="L334" i="7"/>
  <c r="K334" i="7"/>
  <c r="J334" i="7"/>
  <c r="I334" i="7"/>
  <c r="V334" i="7" s="1"/>
  <c r="H334" i="7"/>
  <c r="G334" i="7"/>
  <c r="F334" i="7"/>
  <c r="T334" i="7" s="1"/>
  <c r="E334" i="7"/>
  <c r="D334" i="7"/>
  <c r="Q334" i="7" s="1"/>
  <c r="C334" i="7"/>
  <c r="U334" i="7" s="1"/>
  <c r="B334" i="7"/>
  <c r="R334" i="7" s="1"/>
  <c r="A334" i="7"/>
  <c r="Q333" i="7"/>
  <c r="P333" i="7"/>
  <c r="O333" i="7"/>
  <c r="N333" i="7"/>
  <c r="M333" i="7"/>
  <c r="L333" i="7"/>
  <c r="K333" i="7"/>
  <c r="J333" i="7"/>
  <c r="I333" i="7"/>
  <c r="V333" i="7" s="1"/>
  <c r="H333" i="7"/>
  <c r="G333" i="7"/>
  <c r="S333" i="7" s="1"/>
  <c r="F333" i="7"/>
  <c r="T333" i="7" s="1"/>
  <c r="E333" i="7"/>
  <c r="D333" i="7"/>
  <c r="C333" i="7"/>
  <c r="U333" i="7" s="1"/>
  <c r="B333" i="7"/>
  <c r="R333" i="7" s="1"/>
  <c r="A333" i="7"/>
  <c r="V332" i="7"/>
  <c r="T332" i="7"/>
  <c r="S332" i="7"/>
  <c r="Q332" i="7"/>
  <c r="P332" i="7"/>
  <c r="O332" i="7"/>
  <c r="N332" i="7"/>
  <c r="M332" i="7"/>
  <c r="L332" i="7"/>
  <c r="K332" i="7"/>
  <c r="J332" i="7"/>
  <c r="I332" i="7"/>
  <c r="H332" i="7"/>
  <c r="G332" i="7"/>
  <c r="F332" i="7"/>
  <c r="E332" i="7"/>
  <c r="D332" i="7"/>
  <c r="C332" i="7"/>
  <c r="U332" i="7" s="1"/>
  <c r="B332" i="7"/>
  <c r="R332" i="7" s="1"/>
  <c r="A332" i="7"/>
  <c r="V331" i="7"/>
  <c r="T331" i="7"/>
  <c r="S331" i="7"/>
  <c r="Q331" i="7"/>
  <c r="P331" i="7"/>
  <c r="O331" i="7"/>
  <c r="N331" i="7"/>
  <c r="M331" i="7"/>
  <c r="L331" i="7"/>
  <c r="K331" i="7"/>
  <c r="J331" i="7"/>
  <c r="I331" i="7"/>
  <c r="H331" i="7"/>
  <c r="G331" i="7"/>
  <c r="F331" i="7"/>
  <c r="E331" i="7"/>
  <c r="D331" i="7"/>
  <c r="C331" i="7"/>
  <c r="U331" i="7" s="1"/>
  <c r="B331" i="7"/>
  <c r="R331" i="7" s="1"/>
  <c r="A331" i="7"/>
  <c r="V330" i="7"/>
  <c r="T330" i="7"/>
  <c r="S330" i="7"/>
  <c r="P330" i="7"/>
  <c r="O330" i="7"/>
  <c r="N330" i="7"/>
  <c r="M330" i="7"/>
  <c r="L330" i="7"/>
  <c r="K330" i="7"/>
  <c r="J330" i="7"/>
  <c r="I330" i="7"/>
  <c r="H330" i="7"/>
  <c r="G330" i="7"/>
  <c r="F330" i="7"/>
  <c r="E330" i="7"/>
  <c r="D330" i="7"/>
  <c r="Q330" i="7" s="1"/>
  <c r="C330" i="7"/>
  <c r="U330" i="7" s="1"/>
  <c r="B330" i="7"/>
  <c r="R330" i="7" s="1"/>
  <c r="A330" i="7"/>
  <c r="V329" i="7"/>
  <c r="R329" i="7"/>
  <c r="P329" i="7"/>
  <c r="O329" i="7"/>
  <c r="N329" i="7"/>
  <c r="M329" i="7"/>
  <c r="L329" i="7"/>
  <c r="K329" i="7"/>
  <c r="J329" i="7"/>
  <c r="I329" i="7"/>
  <c r="H329" i="7"/>
  <c r="G329" i="7"/>
  <c r="S329" i="7" s="1"/>
  <c r="F329" i="7"/>
  <c r="T329" i="7" s="1"/>
  <c r="E329" i="7"/>
  <c r="D329" i="7"/>
  <c r="Q329" i="7" s="1"/>
  <c r="C329" i="7"/>
  <c r="U329" i="7" s="1"/>
  <c r="B329" i="7"/>
  <c r="A329" i="7"/>
  <c r="V328" i="7"/>
  <c r="T328" i="7"/>
  <c r="P328" i="7"/>
  <c r="O328" i="7"/>
  <c r="N328" i="7"/>
  <c r="M328" i="7"/>
  <c r="L328" i="7"/>
  <c r="K328" i="7"/>
  <c r="J328" i="7"/>
  <c r="I328" i="7"/>
  <c r="H328" i="7"/>
  <c r="S328" i="7" s="1"/>
  <c r="G328" i="7"/>
  <c r="F328" i="7"/>
  <c r="E328" i="7"/>
  <c r="D328" i="7"/>
  <c r="Q328" i="7" s="1"/>
  <c r="C328" i="7"/>
  <c r="U328" i="7" s="1"/>
  <c r="B328" i="7"/>
  <c r="R328" i="7" s="1"/>
  <c r="A328" i="7"/>
  <c r="T327" i="7"/>
  <c r="R327" i="7"/>
  <c r="Q327" i="7"/>
  <c r="P327" i="7"/>
  <c r="O327" i="7"/>
  <c r="N327" i="7"/>
  <c r="M327" i="7"/>
  <c r="L327" i="7"/>
  <c r="K327" i="7"/>
  <c r="J327" i="7"/>
  <c r="I327" i="7"/>
  <c r="V327" i="7" s="1"/>
  <c r="H327" i="7"/>
  <c r="G327" i="7"/>
  <c r="S327" i="7" s="1"/>
  <c r="F327" i="7"/>
  <c r="E327" i="7"/>
  <c r="D327" i="7"/>
  <c r="C327" i="7"/>
  <c r="U327" i="7" s="1"/>
  <c r="B327" i="7"/>
  <c r="A327" i="7"/>
  <c r="V326" i="7"/>
  <c r="T326" i="7"/>
  <c r="S326" i="7"/>
  <c r="Q326" i="7"/>
  <c r="P326" i="7"/>
  <c r="O326" i="7"/>
  <c r="N326" i="7"/>
  <c r="M326" i="7"/>
  <c r="L326" i="7"/>
  <c r="K326" i="7"/>
  <c r="J326" i="7"/>
  <c r="I326" i="7"/>
  <c r="H326" i="7"/>
  <c r="G326" i="7"/>
  <c r="F326" i="7"/>
  <c r="E326" i="7"/>
  <c r="D326" i="7"/>
  <c r="C326" i="7"/>
  <c r="U326" i="7" s="1"/>
  <c r="B326" i="7"/>
  <c r="R326" i="7" s="1"/>
  <c r="A326" i="7"/>
  <c r="V325" i="7"/>
  <c r="U325" i="7"/>
  <c r="P325" i="7"/>
  <c r="O325" i="7"/>
  <c r="N325" i="7"/>
  <c r="M325" i="7"/>
  <c r="L325" i="7"/>
  <c r="K325" i="7"/>
  <c r="J325" i="7"/>
  <c r="I325" i="7"/>
  <c r="H325" i="7"/>
  <c r="G325" i="7"/>
  <c r="F325" i="7"/>
  <c r="T325" i="7" s="1"/>
  <c r="E325" i="7"/>
  <c r="D325" i="7"/>
  <c r="Q325" i="7" s="1"/>
  <c r="C325" i="7"/>
  <c r="B325" i="7"/>
  <c r="R325" i="7" s="1"/>
  <c r="A325" i="7"/>
  <c r="T324" i="7"/>
  <c r="R324" i="7"/>
  <c r="Q324" i="7"/>
  <c r="P324" i="7"/>
  <c r="O324" i="7"/>
  <c r="N324" i="7"/>
  <c r="M324" i="7"/>
  <c r="L324" i="7"/>
  <c r="K324" i="7"/>
  <c r="J324" i="7"/>
  <c r="I324" i="7"/>
  <c r="V324" i="7" s="1"/>
  <c r="H324" i="7"/>
  <c r="S324" i="7" s="1"/>
  <c r="G324" i="7"/>
  <c r="F324" i="7"/>
  <c r="E324" i="7"/>
  <c r="D324" i="7"/>
  <c r="C324" i="7"/>
  <c r="U324" i="7" s="1"/>
  <c r="B324" i="7"/>
  <c r="A324" i="7"/>
  <c r="V323" i="7"/>
  <c r="U323" i="7"/>
  <c r="T323" i="7"/>
  <c r="P323" i="7"/>
  <c r="O323" i="7"/>
  <c r="N323" i="7"/>
  <c r="M323" i="7"/>
  <c r="L323" i="7"/>
  <c r="K323" i="7"/>
  <c r="J323" i="7"/>
  <c r="I323" i="7"/>
  <c r="H323" i="7"/>
  <c r="G323" i="7"/>
  <c r="S323" i="7" s="1"/>
  <c r="F323" i="7"/>
  <c r="E323" i="7"/>
  <c r="D323" i="7"/>
  <c r="Q323" i="7" s="1"/>
  <c r="C323" i="7"/>
  <c r="B323" i="7"/>
  <c r="R323" i="7" s="1"/>
  <c r="A323" i="7"/>
  <c r="S322" i="7"/>
  <c r="R322" i="7"/>
  <c r="Q322" i="7"/>
  <c r="P322" i="7"/>
  <c r="O322" i="7"/>
  <c r="N322" i="7"/>
  <c r="M322" i="7"/>
  <c r="L322" i="7"/>
  <c r="K322" i="7"/>
  <c r="J322" i="7"/>
  <c r="I322" i="7"/>
  <c r="V322" i="7" s="1"/>
  <c r="H322" i="7"/>
  <c r="G322" i="7"/>
  <c r="F322" i="7"/>
  <c r="T322" i="7" s="1"/>
  <c r="E322" i="7"/>
  <c r="D322" i="7"/>
  <c r="C322" i="7"/>
  <c r="U322" i="7" s="1"/>
  <c r="B322" i="7"/>
  <c r="A322" i="7"/>
  <c r="V321" i="7"/>
  <c r="U321" i="7"/>
  <c r="T321" i="7"/>
  <c r="S321" i="7"/>
  <c r="P321" i="7"/>
  <c r="O321" i="7"/>
  <c r="N321" i="7"/>
  <c r="M321" i="7"/>
  <c r="L321" i="7"/>
  <c r="K321" i="7"/>
  <c r="J321" i="7"/>
  <c r="I321" i="7"/>
  <c r="H321" i="7"/>
  <c r="G321" i="7"/>
  <c r="F321" i="7"/>
  <c r="E321" i="7"/>
  <c r="D321" i="7"/>
  <c r="Q321" i="7" s="1"/>
  <c r="C321" i="7"/>
  <c r="B321" i="7"/>
  <c r="R321" i="7" s="1"/>
  <c r="A321" i="7"/>
  <c r="V320" i="7"/>
  <c r="S320" i="7"/>
  <c r="R320" i="7"/>
  <c r="P320" i="7"/>
  <c r="O320" i="7"/>
  <c r="N320" i="7"/>
  <c r="M320" i="7"/>
  <c r="L320" i="7"/>
  <c r="K320" i="7"/>
  <c r="J320" i="7"/>
  <c r="I320" i="7"/>
  <c r="H320" i="7"/>
  <c r="G320" i="7"/>
  <c r="F320" i="7"/>
  <c r="T320" i="7" s="1"/>
  <c r="E320" i="7"/>
  <c r="D320" i="7"/>
  <c r="Q320" i="7" s="1"/>
  <c r="C320" i="7"/>
  <c r="U320" i="7" s="1"/>
  <c r="B320" i="7"/>
  <c r="A320" i="7"/>
  <c r="U319" i="7"/>
  <c r="T319" i="7"/>
  <c r="P319" i="7"/>
  <c r="O319" i="7"/>
  <c r="N319" i="7"/>
  <c r="M319" i="7"/>
  <c r="L319" i="7"/>
  <c r="K319" i="7"/>
  <c r="J319" i="7"/>
  <c r="I319" i="7"/>
  <c r="V319" i="7" s="1"/>
  <c r="H319" i="7"/>
  <c r="S319" i="7" s="1"/>
  <c r="G319" i="7"/>
  <c r="F319" i="7"/>
  <c r="E319" i="7"/>
  <c r="D319" i="7"/>
  <c r="Q319" i="7" s="1"/>
  <c r="C319" i="7"/>
  <c r="B319" i="7"/>
  <c r="R319" i="7" s="1"/>
  <c r="A319" i="7"/>
  <c r="V318" i="7"/>
  <c r="P318" i="7"/>
  <c r="O318" i="7"/>
  <c r="N318" i="7"/>
  <c r="M318" i="7"/>
  <c r="L318" i="7"/>
  <c r="K318" i="7"/>
  <c r="J318" i="7"/>
  <c r="I318" i="7"/>
  <c r="H318" i="7"/>
  <c r="G318" i="7"/>
  <c r="S318" i="7" s="1"/>
  <c r="F318" i="7"/>
  <c r="T318" i="7" s="1"/>
  <c r="E318" i="7"/>
  <c r="D318" i="7"/>
  <c r="Q318" i="7" s="1"/>
  <c r="C318" i="7"/>
  <c r="U318" i="7" s="1"/>
  <c r="B318" i="7"/>
  <c r="R318" i="7" s="1"/>
  <c r="A318" i="7"/>
  <c r="R317" i="7"/>
  <c r="Q317" i="7"/>
  <c r="P317" i="7"/>
  <c r="O317" i="7"/>
  <c r="N317" i="7"/>
  <c r="M317" i="7"/>
  <c r="L317" i="7"/>
  <c r="K317" i="7"/>
  <c r="J317" i="7"/>
  <c r="I317" i="7"/>
  <c r="V317" i="7" s="1"/>
  <c r="H317" i="7"/>
  <c r="G317" i="7"/>
  <c r="S317" i="7" s="1"/>
  <c r="F317" i="7"/>
  <c r="T317" i="7" s="1"/>
  <c r="E317" i="7"/>
  <c r="D317" i="7"/>
  <c r="C317" i="7"/>
  <c r="U317" i="7" s="1"/>
  <c r="B317" i="7"/>
  <c r="A317" i="7"/>
  <c r="U316" i="7"/>
  <c r="T316" i="7"/>
  <c r="Q316" i="7"/>
  <c r="P316" i="7"/>
  <c r="O316" i="7"/>
  <c r="N316" i="7"/>
  <c r="M316" i="7"/>
  <c r="L316" i="7"/>
  <c r="K316" i="7"/>
  <c r="J316" i="7"/>
  <c r="I316" i="7"/>
  <c r="V316" i="7" s="1"/>
  <c r="H316" i="7"/>
  <c r="G316" i="7"/>
  <c r="S316" i="7" s="1"/>
  <c r="F316" i="7"/>
  <c r="E316" i="7"/>
  <c r="D316" i="7"/>
  <c r="C316" i="7"/>
  <c r="B316" i="7"/>
  <c r="R316" i="7" s="1"/>
  <c r="A316" i="7"/>
  <c r="T315" i="7"/>
  <c r="S315" i="7"/>
  <c r="R315" i="7"/>
  <c r="Q315" i="7"/>
  <c r="P315" i="7"/>
  <c r="O315" i="7"/>
  <c r="N315" i="7"/>
  <c r="M315" i="7"/>
  <c r="L315" i="7"/>
  <c r="K315" i="7"/>
  <c r="J315" i="7"/>
  <c r="I315" i="7"/>
  <c r="V315" i="7" s="1"/>
  <c r="H315" i="7"/>
  <c r="G315" i="7"/>
  <c r="F315" i="7"/>
  <c r="E315" i="7"/>
  <c r="D315" i="7"/>
  <c r="C315" i="7"/>
  <c r="U315" i="7" s="1"/>
  <c r="B315" i="7"/>
  <c r="A315" i="7"/>
  <c r="V314" i="7"/>
  <c r="T314" i="7"/>
  <c r="S314" i="7"/>
  <c r="R314" i="7"/>
  <c r="P314" i="7"/>
  <c r="O314" i="7"/>
  <c r="N314" i="7"/>
  <c r="M314" i="7"/>
  <c r="L314" i="7"/>
  <c r="K314" i="7"/>
  <c r="J314" i="7"/>
  <c r="I314" i="7"/>
  <c r="H314" i="7"/>
  <c r="G314" i="7"/>
  <c r="F314" i="7"/>
  <c r="E314" i="7"/>
  <c r="D314" i="7"/>
  <c r="Q314" i="7" s="1"/>
  <c r="C314" i="7"/>
  <c r="U314" i="7" s="1"/>
  <c r="B314" i="7"/>
  <c r="A314" i="7"/>
  <c r="V313" i="7"/>
  <c r="T313" i="7"/>
  <c r="R313" i="7"/>
  <c r="P313" i="7"/>
  <c r="O313" i="7"/>
  <c r="N313" i="7"/>
  <c r="M313" i="7"/>
  <c r="L313" i="7"/>
  <c r="K313" i="7"/>
  <c r="J313" i="7"/>
  <c r="I313" i="7"/>
  <c r="H313" i="7"/>
  <c r="S313" i="7" s="1"/>
  <c r="G313" i="7"/>
  <c r="F313" i="7"/>
  <c r="E313" i="7"/>
  <c r="D313" i="7"/>
  <c r="Q313" i="7" s="1"/>
  <c r="C313" i="7"/>
  <c r="U313" i="7" s="1"/>
  <c r="B313" i="7"/>
  <c r="A313" i="7"/>
  <c r="V312" i="7"/>
  <c r="P312" i="7"/>
  <c r="O312" i="7"/>
  <c r="N312" i="7"/>
  <c r="M312" i="7"/>
  <c r="L312" i="7"/>
  <c r="K312" i="7"/>
  <c r="J312" i="7"/>
  <c r="I312" i="7"/>
  <c r="H312" i="7"/>
  <c r="G312" i="7"/>
  <c r="S312" i="7" s="1"/>
  <c r="F312" i="7"/>
  <c r="T312" i="7" s="1"/>
  <c r="E312" i="7"/>
  <c r="D312" i="7"/>
  <c r="Q312" i="7" s="1"/>
  <c r="C312" i="7"/>
  <c r="U312" i="7" s="1"/>
  <c r="B312" i="7"/>
  <c r="R312" i="7" s="1"/>
  <c r="A312" i="7"/>
  <c r="R311" i="7"/>
  <c r="Q311" i="7"/>
  <c r="P311" i="7"/>
  <c r="O311" i="7"/>
  <c r="N311" i="7"/>
  <c r="M311" i="7"/>
  <c r="L311" i="7"/>
  <c r="K311" i="7"/>
  <c r="J311" i="7"/>
  <c r="I311" i="7"/>
  <c r="V311" i="7" s="1"/>
  <c r="H311" i="7"/>
  <c r="G311" i="7"/>
  <c r="S311" i="7" s="1"/>
  <c r="F311" i="7"/>
  <c r="T311" i="7" s="1"/>
  <c r="E311" i="7"/>
  <c r="D311" i="7"/>
  <c r="C311" i="7"/>
  <c r="U311" i="7" s="1"/>
  <c r="B311" i="7"/>
  <c r="A311" i="7"/>
  <c r="V310" i="7"/>
  <c r="T310" i="7"/>
  <c r="S310" i="7"/>
  <c r="R310" i="7"/>
  <c r="Q310" i="7"/>
  <c r="P310" i="7"/>
  <c r="O310" i="7"/>
  <c r="N310" i="7"/>
  <c r="M310" i="7"/>
  <c r="L310" i="7"/>
  <c r="K310" i="7"/>
  <c r="J310" i="7"/>
  <c r="I310" i="7"/>
  <c r="H310" i="7"/>
  <c r="G310" i="7"/>
  <c r="F310" i="7"/>
  <c r="E310" i="7"/>
  <c r="D310" i="7"/>
  <c r="C310" i="7"/>
  <c r="U310" i="7" s="1"/>
  <c r="B310" i="7"/>
  <c r="A310" i="7"/>
  <c r="V309" i="7"/>
  <c r="U309" i="7"/>
  <c r="R309" i="7"/>
  <c r="P309" i="7"/>
  <c r="O309" i="7"/>
  <c r="N309" i="7"/>
  <c r="M309" i="7"/>
  <c r="L309" i="7"/>
  <c r="K309" i="7"/>
  <c r="J309" i="7"/>
  <c r="I309" i="7"/>
  <c r="H309" i="7"/>
  <c r="G309" i="7"/>
  <c r="S309" i="7" s="1"/>
  <c r="F309" i="7"/>
  <c r="T309" i="7" s="1"/>
  <c r="E309" i="7"/>
  <c r="D309" i="7"/>
  <c r="Q309" i="7" s="1"/>
  <c r="C309" i="7"/>
  <c r="B309" i="7"/>
  <c r="A309" i="7"/>
  <c r="V308" i="7"/>
  <c r="T308" i="7"/>
  <c r="R308" i="7"/>
  <c r="P308" i="7"/>
  <c r="O308" i="7"/>
  <c r="N308" i="7"/>
  <c r="M308" i="7"/>
  <c r="L308" i="7"/>
  <c r="K308" i="7"/>
  <c r="J308" i="7"/>
  <c r="I308" i="7"/>
  <c r="H308" i="7"/>
  <c r="S308" i="7" s="1"/>
  <c r="G308" i="7"/>
  <c r="F308" i="7"/>
  <c r="E308" i="7"/>
  <c r="D308" i="7"/>
  <c r="Q308" i="7" s="1"/>
  <c r="C308" i="7"/>
  <c r="U308" i="7" s="1"/>
  <c r="B308" i="7"/>
  <c r="A308" i="7"/>
  <c r="U307" i="7"/>
  <c r="P307" i="7"/>
  <c r="O307" i="7"/>
  <c r="N307" i="7"/>
  <c r="M307" i="7"/>
  <c r="L307" i="7"/>
  <c r="K307" i="7"/>
  <c r="J307" i="7"/>
  <c r="I307" i="7"/>
  <c r="V307" i="7" s="1"/>
  <c r="H307" i="7"/>
  <c r="G307" i="7"/>
  <c r="F307" i="7"/>
  <c r="T307" i="7" s="1"/>
  <c r="E307" i="7"/>
  <c r="D307" i="7"/>
  <c r="Q307" i="7" s="1"/>
  <c r="C307" i="7"/>
  <c r="B307" i="7"/>
  <c r="R307" i="7" s="1"/>
  <c r="A307" i="7"/>
  <c r="Q306" i="7"/>
  <c r="P306" i="7"/>
  <c r="O306" i="7"/>
  <c r="N306" i="7"/>
  <c r="M306" i="7"/>
  <c r="L306" i="7"/>
  <c r="K306" i="7"/>
  <c r="J306" i="7"/>
  <c r="I306" i="7"/>
  <c r="V306" i="7" s="1"/>
  <c r="H306" i="7"/>
  <c r="G306" i="7"/>
  <c r="S306" i="7" s="1"/>
  <c r="F306" i="7"/>
  <c r="T306" i="7" s="1"/>
  <c r="E306" i="7"/>
  <c r="D306" i="7"/>
  <c r="C306" i="7"/>
  <c r="U306" i="7" s="1"/>
  <c r="B306" i="7"/>
  <c r="R306" i="7" s="1"/>
  <c r="A306" i="7"/>
  <c r="V305" i="7"/>
  <c r="T305" i="7"/>
  <c r="S305" i="7"/>
  <c r="R305" i="7"/>
  <c r="Q305" i="7"/>
  <c r="P305" i="7"/>
  <c r="O305" i="7"/>
  <c r="N305" i="7"/>
  <c r="M305" i="7"/>
  <c r="L305" i="7"/>
  <c r="K305" i="7"/>
  <c r="J305" i="7"/>
  <c r="I305" i="7"/>
  <c r="H305" i="7"/>
  <c r="G305" i="7"/>
  <c r="F305" i="7"/>
  <c r="E305" i="7"/>
  <c r="D305" i="7"/>
  <c r="C305" i="7"/>
  <c r="U305" i="7" s="1"/>
  <c r="B305" i="7"/>
  <c r="A305" i="7"/>
  <c r="V304" i="7"/>
  <c r="R304" i="7"/>
  <c r="Q304" i="7"/>
  <c r="P304" i="7"/>
  <c r="O304" i="7"/>
  <c r="N304" i="7"/>
  <c r="M304" i="7"/>
  <c r="L304" i="7"/>
  <c r="K304" i="7"/>
  <c r="J304" i="7"/>
  <c r="I304" i="7"/>
  <c r="H304" i="7"/>
  <c r="G304" i="7"/>
  <c r="S304" i="7" s="1"/>
  <c r="F304" i="7"/>
  <c r="T304" i="7" s="1"/>
  <c r="E304" i="7"/>
  <c r="D304" i="7"/>
  <c r="C304" i="7"/>
  <c r="U304" i="7" s="1"/>
  <c r="B304" i="7"/>
  <c r="A304" i="7"/>
  <c r="V303" i="7"/>
  <c r="T303" i="7"/>
  <c r="S303" i="7"/>
  <c r="R303" i="7"/>
  <c r="P303" i="7"/>
  <c r="O303" i="7"/>
  <c r="N303" i="7"/>
  <c r="M303" i="7"/>
  <c r="L303" i="7"/>
  <c r="K303" i="7"/>
  <c r="J303" i="7"/>
  <c r="I303" i="7"/>
  <c r="H303" i="7"/>
  <c r="G303" i="7"/>
  <c r="F303" i="7"/>
  <c r="E303" i="7"/>
  <c r="D303" i="7"/>
  <c r="Q303" i="7" s="1"/>
  <c r="C303" i="7"/>
  <c r="U303" i="7" s="1"/>
  <c r="B303" i="7"/>
  <c r="A303" i="7"/>
  <c r="V302" i="7"/>
  <c r="S302" i="7"/>
  <c r="R302" i="7"/>
  <c r="P302" i="7"/>
  <c r="O302" i="7"/>
  <c r="N302" i="7"/>
  <c r="M302" i="7"/>
  <c r="L302" i="7"/>
  <c r="K302" i="7"/>
  <c r="J302" i="7"/>
  <c r="I302" i="7"/>
  <c r="H302" i="7"/>
  <c r="G302" i="7"/>
  <c r="F302" i="7"/>
  <c r="T302" i="7" s="1"/>
  <c r="E302" i="7"/>
  <c r="D302" i="7"/>
  <c r="Q302" i="7" s="1"/>
  <c r="C302" i="7"/>
  <c r="U302" i="7" s="1"/>
  <c r="B302" i="7"/>
  <c r="A302" i="7"/>
  <c r="T301" i="7"/>
  <c r="P301" i="7"/>
  <c r="O301" i="7"/>
  <c r="N301" i="7"/>
  <c r="M301" i="7"/>
  <c r="L301" i="7"/>
  <c r="K301" i="7"/>
  <c r="J301" i="7"/>
  <c r="I301" i="7"/>
  <c r="V301" i="7" s="1"/>
  <c r="H301" i="7"/>
  <c r="S301" i="7" s="1"/>
  <c r="G301" i="7"/>
  <c r="F301" i="7"/>
  <c r="E301" i="7"/>
  <c r="D301" i="7"/>
  <c r="Q301" i="7" s="1"/>
  <c r="C301" i="7"/>
  <c r="U301" i="7" s="1"/>
  <c r="B301" i="7"/>
  <c r="R301" i="7" s="1"/>
  <c r="A301" i="7"/>
  <c r="T300" i="7"/>
  <c r="Q300" i="7"/>
  <c r="P300" i="7"/>
  <c r="O300" i="7"/>
  <c r="N300" i="7"/>
  <c r="M300" i="7"/>
  <c r="L300" i="7"/>
  <c r="K300" i="7"/>
  <c r="J300" i="7"/>
  <c r="I300" i="7"/>
  <c r="V300" i="7" s="1"/>
  <c r="H300" i="7"/>
  <c r="G300" i="7"/>
  <c r="S300" i="7" s="1"/>
  <c r="F300" i="7"/>
  <c r="E300" i="7"/>
  <c r="D300" i="7"/>
  <c r="C300" i="7"/>
  <c r="U300" i="7" s="1"/>
  <c r="B300" i="7"/>
  <c r="R300" i="7" s="1"/>
  <c r="A300" i="7"/>
  <c r="V299" i="7"/>
  <c r="T299" i="7"/>
  <c r="S299" i="7"/>
  <c r="R299" i="7"/>
  <c r="Q299" i="7"/>
  <c r="P299" i="7"/>
  <c r="O299" i="7"/>
  <c r="N299" i="7"/>
  <c r="M299" i="7"/>
  <c r="L299" i="7"/>
  <c r="K299" i="7"/>
  <c r="J299" i="7"/>
  <c r="I299" i="7"/>
  <c r="H299" i="7"/>
  <c r="G299" i="7"/>
  <c r="F299" i="7"/>
  <c r="E299" i="7"/>
  <c r="D299" i="7"/>
  <c r="C299" i="7"/>
  <c r="U299" i="7" s="1"/>
  <c r="B299" i="7"/>
  <c r="A299" i="7"/>
  <c r="V298" i="7"/>
  <c r="U298" i="7"/>
  <c r="T298" i="7"/>
  <c r="P298" i="7"/>
  <c r="O298" i="7"/>
  <c r="N298" i="7"/>
  <c r="M298" i="7"/>
  <c r="L298" i="7"/>
  <c r="K298" i="7"/>
  <c r="J298" i="7"/>
  <c r="I298" i="7"/>
  <c r="H298" i="7"/>
  <c r="G298" i="7"/>
  <c r="S298" i="7" s="1"/>
  <c r="F298" i="7"/>
  <c r="E298" i="7"/>
  <c r="D298" i="7"/>
  <c r="Q298" i="7" s="1"/>
  <c r="C298" i="7"/>
  <c r="B298" i="7"/>
  <c r="R298" i="7" s="1"/>
  <c r="A298" i="7"/>
  <c r="U297" i="7"/>
  <c r="Q297" i="7"/>
  <c r="P297" i="7"/>
  <c r="O297" i="7"/>
  <c r="N297" i="7"/>
  <c r="M297" i="7"/>
  <c r="L297" i="7"/>
  <c r="K297" i="7"/>
  <c r="J297" i="7"/>
  <c r="I297" i="7"/>
  <c r="V297" i="7" s="1"/>
  <c r="H297" i="7"/>
  <c r="G297" i="7"/>
  <c r="S297" i="7" s="1"/>
  <c r="F297" i="7"/>
  <c r="T297" i="7" s="1"/>
  <c r="E297" i="7"/>
  <c r="D297" i="7"/>
  <c r="C297" i="7"/>
  <c r="B297" i="7"/>
  <c r="R297" i="7" s="1"/>
  <c r="A297" i="7"/>
  <c r="V296" i="7"/>
  <c r="P296" i="7"/>
  <c r="O296" i="7"/>
  <c r="N296" i="7"/>
  <c r="M296" i="7"/>
  <c r="L296" i="7"/>
  <c r="K296" i="7"/>
  <c r="J296" i="7"/>
  <c r="I296" i="7"/>
  <c r="H296" i="7"/>
  <c r="G296" i="7"/>
  <c r="S296" i="7" s="1"/>
  <c r="F296" i="7"/>
  <c r="T296" i="7" s="1"/>
  <c r="E296" i="7"/>
  <c r="D296" i="7"/>
  <c r="Q296" i="7" s="1"/>
  <c r="C296" i="7"/>
  <c r="U296" i="7" s="1"/>
  <c r="B296" i="7"/>
  <c r="R296" i="7" s="1"/>
  <c r="A296" i="7"/>
  <c r="R295" i="7"/>
  <c r="Q295" i="7"/>
  <c r="P295" i="7"/>
  <c r="O295" i="7"/>
  <c r="N295" i="7"/>
  <c r="M295" i="7"/>
  <c r="L295" i="7"/>
  <c r="K295" i="7"/>
  <c r="J295" i="7"/>
  <c r="I295" i="7"/>
  <c r="V295" i="7" s="1"/>
  <c r="H295" i="7"/>
  <c r="G295" i="7"/>
  <c r="S295" i="7" s="1"/>
  <c r="F295" i="7"/>
  <c r="T295" i="7" s="1"/>
  <c r="E295" i="7"/>
  <c r="D295" i="7"/>
  <c r="C295" i="7"/>
  <c r="U295" i="7" s="1"/>
  <c r="B295" i="7"/>
  <c r="A295" i="7"/>
  <c r="T294" i="7"/>
  <c r="S294" i="7"/>
  <c r="P294" i="7"/>
  <c r="O294" i="7"/>
  <c r="N294" i="7"/>
  <c r="M294" i="7"/>
  <c r="L294" i="7"/>
  <c r="K294" i="7"/>
  <c r="J294" i="7"/>
  <c r="I294" i="7"/>
  <c r="V294" i="7" s="1"/>
  <c r="H294" i="7"/>
  <c r="G294" i="7"/>
  <c r="F294" i="7"/>
  <c r="E294" i="7"/>
  <c r="D294" i="7"/>
  <c r="Q294" i="7" s="1"/>
  <c r="C294" i="7"/>
  <c r="U294" i="7" s="1"/>
  <c r="B294" i="7"/>
  <c r="R294" i="7" s="1"/>
  <c r="A294" i="7"/>
  <c r="V293" i="7"/>
  <c r="S293" i="7"/>
  <c r="R293" i="7"/>
  <c r="Q293" i="7"/>
  <c r="P293" i="7"/>
  <c r="O293" i="7"/>
  <c r="N293" i="7"/>
  <c r="M293" i="7"/>
  <c r="L293" i="7"/>
  <c r="K293" i="7"/>
  <c r="J293" i="7"/>
  <c r="I293" i="7"/>
  <c r="H293" i="7"/>
  <c r="G293" i="7"/>
  <c r="F293" i="7"/>
  <c r="T293" i="7" s="1"/>
  <c r="E293" i="7"/>
  <c r="D293" i="7"/>
  <c r="C293" i="7"/>
  <c r="U293" i="7" s="1"/>
  <c r="B293" i="7"/>
  <c r="A293" i="7"/>
  <c r="U292" i="7"/>
  <c r="T292" i="7"/>
  <c r="R292" i="7"/>
  <c r="Q292" i="7"/>
  <c r="P292" i="7"/>
  <c r="O292" i="7"/>
  <c r="N292" i="7"/>
  <c r="M292" i="7"/>
  <c r="L292" i="7"/>
  <c r="K292" i="7"/>
  <c r="J292" i="7"/>
  <c r="I292" i="7"/>
  <c r="V292" i="7" s="1"/>
  <c r="H292" i="7"/>
  <c r="S292" i="7" s="1"/>
  <c r="G292" i="7"/>
  <c r="F292" i="7"/>
  <c r="E292" i="7"/>
  <c r="D292" i="7"/>
  <c r="C292" i="7"/>
  <c r="B292" i="7"/>
  <c r="A292" i="7"/>
  <c r="V291" i="7"/>
  <c r="U291" i="7"/>
  <c r="T291" i="7"/>
  <c r="S291" i="7"/>
  <c r="P291" i="7"/>
  <c r="O291" i="7"/>
  <c r="N291" i="7"/>
  <c r="M291" i="7"/>
  <c r="L291" i="7"/>
  <c r="K291" i="7"/>
  <c r="J291" i="7"/>
  <c r="I291" i="7"/>
  <c r="H291" i="7"/>
  <c r="G291" i="7"/>
  <c r="F291" i="7"/>
  <c r="E291" i="7"/>
  <c r="D291" i="7"/>
  <c r="Q291" i="7" s="1"/>
  <c r="C291" i="7"/>
  <c r="B291" i="7"/>
  <c r="R291" i="7" s="1"/>
  <c r="A291" i="7"/>
  <c r="R290" i="7"/>
  <c r="Q290" i="7"/>
  <c r="P290" i="7"/>
  <c r="O290" i="7"/>
  <c r="N290" i="7"/>
  <c r="M290" i="7"/>
  <c r="L290" i="7"/>
  <c r="K290" i="7"/>
  <c r="J290" i="7"/>
  <c r="I290" i="7"/>
  <c r="V290" i="7" s="1"/>
  <c r="H290" i="7"/>
  <c r="G290" i="7"/>
  <c r="F290" i="7"/>
  <c r="T290" i="7" s="1"/>
  <c r="E290" i="7"/>
  <c r="D290" i="7"/>
  <c r="C290" i="7"/>
  <c r="U290" i="7" s="1"/>
  <c r="B290" i="7"/>
  <c r="A290" i="7"/>
  <c r="V289" i="7"/>
  <c r="U289" i="7"/>
  <c r="T289" i="7"/>
  <c r="Q289" i="7"/>
  <c r="P289" i="7"/>
  <c r="O289" i="7"/>
  <c r="N289" i="7"/>
  <c r="M289" i="7"/>
  <c r="L289" i="7"/>
  <c r="K289" i="7"/>
  <c r="J289" i="7"/>
  <c r="I289" i="7"/>
  <c r="H289" i="7"/>
  <c r="G289" i="7"/>
  <c r="S289" i="7" s="1"/>
  <c r="F289" i="7"/>
  <c r="E289" i="7"/>
  <c r="D289" i="7"/>
  <c r="C289" i="7"/>
  <c r="B289" i="7"/>
  <c r="R289" i="7" s="1"/>
  <c r="A289" i="7"/>
  <c r="T288" i="7"/>
  <c r="S288" i="7"/>
  <c r="R288" i="7"/>
  <c r="Q288" i="7"/>
  <c r="P288" i="7"/>
  <c r="O288" i="7"/>
  <c r="N288" i="7"/>
  <c r="M288" i="7"/>
  <c r="L288" i="7"/>
  <c r="K288" i="7"/>
  <c r="J288" i="7"/>
  <c r="I288" i="7"/>
  <c r="V288" i="7" s="1"/>
  <c r="H288" i="7"/>
  <c r="G288" i="7"/>
  <c r="F288" i="7"/>
  <c r="E288" i="7"/>
  <c r="D288" i="7"/>
  <c r="C288" i="7"/>
  <c r="U288" i="7" s="1"/>
  <c r="B288" i="7"/>
  <c r="A288" i="7"/>
  <c r="V287" i="7"/>
  <c r="U287" i="7"/>
  <c r="S287" i="7"/>
  <c r="P287" i="7"/>
  <c r="O287" i="7"/>
  <c r="N287" i="7"/>
  <c r="M287" i="7"/>
  <c r="L287" i="7"/>
  <c r="K287" i="7"/>
  <c r="J287" i="7"/>
  <c r="I287" i="7"/>
  <c r="H287" i="7"/>
  <c r="G287" i="7"/>
  <c r="F287" i="7"/>
  <c r="T287" i="7" s="1"/>
  <c r="E287" i="7"/>
  <c r="D287" i="7"/>
  <c r="Q287" i="7" s="1"/>
  <c r="C287" i="7"/>
  <c r="B287" i="7"/>
  <c r="R287" i="7" s="1"/>
  <c r="A287" i="7"/>
  <c r="P286" i="7"/>
  <c r="O286" i="7"/>
  <c r="N286" i="7"/>
  <c r="M286" i="7"/>
  <c r="L286" i="7"/>
  <c r="K286" i="7"/>
  <c r="J286" i="7"/>
  <c r="I286" i="7"/>
  <c r="V286" i="7" s="1"/>
  <c r="H286" i="7"/>
  <c r="G286" i="7"/>
  <c r="S286" i="7" s="1"/>
  <c r="F286" i="7"/>
  <c r="T286" i="7" s="1"/>
  <c r="E286" i="7"/>
  <c r="D286" i="7"/>
  <c r="Q286" i="7" s="1"/>
  <c r="C286" i="7"/>
  <c r="U286" i="7" s="1"/>
  <c r="B286" i="7"/>
  <c r="R286" i="7" s="1"/>
  <c r="A286" i="7"/>
  <c r="P285" i="7"/>
  <c r="O285" i="7"/>
  <c r="N285" i="7"/>
  <c r="M285" i="7"/>
  <c r="L285" i="7"/>
  <c r="K285" i="7"/>
  <c r="J285" i="7"/>
  <c r="I285" i="7"/>
  <c r="V285" i="7" s="1"/>
  <c r="H285" i="7"/>
  <c r="G285" i="7"/>
  <c r="F285" i="7"/>
  <c r="T285" i="7" s="1"/>
  <c r="E285" i="7"/>
  <c r="D285" i="7"/>
  <c r="Q285" i="7" s="1"/>
  <c r="C285" i="7"/>
  <c r="U285" i="7" s="1"/>
  <c r="B285" i="7"/>
  <c r="R285" i="7" s="1"/>
  <c r="A285" i="7"/>
  <c r="R284" i="7"/>
  <c r="Q284" i="7"/>
  <c r="P284" i="7"/>
  <c r="O284" i="7"/>
  <c r="N284" i="7"/>
  <c r="M284" i="7"/>
  <c r="L284" i="7"/>
  <c r="K284" i="7"/>
  <c r="J284" i="7"/>
  <c r="I284" i="7"/>
  <c r="V284" i="7" s="1"/>
  <c r="H284" i="7"/>
  <c r="G284" i="7"/>
  <c r="F284" i="7"/>
  <c r="T284" i="7" s="1"/>
  <c r="E284" i="7"/>
  <c r="D284" i="7"/>
  <c r="C284" i="7"/>
  <c r="U284" i="7" s="1"/>
  <c r="B284" i="7"/>
  <c r="A284" i="7"/>
  <c r="T283" i="7"/>
  <c r="S283" i="7"/>
  <c r="Q283" i="7"/>
  <c r="P283" i="7"/>
  <c r="O283" i="7"/>
  <c r="N283" i="7"/>
  <c r="M283" i="7"/>
  <c r="L283" i="7"/>
  <c r="K283" i="7"/>
  <c r="J283" i="7"/>
  <c r="I283" i="7"/>
  <c r="V283" i="7" s="1"/>
  <c r="H283" i="7"/>
  <c r="G283" i="7"/>
  <c r="F283" i="7"/>
  <c r="E283" i="7"/>
  <c r="D283" i="7"/>
  <c r="C283" i="7"/>
  <c r="U283" i="7" s="1"/>
  <c r="B283" i="7"/>
  <c r="R283" i="7" s="1"/>
  <c r="A283" i="7"/>
  <c r="V282" i="7"/>
  <c r="S282" i="7"/>
  <c r="R282" i="7"/>
  <c r="Q282" i="7"/>
  <c r="P282" i="7"/>
  <c r="O282" i="7"/>
  <c r="N282" i="7"/>
  <c r="M282" i="7"/>
  <c r="L282" i="7"/>
  <c r="K282" i="7"/>
  <c r="J282" i="7"/>
  <c r="I282" i="7"/>
  <c r="H282" i="7"/>
  <c r="G282" i="7"/>
  <c r="F282" i="7"/>
  <c r="T282" i="7" s="1"/>
  <c r="E282" i="7"/>
  <c r="D282" i="7"/>
  <c r="C282" i="7"/>
  <c r="U282" i="7" s="1"/>
  <c r="B282" i="7"/>
  <c r="A282" i="7"/>
  <c r="V281" i="7"/>
  <c r="U281" i="7"/>
  <c r="T281" i="7"/>
  <c r="R281" i="7"/>
  <c r="Q281" i="7"/>
  <c r="P281" i="7"/>
  <c r="O281" i="7"/>
  <c r="N281" i="7"/>
  <c r="M281" i="7"/>
  <c r="L281" i="7"/>
  <c r="K281" i="7"/>
  <c r="J281" i="7"/>
  <c r="I281" i="7"/>
  <c r="H281" i="7"/>
  <c r="G281" i="7"/>
  <c r="S281" i="7" s="1"/>
  <c r="F281" i="7"/>
  <c r="E281" i="7"/>
  <c r="D281" i="7"/>
  <c r="C281" i="7"/>
  <c r="B281" i="7"/>
  <c r="A281" i="7"/>
  <c r="V280" i="7"/>
  <c r="U280" i="7"/>
  <c r="P280" i="7"/>
  <c r="O280" i="7"/>
  <c r="N280" i="7"/>
  <c r="M280" i="7"/>
  <c r="L280" i="7"/>
  <c r="K280" i="7"/>
  <c r="J280" i="7"/>
  <c r="I280" i="7"/>
  <c r="H280" i="7"/>
  <c r="G280" i="7"/>
  <c r="S280" i="7" s="1"/>
  <c r="F280" i="7"/>
  <c r="T280" i="7" s="1"/>
  <c r="E280" i="7"/>
  <c r="D280" i="7"/>
  <c r="Q280" i="7" s="1"/>
  <c r="C280" i="7"/>
  <c r="B280" i="7"/>
  <c r="R280" i="7" s="1"/>
  <c r="A280" i="7"/>
  <c r="Q279" i="7"/>
  <c r="P279" i="7"/>
  <c r="O279" i="7"/>
  <c r="N279" i="7"/>
  <c r="M279" i="7"/>
  <c r="L279" i="7"/>
  <c r="K279" i="7"/>
  <c r="J279" i="7"/>
  <c r="I279" i="7"/>
  <c r="V279" i="7" s="1"/>
  <c r="H279" i="7"/>
  <c r="G279" i="7"/>
  <c r="S279" i="7" s="1"/>
  <c r="F279" i="7"/>
  <c r="T279" i="7" s="1"/>
  <c r="E279" i="7"/>
  <c r="D279" i="7"/>
  <c r="C279" i="7"/>
  <c r="U279" i="7" s="1"/>
  <c r="B279" i="7"/>
  <c r="R279" i="7" s="1"/>
  <c r="A279" i="7"/>
  <c r="V278" i="7"/>
  <c r="T278" i="7"/>
  <c r="S278" i="7"/>
  <c r="Q278" i="7"/>
  <c r="P278" i="7"/>
  <c r="O278" i="7"/>
  <c r="N278" i="7"/>
  <c r="M278" i="7"/>
  <c r="L278" i="7"/>
  <c r="K278" i="7"/>
  <c r="J278" i="7"/>
  <c r="I278" i="7"/>
  <c r="H278" i="7"/>
  <c r="G278" i="7"/>
  <c r="F278" i="7"/>
  <c r="E278" i="7"/>
  <c r="D278" i="7"/>
  <c r="C278" i="7"/>
  <c r="U278" i="7" s="1"/>
  <c r="B278" i="7"/>
  <c r="R278" i="7" s="1"/>
  <c r="A278" i="7"/>
  <c r="V277" i="7"/>
  <c r="U277" i="7"/>
  <c r="P277" i="7"/>
  <c r="O277" i="7"/>
  <c r="N277" i="7"/>
  <c r="M277" i="7"/>
  <c r="L277" i="7"/>
  <c r="K277" i="7"/>
  <c r="J277" i="7"/>
  <c r="I277" i="7"/>
  <c r="H277" i="7"/>
  <c r="G277" i="7"/>
  <c r="S277" i="7" s="1"/>
  <c r="F277" i="7"/>
  <c r="T277" i="7" s="1"/>
  <c r="E277" i="7"/>
  <c r="D277" i="7"/>
  <c r="Q277" i="7" s="1"/>
  <c r="C277" i="7"/>
  <c r="B277" i="7"/>
  <c r="R277" i="7" s="1"/>
  <c r="A277" i="7"/>
  <c r="U276" i="7"/>
  <c r="R276" i="7"/>
  <c r="P276" i="7"/>
  <c r="O276" i="7"/>
  <c r="N276" i="7"/>
  <c r="M276" i="7"/>
  <c r="L276" i="7"/>
  <c r="K276" i="7"/>
  <c r="J276" i="7"/>
  <c r="I276" i="7"/>
  <c r="V276" i="7" s="1"/>
  <c r="H276" i="7"/>
  <c r="G276" i="7"/>
  <c r="S276" i="7" s="1"/>
  <c r="F276" i="7"/>
  <c r="T276" i="7" s="1"/>
  <c r="E276" i="7"/>
  <c r="D276" i="7"/>
  <c r="Q276" i="7" s="1"/>
  <c r="C276" i="7"/>
  <c r="B276" i="7"/>
  <c r="A276" i="7"/>
  <c r="R275" i="7"/>
  <c r="Q275" i="7"/>
  <c r="P275" i="7"/>
  <c r="O275" i="7"/>
  <c r="N275" i="7"/>
  <c r="M275" i="7"/>
  <c r="L275" i="7"/>
  <c r="K275" i="7"/>
  <c r="J275" i="7"/>
  <c r="I275" i="7"/>
  <c r="V275" i="7" s="1"/>
  <c r="H275" i="7"/>
  <c r="G275" i="7"/>
  <c r="S275" i="7" s="1"/>
  <c r="F275" i="7"/>
  <c r="T275" i="7" s="1"/>
  <c r="E275" i="7"/>
  <c r="D275" i="7"/>
  <c r="C275" i="7"/>
  <c r="U275" i="7" s="1"/>
  <c r="B275" i="7"/>
  <c r="A275" i="7"/>
  <c r="V274" i="7"/>
  <c r="U274" i="7"/>
  <c r="T274" i="7"/>
  <c r="P274" i="7"/>
  <c r="O274" i="7"/>
  <c r="N274" i="7"/>
  <c r="M274" i="7"/>
  <c r="L274" i="7"/>
  <c r="K274" i="7"/>
  <c r="J274" i="7"/>
  <c r="I274" i="7"/>
  <c r="H274" i="7"/>
  <c r="S274" i="7" s="1"/>
  <c r="G274" i="7"/>
  <c r="F274" i="7"/>
  <c r="E274" i="7"/>
  <c r="D274" i="7"/>
  <c r="Q274" i="7" s="1"/>
  <c r="C274" i="7"/>
  <c r="B274" i="7"/>
  <c r="R274" i="7" s="1"/>
  <c r="A274" i="7"/>
  <c r="T273" i="7"/>
  <c r="S273" i="7"/>
  <c r="Q273" i="7"/>
  <c r="P273" i="7"/>
  <c r="O273" i="7"/>
  <c r="N273" i="7"/>
  <c r="M273" i="7"/>
  <c r="L273" i="7"/>
  <c r="K273" i="7"/>
  <c r="J273" i="7"/>
  <c r="I273" i="7"/>
  <c r="V273" i="7" s="1"/>
  <c r="H273" i="7"/>
  <c r="G273" i="7"/>
  <c r="F273" i="7"/>
  <c r="E273" i="7"/>
  <c r="D273" i="7"/>
  <c r="C273" i="7"/>
  <c r="U273" i="7" s="1"/>
  <c r="B273" i="7"/>
  <c r="R273" i="7" s="1"/>
  <c r="A273" i="7"/>
  <c r="V272" i="7"/>
  <c r="U272" i="7"/>
  <c r="S272" i="7"/>
  <c r="R272" i="7"/>
  <c r="P272" i="7"/>
  <c r="O272" i="7"/>
  <c r="N272" i="7"/>
  <c r="M272" i="7"/>
  <c r="L272" i="7"/>
  <c r="K272" i="7"/>
  <c r="J272" i="7"/>
  <c r="I272" i="7"/>
  <c r="H272" i="7"/>
  <c r="G272" i="7"/>
  <c r="F272" i="7"/>
  <c r="T272" i="7" s="1"/>
  <c r="E272" i="7"/>
  <c r="D272" i="7"/>
  <c r="Q272" i="7" s="1"/>
  <c r="C272" i="7"/>
  <c r="B272" i="7"/>
  <c r="A272" i="7"/>
  <c r="V271" i="7"/>
  <c r="Q271" i="7"/>
  <c r="P271" i="7"/>
  <c r="O271" i="7"/>
  <c r="N271" i="7"/>
  <c r="M271" i="7"/>
  <c r="L271" i="7"/>
  <c r="K271" i="7"/>
  <c r="J271" i="7"/>
  <c r="I271" i="7"/>
  <c r="H271" i="7"/>
  <c r="G271" i="7"/>
  <c r="S271" i="7" s="1"/>
  <c r="F271" i="7"/>
  <c r="T271" i="7" s="1"/>
  <c r="E271" i="7"/>
  <c r="D271" i="7"/>
  <c r="C271" i="7"/>
  <c r="U271" i="7" s="1"/>
  <c r="B271" i="7"/>
  <c r="R271" i="7" s="1"/>
  <c r="A271" i="7"/>
  <c r="U270" i="7"/>
  <c r="Q270" i="7"/>
  <c r="P270" i="7"/>
  <c r="O270" i="7"/>
  <c r="N270" i="7"/>
  <c r="M270" i="7"/>
  <c r="L270" i="7"/>
  <c r="K270" i="7"/>
  <c r="J270" i="7"/>
  <c r="I270" i="7"/>
  <c r="V270" i="7" s="1"/>
  <c r="H270" i="7"/>
  <c r="S270" i="7" s="1"/>
  <c r="G270" i="7"/>
  <c r="F270" i="7"/>
  <c r="T270" i="7" s="1"/>
  <c r="E270" i="7"/>
  <c r="D270" i="7"/>
  <c r="C270" i="7"/>
  <c r="B270" i="7"/>
  <c r="R270" i="7" s="1"/>
  <c r="A270" i="7"/>
  <c r="V269" i="7"/>
  <c r="T269" i="7"/>
  <c r="P269" i="7"/>
  <c r="O269" i="7"/>
  <c r="N269" i="7"/>
  <c r="M269" i="7"/>
  <c r="L269" i="7"/>
  <c r="K269" i="7"/>
  <c r="J269" i="7"/>
  <c r="I269" i="7"/>
  <c r="H269" i="7"/>
  <c r="G269" i="7"/>
  <c r="S269" i="7" s="1"/>
  <c r="F269" i="7"/>
  <c r="E269" i="7"/>
  <c r="D269" i="7"/>
  <c r="Q269" i="7" s="1"/>
  <c r="C269" i="7"/>
  <c r="U269" i="7" s="1"/>
  <c r="B269" i="7"/>
  <c r="R269" i="7" s="1"/>
  <c r="A269" i="7"/>
  <c r="R268" i="7"/>
  <c r="Q268" i="7"/>
  <c r="P268" i="7"/>
  <c r="O268" i="7"/>
  <c r="N268" i="7"/>
  <c r="M268" i="7"/>
  <c r="L268" i="7"/>
  <c r="K268" i="7"/>
  <c r="J268" i="7"/>
  <c r="I268" i="7"/>
  <c r="V268" i="7" s="1"/>
  <c r="H268" i="7"/>
  <c r="G268" i="7"/>
  <c r="F268" i="7"/>
  <c r="T268" i="7" s="1"/>
  <c r="E268" i="7"/>
  <c r="D268" i="7"/>
  <c r="C268" i="7"/>
  <c r="U268" i="7" s="1"/>
  <c r="B268" i="7"/>
  <c r="A268" i="7"/>
  <c r="T267" i="7"/>
  <c r="S267" i="7"/>
  <c r="R267" i="7"/>
  <c r="P267" i="7"/>
  <c r="O267" i="7"/>
  <c r="N267" i="7"/>
  <c r="M267" i="7"/>
  <c r="L267" i="7"/>
  <c r="K267" i="7"/>
  <c r="J267" i="7"/>
  <c r="I267" i="7"/>
  <c r="V267" i="7" s="1"/>
  <c r="H267" i="7"/>
  <c r="G267" i="7"/>
  <c r="F267" i="7"/>
  <c r="E267" i="7"/>
  <c r="D267" i="7"/>
  <c r="Q267" i="7" s="1"/>
  <c r="C267" i="7"/>
  <c r="U267" i="7" s="1"/>
  <c r="B267" i="7"/>
  <c r="A267" i="7"/>
  <c r="V266" i="7"/>
  <c r="S266" i="7"/>
  <c r="R266" i="7"/>
  <c r="Q266" i="7"/>
  <c r="P266" i="7"/>
  <c r="O266" i="7"/>
  <c r="N266" i="7"/>
  <c r="M266" i="7"/>
  <c r="L266" i="7"/>
  <c r="K266" i="7"/>
  <c r="J266" i="7"/>
  <c r="I266" i="7"/>
  <c r="H266" i="7"/>
  <c r="G266" i="7"/>
  <c r="F266" i="7"/>
  <c r="T266" i="7" s="1"/>
  <c r="E266" i="7"/>
  <c r="D266" i="7"/>
  <c r="C266" i="7"/>
  <c r="U266" i="7" s="1"/>
  <c r="B266" i="7"/>
  <c r="A266" i="7"/>
  <c r="U265" i="7"/>
  <c r="T265" i="7"/>
  <c r="S265" i="7"/>
  <c r="P265" i="7"/>
  <c r="O265" i="7"/>
  <c r="N265" i="7"/>
  <c r="M265" i="7"/>
  <c r="L265" i="7"/>
  <c r="K265" i="7"/>
  <c r="J265" i="7"/>
  <c r="I265" i="7"/>
  <c r="V265" i="7" s="1"/>
  <c r="H265" i="7"/>
  <c r="G265" i="7"/>
  <c r="F265" i="7"/>
  <c r="E265" i="7"/>
  <c r="D265" i="7"/>
  <c r="Q265" i="7" s="1"/>
  <c r="C265" i="7"/>
  <c r="B265" i="7"/>
  <c r="R265" i="7" s="1"/>
  <c r="A265" i="7"/>
  <c r="T264" i="7"/>
  <c r="P264" i="7"/>
  <c r="O264" i="7"/>
  <c r="N264" i="7"/>
  <c r="M264" i="7"/>
  <c r="L264" i="7"/>
  <c r="K264" i="7"/>
  <c r="J264" i="7"/>
  <c r="I264" i="7"/>
  <c r="V264" i="7" s="1"/>
  <c r="H264" i="7"/>
  <c r="G264" i="7"/>
  <c r="S264" i="7" s="1"/>
  <c r="F264" i="7"/>
  <c r="E264" i="7"/>
  <c r="D264" i="7"/>
  <c r="Q264" i="7" s="1"/>
  <c r="C264" i="7"/>
  <c r="U264" i="7" s="1"/>
  <c r="B264" i="7"/>
  <c r="R264" i="7" s="1"/>
  <c r="A264" i="7"/>
  <c r="R263" i="7"/>
  <c r="Q263" i="7"/>
  <c r="P263" i="7"/>
  <c r="O263" i="7"/>
  <c r="N263" i="7"/>
  <c r="M263" i="7"/>
  <c r="L263" i="7"/>
  <c r="K263" i="7"/>
  <c r="J263" i="7"/>
  <c r="I263" i="7"/>
  <c r="V263" i="7" s="1"/>
  <c r="H263" i="7"/>
  <c r="G263" i="7"/>
  <c r="S263" i="7" s="1"/>
  <c r="F263" i="7"/>
  <c r="T263" i="7" s="1"/>
  <c r="E263" i="7"/>
  <c r="D263" i="7"/>
  <c r="C263" i="7"/>
  <c r="U263" i="7" s="1"/>
  <c r="B263" i="7"/>
  <c r="A263" i="7"/>
  <c r="U262" i="7"/>
  <c r="T262" i="7"/>
  <c r="Q262" i="7"/>
  <c r="P262" i="7"/>
  <c r="O262" i="7"/>
  <c r="N262" i="7"/>
  <c r="M262" i="7"/>
  <c r="L262" i="7"/>
  <c r="K262" i="7"/>
  <c r="J262" i="7"/>
  <c r="I262" i="7"/>
  <c r="V262" i="7" s="1"/>
  <c r="H262" i="7"/>
  <c r="G262" i="7"/>
  <c r="S262" i="7" s="1"/>
  <c r="F262" i="7"/>
  <c r="E262" i="7"/>
  <c r="D262" i="7"/>
  <c r="C262" i="7"/>
  <c r="B262" i="7"/>
  <c r="R262" i="7" s="1"/>
  <c r="A262" i="7"/>
  <c r="U261" i="7"/>
  <c r="T261" i="7"/>
  <c r="S261" i="7"/>
  <c r="Q261" i="7"/>
  <c r="P261" i="7"/>
  <c r="O261" i="7"/>
  <c r="N261" i="7"/>
  <c r="M261" i="7"/>
  <c r="L261" i="7"/>
  <c r="K261" i="7"/>
  <c r="J261" i="7"/>
  <c r="I261" i="7"/>
  <c r="V261" i="7" s="1"/>
  <c r="H261" i="7"/>
  <c r="G261" i="7"/>
  <c r="F261" i="7"/>
  <c r="E261" i="7"/>
  <c r="D261" i="7"/>
  <c r="C261" i="7"/>
  <c r="B261" i="7"/>
  <c r="R261" i="7" s="1"/>
  <c r="A261" i="7"/>
  <c r="V260" i="7"/>
  <c r="Q260" i="7"/>
  <c r="P260" i="7"/>
  <c r="O260" i="7"/>
  <c r="N260" i="7"/>
  <c r="M260" i="7"/>
  <c r="L260" i="7"/>
  <c r="K260" i="7"/>
  <c r="J260" i="7"/>
  <c r="I260" i="7"/>
  <c r="H260" i="7"/>
  <c r="G260" i="7"/>
  <c r="S260" i="7" s="1"/>
  <c r="F260" i="7"/>
  <c r="T260" i="7" s="1"/>
  <c r="E260" i="7"/>
  <c r="D260" i="7"/>
  <c r="C260" i="7"/>
  <c r="U260" i="7" s="1"/>
  <c r="B260" i="7"/>
  <c r="R260" i="7" s="1"/>
  <c r="A260" i="7"/>
  <c r="U259" i="7"/>
  <c r="T259" i="7"/>
  <c r="R259" i="7"/>
  <c r="P259" i="7"/>
  <c r="O259" i="7"/>
  <c r="N259" i="7"/>
  <c r="M259" i="7"/>
  <c r="L259" i="7"/>
  <c r="K259" i="7"/>
  <c r="J259" i="7"/>
  <c r="I259" i="7"/>
  <c r="V259" i="7" s="1"/>
  <c r="H259" i="7"/>
  <c r="S259" i="7" s="1"/>
  <c r="G259" i="7"/>
  <c r="F259" i="7"/>
  <c r="E259" i="7"/>
  <c r="D259" i="7"/>
  <c r="Q259" i="7" s="1"/>
  <c r="C259" i="7"/>
  <c r="B259" i="7"/>
  <c r="A259" i="7"/>
  <c r="P258" i="7"/>
  <c r="O258" i="7"/>
  <c r="N258" i="7"/>
  <c r="M258" i="7"/>
  <c r="L258" i="7"/>
  <c r="K258" i="7"/>
  <c r="J258" i="7"/>
  <c r="I258" i="7"/>
  <c r="V258" i="7" s="1"/>
  <c r="H258" i="7"/>
  <c r="G258" i="7"/>
  <c r="S258" i="7" s="1"/>
  <c r="F258" i="7"/>
  <c r="T258" i="7" s="1"/>
  <c r="E258" i="7"/>
  <c r="D258" i="7"/>
  <c r="Q258" i="7" s="1"/>
  <c r="C258" i="7"/>
  <c r="U258" i="7" s="1"/>
  <c r="B258" i="7"/>
  <c r="R258" i="7" s="1"/>
  <c r="A258" i="7"/>
  <c r="R257" i="7"/>
  <c r="Q257" i="7"/>
  <c r="P257" i="7"/>
  <c r="O257" i="7"/>
  <c r="N257" i="7"/>
  <c r="M257" i="7"/>
  <c r="L257" i="7"/>
  <c r="K257" i="7"/>
  <c r="J257" i="7"/>
  <c r="I257" i="7"/>
  <c r="V257" i="7" s="1"/>
  <c r="H257" i="7"/>
  <c r="G257" i="7"/>
  <c r="S257" i="7" s="1"/>
  <c r="F257" i="7"/>
  <c r="T257" i="7" s="1"/>
  <c r="E257" i="7"/>
  <c r="D257" i="7"/>
  <c r="C257" i="7"/>
  <c r="U257" i="7" s="1"/>
  <c r="B257" i="7"/>
  <c r="A257" i="7"/>
  <c r="V256" i="7"/>
  <c r="T256" i="7"/>
  <c r="S256" i="7"/>
  <c r="R256" i="7"/>
  <c r="P256" i="7"/>
  <c r="O256" i="7"/>
  <c r="N256" i="7"/>
  <c r="M256" i="7"/>
  <c r="L256" i="7"/>
  <c r="K256" i="7"/>
  <c r="J256" i="7"/>
  <c r="I256" i="7"/>
  <c r="H256" i="7"/>
  <c r="G256" i="7"/>
  <c r="F256" i="7"/>
  <c r="E256" i="7"/>
  <c r="D256" i="7"/>
  <c r="Q256" i="7" s="1"/>
  <c r="C256" i="7"/>
  <c r="U256" i="7" s="1"/>
  <c r="B256" i="7"/>
  <c r="A256" i="7"/>
  <c r="V255" i="7"/>
  <c r="S255" i="7"/>
  <c r="R255" i="7"/>
  <c r="Q255" i="7"/>
  <c r="P255" i="7"/>
  <c r="O255" i="7"/>
  <c r="N255" i="7"/>
  <c r="M255" i="7"/>
  <c r="L255" i="7"/>
  <c r="K255" i="7"/>
  <c r="J255" i="7"/>
  <c r="I255" i="7"/>
  <c r="H255" i="7"/>
  <c r="G255" i="7"/>
  <c r="F255" i="7"/>
  <c r="T255" i="7" s="1"/>
  <c r="E255" i="7"/>
  <c r="D255" i="7"/>
  <c r="C255" i="7"/>
  <c r="U255" i="7" s="1"/>
  <c r="B255" i="7"/>
  <c r="A255" i="7"/>
  <c r="V254" i="7"/>
  <c r="U254" i="7"/>
  <c r="S254" i="7"/>
  <c r="P254" i="7"/>
  <c r="O254" i="7"/>
  <c r="N254" i="7"/>
  <c r="M254" i="7"/>
  <c r="L254" i="7"/>
  <c r="K254" i="7"/>
  <c r="J254" i="7"/>
  <c r="I254" i="7"/>
  <c r="H254" i="7"/>
  <c r="G254" i="7"/>
  <c r="F254" i="7"/>
  <c r="T254" i="7" s="1"/>
  <c r="E254" i="7"/>
  <c r="D254" i="7"/>
  <c r="Q254" i="7" s="1"/>
  <c r="C254" i="7"/>
  <c r="B254" i="7"/>
  <c r="R254" i="7" s="1"/>
  <c r="A254" i="7"/>
  <c r="P253" i="7"/>
  <c r="O253" i="7"/>
  <c r="N253" i="7"/>
  <c r="M253" i="7"/>
  <c r="L253" i="7"/>
  <c r="K253" i="7"/>
  <c r="J253" i="7"/>
  <c r="I253" i="7"/>
  <c r="V253" i="7" s="1"/>
  <c r="H253" i="7"/>
  <c r="G253" i="7"/>
  <c r="F253" i="7"/>
  <c r="T253" i="7" s="1"/>
  <c r="E253" i="7"/>
  <c r="D253" i="7"/>
  <c r="Q253" i="7" s="1"/>
  <c r="C253" i="7"/>
  <c r="U253" i="7" s="1"/>
  <c r="B253" i="7"/>
  <c r="R253" i="7" s="1"/>
  <c r="A253" i="7"/>
  <c r="Q252" i="7"/>
  <c r="P252" i="7"/>
  <c r="O252" i="7"/>
  <c r="N252" i="7"/>
  <c r="M252" i="7"/>
  <c r="L252" i="7"/>
  <c r="K252" i="7"/>
  <c r="J252" i="7"/>
  <c r="I252" i="7"/>
  <c r="V252" i="7" s="1"/>
  <c r="H252" i="7"/>
  <c r="G252" i="7"/>
  <c r="S252" i="7" s="1"/>
  <c r="F252" i="7"/>
  <c r="T252" i="7" s="1"/>
  <c r="E252" i="7"/>
  <c r="D252" i="7"/>
  <c r="C252" i="7"/>
  <c r="U252" i="7" s="1"/>
  <c r="B252" i="7"/>
  <c r="R252" i="7" s="1"/>
  <c r="A252" i="7"/>
  <c r="V251" i="7"/>
  <c r="T251" i="7"/>
  <c r="S251" i="7"/>
  <c r="Q251" i="7"/>
  <c r="P251" i="7"/>
  <c r="O251" i="7"/>
  <c r="N251" i="7"/>
  <c r="M251" i="7"/>
  <c r="L251" i="7"/>
  <c r="K251" i="7"/>
  <c r="J251" i="7"/>
  <c r="I251" i="7"/>
  <c r="H251" i="7"/>
  <c r="G251" i="7"/>
  <c r="F251" i="7"/>
  <c r="E251" i="7"/>
  <c r="D251" i="7"/>
  <c r="C251" i="7"/>
  <c r="U251" i="7" s="1"/>
  <c r="B251" i="7"/>
  <c r="R251" i="7" s="1"/>
  <c r="A251" i="7"/>
  <c r="V250" i="7"/>
  <c r="T250" i="7"/>
  <c r="S250" i="7"/>
  <c r="R250" i="7"/>
  <c r="Q250" i="7"/>
  <c r="P250" i="7"/>
  <c r="O250" i="7"/>
  <c r="N250" i="7"/>
  <c r="M250" i="7"/>
  <c r="L250" i="7"/>
  <c r="K250" i="7"/>
  <c r="J250" i="7"/>
  <c r="I250" i="7"/>
  <c r="H250" i="7"/>
  <c r="G250" i="7"/>
  <c r="F250" i="7"/>
  <c r="E250" i="7"/>
  <c r="D250" i="7"/>
  <c r="C250" i="7"/>
  <c r="U250" i="7" s="1"/>
  <c r="B250" i="7"/>
  <c r="A250" i="7"/>
  <c r="V249" i="7"/>
  <c r="T249" i="7"/>
  <c r="S249" i="7"/>
  <c r="P249" i="7"/>
  <c r="O249" i="7"/>
  <c r="N249" i="7"/>
  <c r="M249" i="7"/>
  <c r="L249" i="7"/>
  <c r="K249" i="7"/>
  <c r="J249" i="7"/>
  <c r="I249" i="7"/>
  <c r="H249" i="7"/>
  <c r="G249" i="7"/>
  <c r="F249" i="7"/>
  <c r="E249" i="7"/>
  <c r="D249" i="7"/>
  <c r="Q249" i="7" s="1"/>
  <c r="C249" i="7"/>
  <c r="U249" i="7" s="1"/>
  <c r="B249" i="7"/>
  <c r="R249" i="7" s="1"/>
  <c r="A249" i="7"/>
  <c r="V248" i="7"/>
  <c r="R248" i="7"/>
  <c r="Q248" i="7"/>
  <c r="P248" i="7"/>
  <c r="O248" i="7"/>
  <c r="N248" i="7"/>
  <c r="M248" i="7"/>
  <c r="L248" i="7"/>
  <c r="K248" i="7"/>
  <c r="J248" i="7"/>
  <c r="I248" i="7"/>
  <c r="H248" i="7"/>
  <c r="G248" i="7"/>
  <c r="S248" i="7" s="1"/>
  <c r="F248" i="7"/>
  <c r="T248" i="7" s="1"/>
  <c r="E248" i="7"/>
  <c r="D248" i="7"/>
  <c r="C248" i="7"/>
  <c r="U248" i="7" s="1"/>
  <c r="B248" i="7"/>
  <c r="A248" i="7"/>
  <c r="V247" i="7"/>
  <c r="U247" i="7"/>
  <c r="T247" i="7"/>
  <c r="P247" i="7"/>
  <c r="O247" i="7"/>
  <c r="N247" i="7"/>
  <c r="M247" i="7"/>
  <c r="L247" i="7"/>
  <c r="K247" i="7"/>
  <c r="J247" i="7"/>
  <c r="I247" i="7"/>
  <c r="H247" i="7"/>
  <c r="S247" i="7" s="1"/>
  <c r="G247" i="7"/>
  <c r="F247" i="7"/>
  <c r="E247" i="7"/>
  <c r="D247" i="7"/>
  <c r="Q247" i="7" s="1"/>
  <c r="C247" i="7"/>
  <c r="B247" i="7"/>
  <c r="R247" i="7" s="1"/>
  <c r="A247" i="7"/>
  <c r="T246" i="7"/>
  <c r="Q246" i="7"/>
  <c r="P246" i="7"/>
  <c r="O246" i="7"/>
  <c r="N246" i="7"/>
  <c r="M246" i="7"/>
  <c r="L246" i="7"/>
  <c r="K246" i="7"/>
  <c r="J246" i="7"/>
  <c r="I246" i="7"/>
  <c r="V246" i="7" s="1"/>
  <c r="H246" i="7"/>
  <c r="G246" i="7"/>
  <c r="S246" i="7" s="1"/>
  <c r="F246" i="7"/>
  <c r="E246" i="7"/>
  <c r="D246" i="7"/>
  <c r="C246" i="7"/>
  <c r="U246" i="7" s="1"/>
  <c r="B246" i="7"/>
  <c r="R246" i="7" s="1"/>
  <c r="A246" i="7"/>
  <c r="V245" i="7"/>
  <c r="S245" i="7"/>
  <c r="Q245" i="7"/>
  <c r="P245" i="7"/>
  <c r="O245" i="7"/>
  <c r="N245" i="7"/>
  <c r="M245" i="7"/>
  <c r="L245" i="7"/>
  <c r="K245" i="7"/>
  <c r="J245" i="7"/>
  <c r="I245" i="7"/>
  <c r="H245" i="7"/>
  <c r="G245" i="7"/>
  <c r="F245" i="7"/>
  <c r="T245" i="7" s="1"/>
  <c r="E245" i="7"/>
  <c r="D245" i="7"/>
  <c r="C245" i="7"/>
  <c r="U245" i="7" s="1"/>
  <c r="B245" i="7"/>
  <c r="R245" i="7" s="1"/>
  <c r="A245" i="7"/>
  <c r="V244" i="7"/>
  <c r="U244" i="7"/>
  <c r="P244" i="7"/>
  <c r="O244" i="7"/>
  <c r="N244" i="7"/>
  <c r="M244" i="7"/>
  <c r="L244" i="7"/>
  <c r="K244" i="7"/>
  <c r="J244" i="7"/>
  <c r="I244" i="7"/>
  <c r="H244" i="7"/>
  <c r="G244" i="7"/>
  <c r="S244" i="7" s="1"/>
  <c r="F244" i="7"/>
  <c r="T244" i="7" s="1"/>
  <c r="E244" i="7"/>
  <c r="D244" i="7"/>
  <c r="Q244" i="7" s="1"/>
  <c r="C244" i="7"/>
  <c r="B244" i="7"/>
  <c r="R244" i="7" s="1"/>
  <c r="A244" i="7"/>
  <c r="T243" i="7"/>
  <c r="R243" i="7"/>
  <c r="Q243" i="7"/>
  <c r="P243" i="7"/>
  <c r="O243" i="7"/>
  <c r="N243" i="7"/>
  <c r="M243" i="7"/>
  <c r="L243" i="7"/>
  <c r="K243" i="7"/>
  <c r="J243" i="7"/>
  <c r="I243" i="7"/>
  <c r="V243" i="7" s="1"/>
  <c r="H243" i="7"/>
  <c r="G243" i="7"/>
  <c r="S243" i="7" s="1"/>
  <c r="F243" i="7"/>
  <c r="E243" i="7"/>
  <c r="D243" i="7"/>
  <c r="C243" i="7"/>
  <c r="U243" i="7" s="1"/>
  <c r="B243" i="7"/>
  <c r="A243" i="7"/>
  <c r="V242" i="7"/>
  <c r="U242" i="7"/>
  <c r="T242" i="7"/>
  <c r="P242" i="7"/>
  <c r="O242" i="7"/>
  <c r="N242" i="7"/>
  <c r="M242" i="7"/>
  <c r="L242" i="7"/>
  <c r="K242" i="7"/>
  <c r="J242" i="7"/>
  <c r="I242" i="7"/>
  <c r="H242" i="7"/>
  <c r="G242" i="7"/>
  <c r="S242" i="7" s="1"/>
  <c r="F242" i="7"/>
  <c r="E242" i="7"/>
  <c r="D242" i="7"/>
  <c r="Q242" i="7" s="1"/>
  <c r="C242" i="7"/>
  <c r="B242" i="7"/>
  <c r="R242" i="7" s="1"/>
  <c r="A242" i="7"/>
  <c r="S241" i="7"/>
  <c r="R241" i="7"/>
  <c r="Q241" i="7"/>
  <c r="P241" i="7"/>
  <c r="O241" i="7"/>
  <c r="N241" i="7"/>
  <c r="M241" i="7"/>
  <c r="L241" i="7"/>
  <c r="K241" i="7"/>
  <c r="J241" i="7"/>
  <c r="I241" i="7"/>
  <c r="V241" i="7" s="1"/>
  <c r="H241" i="7"/>
  <c r="G241" i="7"/>
  <c r="F241" i="7"/>
  <c r="T241" i="7" s="1"/>
  <c r="E241" i="7"/>
  <c r="D241" i="7"/>
  <c r="C241" i="7"/>
  <c r="U241" i="7" s="1"/>
  <c r="B241" i="7"/>
  <c r="A241" i="7"/>
  <c r="V240" i="7"/>
  <c r="T240" i="7"/>
  <c r="S240" i="7"/>
  <c r="R240" i="7"/>
  <c r="P240" i="7"/>
  <c r="O240" i="7"/>
  <c r="N240" i="7"/>
  <c r="M240" i="7"/>
  <c r="L240" i="7"/>
  <c r="K240" i="7"/>
  <c r="J240" i="7"/>
  <c r="I240" i="7"/>
  <c r="H240" i="7"/>
  <c r="G240" i="7"/>
  <c r="F240" i="7"/>
  <c r="E240" i="7"/>
  <c r="D240" i="7"/>
  <c r="Q240" i="7" s="1"/>
  <c r="C240" i="7"/>
  <c r="U240" i="7" s="1"/>
  <c r="B240" i="7"/>
  <c r="A240" i="7"/>
  <c r="V239" i="7"/>
  <c r="S239" i="7"/>
  <c r="R239" i="7"/>
  <c r="Q239" i="7"/>
  <c r="P239" i="7"/>
  <c r="O239" i="7"/>
  <c r="N239" i="7"/>
  <c r="M239" i="7"/>
  <c r="L239" i="7"/>
  <c r="K239" i="7"/>
  <c r="J239" i="7"/>
  <c r="I239" i="7"/>
  <c r="H239" i="7"/>
  <c r="G239" i="7"/>
  <c r="F239" i="7"/>
  <c r="T239" i="7" s="1"/>
  <c r="E239" i="7"/>
  <c r="D239" i="7"/>
  <c r="C239" i="7"/>
  <c r="U239" i="7" s="1"/>
  <c r="B239" i="7"/>
  <c r="A239" i="7"/>
  <c r="V238" i="7"/>
  <c r="U238" i="7"/>
  <c r="T238" i="7"/>
  <c r="R238" i="7"/>
  <c r="P238" i="7"/>
  <c r="O238" i="7"/>
  <c r="N238" i="7"/>
  <c r="M238" i="7"/>
  <c r="L238" i="7"/>
  <c r="K238" i="7"/>
  <c r="J238" i="7"/>
  <c r="I238" i="7"/>
  <c r="H238" i="7"/>
  <c r="S238" i="7" s="1"/>
  <c r="G238" i="7"/>
  <c r="F238" i="7"/>
  <c r="E238" i="7"/>
  <c r="D238" i="7"/>
  <c r="Q238" i="7" s="1"/>
  <c r="C238" i="7"/>
  <c r="B238" i="7"/>
  <c r="A238" i="7"/>
  <c r="V237" i="7"/>
  <c r="S237" i="7"/>
  <c r="P237" i="7"/>
  <c r="O237" i="7"/>
  <c r="N237" i="7"/>
  <c r="M237" i="7"/>
  <c r="L237" i="7"/>
  <c r="K237" i="7"/>
  <c r="J237" i="7"/>
  <c r="I237" i="7"/>
  <c r="H237" i="7"/>
  <c r="G237" i="7"/>
  <c r="F237" i="7"/>
  <c r="T237" i="7" s="1"/>
  <c r="E237" i="7"/>
  <c r="D237" i="7"/>
  <c r="Q237" i="7" s="1"/>
  <c r="C237" i="7"/>
  <c r="U237" i="7" s="1"/>
  <c r="B237" i="7"/>
  <c r="R237" i="7" s="1"/>
  <c r="A237" i="7"/>
  <c r="R236" i="7"/>
  <c r="P236" i="7"/>
  <c r="O236" i="7"/>
  <c r="N236" i="7"/>
  <c r="M236" i="7"/>
  <c r="L236" i="7"/>
  <c r="K236" i="7"/>
  <c r="J236" i="7"/>
  <c r="I236" i="7"/>
  <c r="V236" i="7" s="1"/>
  <c r="H236" i="7"/>
  <c r="G236" i="7"/>
  <c r="S236" i="7" s="1"/>
  <c r="F236" i="7"/>
  <c r="T236" i="7" s="1"/>
  <c r="E236" i="7"/>
  <c r="D236" i="7"/>
  <c r="Q236" i="7" s="1"/>
  <c r="C236" i="7"/>
  <c r="U236" i="7" s="1"/>
  <c r="B236" i="7"/>
  <c r="A236" i="7"/>
  <c r="V235" i="7"/>
  <c r="U235" i="7"/>
  <c r="Q235" i="7"/>
  <c r="P235" i="7"/>
  <c r="O235" i="7"/>
  <c r="N235" i="7"/>
  <c r="M235" i="7"/>
  <c r="L235" i="7"/>
  <c r="K235" i="7"/>
  <c r="J235" i="7"/>
  <c r="I235" i="7"/>
  <c r="H235" i="7"/>
  <c r="G235" i="7"/>
  <c r="F235" i="7"/>
  <c r="T235" i="7" s="1"/>
  <c r="E235" i="7"/>
  <c r="D235" i="7"/>
  <c r="C235" i="7"/>
  <c r="B235" i="7"/>
  <c r="R235" i="7" s="1"/>
  <c r="A235" i="7"/>
  <c r="T234" i="7"/>
  <c r="S234" i="7"/>
  <c r="Q234" i="7"/>
  <c r="P234" i="7"/>
  <c r="O234" i="7"/>
  <c r="N234" i="7"/>
  <c r="M234" i="7"/>
  <c r="L234" i="7"/>
  <c r="K234" i="7"/>
  <c r="J234" i="7"/>
  <c r="I234" i="7"/>
  <c r="V234" i="7" s="1"/>
  <c r="H234" i="7"/>
  <c r="G234" i="7"/>
  <c r="F234" i="7"/>
  <c r="E234" i="7"/>
  <c r="D234" i="7"/>
  <c r="C234" i="7"/>
  <c r="U234" i="7" s="1"/>
  <c r="B234" i="7"/>
  <c r="R234" i="7" s="1"/>
  <c r="A234" i="7"/>
  <c r="V233" i="7"/>
  <c r="U233" i="7"/>
  <c r="S233" i="7"/>
  <c r="P233" i="7"/>
  <c r="O233" i="7"/>
  <c r="N233" i="7"/>
  <c r="M233" i="7"/>
  <c r="L233" i="7"/>
  <c r="K233" i="7"/>
  <c r="J233" i="7"/>
  <c r="I233" i="7"/>
  <c r="H233" i="7"/>
  <c r="G233" i="7"/>
  <c r="F233" i="7"/>
  <c r="T233" i="7" s="1"/>
  <c r="E233" i="7"/>
  <c r="D233" i="7"/>
  <c r="Q233" i="7" s="1"/>
  <c r="C233" i="7"/>
  <c r="B233" i="7"/>
  <c r="R233" i="7" s="1"/>
  <c r="A233" i="7"/>
  <c r="R232" i="7"/>
  <c r="Q232" i="7"/>
  <c r="P232" i="7"/>
  <c r="O232" i="7"/>
  <c r="N232" i="7"/>
  <c r="M232" i="7"/>
  <c r="L232" i="7"/>
  <c r="K232" i="7"/>
  <c r="J232" i="7"/>
  <c r="I232" i="7"/>
  <c r="V232" i="7" s="1"/>
  <c r="H232" i="7"/>
  <c r="G232" i="7"/>
  <c r="S232" i="7" s="1"/>
  <c r="F232" i="7"/>
  <c r="T232" i="7" s="1"/>
  <c r="E232" i="7"/>
  <c r="D232" i="7"/>
  <c r="C232" i="7"/>
  <c r="U232" i="7" s="1"/>
  <c r="B232" i="7"/>
  <c r="A232" i="7"/>
  <c r="P231" i="7"/>
  <c r="O231" i="7"/>
  <c r="N231" i="7"/>
  <c r="M231" i="7"/>
  <c r="L231" i="7"/>
  <c r="K231" i="7"/>
  <c r="J231" i="7"/>
  <c r="I231" i="7"/>
  <c r="V231" i="7" s="1"/>
  <c r="H231" i="7"/>
  <c r="G231" i="7"/>
  <c r="S231" i="7" s="1"/>
  <c r="F231" i="7"/>
  <c r="T231" i="7" s="1"/>
  <c r="E231" i="7"/>
  <c r="D231" i="7"/>
  <c r="Q231" i="7" s="1"/>
  <c r="C231" i="7"/>
  <c r="U231" i="7" s="1"/>
  <c r="B231" i="7"/>
  <c r="R231" i="7" s="1"/>
  <c r="A231" i="7"/>
  <c r="R230" i="7"/>
  <c r="Q230" i="7"/>
  <c r="P230" i="7"/>
  <c r="O230" i="7"/>
  <c r="N230" i="7"/>
  <c r="M230" i="7"/>
  <c r="L230" i="7"/>
  <c r="K230" i="7"/>
  <c r="J230" i="7"/>
  <c r="I230" i="7"/>
  <c r="V230" i="7" s="1"/>
  <c r="H230" i="7"/>
  <c r="G230" i="7"/>
  <c r="S230" i="7" s="1"/>
  <c r="F230" i="7"/>
  <c r="T230" i="7" s="1"/>
  <c r="E230" i="7"/>
  <c r="D230" i="7"/>
  <c r="C230" i="7"/>
  <c r="U230" i="7" s="1"/>
  <c r="B230" i="7"/>
  <c r="A230" i="7"/>
  <c r="T229" i="7"/>
  <c r="Q229" i="7"/>
  <c r="P229" i="7"/>
  <c r="O229" i="7"/>
  <c r="N229" i="7"/>
  <c r="M229" i="7"/>
  <c r="L229" i="7"/>
  <c r="K229" i="7"/>
  <c r="J229" i="7"/>
  <c r="I229" i="7"/>
  <c r="V229" i="7" s="1"/>
  <c r="H229" i="7"/>
  <c r="S229" i="7" s="1"/>
  <c r="G229" i="7"/>
  <c r="F229" i="7"/>
  <c r="E229" i="7"/>
  <c r="D229" i="7"/>
  <c r="C229" i="7"/>
  <c r="U229" i="7" s="1"/>
  <c r="B229" i="7"/>
  <c r="R229" i="7" s="1"/>
  <c r="A229" i="7"/>
  <c r="V228" i="7"/>
  <c r="U228" i="7"/>
  <c r="R228" i="7"/>
  <c r="Q228" i="7"/>
  <c r="P228" i="7"/>
  <c r="O228" i="7"/>
  <c r="N228" i="7"/>
  <c r="M228" i="7"/>
  <c r="L228" i="7"/>
  <c r="K228" i="7"/>
  <c r="J228" i="7"/>
  <c r="I228" i="7"/>
  <c r="H228" i="7"/>
  <c r="G228" i="7"/>
  <c r="S228" i="7" s="1"/>
  <c r="F228" i="7"/>
  <c r="T228" i="7" s="1"/>
  <c r="E228" i="7"/>
  <c r="D228" i="7"/>
  <c r="C228" i="7"/>
  <c r="B228" i="7"/>
  <c r="A228" i="7"/>
  <c r="V227" i="7"/>
  <c r="T227" i="7"/>
  <c r="S227" i="7"/>
  <c r="P227" i="7"/>
  <c r="O227" i="7"/>
  <c r="N227" i="7"/>
  <c r="M227" i="7"/>
  <c r="L227" i="7"/>
  <c r="K227" i="7"/>
  <c r="J227" i="7"/>
  <c r="I227" i="7"/>
  <c r="H227" i="7"/>
  <c r="G227" i="7"/>
  <c r="F227" i="7"/>
  <c r="E227" i="7"/>
  <c r="D227" i="7"/>
  <c r="Q227" i="7" s="1"/>
  <c r="C227" i="7"/>
  <c r="U227" i="7" s="1"/>
  <c r="B227" i="7"/>
  <c r="R227" i="7" s="1"/>
  <c r="A227" i="7"/>
  <c r="V226" i="7"/>
  <c r="U226" i="7"/>
  <c r="P226" i="7"/>
  <c r="O226" i="7"/>
  <c r="N226" i="7"/>
  <c r="M226" i="7"/>
  <c r="L226" i="7"/>
  <c r="K226" i="7"/>
  <c r="J226" i="7"/>
  <c r="I226" i="7"/>
  <c r="H226" i="7"/>
  <c r="G226" i="7"/>
  <c r="F226" i="7"/>
  <c r="T226" i="7" s="1"/>
  <c r="E226" i="7"/>
  <c r="D226" i="7"/>
  <c r="Q226" i="7" s="1"/>
  <c r="C226" i="7"/>
  <c r="B226" i="7"/>
  <c r="R226" i="7" s="1"/>
  <c r="A226" i="7"/>
  <c r="U225" i="7"/>
  <c r="Q225" i="7"/>
  <c r="P225" i="7"/>
  <c r="O225" i="7"/>
  <c r="N225" i="7"/>
  <c r="M225" i="7"/>
  <c r="L225" i="7"/>
  <c r="K225" i="7"/>
  <c r="J225" i="7"/>
  <c r="I225" i="7"/>
  <c r="V225" i="7" s="1"/>
  <c r="H225" i="7"/>
  <c r="G225" i="7"/>
  <c r="F225" i="7"/>
  <c r="T225" i="7" s="1"/>
  <c r="E225" i="7"/>
  <c r="D225" i="7"/>
  <c r="C225" i="7"/>
  <c r="B225" i="7"/>
  <c r="R225" i="7" s="1"/>
  <c r="A225" i="7"/>
  <c r="V224" i="7"/>
  <c r="T224" i="7"/>
  <c r="R224" i="7"/>
  <c r="Q224" i="7"/>
  <c r="P224" i="7"/>
  <c r="O224" i="7"/>
  <c r="N224" i="7"/>
  <c r="M224" i="7"/>
  <c r="L224" i="7"/>
  <c r="K224" i="7"/>
  <c r="J224" i="7"/>
  <c r="I224" i="7"/>
  <c r="H224" i="7"/>
  <c r="G224" i="7"/>
  <c r="S224" i="7" s="1"/>
  <c r="F224" i="7"/>
  <c r="E224" i="7"/>
  <c r="D224" i="7"/>
  <c r="C224" i="7"/>
  <c r="U224" i="7" s="1"/>
  <c r="B224" i="7"/>
  <c r="A224" i="7"/>
  <c r="V223" i="7"/>
  <c r="T223" i="7"/>
  <c r="S223" i="7"/>
  <c r="P223" i="7"/>
  <c r="O223" i="7"/>
  <c r="N223" i="7"/>
  <c r="M223" i="7"/>
  <c r="L223" i="7"/>
  <c r="K223" i="7"/>
  <c r="J223" i="7"/>
  <c r="I223" i="7"/>
  <c r="H223" i="7"/>
  <c r="G223" i="7"/>
  <c r="F223" i="7"/>
  <c r="E223" i="7"/>
  <c r="D223" i="7"/>
  <c r="Q223" i="7" s="1"/>
  <c r="C223" i="7"/>
  <c r="U223" i="7" s="1"/>
  <c r="B223" i="7"/>
  <c r="R223" i="7" s="1"/>
  <c r="A223" i="7"/>
  <c r="U222" i="7"/>
  <c r="R222" i="7"/>
  <c r="P222" i="7"/>
  <c r="O222" i="7"/>
  <c r="N222" i="7"/>
  <c r="M222" i="7"/>
  <c r="L222" i="7"/>
  <c r="K222" i="7"/>
  <c r="J222" i="7"/>
  <c r="I222" i="7"/>
  <c r="V222" i="7" s="1"/>
  <c r="H222" i="7"/>
  <c r="G222" i="7"/>
  <c r="F222" i="7"/>
  <c r="T222" i="7" s="1"/>
  <c r="E222" i="7"/>
  <c r="D222" i="7"/>
  <c r="Q222" i="7" s="1"/>
  <c r="C222" i="7"/>
  <c r="B222" i="7"/>
  <c r="A222" i="7"/>
  <c r="R221" i="7"/>
  <c r="Q221" i="7"/>
  <c r="P221" i="7"/>
  <c r="O221" i="7"/>
  <c r="N221" i="7"/>
  <c r="M221" i="7"/>
  <c r="L221" i="7"/>
  <c r="K221" i="7"/>
  <c r="J221" i="7"/>
  <c r="I221" i="7"/>
  <c r="V221" i="7" s="1"/>
  <c r="H221" i="7"/>
  <c r="G221" i="7"/>
  <c r="F221" i="7"/>
  <c r="T221" i="7" s="1"/>
  <c r="E221" i="7"/>
  <c r="D221" i="7"/>
  <c r="C221" i="7"/>
  <c r="U221" i="7" s="1"/>
  <c r="B221" i="7"/>
  <c r="A221" i="7"/>
  <c r="U220" i="7"/>
  <c r="T220" i="7"/>
  <c r="P220" i="7"/>
  <c r="O220" i="7"/>
  <c r="N220" i="7"/>
  <c r="M220" i="7"/>
  <c r="L220" i="7"/>
  <c r="K220" i="7"/>
  <c r="J220" i="7"/>
  <c r="I220" i="7"/>
  <c r="V220" i="7" s="1"/>
  <c r="H220" i="7"/>
  <c r="S220" i="7" s="1"/>
  <c r="G220" i="7"/>
  <c r="F220" i="7"/>
  <c r="E220" i="7"/>
  <c r="D220" i="7"/>
  <c r="Q220" i="7" s="1"/>
  <c r="C220" i="7"/>
  <c r="B220" i="7"/>
  <c r="R220" i="7" s="1"/>
  <c r="A220" i="7"/>
  <c r="S219" i="7"/>
  <c r="R219" i="7"/>
  <c r="Q219" i="7"/>
  <c r="P219" i="7"/>
  <c r="O219" i="7"/>
  <c r="N219" i="7"/>
  <c r="M219" i="7"/>
  <c r="L219" i="7"/>
  <c r="K219" i="7"/>
  <c r="J219" i="7"/>
  <c r="I219" i="7"/>
  <c r="V219" i="7" s="1"/>
  <c r="H219" i="7"/>
  <c r="G219" i="7"/>
  <c r="F219" i="7"/>
  <c r="T219" i="7" s="1"/>
  <c r="E219" i="7"/>
  <c r="D219" i="7"/>
  <c r="C219" i="7"/>
  <c r="U219" i="7" s="1"/>
  <c r="B219" i="7"/>
  <c r="A219" i="7"/>
  <c r="V218" i="7"/>
  <c r="S218" i="7"/>
  <c r="R218" i="7"/>
  <c r="Q218" i="7"/>
  <c r="P218" i="7"/>
  <c r="O218" i="7"/>
  <c r="N218" i="7"/>
  <c r="M218" i="7"/>
  <c r="L218" i="7"/>
  <c r="K218" i="7"/>
  <c r="J218" i="7"/>
  <c r="I218" i="7"/>
  <c r="H218" i="7"/>
  <c r="G218" i="7"/>
  <c r="F218" i="7"/>
  <c r="T218" i="7" s="1"/>
  <c r="E218" i="7"/>
  <c r="D218" i="7"/>
  <c r="C218" i="7"/>
  <c r="U218" i="7" s="1"/>
  <c r="B218" i="7"/>
  <c r="A218" i="7"/>
  <c r="V217" i="7"/>
  <c r="U217" i="7"/>
  <c r="Q217" i="7"/>
  <c r="P217" i="7"/>
  <c r="O217" i="7"/>
  <c r="N217" i="7"/>
  <c r="M217" i="7"/>
  <c r="L217" i="7"/>
  <c r="K217" i="7"/>
  <c r="J217" i="7"/>
  <c r="I217" i="7"/>
  <c r="H217" i="7"/>
  <c r="G217" i="7"/>
  <c r="F217" i="7"/>
  <c r="T217" i="7" s="1"/>
  <c r="E217" i="7"/>
  <c r="D217" i="7"/>
  <c r="C217" i="7"/>
  <c r="B217" i="7"/>
  <c r="R217" i="7" s="1"/>
  <c r="A217" i="7"/>
  <c r="T216" i="7"/>
  <c r="S216" i="7"/>
  <c r="Q216" i="7"/>
  <c r="P216" i="7"/>
  <c r="O216" i="7"/>
  <c r="N216" i="7"/>
  <c r="M216" i="7"/>
  <c r="L216" i="7"/>
  <c r="K216" i="7"/>
  <c r="J216" i="7"/>
  <c r="I216" i="7"/>
  <c r="V216" i="7" s="1"/>
  <c r="H216" i="7"/>
  <c r="G216" i="7"/>
  <c r="F216" i="7"/>
  <c r="E216" i="7"/>
  <c r="D216" i="7"/>
  <c r="C216" i="7"/>
  <c r="U216" i="7" s="1"/>
  <c r="B216" i="7"/>
  <c r="R216" i="7" s="1"/>
  <c r="A216" i="7"/>
  <c r="V215" i="7"/>
  <c r="S215" i="7"/>
  <c r="P215" i="7"/>
  <c r="O215" i="7"/>
  <c r="N215" i="7"/>
  <c r="M215" i="7"/>
  <c r="L215" i="7"/>
  <c r="K215" i="7"/>
  <c r="J215" i="7"/>
  <c r="I215" i="7"/>
  <c r="H215" i="7"/>
  <c r="G215" i="7"/>
  <c r="F215" i="7"/>
  <c r="T215" i="7" s="1"/>
  <c r="E215" i="7"/>
  <c r="D215" i="7"/>
  <c r="Q215" i="7" s="1"/>
  <c r="C215" i="7"/>
  <c r="U215" i="7" s="1"/>
  <c r="B215" i="7"/>
  <c r="R215" i="7" s="1"/>
  <c r="A215" i="7"/>
  <c r="R214" i="7"/>
  <c r="Q214" i="7"/>
  <c r="P214" i="7"/>
  <c r="O214" i="7"/>
  <c r="N214" i="7"/>
  <c r="M214" i="7"/>
  <c r="L214" i="7"/>
  <c r="K214" i="7"/>
  <c r="J214" i="7"/>
  <c r="I214" i="7"/>
  <c r="V214" i="7" s="1"/>
  <c r="H214" i="7"/>
  <c r="G214" i="7"/>
  <c r="F214" i="7"/>
  <c r="T214" i="7" s="1"/>
  <c r="E214" i="7"/>
  <c r="D214" i="7"/>
  <c r="C214" i="7"/>
  <c r="U214" i="7" s="1"/>
  <c r="B214" i="7"/>
  <c r="A214" i="7"/>
  <c r="V213" i="7"/>
  <c r="T213" i="7"/>
  <c r="R213" i="7"/>
  <c r="P213" i="7"/>
  <c r="O213" i="7"/>
  <c r="N213" i="7"/>
  <c r="M213" i="7"/>
  <c r="L213" i="7"/>
  <c r="K213" i="7"/>
  <c r="J213" i="7"/>
  <c r="I213" i="7"/>
  <c r="H213" i="7"/>
  <c r="S213" i="7" s="1"/>
  <c r="G213" i="7"/>
  <c r="F213" i="7"/>
  <c r="E213" i="7"/>
  <c r="D213" i="7"/>
  <c r="Q213" i="7" s="1"/>
  <c r="C213" i="7"/>
  <c r="U213" i="7" s="1"/>
  <c r="B213" i="7"/>
  <c r="A213" i="7"/>
  <c r="V212" i="7"/>
  <c r="S212" i="7"/>
  <c r="R212" i="7"/>
  <c r="Q212" i="7"/>
  <c r="P212" i="7"/>
  <c r="O212" i="7"/>
  <c r="N212" i="7"/>
  <c r="M212" i="7"/>
  <c r="L212" i="7"/>
  <c r="K212" i="7"/>
  <c r="J212" i="7"/>
  <c r="I212" i="7"/>
  <c r="H212" i="7"/>
  <c r="G212" i="7"/>
  <c r="F212" i="7"/>
  <c r="T212" i="7" s="1"/>
  <c r="E212" i="7"/>
  <c r="D212" i="7"/>
  <c r="C212" i="7"/>
  <c r="U212" i="7" s="1"/>
  <c r="B212" i="7"/>
  <c r="A212" i="7"/>
  <c r="U211" i="7"/>
  <c r="T211" i="7"/>
  <c r="S211" i="7"/>
  <c r="P211" i="7"/>
  <c r="O211" i="7"/>
  <c r="N211" i="7"/>
  <c r="M211" i="7"/>
  <c r="L211" i="7"/>
  <c r="K211" i="7"/>
  <c r="J211" i="7"/>
  <c r="I211" i="7"/>
  <c r="V211" i="7" s="1"/>
  <c r="H211" i="7"/>
  <c r="G211" i="7"/>
  <c r="F211" i="7"/>
  <c r="E211" i="7"/>
  <c r="D211" i="7"/>
  <c r="Q211" i="7" s="1"/>
  <c r="C211" i="7"/>
  <c r="B211" i="7"/>
  <c r="R211" i="7" s="1"/>
  <c r="A211" i="7"/>
  <c r="U210" i="7"/>
  <c r="P210" i="7"/>
  <c r="O210" i="7"/>
  <c r="N210" i="7"/>
  <c r="M210" i="7"/>
  <c r="L210" i="7"/>
  <c r="K210" i="7"/>
  <c r="J210" i="7"/>
  <c r="I210" i="7"/>
  <c r="V210" i="7" s="1"/>
  <c r="H210" i="7"/>
  <c r="G210" i="7"/>
  <c r="S210" i="7" s="1"/>
  <c r="F210" i="7"/>
  <c r="T210" i="7" s="1"/>
  <c r="E210" i="7"/>
  <c r="D210" i="7"/>
  <c r="Q210" i="7" s="1"/>
  <c r="C210" i="7"/>
  <c r="B210" i="7"/>
  <c r="R210" i="7" s="1"/>
  <c r="A210" i="7"/>
  <c r="V209" i="7"/>
  <c r="R209" i="7"/>
  <c r="Q209" i="7"/>
  <c r="P209" i="7"/>
  <c r="O209" i="7"/>
  <c r="N209" i="7"/>
  <c r="M209" i="7"/>
  <c r="L209" i="7"/>
  <c r="K209" i="7"/>
  <c r="J209" i="7"/>
  <c r="I209" i="7"/>
  <c r="H209" i="7"/>
  <c r="G209" i="7"/>
  <c r="S209" i="7" s="1"/>
  <c r="F209" i="7"/>
  <c r="T209" i="7" s="1"/>
  <c r="E209" i="7"/>
  <c r="D209" i="7"/>
  <c r="C209" i="7"/>
  <c r="U209" i="7" s="1"/>
  <c r="B209" i="7"/>
  <c r="A209" i="7"/>
  <c r="U208" i="7"/>
  <c r="T208" i="7"/>
  <c r="Q208" i="7"/>
  <c r="P208" i="7"/>
  <c r="O208" i="7"/>
  <c r="N208" i="7"/>
  <c r="M208" i="7"/>
  <c r="L208" i="7"/>
  <c r="K208" i="7"/>
  <c r="J208" i="7"/>
  <c r="I208" i="7"/>
  <c r="V208" i="7" s="1"/>
  <c r="H208" i="7"/>
  <c r="G208" i="7"/>
  <c r="S208" i="7" s="1"/>
  <c r="F208" i="7"/>
  <c r="E208" i="7"/>
  <c r="D208" i="7"/>
  <c r="C208" i="7"/>
  <c r="B208" i="7"/>
  <c r="R208" i="7" s="1"/>
  <c r="A208" i="7"/>
  <c r="U207" i="7"/>
  <c r="T207" i="7"/>
  <c r="S207" i="7"/>
  <c r="R207" i="7"/>
  <c r="Q207" i="7"/>
  <c r="P207" i="7"/>
  <c r="O207" i="7"/>
  <c r="N207" i="7"/>
  <c r="M207" i="7"/>
  <c r="L207" i="7"/>
  <c r="K207" i="7"/>
  <c r="J207" i="7"/>
  <c r="I207" i="7"/>
  <c r="V207" i="7" s="1"/>
  <c r="H207" i="7"/>
  <c r="G207" i="7"/>
  <c r="F207" i="7"/>
  <c r="E207" i="7"/>
  <c r="D207" i="7"/>
  <c r="C207" i="7"/>
  <c r="B207" i="7"/>
  <c r="A207" i="7"/>
  <c r="V206" i="7"/>
  <c r="T206" i="7"/>
  <c r="S206" i="7"/>
  <c r="R206" i="7"/>
  <c r="P206" i="7"/>
  <c r="O206" i="7"/>
  <c r="N206" i="7"/>
  <c r="M206" i="7"/>
  <c r="L206" i="7"/>
  <c r="K206" i="7"/>
  <c r="J206" i="7"/>
  <c r="I206" i="7"/>
  <c r="H206" i="7"/>
  <c r="G206" i="7"/>
  <c r="F206" i="7"/>
  <c r="E206" i="7"/>
  <c r="D206" i="7"/>
  <c r="Q206" i="7" s="1"/>
  <c r="C206" i="7"/>
  <c r="U206" i="7" s="1"/>
  <c r="B206" i="7"/>
  <c r="A206" i="7"/>
  <c r="V205" i="7"/>
  <c r="U205" i="7"/>
  <c r="T205" i="7"/>
  <c r="S205" i="7"/>
  <c r="P205" i="7"/>
  <c r="O205" i="7"/>
  <c r="N205" i="7"/>
  <c r="M205" i="7"/>
  <c r="L205" i="7"/>
  <c r="K205" i="7"/>
  <c r="J205" i="7"/>
  <c r="I205" i="7"/>
  <c r="H205" i="7"/>
  <c r="G205" i="7"/>
  <c r="F205" i="7"/>
  <c r="E205" i="7"/>
  <c r="D205" i="7"/>
  <c r="Q205" i="7" s="1"/>
  <c r="C205" i="7"/>
  <c r="B205" i="7"/>
  <c r="R205" i="7" s="1"/>
  <c r="A205" i="7"/>
  <c r="V204" i="7"/>
  <c r="P204" i="7"/>
  <c r="O204" i="7"/>
  <c r="N204" i="7"/>
  <c r="M204" i="7"/>
  <c r="L204" i="7"/>
  <c r="K204" i="7"/>
  <c r="J204" i="7"/>
  <c r="I204" i="7"/>
  <c r="H204" i="7"/>
  <c r="G204" i="7"/>
  <c r="F204" i="7"/>
  <c r="T204" i="7" s="1"/>
  <c r="E204" i="7"/>
  <c r="D204" i="7"/>
  <c r="Q204" i="7" s="1"/>
  <c r="C204" i="7"/>
  <c r="U204" i="7" s="1"/>
  <c r="B204" i="7"/>
  <c r="R204" i="7" s="1"/>
  <c r="A204" i="7"/>
  <c r="R203" i="7"/>
  <c r="P203" i="7"/>
  <c r="O203" i="7"/>
  <c r="N203" i="7"/>
  <c r="M203" i="7"/>
  <c r="L203" i="7"/>
  <c r="K203" i="7"/>
  <c r="J203" i="7"/>
  <c r="I203" i="7"/>
  <c r="V203" i="7" s="1"/>
  <c r="H203" i="7"/>
  <c r="G203" i="7"/>
  <c r="F203" i="7"/>
  <c r="T203" i="7" s="1"/>
  <c r="E203" i="7"/>
  <c r="D203" i="7"/>
  <c r="Q203" i="7" s="1"/>
  <c r="C203" i="7"/>
  <c r="U203" i="7" s="1"/>
  <c r="B203" i="7"/>
  <c r="A203" i="7"/>
  <c r="V202" i="7"/>
  <c r="T202" i="7"/>
  <c r="S202" i="7"/>
  <c r="P202" i="7"/>
  <c r="O202" i="7"/>
  <c r="N202" i="7"/>
  <c r="M202" i="7"/>
  <c r="L202" i="7"/>
  <c r="K202" i="7"/>
  <c r="J202" i="7"/>
  <c r="I202" i="7"/>
  <c r="H202" i="7"/>
  <c r="G202" i="7"/>
  <c r="F202" i="7"/>
  <c r="E202" i="7"/>
  <c r="D202" i="7"/>
  <c r="Q202" i="7" s="1"/>
  <c r="C202" i="7"/>
  <c r="U202" i="7" s="1"/>
  <c r="B202" i="7"/>
  <c r="R202" i="7" s="1"/>
  <c r="A202" i="7"/>
  <c r="V201" i="7"/>
  <c r="P201" i="7"/>
  <c r="O201" i="7"/>
  <c r="N201" i="7"/>
  <c r="M201" i="7"/>
  <c r="L201" i="7"/>
  <c r="K201" i="7"/>
  <c r="J201" i="7"/>
  <c r="I201" i="7"/>
  <c r="H201" i="7"/>
  <c r="S201" i="7" s="1"/>
  <c r="G201" i="7"/>
  <c r="F201" i="7"/>
  <c r="T201" i="7" s="1"/>
  <c r="E201" i="7"/>
  <c r="D201" i="7"/>
  <c r="Q201" i="7" s="1"/>
  <c r="C201" i="7"/>
  <c r="U201" i="7" s="1"/>
  <c r="B201" i="7"/>
  <c r="R201" i="7" s="1"/>
  <c r="A201" i="7"/>
  <c r="Q200" i="7"/>
  <c r="P200" i="7"/>
  <c r="O200" i="7"/>
  <c r="N200" i="7"/>
  <c r="M200" i="7"/>
  <c r="L200" i="7"/>
  <c r="K200" i="7"/>
  <c r="J200" i="7"/>
  <c r="I200" i="7"/>
  <c r="V200" i="7" s="1"/>
  <c r="H200" i="7"/>
  <c r="G200" i="7"/>
  <c r="F200" i="7"/>
  <c r="T200" i="7" s="1"/>
  <c r="E200" i="7"/>
  <c r="D200" i="7"/>
  <c r="C200" i="7"/>
  <c r="U200" i="7" s="1"/>
  <c r="B200" i="7"/>
  <c r="R200" i="7" s="1"/>
  <c r="A200" i="7"/>
  <c r="P199" i="7"/>
  <c r="O199" i="7"/>
  <c r="N199" i="7"/>
  <c r="M199" i="7"/>
  <c r="L199" i="7"/>
  <c r="K199" i="7"/>
  <c r="J199" i="7"/>
  <c r="I199" i="7"/>
  <c r="V199" i="7" s="1"/>
  <c r="H199" i="7"/>
  <c r="G199" i="7"/>
  <c r="F199" i="7"/>
  <c r="T199" i="7" s="1"/>
  <c r="E199" i="7"/>
  <c r="D199" i="7"/>
  <c r="Q199" i="7" s="1"/>
  <c r="C199" i="7"/>
  <c r="U199" i="7" s="1"/>
  <c r="B199" i="7"/>
  <c r="R199" i="7" s="1"/>
  <c r="A199" i="7"/>
  <c r="Q198" i="7"/>
  <c r="P198" i="7"/>
  <c r="O198" i="7"/>
  <c r="N198" i="7"/>
  <c r="M198" i="7"/>
  <c r="L198" i="7"/>
  <c r="K198" i="7"/>
  <c r="J198" i="7"/>
  <c r="I198" i="7"/>
  <c r="V198" i="7" s="1"/>
  <c r="H198" i="7"/>
  <c r="G198" i="7"/>
  <c r="F198" i="7"/>
  <c r="T198" i="7" s="1"/>
  <c r="E198" i="7"/>
  <c r="D198" i="7"/>
  <c r="C198" i="7"/>
  <c r="U198" i="7" s="1"/>
  <c r="B198" i="7"/>
  <c r="R198" i="7" s="1"/>
  <c r="A198" i="7"/>
  <c r="V197" i="7"/>
  <c r="T197" i="7"/>
  <c r="R197" i="7"/>
  <c r="Q197" i="7"/>
  <c r="P197" i="7"/>
  <c r="O197" i="7"/>
  <c r="N197" i="7"/>
  <c r="M197" i="7"/>
  <c r="L197" i="7"/>
  <c r="K197" i="7"/>
  <c r="J197" i="7"/>
  <c r="I197" i="7"/>
  <c r="H197" i="7"/>
  <c r="G197" i="7"/>
  <c r="S197" i="7" s="1"/>
  <c r="F197" i="7"/>
  <c r="E197" i="7"/>
  <c r="D197" i="7"/>
  <c r="C197" i="7"/>
  <c r="U197" i="7" s="1"/>
  <c r="B197" i="7"/>
  <c r="A197" i="7"/>
  <c r="V196" i="7"/>
  <c r="S196" i="7"/>
  <c r="R196" i="7"/>
  <c r="Q196" i="7"/>
  <c r="P196" i="7"/>
  <c r="O196" i="7"/>
  <c r="N196" i="7"/>
  <c r="M196" i="7"/>
  <c r="L196" i="7"/>
  <c r="K196" i="7"/>
  <c r="J196" i="7"/>
  <c r="I196" i="7"/>
  <c r="H196" i="7"/>
  <c r="G196" i="7"/>
  <c r="F196" i="7"/>
  <c r="T196" i="7" s="1"/>
  <c r="E196" i="7"/>
  <c r="D196" i="7"/>
  <c r="C196" i="7"/>
  <c r="U196" i="7" s="1"/>
  <c r="B196" i="7"/>
  <c r="A196" i="7"/>
  <c r="V195" i="7"/>
  <c r="U195" i="7"/>
  <c r="T195" i="7"/>
  <c r="P195" i="7"/>
  <c r="O195" i="7"/>
  <c r="N195" i="7"/>
  <c r="M195" i="7"/>
  <c r="L195" i="7"/>
  <c r="K195" i="7"/>
  <c r="J195" i="7"/>
  <c r="I195" i="7"/>
  <c r="H195" i="7"/>
  <c r="G195" i="7"/>
  <c r="S195" i="7" s="1"/>
  <c r="F195" i="7"/>
  <c r="E195" i="7"/>
  <c r="D195" i="7"/>
  <c r="Q195" i="7" s="1"/>
  <c r="C195" i="7"/>
  <c r="B195" i="7"/>
  <c r="R195" i="7" s="1"/>
  <c r="A195" i="7"/>
  <c r="V194" i="7"/>
  <c r="R194" i="7"/>
  <c r="P194" i="7"/>
  <c r="O194" i="7"/>
  <c r="N194" i="7"/>
  <c r="M194" i="7"/>
  <c r="L194" i="7"/>
  <c r="K194" i="7"/>
  <c r="J194" i="7"/>
  <c r="I194" i="7"/>
  <c r="H194" i="7"/>
  <c r="S194" i="7" s="1"/>
  <c r="G194" i="7"/>
  <c r="F194" i="7"/>
  <c r="T194" i="7" s="1"/>
  <c r="E194" i="7"/>
  <c r="D194" i="7"/>
  <c r="Q194" i="7" s="1"/>
  <c r="C194" i="7"/>
  <c r="U194" i="7" s="1"/>
  <c r="B194" i="7"/>
  <c r="A194" i="7"/>
  <c r="T193" i="7"/>
  <c r="P193" i="7"/>
  <c r="O193" i="7"/>
  <c r="N193" i="7"/>
  <c r="M193" i="7"/>
  <c r="L193" i="7"/>
  <c r="K193" i="7"/>
  <c r="J193" i="7"/>
  <c r="I193" i="7"/>
  <c r="V193" i="7" s="1"/>
  <c r="H193" i="7"/>
  <c r="S193" i="7" s="1"/>
  <c r="G193" i="7"/>
  <c r="F193" i="7"/>
  <c r="E193" i="7"/>
  <c r="D193" i="7"/>
  <c r="Q193" i="7" s="1"/>
  <c r="C193" i="7"/>
  <c r="U193" i="7" s="1"/>
  <c r="B193" i="7"/>
  <c r="R193" i="7" s="1"/>
  <c r="A193" i="7"/>
  <c r="Q192" i="7"/>
  <c r="P192" i="7"/>
  <c r="O192" i="7"/>
  <c r="N192" i="7"/>
  <c r="M192" i="7"/>
  <c r="L192" i="7"/>
  <c r="K192" i="7"/>
  <c r="J192" i="7"/>
  <c r="I192" i="7"/>
  <c r="V192" i="7" s="1"/>
  <c r="H192" i="7"/>
  <c r="G192" i="7"/>
  <c r="S192" i="7" s="1"/>
  <c r="F192" i="7"/>
  <c r="T192" i="7" s="1"/>
  <c r="E192" i="7"/>
  <c r="D192" i="7"/>
  <c r="C192" i="7"/>
  <c r="U192" i="7" s="1"/>
  <c r="B192" i="7"/>
  <c r="R192" i="7" s="1"/>
  <c r="A192" i="7"/>
  <c r="V191" i="7"/>
  <c r="T191" i="7"/>
  <c r="S191" i="7"/>
  <c r="R191" i="7"/>
  <c r="Q191" i="7"/>
  <c r="P191" i="7"/>
  <c r="O191" i="7"/>
  <c r="N191" i="7"/>
  <c r="M191" i="7"/>
  <c r="L191" i="7"/>
  <c r="K191" i="7"/>
  <c r="J191" i="7"/>
  <c r="I191" i="7"/>
  <c r="H191" i="7"/>
  <c r="G191" i="7"/>
  <c r="F191" i="7"/>
  <c r="E191" i="7"/>
  <c r="D191" i="7"/>
  <c r="C191" i="7"/>
  <c r="U191" i="7" s="1"/>
  <c r="B191" i="7"/>
  <c r="A191" i="7"/>
  <c r="V190" i="7"/>
  <c r="U190" i="7"/>
  <c r="T190" i="7"/>
  <c r="Q190" i="7"/>
  <c r="P190" i="7"/>
  <c r="O190" i="7"/>
  <c r="N190" i="7"/>
  <c r="M190" i="7"/>
  <c r="L190" i="7"/>
  <c r="K190" i="7"/>
  <c r="J190" i="7"/>
  <c r="I190" i="7"/>
  <c r="H190" i="7"/>
  <c r="G190" i="7"/>
  <c r="S190" i="7" s="1"/>
  <c r="F190" i="7"/>
  <c r="E190" i="7"/>
  <c r="D190" i="7"/>
  <c r="C190" i="7"/>
  <c r="B190" i="7"/>
  <c r="R190" i="7" s="1"/>
  <c r="A190" i="7"/>
  <c r="U189" i="7"/>
  <c r="T189" i="7"/>
  <c r="Q189" i="7"/>
  <c r="P189" i="7"/>
  <c r="O189" i="7"/>
  <c r="N189" i="7"/>
  <c r="M189" i="7"/>
  <c r="L189" i="7"/>
  <c r="K189" i="7"/>
  <c r="J189" i="7"/>
  <c r="I189" i="7"/>
  <c r="V189" i="7" s="1"/>
  <c r="H189" i="7"/>
  <c r="G189" i="7"/>
  <c r="S189" i="7" s="1"/>
  <c r="F189" i="7"/>
  <c r="E189" i="7"/>
  <c r="D189" i="7"/>
  <c r="C189" i="7"/>
  <c r="B189" i="7"/>
  <c r="R189" i="7" s="1"/>
  <c r="A189" i="7"/>
  <c r="V188" i="7"/>
  <c r="U188" i="7"/>
  <c r="P188" i="7"/>
  <c r="O188" i="7"/>
  <c r="N188" i="7"/>
  <c r="M188" i="7"/>
  <c r="L188" i="7"/>
  <c r="K188" i="7"/>
  <c r="J188" i="7"/>
  <c r="I188" i="7"/>
  <c r="H188" i="7"/>
  <c r="G188" i="7"/>
  <c r="S188" i="7" s="1"/>
  <c r="F188" i="7"/>
  <c r="T188" i="7" s="1"/>
  <c r="E188" i="7"/>
  <c r="D188" i="7"/>
  <c r="Q188" i="7" s="1"/>
  <c r="C188" i="7"/>
  <c r="B188" i="7"/>
  <c r="R188" i="7" s="1"/>
  <c r="A188" i="7"/>
  <c r="R187" i="7"/>
  <c r="Q187" i="7"/>
  <c r="P187" i="7"/>
  <c r="O187" i="7"/>
  <c r="N187" i="7"/>
  <c r="M187" i="7"/>
  <c r="L187" i="7"/>
  <c r="K187" i="7"/>
  <c r="J187" i="7"/>
  <c r="I187" i="7"/>
  <c r="V187" i="7" s="1"/>
  <c r="H187" i="7"/>
  <c r="G187" i="7"/>
  <c r="S187" i="7" s="1"/>
  <c r="F187" i="7"/>
  <c r="T187" i="7" s="1"/>
  <c r="E187" i="7"/>
  <c r="D187" i="7"/>
  <c r="C187" i="7"/>
  <c r="U187" i="7" s="1"/>
  <c r="B187" i="7"/>
  <c r="A187" i="7"/>
  <c r="U186" i="7"/>
  <c r="T186" i="7"/>
  <c r="P186" i="7"/>
  <c r="O186" i="7"/>
  <c r="N186" i="7"/>
  <c r="M186" i="7"/>
  <c r="L186" i="7"/>
  <c r="K186" i="7"/>
  <c r="J186" i="7"/>
  <c r="I186" i="7"/>
  <c r="V186" i="7" s="1"/>
  <c r="H186" i="7"/>
  <c r="S186" i="7" s="1"/>
  <c r="G186" i="7"/>
  <c r="F186" i="7"/>
  <c r="E186" i="7"/>
  <c r="D186" i="7"/>
  <c r="Q186" i="7" s="1"/>
  <c r="C186" i="7"/>
  <c r="B186" i="7"/>
  <c r="R186" i="7" s="1"/>
  <c r="A186" i="7"/>
  <c r="V185" i="7"/>
  <c r="S185" i="7"/>
  <c r="R185" i="7"/>
  <c r="P185" i="7"/>
  <c r="O185" i="7"/>
  <c r="N185" i="7"/>
  <c r="M185" i="7"/>
  <c r="L185" i="7"/>
  <c r="K185" i="7"/>
  <c r="J185" i="7"/>
  <c r="I185" i="7"/>
  <c r="H185" i="7"/>
  <c r="G185" i="7"/>
  <c r="F185" i="7"/>
  <c r="T185" i="7" s="1"/>
  <c r="E185" i="7"/>
  <c r="D185" i="7"/>
  <c r="Q185" i="7" s="1"/>
  <c r="C185" i="7"/>
  <c r="U185" i="7" s="1"/>
  <c r="B185" i="7"/>
  <c r="A185" i="7"/>
  <c r="T184" i="7"/>
  <c r="S184" i="7"/>
  <c r="R184" i="7"/>
  <c r="Q184" i="7"/>
  <c r="P184" i="7"/>
  <c r="O184" i="7"/>
  <c r="N184" i="7"/>
  <c r="M184" i="7"/>
  <c r="L184" i="7"/>
  <c r="K184" i="7"/>
  <c r="J184" i="7"/>
  <c r="I184" i="7"/>
  <c r="V184" i="7" s="1"/>
  <c r="H184" i="7"/>
  <c r="G184" i="7"/>
  <c r="F184" i="7"/>
  <c r="E184" i="7"/>
  <c r="D184" i="7"/>
  <c r="C184" i="7"/>
  <c r="U184" i="7" s="1"/>
  <c r="B184" i="7"/>
  <c r="A184" i="7"/>
  <c r="V183" i="7"/>
  <c r="U183" i="7"/>
  <c r="T183" i="7"/>
  <c r="P183" i="7"/>
  <c r="O183" i="7"/>
  <c r="N183" i="7"/>
  <c r="M183" i="7"/>
  <c r="L183" i="7"/>
  <c r="K183" i="7"/>
  <c r="J183" i="7"/>
  <c r="I183" i="7"/>
  <c r="H183" i="7"/>
  <c r="G183" i="7"/>
  <c r="S183" i="7" s="1"/>
  <c r="F183" i="7"/>
  <c r="E183" i="7"/>
  <c r="D183" i="7"/>
  <c r="Q183" i="7" s="1"/>
  <c r="C183" i="7"/>
  <c r="B183" i="7"/>
  <c r="R183" i="7" s="1"/>
  <c r="A183" i="7"/>
  <c r="V182" i="7"/>
  <c r="R182" i="7"/>
  <c r="P182" i="7"/>
  <c r="O182" i="7"/>
  <c r="N182" i="7"/>
  <c r="M182" i="7"/>
  <c r="L182" i="7"/>
  <c r="K182" i="7"/>
  <c r="J182" i="7"/>
  <c r="I182" i="7"/>
  <c r="H182" i="7"/>
  <c r="G182" i="7"/>
  <c r="F182" i="7"/>
  <c r="T182" i="7" s="1"/>
  <c r="E182" i="7"/>
  <c r="D182" i="7"/>
  <c r="Q182" i="7" s="1"/>
  <c r="C182" i="7"/>
  <c r="U182" i="7" s="1"/>
  <c r="B182" i="7"/>
  <c r="A182" i="7"/>
  <c r="V181" i="7"/>
  <c r="U181" i="7"/>
  <c r="Q181" i="7"/>
  <c r="P181" i="7"/>
  <c r="O181" i="7"/>
  <c r="N181" i="7"/>
  <c r="M181" i="7"/>
  <c r="L181" i="7"/>
  <c r="K181" i="7"/>
  <c r="J181" i="7"/>
  <c r="I181" i="7"/>
  <c r="H181" i="7"/>
  <c r="G181" i="7"/>
  <c r="S181" i="7" s="1"/>
  <c r="F181" i="7"/>
  <c r="T181" i="7" s="1"/>
  <c r="E181" i="7"/>
  <c r="D181" i="7"/>
  <c r="C181" i="7"/>
  <c r="B181" i="7"/>
  <c r="R181" i="7" s="1"/>
  <c r="A181" i="7"/>
  <c r="T180" i="7"/>
  <c r="S180" i="7"/>
  <c r="R180" i="7"/>
  <c r="Q180" i="7"/>
  <c r="P180" i="7"/>
  <c r="O180" i="7"/>
  <c r="N180" i="7"/>
  <c r="M180" i="7"/>
  <c r="L180" i="7"/>
  <c r="K180" i="7"/>
  <c r="J180" i="7"/>
  <c r="I180" i="7"/>
  <c r="V180" i="7" s="1"/>
  <c r="H180" i="7"/>
  <c r="G180" i="7"/>
  <c r="F180" i="7"/>
  <c r="E180" i="7"/>
  <c r="D180" i="7"/>
  <c r="C180" i="7"/>
  <c r="U180" i="7" s="1"/>
  <c r="B180" i="7"/>
  <c r="A180" i="7"/>
  <c r="V179" i="7"/>
  <c r="T179" i="7"/>
  <c r="P179" i="7"/>
  <c r="O179" i="7"/>
  <c r="N179" i="7"/>
  <c r="M179" i="7"/>
  <c r="L179" i="7"/>
  <c r="K179" i="7"/>
  <c r="J179" i="7"/>
  <c r="I179" i="7"/>
  <c r="H179" i="7"/>
  <c r="G179" i="7"/>
  <c r="S179" i="7" s="1"/>
  <c r="F179" i="7"/>
  <c r="E179" i="7"/>
  <c r="D179" i="7"/>
  <c r="Q179" i="7" s="1"/>
  <c r="C179" i="7"/>
  <c r="U179" i="7" s="1"/>
  <c r="B179" i="7"/>
  <c r="R179" i="7" s="1"/>
  <c r="A179" i="7"/>
  <c r="R178" i="7"/>
  <c r="Q178" i="7"/>
  <c r="P178" i="7"/>
  <c r="O178" i="7"/>
  <c r="N178" i="7"/>
  <c r="M178" i="7"/>
  <c r="L178" i="7"/>
  <c r="K178" i="7"/>
  <c r="J178" i="7"/>
  <c r="I178" i="7"/>
  <c r="V178" i="7" s="1"/>
  <c r="H178" i="7"/>
  <c r="G178" i="7"/>
  <c r="F178" i="7"/>
  <c r="T178" i="7" s="1"/>
  <c r="E178" i="7"/>
  <c r="D178" i="7"/>
  <c r="C178" i="7"/>
  <c r="U178" i="7" s="1"/>
  <c r="B178" i="7"/>
  <c r="A178" i="7"/>
  <c r="P177" i="7"/>
  <c r="O177" i="7"/>
  <c r="N177" i="7"/>
  <c r="M177" i="7"/>
  <c r="L177" i="7"/>
  <c r="K177" i="7"/>
  <c r="J177" i="7"/>
  <c r="I177" i="7"/>
  <c r="V177" i="7" s="1"/>
  <c r="H177" i="7"/>
  <c r="G177" i="7"/>
  <c r="F177" i="7"/>
  <c r="T177" i="7" s="1"/>
  <c r="E177" i="7"/>
  <c r="D177" i="7"/>
  <c r="Q177" i="7" s="1"/>
  <c r="C177" i="7"/>
  <c r="U177" i="7" s="1"/>
  <c r="B177" i="7"/>
  <c r="R177" i="7" s="1"/>
  <c r="A177" i="7"/>
  <c r="R176" i="7"/>
  <c r="Q176" i="7"/>
  <c r="P176" i="7"/>
  <c r="O176" i="7"/>
  <c r="N176" i="7"/>
  <c r="M176" i="7"/>
  <c r="L176" i="7"/>
  <c r="K176" i="7"/>
  <c r="J176" i="7"/>
  <c r="I176" i="7"/>
  <c r="V176" i="7" s="1"/>
  <c r="H176" i="7"/>
  <c r="G176" i="7"/>
  <c r="F176" i="7"/>
  <c r="T176" i="7" s="1"/>
  <c r="E176" i="7"/>
  <c r="D176" i="7"/>
  <c r="C176" i="7"/>
  <c r="U176" i="7" s="1"/>
  <c r="B176" i="7"/>
  <c r="A176" i="7"/>
  <c r="V175" i="7"/>
  <c r="T175" i="7"/>
  <c r="S175" i="7"/>
  <c r="R175" i="7"/>
  <c r="Q175" i="7"/>
  <c r="P175" i="7"/>
  <c r="O175" i="7"/>
  <c r="N175" i="7"/>
  <c r="M175" i="7"/>
  <c r="L175" i="7"/>
  <c r="K175" i="7"/>
  <c r="J175" i="7"/>
  <c r="I175" i="7"/>
  <c r="H175" i="7"/>
  <c r="G175" i="7"/>
  <c r="F175" i="7"/>
  <c r="E175" i="7"/>
  <c r="D175" i="7"/>
  <c r="C175" i="7"/>
  <c r="U175" i="7" s="1"/>
  <c r="B175" i="7"/>
  <c r="A175" i="7"/>
  <c r="V174" i="7"/>
  <c r="S174" i="7"/>
  <c r="R174" i="7"/>
  <c r="Q174" i="7"/>
  <c r="P174" i="7"/>
  <c r="O174" i="7"/>
  <c r="N174" i="7"/>
  <c r="M174" i="7"/>
  <c r="L174" i="7"/>
  <c r="K174" i="7"/>
  <c r="J174" i="7"/>
  <c r="I174" i="7"/>
  <c r="H174" i="7"/>
  <c r="G174" i="7"/>
  <c r="F174" i="7"/>
  <c r="T174" i="7" s="1"/>
  <c r="E174" i="7"/>
  <c r="D174" i="7"/>
  <c r="C174" i="7"/>
  <c r="U174" i="7" s="1"/>
  <c r="B174" i="7"/>
  <c r="A174" i="7"/>
  <c r="V173" i="7"/>
  <c r="U173" i="7"/>
  <c r="T173" i="7"/>
  <c r="P173" i="7"/>
  <c r="O173" i="7"/>
  <c r="N173" i="7"/>
  <c r="M173" i="7"/>
  <c r="L173" i="7"/>
  <c r="K173" i="7"/>
  <c r="J173" i="7"/>
  <c r="I173" i="7"/>
  <c r="H173" i="7"/>
  <c r="G173" i="7"/>
  <c r="S173" i="7" s="1"/>
  <c r="F173" i="7"/>
  <c r="E173" i="7"/>
  <c r="D173" i="7"/>
  <c r="Q173" i="7" s="1"/>
  <c r="C173" i="7"/>
  <c r="B173" i="7"/>
  <c r="R173" i="7" s="1"/>
  <c r="A173" i="7"/>
  <c r="V172" i="7"/>
  <c r="P172" i="7"/>
  <c r="O172" i="7"/>
  <c r="N172" i="7"/>
  <c r="M172" i="7"/>
  <c r="L172" i="7"/>
  <c r="K172" i="7"/>
  <c r="J172" i="7"/>
  <c r="I172" i="7"/>
  <c r="H172" i="7"/>
  <c r="G172" i="7"/>
  <c r="F172" i="7"/>
  <c r="T172" i="7" s="1"/>
  <c r="E172" i="7"/>
  <c r="D172" i="7"/>
  <c r="Q172" i="7" s="1"/>
  <c r="C172" i="7"/>
  <c r="U172" i="7" s="1"/>
  <c r="B172" i="7"/>
  <c r="R172" i="7" s="1"/>
  <c r="A172" i="7"/>
  <c r="Q171" i="7"/>
  <c r="P171" i="7"/>
  <c r="O171" i="7"/>
  <c r="N171" i="7"/>
  <c r="M171" i="7"/>
  <c r="L171" i="7"/>
  <c r="K171" i="7"/>
  <c r="J171" i="7"/>
  <c r="I171" i="7"/>
  <c r="V171" i="7" s="1"/>
  <c r="H171" i="7"/>
  <c r="G171" i="7"/>
  <c r="F171" i="7"/>
  <c r="T171" i="7" s="1"/>
  <c r="E171" i="7"/>
  <c r="D171" i="7"/>
  <c r="C171" i="7"/>
  <c r="U171" i="7" s="1"/>
  <c r="B171" i="7"/>
  <c r="R171" i="7" s="1"/>
  <c r="A171" i="7"/>
  <c r="V170" i="7"/>
  <c r="T170" i="7"/>
  <c r="Q170" i="7"/>
  <c r="P170" i="7"/>
  <c r="O170" i="7"/>
  <c r="N170" i="7"/>
  <c r="M170" i="7"/>
  <c r="L170" i="7"/>
  <c r="K170" i="7"/>
  <c r="J170" i="7"/>
  <c r="I170" i="7"/>
  <c r="H170" i="7"/>
  <c r="G170" i="7"/>
  <c r="S170" i="7" s="1"/>
  <c r="F170" i="7"/>
  <c r="E170" i="7"/>
  <c r="D170" i="7"/>
  <c r="C170" i="7"/>
  <c r="U170" i="7" s="1"/>
  <c r="B170" i="7"/>
  <c r="R170" i="7" s="1"/>
  <c r="A170" i="7"/>
  <c r="V169" i="7"/>
  <c r="S169" i="7"/>
  <c r="R169" i="7"/>
  <c r="Q169" i="7"/>
  <c r="P169" i="7"/>
  <c r="O169" i="7"/>
  <c r="N169" i="7"/>
  <c r="M169" i="7"/>
  <c r="L169" i="7"/>
  <c r="K169" i="7"/>
  <c r="J169" i="7"/>
  <c r="I169" i="7"/>
  <c r="H169" i="7"/>
  <c r="G169" i="7"/>
  <c r="F169" i="7"/>
  <c r="T169" i="7" s="1"/>
  <c r="E169" i="7"/>
  <c r="D169" i="7"/>
  <c r="C169" i="7"/>
  <c r="U169" i="7" s="1"/>
  <c r="B169" i="7"/>
  <c r="A169" i="7"/>
  <c r="U168" i="7"/>
  <c r="T168" i="7"/>
  <c r="P168" i="7"/>
  <c r="O168" i="7"/>
  <c r="N168" i="7"/>
  <c r="M168" i="7"/>
  <c r="L168" i="7"/>
  <c r="K168" i="7"/>
  <c r="J168" i="7"/>
  <c r="I168" i="7"/>
  <c r="V168" i="7" s="1"/>
  <c r="H168" i="7"/>
  <c r="G168" i="7"/>
  <c r="S168" i="7" s="1"/>
  <c r="F168" i="7"/>
  <c r="E168" i="7"/>
  <c r="D168" i="7"/>
  <c r="Q168" i="7" s="1"/>
  <c r="C168" i="7"/>
  <c r="B168" i="7"/>
  <c r="R168" i="7" s="1"/>
  <c r="A168" i="7"/>
  <c r="S167" i="7"/>
  <c r="R167" i="7"/>
  <c r="P167" i="7"/>
  <c r="O167" i="7"/>
  <c r="N167" i="7"/>
  <c r="M167" i="7"/>
  <c r="L167" i="7"/>
  <c r="K167" i="7"/>
  <c r="J167" i="7"/>
  <c r="I167" i="7"/>
  <c r="V167" i="7" s="1"/>
  <c r="H167" i="7"/>
  <c r="G167" i="7"/>
  <c r="F167" i="7"/>
  <c r="T167" i="7" s="1"/>
  <c r="E167" i="7"/>
  <c r="D167" i="7"/>
  <c r="Q167" i="7" s="1"/>
  <c r="C167" i="7"/>
  <c r="U167" i="7" s="1"/>
  <c r="B167" i="7"/>
  <c r="A167" i="7"/>
  <c r="U166" i="7"/>
  <c r="T166" i="7"/>
  <c r="P166" i="7"/>
  <c r="O166" i="7"/>
  <c r="N166" i="7"/>
  <c r="M166" i="7"/>
  <c r="L166" i="7"/>
  <c r="K166" i="7"/>
  <c r="J166" i="7"/>
  <c r="I166" i="7"/>
  <c r="V166" i="7" s="1"/>
  <c r="H166" i="7"/>
  <c r="S166" i="7" s="1"/>
  <c r="G166" i="7"/>
  <c r="F166" i="7"/>
  <c r="E166" i="7"/>
  <c r="D166" i="7"/>
  <c r="Q166" i="7" s="1"/>
  <c r="C166" i="7"/>
  <c r="B166" i="7"/>
  <c r="R166" i="7" s="1"/>
  <c r="A166" i="7"/>
  <c r="Q165" i="7"/>
  <c r="P165" i="7"/>
  <c r="O165" i="7"/>
  <c r="N165" i="7"/>
  <c r="M165" i="7"/>
  <c r="L165" i="7"/>
  <c r="K165" i="7"/>
  <c r="J165" i="7"/>
  <c r="I165" i="7"/>
  <c r="V165" i="7" s="1"/>
  <c r="H165" i="7"/>
  <c r="G165" i="7"/>
  <c r="S165" i="7" s="1"/>
  <c r="F165" i="7"/>
  <c r="T165" i="7" s="1"/>
  <c r="E165" i="7"/>
  <c r="D165" i="7"/>
  <c r="C165" i="7"/>
  <c r="U165" i="7" s="1"/>
  <c r="B165" i="7"/>
  <c r="R165" i="7" s="1"/>
  <c r="A165" i="7"/>
  <c r="V164" i="7"/>
  <c r="S164" i="7"/>
  <c r="R164" i="7"/>
  <c r="P164" i="7"/>
  <c r="O164" i="7"/>
  <c r="N164" i="7"/>
  <c r="M164" i="7"/>
  <c r="L164" i="7"/>
  <c r="K164" i="7"/>
  <c r="J164" i="7"/>
  <c r="I164" i="7"/>
  <c r="H164" i="7"/>
  <c r="G164" i="7"/>
  <c r="F164" i="7"/>
  <c r="T164" i="7" s="1"/>
  <c r="E164" i="7"/>
  <c r="D164" i="7"/>
  <c r="Q164" i="7" s="1"/>
  <c r="C164" i="7"/>
  <c r="U164" i="7" s="1"/>
  <c r="B164" i="7"/>
  <c r="A164" i="7"/>
  <c r="V163" i="7"/>
  <c r="Q163" i="7"/>
  <c r="P163" i="7"/>
  <c r="O163" i="7"/>
  <c r="N163" i="7"/>
  <c r="M163" i="7"/>
  <c r="L163" i="7"/>
  <c r="K163" i="7"/>
  <c r="J163" i="7"/>
  <c r="I163" i="7"/>
  <c r="H163" i="7"/>
  <c r="G163" i="7"/>
  <c r="S163" i="7" s="1"/>
  <c r="F163" i="7"/>
  <c r="T163" i="7" s="1"/>
  <c r="E163" i="7"/>
  <c r="D163" i="7"/>
  <c r="C163" i="7"/>
  <c r="U163" i="7" s="1"/>
  <c r="B163" i="7"/>
  <c r="R163" i="7" s="1"/>
  <c r="A163" i="7"/>
  <c r="T162" i="7"/>
  <c r="Q162" i="7"/>
  <c r="P162" i="7"/>
  <c r="O162" i="7"/>
  <c r="N162" i="7"/>
  <c r="M162" i="7"/>
  <c r="L162" i="7"/>
  <c r="K162" i="7"/>
  <c r="J162" i="7"/>
  <c r="I162" i="7"/>
  <c r="V162" i="7" s="1"/>
  <c r="H162" i="7"/>
  <c r="S162" i="7" s="1"/>
  <c r="G162" i="7"/>
  <c r="F162" i="7"/>
  <c r="E162" i="7"/>
  <c r="D162" i="7"/>
  <c r="C162" i="7"/>
  <c r="U162" i="7" s="1"/>
  <c r="B162" i="7"/>
  <c r="R162" i="7" s="1"/>
  <c r="A162" i="7"/>
  <c r="V161" i="7"/>
  <c r="U161" i="7"/>
  <c r="T161" i="7"/>
  <c r="S161" i="7"/>
  <c r="P161" i="7"/>
  <c r="O161" i="7"/>
  <c r="N161" i="7"/>
  <c r="M161" i="7"/>
  <c r="L161" i="7"/>
  <c r="K161" i="7"/>
  <c r="J161" i="7"/>
  <c r="I161" i="7"/>
  <c r="H161" i="7"/>
  <c r="G161" i="7"/>
  <c r="F161" i="7"/>
  <c r="E161" i="7"/>
  <c r="D161" i="7"/>
  <c r="Q161" i="7" s="1"/>
  <c r="C161" i="7"/>
  <c r="B161" i="7"/>
  <c r="R161" i="7" s="1"/>
  <c r="A161" i="7"/>
  <c r="S160" i="7"/>
  <c r="R160" i="7"/>
  <c r="Q160" i="7"/>
  <c r="P160" i="7"/>
  <c r="O160" i="7"/>
  <c r="N160" i="7"/>
  <c r="M160" i="7"/>
  <c r="L160" i="7"/>
  <c r="K160" i="7"/>
  <c r="J160" i="7"/>
  <c r="I160" i="7"/>
  <c r="V160" i="7" s="1"/>
  <c r="H160" i="7"/>
  <c r="G160" i="7"/>
  <c r="F160" i="7"/>
  <c r="T160" i="7" s="1"/>
  <c r="E160" i="7"/>
  <c r="D160" i="7"/>
  <c r="C160" i="7"/>
  <c r="U160" i="7" s="1"/>
  <c r="B160" i="7"/>
  <c r="A160" i="7"/>
  <c r="V159" i="7"/>
  <c r="T159" i="7"/>
  <c r="S159" i="7"/>
  <c r="R159" i="7"/>
  <c r="P159" i="7"/>
  <c r="O159" i="7"/>
  <c r="N159" i="7"/>
  <c r="M159" i="7"/>
  <c r="L159" i="7"/>
  <c r="K159" i="7"/>
  <c r="J159" i="7"/>
  <c r="I159" i="7"/>
  <c r="H159" i="7"/>
  <c r="G159" i="7"/>
  <c r="F159" i="7"/>
  <c r="E159" i="7"/>
  <c r="D159" i="7"/>
  <c r="Q159" i="7" s="1"/>
  <c r="C159" i="7"/>
  <c r="U159" i="7" s="1"/>
  <c r="B159" i="7"/>
  <c r="A159" i="7"/>
  <c r="V158" i="7"/>
  <c r="S158" i="7"/>
  <c r="R158" i="7"/>
  <c r="Q158" i="7"/>
  <c r="P158" i="7"/>
  <c r="O158" i="7"/>
  <c r="N158" i="7"/>
  <c r="M158" i="7"/>
  <c r="L158" i="7"/>
  <c r="K158" i="7"/>
  <c r="J158" i="7"/>
  <c r="I158" i="7"/>
  <c r="H158" i="7"/>
  <c r="G158" i="7"/>
  <c r="F158" i="7"/>
  <c r="T158" i="7" s="1"/>
  <c r="E158" i="7"/>
  <c r="D158" i="7"/>
  <c r="C158" i="7"/>
  <c r="U158" i="7" s="1"/>
  <c r="B158" i="7"/>
  <c r="A158" i="7"/>
  <c r="V157" i="7"/>
  <c r="U157" i="7"/>
  <c r="T157" i="7"/>
  <c r="Q157" i="7"/>
  <c r="P157" i="7"/>
  <c r="O157" i="7"/>
  <c r="N157" i="7"/>
  <c r="M157" i="7"/>
  <c r="L157" i="7"/>
  <c r="K157" i="7"/>
  <c r="J157" i="7"/>
  <c r="I157" i="7"/>
  <c r="H157" i="7"/>
  <c r="S157" i="7" s="1"/>
  <c r="G157" i="7"/>
  <c r="F157" i="7"/>
  <c r="E157" i="7"/>
  <c r="D157" i="7"/>
  <c r="C157" i="7"/>
  <c r="B157" i="7"/>
  <c r="R157" i="7" s="1"/>
  <c r="A157" i="7"/>
  <c r="U156" i="7"/>
  <c r="R156" i="7"/>
  <c r="P156" i="7"/>
  <c r="O156" i="7"/>
  <c r="N156" i="7"/>
  <c r="M156" i="7"/>
  <c r="L156" i="7"/>
  <c r="K156" i="7"/>
  <c r="J156" i="7"/>
  <c r="I156" i="7"/>
  <c r="V156" i="7" s="1"/>
  <c r="H156" i="7"/>
  <c r="G156" i="7"/>
  <c r="F156" i="7"/>
  <c r="T156" i="7" s="1"/>
  <c r="E156" i="7"/>
  <c r="D156" i="7"/>
  <c r="Q156" i="7" s="1"/>
  <c r="C156" i="7"/>
  <c r="B156" i="7"/>
  <c r="A156" i="7"/>
  <c r="R155" i="7"/>
  <c r="Q155" i="7"/>
  <c r="P155" i="7"/>
  <c r="O155" i="7"/>
  <c r="N155" i="7"/>
  <c r="M155" i="7"/>
  <c r="L155" i="7"/>
  <c r="K155" i="7"/>
  <c r="J155" i="7"/>
  <c r="I155" i="7"/>
  <c r="V155" i="7" s="1"/>
  <c r="H155" i="7"/>
  <c r="G155" i="7"/>
  <c r="F155" i="7"/>
  <c r="T155" i="7" s="1"/>
  <c r="E155" i="7"/>
  <c r="D155" i="7"/>
  <c r="C155" i="7"/>
  <c r="U155" i="7" s="1"/>
  <c r="B155" i="7"/>
  <c r="A155" i="7"/>
  <c r="V154" i="7"/>
  <c r="U154" i="7"/>
  <c r="T154" i="7"/>
  <c r="Q154" i="7"/>
  <c r="P154" i="7"/>
  <c r="O154" i="7"/>
  <c r="N154" i="7"/>
  <c r="M154" i="7"/>
  <c r="L154" i="7"/>
  <c r="K154" i="7"/>
  <c r="J154" i="7"/>
  <c r="I154" i="7"/>
  <c r="H154" i="7"/>
  <c r="G154" i="7"/>
  <c r="F154" i="7"/>
  <c r="E154" i="7"/>
  <c r="D154" i="7"/>
  <c r="C154" i="7"/>
  <c r="B154" i="7"/>
  <c r="R154" i="7" s="1"/>
  <c r="A154" i="7"/>
  <c r="T153" i="7"/>
  <c r="S153" i="7"/>
  <c r="Q153" i="7"/>
  <c r="P153" i="7"/>
  <c r="O153" i="7"/>
  <c r="N153" i="7"/>
  <c r="M153" i="7"/>
  <c r="L153" i="7"/>
  <c r="K153" i="7"/>
  <c r="J153" i="7"/>
  <c r="I153" i="7"/>
  <c r="V153" i="7" s="1"/>
  <c r="H153" i="7"/>
  <c r="G153" i="7"/>
  <c r="F153" i="7"/>
  <c r="E153" i="7"/>
  <c r="D153" i="7"/>
  <c r="C153" i="7"/>
  <c r="U153" i="7" s="1"/>
  <c r="B153" i="7"/>
  <c r="R153" i="7" s="1"/>
  <c r="A153" i="7"/>
  <c r="V152" i="7"/>
  <c r="R152" i="7"/>
  <c r="Q152" i="7"/>
  <c r="P152" i="7"/>
  <c r="O152" i="7"/>
  <c r="N152" i="7"/>
  <c r="M152" i="7"/>
  <c r="L152" i="7"/>
  <c r="K152" i="7"/>
  <c r="J152" i="7"/>
  <c r="I152" i="7"/>
  <c r="H152" i="7"/>
  <c r="G152" i="7"/>
  <c r="S152" i="7" s="1"/>
  <c r="F152" i="7"/>
  <c r="T152" i="7" s="1"/>
  <c r="E152" i="7"/>
  <c r="D152" i="7"/>
  <c r="C152" i="7"/>
  <c r="U152" i="7" s="1"/>
  <c r="B152" i="7"/>
  <c r="A152" i="7"/>
  <c r="T151" i="7"/>
  <c r="S151" i="7"/>
  <c r="P151" i="7"/>
  <c r="O151" i="7"/>
  <c r="N151" i="7"/>
  <c r="M151" i="7"/>
  <c r="L151" i="7"/>
  <c r="K151" i="7"/>
  <c r="J151" i="7"/>
  <c r="I151" i="7"/>
  <c r="V151" i="7" s="1"/>
  <c r="H151" i="7"/>
  <c r="G151" i="7"/>
  <c r="F151" i="7"/>
  <c r="E151" i="7"/>
  <c r="D151" i="7"/>
  <c r="Q151" i="7" s="1"/>
  <c r="C151" i="7"/>
  <c r="U151" i="7" s="1"/>
  <c r="B151" i="7"/>
  <c r="R151" i="7" s="1"/>
  <c r="A151" i="7"/>
  <c r="P150" i="7"/>
  <c r="O150" i="7"/>
  <c r="N150" i="7"/>
  <c r="M150" i="7"/>
  <c r="L150" i="7"/>
  <c r="K150" i="7"/>
  <c r="J150" i="7"/>
  <c r="I150" i="7"/>
  <c r="V150" i="7" s="1"/>
  <c r="H150" i="7"/>
  <c r="G150" i="7"/>
  <c r="F150" i="7"/>
  <c r="T150" i="7" s="1"/>
  <c r="E150" i="7"/>
  <c r="D150" i="7"/>
  <c r="Q150" i="7" s="1"/>
  <c r="C150" i="7"/>
  <c r="U150" i="7" s="1"/>
  <c r="B150" i="7"/>
  <c r="R150" i="7" s="1"/>
  <c r="A150" i="7"/>
  <c r="R149" i="7"/>
  <c r="P149" i="7"/>
  <c r="O149" i="7"/>
  <c r="N149" i="7"/>
  <c r="M149" i="7"/>
  <c r="L149" i="7"/>
  <c r="K149" i="7"/>
  <c r="J149" i="7"/>
  <c r="I149" i="7"/>
  <c r="V149" i="7" s="1"/>
  <c r="H149" i="7"/>
  <c r="G149" i="7"/>
  <c r="F149" i="7"/>
  <c r="T149" i="7" s="1"/>
  <c r="E149" i="7"/>
  <c r="D149" i="7"/>
  <c r="Q149" i="7" s="1"/>
  <c r="C149" i="7"/>
  <c r="U149" i="7" s="1"/>
  <c r="B149" i="7"/>
  <c r="A149" i="7"/>
  <c r="T148" i="7"/>
  <c r="Q148" i="7"/>
  <c r="P148" i="7"/>
  <c r="O148" i="7"/>
  <c r="N148" i="7"/>
  <c r="M148" i="7"/>
  <c r="L148" i="7"/>
  <c r="K148" i="7"/>
  <c r="J148" i="7"/>
  <c r="I148" i="7"/>
  <c r="V148" i="7" s="1"/>
  <c r="H148" i="7"/>
  <c r="S148" i="7" s="1"/>
  <c r="G148" i="7"/>
  <c r="F148" i="7"/>
  <c r="E148" i="7"/>
  <c r="D148" i="7"/>
  <c r="C148" i="7"/>
  <c r="U148" i="7" s="1"/>
  <c r="B148" i="7"/>
  <c r="R148" i="7" s="1"/>
  <c r="A148" i="7"/>
  <c r="V147" i="7"/>
  <c r="S147" i="7"/>
  <c r="R147" i="7"/>
  <c r="Q147" i="7"/>
  <c r="P147" i="7"/>
  <c r="O147" i="7"/>
  <c r="N147" i="7"/>
  <c r="M147" i="7"/>
  <c r="L147" i="7"/>
  <c r="K147" i="7"/>
  <c r="J147" i="7"/>
  <c r="I147" i="7"/>
  <c r="H147" i="7"/>
  <c r="G147" i="7"/>
  <c r="F147" i="7"/>
  <c r="T147" i="7" s="1"/>
  <c r="E147" i="7"/>
  <c r="D147" i="7"/>
  <c r="C147" i="7"/>
  <c r="U147" i="7" s="1"/>
  <c r="B147" i="7"/>
  <c r="A147" i="7"/>
  <c r="V146" i="7"/>
  <c r="U146" i="7"/>
  <c r="T146" i="7"/>
  <c r="P146" i="7"/>
  <c r="O146" i="7"/>
  <c r="N146" i="7"/>
  <c r="M146" i="7"/>
  <c r="L146" i="7"/>
  <c r="K146" i="7"/>
  <c r="J146" i="7"/>
  <c r="I146" i="7"/>
  <c r="H146" i="7"/>
  <c r="G146" i="7"/>
  <c r="S146" i="7" s="1"/>
  <c r="F146" i="7"/>
  <c r="E146" i="7"/>
  <c r="D146" i="7"/>
  <c r="Q146" i="7" s="1"/>
  <c r="C146" i="7"/>
  <c r="B146" i="7"/>
  <c r="R146" i="7" s="1"/>
  <c r="A146" i="7"/>
  <c r="V145" i="7"/>
  <c r="T145" i="7"/>
  <c r="P145" i="7"/>
  <c r="O145" i="7"/>
  <c r="N145" i="7"/>
  <c r="M145" i="7"/>
  <c r="L145" i="7"/>
  <c r="K145" i="7"/>
  <c r="J145" i="7"/>
  <c r="I145" i="7"/>
  <c r="H145" i="7"/>
  <c r="G145" i="7"/>
  <c r="F145" i="7"/>
  <c r="E145" i="7"/>
  <c r="D145" i="7"/>
  <c r="Q145" i="7" s="1"/>
  <c r="C145" i="7"/>
  <c r="U145" i="7" s="1"/>
  <c r="B145" i="7"/>
  <c r="R145" i="7" s="1"/>
  <c r="A145" i="7"/>
  <c r="Q144" i="7"/>
  <c r="P144" i="7"/>
  <c r="O144" i="7"/>
  <c r="N144" i="7"/>
  <c r="M144" i="7"/>
  <c r="L144" i="7"/>
  <c r="K144" i="7"/>
  <c r="J144" i="7"/>
  <c r="I144" i="7"/>
  <c r="V144" i="7" s="1"/>
  <c r="H144" i="7"/>
  <c r="G144" i="7"/>
  <c r="F144" i="7"/>
  <c r="T144" i="7" s="1"/>
  <c r="E144" i="7"/>
  <c r="D144" i="7"/>
  <c r="C144" i="7"/>
  <c r="U144" i="7" s="1"/>
  <c r="B144" i="7"/>
  <c r="R144" i="7" s="1"/>
  <c r="A144" i="7"/>
  <c r="V143" i="7"/>
  <c r="T143" i="7"/>
  <c r="R143" i="7"/>
  <c r="Q143" i="7"/>
  <c r="P143" i="7"/>
  <c r="O143" i="7"/>
  <c r="N143" i="7"/>
  <c r="M143" i="7"/>
  <c r="L143" i="7"/>
  <c r="K143" i="7"/>
  <c r="J143" i="7"/>
  <c r="I143" i="7"/>
  <c r="H143" i="7"/>
  <c r="G143" i="7"/>
  <c r="S143" i="7" s="1"/>
  <c r="F143" i="7"/>
  <c r="E143" i="7"/>
  <c r="D143" i="7"/>
  <c r="C143" i="7"/>
  <c r="U143" i="7" s="1"/>
  <c r="B143" i="7"/>
  <c r="A143" i="7"/>
  <c r="V142" i="7"/>
  <c r="P142" i="7"/>
  <c r="O142" i="7"/>
  <c r="N142" i="7"/>
  <c r="M142" i="7"/>
  <c r="L142" i="7"/>
  <c r="K142" i="7"/>
  <c r="J142" i="7"/>
  <c r="I142" i="7"/>
  <c r="H142" i="7"/>
  <c r="G142" i="7"/>
  <c r="S142" i="7" s="1"/>
  <c r="F142" i="7"/>
  <c r="T142" i="7" s="1"/>
  <c r="E142" i="7"/>
  <c r="D142" i="7"/>
  <c r="Q142" i="7" s="1"/>
  <c r="C142" i="7"/>
  <c r="U142" i="7" s="1"/>
  <c r="B142" i="7"/>
  <c r="R142" i="7" s="1"/>
  <c r="A142" i="7"/>
  <c r="U141" i="7"/>
  <c r="T141" i="7"/>
  <c r="R141" i="7"/>
  <c r="P141" i="7"/>
  <c r="O141" i="7"/>
  <c r="N141" i="7"/>
  <c r="M141" i="7"/>
  <c r="L141" i="7"/>
  <c r="K141" i="7"/>
  <c r="J141" i="7"/>
  <c r="I141" i="7"/>
  <c r="V141" i="7" s="1"/>
  <c r="H141" i="7"/>
  <c r="G141" i="7"/>
  <c r="S141" i="7" s="1"/>
  <c r="F141" i="7"/>
  <c r="E141" i="7"/>
  <c r="D141" i="7"/>
  <c r="Q141" i="7" s="1"/>
  <c r="C141" i="7"/>
  <c r="B141" i="7"/>
  <c r="A141" i="7"/>
  <c r="S140" i="7"/>
  <c r="R140" i="7"/>
  <c r="Q140" i="7"/>
  <c r="P140" i="7"/>
  <c r="O140" i="7"/>
  <c r="N140" i="7"/>
  <c r="M140" i="7"/>
  <c r="L140" i="7"/>
  <c r="K140" i="7"/>
  <c r="J140" i="7"/>
  <c r="I140" i="7"/>
  <c r="V140" i="7" s="1"/>
  <c r="H140" i="7"/>
  <c r="G140" i="7"/>
  <c r="F140" i="7"/>
  <c r="T140" i="7" s="1"/>
  <c r="E140" i="7"/>
  <c r="D140" i="7"/>
  <c r="C140" i="7"/>
  <c r="U140" i="7" s="1"/>
  <c r="B140" i="7"/>
  <c r="A140" i="7"/>
  <c r="V139" i="7"/>
  <c r="T139" i="7"/>
  <c r="P139" i="7"/>
  <c r="O139" i="7"/>
  <c r="N139" i="7"/>
  <c r="M139" i="7"/>
  <c r="L139" i="7"/>
  <c r="K139" i="7"/>
  <c r="J139" i="7"/>
  <c r="I139" i="7"/>
  <c r="H139" i="7"/>
  <c r="S139" i="7" s="1"/>
  <c r="G139" i="7"/>
  <c r="F139" i="7"/>
  <c r="E139" i="7"/>
  <c r="D139" i="7"/>
  <c r="Q139" i="7" s="1"/>
  <c r="C139" i="7"/>
  <c r="U139" i="7" s="1"/>
  <c r="B139" i="7"/>
  <c r="R139" i="7" s="1"/>
  <c r="A139" i="7"/>
  <c r="S138" i="7"/>
  <c r="Q138" i="7"/>
  <c r="P138" i="7"/>
  <c r="O138" i="7"/>
  <c r="N138" i="7"/>
  <c r="M138" i="7"/>
  <c r="L138" i="7"/>
  <c r="K138" i="7"/>
  <c r="J138" i="7"/>
  <c r="I138" i="7"/>
  <c r="V138" i="7" s="1"/>
  <c r="H138" i="7"/>
  <c r="G138" i="7"/>
  <c r="F138" i="7"/>
  <c r="T138" i="7" s="1"/>
  <c r="E138" i="7"/>
  <c r="D138" i="7"/>
  <c r="C138" i="7"/>
  <c r="U138" i="7" s="1"/>
  <c r="B138" i="7"/>
  <c r="R138" i="7" s="1"/>
  <c r="A138" i="7"/>
  <c r="V137" i="7"/>
  <c r="S137" i="7"/>
  <c r="R137" i="7"/>
  <c r="Q137" i="7"/>
  <c r="P137" i="7"/>
  <c r="O137" i="7"/>
  <c r="N137" i="7"/>
  <c r="M137" i="7"/>
  <c r="L137" i="7"/>
  <c r="K137" i="7"/>
  <c r="J137" i="7"/>
  <c r="I137" i="7"/>
  <c r="H137" i="7"/>
  <c r="G137" i="7"/>
  <c r="F137" i="7"/>
  <c r="T137" i="7" s="1"/>
  <c r="E137" i="7"/>
  <c r="D137" i="7"/>
  <c r="C137" i="7"/>
  <c r="U137" i="7" s="1"/>
  <c r="B137" i="7"/>
  <c r="A137" i="7"/>
  <c r="V136" i="7"/>
  <c r="U136" i="7"/>
  <c r="T136" i="7"/>
  <c r="P136" i="7"/>
  <c r="O136" i="7"/>
  <c r="N136" i="7"/>
  <c r="M136" i="7"/>
  <c r="L136" i="7"/>
  <c r="K136" i="7"/>
  <c r="J136" i="7"/>
  <c r="I136" i="7"/>
  <c r="H136" i="7"/>
  <c r="G136" i="7"/>
  <c r="S136" i="7" s="1"/>
  <c r="F136" i="7"/>
  <c r="E136" i="7"/>
  <c r="D136" i="7"/>
  <c r="Q136" i="7" s="1"/>
  <c r="C136" i="7"/>
  <c r="B136" i="7"/>
  <c r="R136" i="7" s="1"/>
  <c r="A136" i="7"/>
  <c r="U135" i="7"/>
  <c r="R135" i="7"/>
  <c r="Q135" i="7"/>
  <c r="P135" i="7"/>
  <c r="O135" i="7"/>
  <c r="N135" i="7"/>
  <c r="M135" i="7"/>
  <c r="L135" i="7"/>
  <c r="K135" i="7"/>
  <c r="J135" i="7"/>
  <c r="I135" i="7"/>
  <c r="V135" i="7" s="1"/>
  <c r="H135" i="7"/>
  <c r="G135" i="7"/>
  <c r="F135" i="7"/>
  <c r="T135" i="7" s="1"/>
  <c r="E135" i="7"/>
  <c r="D135" i="7"/>
  <c r="C135" i="7"/>
  <c r="B135" i="7"/>
  <c r="A135" i="7"/>
  <c r="V134" i="7"/>
  <c r="S134" i="7"/>
  <c r="P134" i="7"/>
  <c r="O134" i="7"/>
  <c r="N134" i="7"/>
  <c r="M134" i="7"/>
  <c r="L134" i="7"/>
  <c r="K134" i="7"/>
  <c r="J134" i="7"/>
  <c r="I134" i="7"/>
  <c r="H134" i="7"/>
  <c r="G134" i="7"/>
  <c r="F134" i="7"/>
  <c r="T134" i="7" s="1"/>
  <c r="E134" i="7"/>
  <c r="D134" i="7"/>
  <c r="Q134" i="7" s="1"/>
  <c r="C134" i="7"/>
  <c r="U134" i="7" s="1"/>
  <c r="B134" i="7"/>
  <c r="R134" i="7" s="1"/>
  <c r="A134" i="7"/>
  <c r="R133" i="7"/>
  <c r="Q133" i="7"/>
  <c r="P133" i="7"/>
  <c r="O133" i="7"/>
  <c r="N133" i="7"/>
  <c r="M133" i="7"/>
  <c r="L133" i="7"/>
  <c r="K133" i="7"/>
  <c r="J133" i="7"/>
  <c r="I133" i="7"/>
  <c r="V133" i="7" s="1"/>
  <c r="H133" i="7"/>
  <c r="G133" i="7"/>
  <c r="F133" i="7"/>
  <c r="T133" i="7" s="1"/>
  <c r="E133" i="7"/>
  <c r="D133" i="7"/>
  <c r="C133" i="7"/>
  <c r="U133" i="7" s="1"/>
  <c r="B133" i="7"/>
  <c r="A133" i="7"/>
  <c r="U132" i="7"/>
  <c r="T132" i="7"/>
  <c r="S132" i="7"/>
  <c r="R132" i="7"/>
  <c r="P132" i="7"/>
  <c r="O132" i="7"/>
  <c r="N132" i="7"/>
  <c r="M132" i="7"/>
  <c r="L132" i="7"/>
  <c r="K132" i="7"/>
  <c r="J132" i="7"/>
  <c r="I132" i="7"/>
  <c r="V132" i="7" s="1"/>
  <c r="H132" i="7"/>
  <c r="G132" i="7"/>
  <c r="F132" i="7"/>
  <c r="E132" i="7"/>
  <c r="D132" i="7"/>
  <c r="Q132" i="7" s="1"/>
  <c r="C132" i="7"/>
  <c r="B132" i="7"/>
  <c r="A132" i="7"/>
  <c r="V131" i="7"/>
  <c r="S131" i="7"/>
  <c r="R131" i="7"/>
  <c r="P131" i="7"/>
  <c r="O131" i="7"/>
  <c r="N131" i="7"/>
  <c r="M131" i="7"/>
  <c r="L131" i="7"/>
  <c r="K131" i="7"/>
  <c r="J131" i="7"/>
  <c r="I131" i="7"/>
  <c r="H131" i="7"/>
  <c r="G131" i="7"/>
  <c r="F131" i="7"/>
  <c r="T131" i="7" s="1"/>
  <c r="E131" i="7"/>
  <c r="D131" i="7"/>
  <c r="Q131" i="7" s="1"/>
  <c r="C131" i="7"/>
  <c r="U131" i="7" s="1"/>
  <c r="B131" i="7"/>
  <c r="A131" i="7"/>
  <c r="V130" i="7"/>
  <c r="T130" i="7"/>
  <c r="P130" i="7"/>
  <c r="O130" i="7"/>
  <c r="N130" i="7"/>
  <c r="M130" i="7"/>
  <c r="L130" i="7"/>
  <c r="K130" i="7"/>
  <c r="J130" i="7"/>
  <c r="I130" i="7"/>
  <c r="H130" i="7"/>
  <c r="S130" i="7" s="1"/>
  <c r="G130" i="7"/>
  <c r="F130" i="7"/>
  <c r="E130" i="7"/>
  <c r="D130" i="7"/>
  <c r="Q130" i="7" s="1"/>
  <c r="C130" i="7"/>
  <c r="U130" i="7" s="1"/>
  <c r="B130" i="7"/>
  <c r="R130" i="7" s="1"/>
  <c r="A130" i="7"/>
  <c r="V129" i="7"/>
  <c r="T129" i="7"/>
  <c r="P129" i="7"/>
  <c r="O129" i="7"/>
  <c r="N129" i="7"/>
  <c r="M129" i="7"/>
  <c r="L129" i="7"/>
  <c r="K129" i="7"/>
  <c r="J129" i="7"/>
  <c r="I129" i="7"/>
  <c r="H129" i="7"/>
  <c r="G129" i="7"/>
  <c r="S129" i="7" s="1"/>
  <c r="F129" i="7"/>
  <c r="E129" i="7"/>
  <c r="D129" i="7"/>
  <c r="Q129" i="7" s="1"/>
  <c r="C129" i="7"/>
  <c r="U129" i="7" s="1"/>
  <c r="B129" i="7"/>
  <c r="R129" i="7" s="1"/>
  <c r="A129" i="7"/>
  <c r="R128" i="7"/>
  <c r="P128" i="7"/>
  <c r="O128" i="7"/>
  <c r="N128" i="7"/>
  <c r="M128" i="7"/>
  <c r="L128" i="7"/>
  <c r="K128" i="7"/>
  <c r="J128" i="7"/>
  <c r="I128" i="7"/>
  <c r="V128" i="7" s="1"/>
  <c r="H128" i="7"/>
  <c r="G128" i="7"/>
  <c r="F128" i="7"/>
  <c r="T128" i="7" s="1"/>
  <c r="E128" i="7"/>
  <c r="D128" i="7"/>
  <c r="Q128" i="7" s="1"/>
  <c r="C128" i="7"/>
  <c r="U128" i="7" s="1"/>
  <c r="B128" i="7"/>
  <c r="A128" i="7"/>
  <c r="U127" i="7"/>
  <c r="Q127" i="7"/>
  <c r="P127" i="7"/>
  <c r="O127" i="7"/>
  <c r="N127" i="7"/>
  <c r="M127" i="7"/>
  <c r="L127" i="7"/>
  <c r="K127" i="7"/>
  <c r="J127" i="7"/>
  <c r="I127" i="7"/>
  <c r="V127" i="7" s="1"/>
  <c r="H127" i="7"/>
  <c r="G127" i="7"/>
  <c r="S127" i="7" s="1"/>
  <c r="F127" i="7"/>
  <c r="T127" i="7" s="1"/>
  <c r="E127" i="7"/>
  <c r="D127" i="7"/>
  <c r="C127" i="7"/>
  <c r="B127" i="7"/>
  <c r="R127" i="7" s="1"/>
  <c r="A127" i="7"/>
  <c r="T126" i="7"/>
  <c r="S126" i="7"/>
  <c r="R126" i="7"/>
  <c r="Q126" i="7"/>
  <c r="P126" i="7"/>
  <c r="O126" i="7"/>
  <c r="N126" i="7"/>
  <c r="M126" i="7"/>
  <c r="L126" i="7"/>
  <c r="K126" i="7"/>
  <c r="J126" i="7"/>
  <c r="I126" i="7"/>
  <c r="V126" i="7" s="1"/>
  <c r="H126" i="7"/>
  <c r="G126" i="7"/>
  <c r="F126" i="7"/>
  <c r="E126" i="7"/>
  <c r="D126" i="7"/>
  <c r="C126" i="7"/>
  <c r="U126" i="7" s="1"/>
  <c r="B126" i="7"/>
  <c r="A126" i="7"/>
  <c r="V125" i="7"/>
  <c r="T125" i="7"/>
  <c r="S125" i="7"/>
  <c r="R125" i="7"/>
  <c r="Q125" i="7"/>
  <c r="P125" i="7"/>
  <c r="O125" i="7"/>
  <c r="N125" i="7"/>
  <c r="M125" i="7"/>
  <c r="L125" i="7"/>
  <c r="K125" i="7"/>
  <c r="J125" i="7"/>
  <c r="I125" i="7"/>
  <c r="H125" i="7"/>
  <c r="G125" i="7"/>
  <c r="F125" i="7"/>
  <c r="E125" i="7"/>
  <c r="D125" i="7"/>
  <c r="C125" i="7"/>
  <c r="U125" i="7" s="1"/>
  <c r="B125" i="7"/>
  <c r="A125" i="7"/>
  <c r="V124" i="7"/>
  <c r="R124" i="7"/>
  <c r="P124" i="7"/>
  <c r="O124" i="7"/>
  <c r="N124" i="7"/>
  <c r="M124" i="7"/>
  <c r="L124" i="7"/>
  <c r="K124" i="7"/>
  <c r="J124" i="7"/>
  <c r="I124" i="7"/>
  <c r="H124" i="7"/>
  <c r="S124" i="7" s="1"/>
  <c r="G124" i="7"/>
  <c r="F124" i="7"/>
  <c r="T124" i="7" s="1"/>
  <c r="E124" i="7"/>
  <c r="D124" i="7"/>
  <c r="Q124" i="7" s="1"/>
  <c r="C124" i="7"/>
  <c r="U124" i="7" s="1"/>
  <c r="B124" i="7"/>
  <c r="A124" i="7"/>
  <c r="V123" i="7"/>
  <c r="P123" i="7"/>
  <c r="O123" i="7"/>
  <c r="N123" i="7"/>
  <c r="M123" i="7"/>
  <c r="L123" i="7"/>
  <c r="K123" i="7"/>
  <c r="J123" i="7"/>
  <c r="I123" i="7"/>
  <c r="H123" i="7"/>
  <c r="G123" i="7"/>
  <c r="F123" i="7"/>
  <c r="T123" i="7" s="1"/>
  <c r="E123" i="7"/>
  <c r="D123" i="7"/>
  <c r="Q123" i="7" s="1"/>
  <c r="C123" i="7"/>
  <c r="U123" i="7" s="1"/>
  <c r="B123" i="7"/>
  <c r="R123" i="7" s="1"/>
  <c r="A123" i="7"/>
  <c r="R122" i="7"/>
  <c r="P122" i="7"/>
  <c r="O122" i="7"/>
  <c r="N122" i="7"/>
  <c r="M122" i="7"/>
  <c r="L122" i="7"/>
  <c r="K122" i="7"/>
  <c r="J122" i="7"/>
  <c r="I122" i="7"/>
  <c r="V122" i="7" s="1"/>
  <c r="H122" i="7"/>
  <c r="G122" i="7"/>
  <c r="F122" i="7"/>
  <c r="T122" i="7" s="1"/>
  <c r="E122" i="7"/>
  <c r="D122" i="7"/>
  <c r="Q122" i="7" s="1"/>
  <c r="C122" i="7"/>
  <c r="U122" i="7" s="1"/>
  <c r="B122" i="7"/>
  <c r="A122" i="7"/>
  <c r="V121" i="7"/>
  <c r="U121" i="7"/>
  <c r="T121" i="7"/>
  <c r="R121" i="7"/>
  <c r="P121" i="7"/>
  <c r="O121" i="7"/>
  <c r="N121" i="7"/>
  <c r="M121" i="7"/>
  <c r="L121" i="7"/>
  <c r="K121" i="7"/>
  <c r="J121" i="7"/>
  <c r="I121" i="7"/>
  <c r="H121" i="7"/>
  <c r="S121" i="7" s="1"/>
  <c r="G121" i="7"/>
  <c r="F121" i="7"/>
  <c r="E121" i="7"/>
  <c r="D121" i="7"/>
  <c r="Q121" i="7" s="1"/>
  <c r="C121" i="7"/>
  <c r="B121" i="7"/>
  <c r="A121" i="7"/>
  <c r="V120" i="7"/>
  <c r="Q120" i="7"/>
  <c r="P120" i="7"/>
  <c r="O120" i="7"/>
  <c r="N120" i="7"/>
  <c r="M120" i="7"/>
  <c r="L120" i="7"/>
  <c r="K120" i="7"/>
  <c r="J120" i="7"/>
  <c r="I120" i="7"/>
  <c r="H120" i="7"/>
  <c r="G120" i="7"/>
  <c r="S120" i="7" s="1"/>
  <c r="F120" i="7"/>
  <c r="T120" i="7" s="1"/>
  <c r="E120" i="7"/>
  <c r="D120" i="7"/>
  <c r="C120" i="7"/>
  <c r="U120" i="7" s="1"/>
  <c r="B120" i="7"/>
  <c r="R120" i="7" s="1"/>
  <c r="A120" i="7"/>
  <c r="U119" i="7"/>
  <c r="T119" i="7"/>
  <c r="Q119" i="7"/>
  <c r="P119" i="7"/>
  <c r="O119" i="7"/>
  <c r="N119" i="7"/>
  <c r="M119" i="7"/>
  <c r="L119" i="7"/>
  <c r="K119" i="7"/>
  <c r="J119" i="7"/>
  <c r="I119" i="7"/>
  <c r="V119" i="7" s="1"/>
  <c r="H119" i="7"/>
  <c r="S119" i="7" s="1"/>
  <c r="G119" i="7"/>
  <c r="F119" i="7"/>
  <c r="E119" i="7"/>
  <c r="D119" i="7"/>
  <c r="C119" i="7"/>
  <c r="B119" i="7"/>
  <c r="R119" i="7" s="1"/>
  <c r="A119" i="7"/>
  <c r="P118" i="7"/>
  <c r="O118" i="7"/>
  <c r="N118" i="7"/>
  <c r="M118" i="7"/>
  <c r="L118" i="7"/>
  <c r="K118" i="7"/>
  <c r="J118" i="7"/>
  <c r="I118" i="7"/>
  <c r="V118" i="7" s="1"/>
  <c r="H118" i="7"/>
  <c r="G118" i="7"/>
  <c r="S118" i="7" s="1"/>
  <c r="F118" i="7"/>
  <c r="T118" i="7" s="1"/>
  <c r="E118" i="7"/>
  <c r="D118" i="7"/>
  <c r="Q118" i="7" s="1"/>
  <c r="C118" i="7"/>
  <c r="U118" i="7" s="1"/>
  <c r="B118" i="7"/>
  <c r="R118" i="7" s="1"/>
  <c r="A118" i="7"/>
  <c r="Q117" i="7"/>
  <c r="P117" i="7"/>
  <c r="O117" i="7"/>
  <c r="N117" i="7"/>
  <c r="M117" i="7"/>
  <c r="L117" i="7"/>
  <c r="K117" i="7"/>
  <c r="J117" i="7"/>
  <c r="I117" i="7"/>
  <c r="V117" i="7" s="1"/>
  <c r="H117" i="7"/>
  <c r="G117" i="7"/>
  <c r="S117" i="7" s="1"/>
  <c r="F117" i="7"/>
  <c r="T117" i="7" s="1"/>
  <c r="E117" i="7"/>
  <c r="D117" i="7"/>
  <c r="C117" i="7"/>
  <c r="U117" i="7" s="1"/>
  <c r="B117" i="7"/>
  <c r="R117" i="7" s="1"/>
  <c r="A117" i="7"/>
  <c r="V116" i="7"/>
  <c r="T116" i="7"/>
  <c r="R116" i="7"/>
  <c r="Q116" i="7"/>
  <c r="P116" i="7"/>
  <c r="O116" i="7"/>
  <c r="N116" i="7"/>
  <c r="M116" i="7"/>
  <c r="L116" i="7"/>
  <c r="K116" i="7"/>
  <c r="J116" i="7"/>
  <c r="I116" i="7"/>
  <c r="H116" i="7"/>
  <c r="G116" i="7"/>
  <c r="S116" i="7" s="1"/>
  <c r="F116" i="7"/>
  <c r="E116" i="7"/>
  <c r="D116" i="7"/>
  <c r="C116" i="7"/>
  <c r="U116" i="7" s="1"/>
  <c r="B116" i="7"/>
  <c r="A116" i="7"/>
  <c r="V115" i="7"/>
  <c r="T115" i="7"/>
  <c r="S115" i="7"/>
  <c r="R115" i="7"/>
  <c r="Q115" i="7"/>
  <c r="P115" i="7"/>
  <c r="O115" i="7"/>
  <c r="N115" i="7"/>
  <c r="M115" i="7"/>
  <c r="L115" i="7"/>
  <c r="K115" i="7"/>
  <c r="J115" i="7"/>
  <c r="I115" i="7"/>
  <c r="H115" i="7"/>
  <c r="G115" i="7"/>
  <c r="F115" i="7"/>
  <c r="E115" i="7"/>
  <c r="D115" i="7"/>
  <c r="C115" i="7"/>
  <c r="U115" i="7" s="1"/>
  <c r="B115" i="7"/>
  <c r="A115" i="7"/>
  <c r="V114" i="7"/>
  <c r="P114" i="7"/>
  <c r="O114" i="7"/>
  <c r="N114" i="7"/>
  <c r="M114" i="7"/>
  <c r="L114" i="7"/>
  <c r="K114" i="7"/>
  <c r="J114" i="7"/>
  <c r="I114" i="7"/>
  <c r="H114" i="7"/>
  <c r="G114" i="7"/>
  <c r="S114" i="7" s="1"/>
  <c r="F114" i="7"/>
  <c r="T114" i="7" s="1"/>
  <c r="E114" i="7"/>
  <c r="D114" i="7"/>
  <c r="Q114" i="7" s="1"/>
  <c r="C114" i="7"/>
  <c r="U114" i="7" s="1"/>
  <c r="B114" i="7"/>
  <c r="R114" i="7" s="1"/>
  <c r="A114" i="7"/>
  <c r="R113" i="7"/>
  <c r="P113" i="7"/>
  <c r="O113" i="7"/>
  <c r="N113" i="7"/>
  <c r="M113" i="7"/>
  <c r="L113" i="7"/>
  <c r="K113" i="7"/>
  <c r="J113" i="7"/>
  <c r="I113" i="7"/>
  <c r="V113" i="7" s="1"/>
  <c r="H113" i="7"/>
  <c r="G113" i="7"/>
  <c r="S113" i="7" s="1"/>
  <c r="F113" i="7"/>
  <c r="T113" i="7" s="1"/>
  <c r="E113" i="7"/>
  <c r="D113" i="7"/>
  <c r="Q113" i="7" s="1"/>
  <c r="C113" i="7"/>
  <c r="U113" i="7" s="1"/>
  <c r="B113" i="7"/>
  <c r="A113" i="7"/>
  <c r="U112" i="7"/>
  <c r="T112" i="7"/>
  <c r="P112" i="7"/>
  <c r="O112" i="7"/>
  <c r="N112" i="7"/>
  <c r="M112" i="7"/>
  <c r="L112" i="7"/>
  <c r="K112" i="7"/>
  <c r="J112" i="7"/>
  <c r="I112" i="7"/>
  <c r="V112" i="7" s="1"/>
  <c r="H112" i="7"/>
  <c r="S112" i="7" s="1"/>
  <c r="G112" i="7"/>
  <c r="F112" i="7"/>
  <c r="E112" i="7"/>
  <c r="D112" i="7"/>
  <c r="Q112" i="7" s="1"/>
  <c r="C112" i="7"/>
  <c r="B112" i="7"/>
  <c r="R112" i="7" s="1"/>
  <c r="A112" i="7"/>
  <c r="T111" i="7"/>
  <c r="S111" i="7"/>
  <c r="Q111" i="7"/>
  <c r="P111" i="7"/>
  <c r="O111" i="7"/>
  <c r="N111" i="7"/>
  <c r="M111" i="7"/>
  <c r="L111" i="7"/>
  <c r="K111" i="7"/>
  <c r="J111" i="7"/>
  <c r="I111" i="7"/>
  <c r="V111" i="7" s="1"/>
  <c r="H111" i="7"/>
  <c r="G111" i="7"/>
  <c r="F111" i="7"/>
  <c r="E111" i="7"/>
  <c r="D111" i="7"/>
  <c r="C111" i="7"/>
  <c r="U111" i="7" s="1"/>
  <c r="B111" i="7"/>
  <c r="R111" i="7" s="1"/>
  <c r="A111" i="7"/>
  <c r="V110" i="7"/>
  <c r="U110" i="7"/>
  <c r="T110" i="7"/>
  <c r="S110" i="7"/>
  <c r="P110" i="7"/>
  <c r="O110" i="7"/>
  <c r="N110" i="7"/>
  <c r="M110" i="7"/>
  <c r="L110" i="7"/>
  <c r="K110" i="7"/>
  <c r="J110" i="7"/>
  <c r="I110" i="7"/>
  <c r="H110" i="7"/>
  <c r="G110" i="7"/>
  <c r="F110" i="7"/>
  <c r="E110" i="7"/>
  <c r="D110" i="7"/>
  <c r="Q110" i="7" s="1"/>
  <c r="C110" i="7"/>
  <c r="B110" i="7"/>
  <c r="R110" i="7" s="1"/>
  <c r="A110" i="7"/>
  <c r="V109" i="7"/>
  <c r="T109" i="7"/>
  <c r="P109" i="7"/>
  <c r="O109" i="7"/>
  <c r="N109" i="7"/>
  <c r="M109" i="7"/>
  <c r="L109" i="7"/>
  <c r="K109" i="7"/>
  <c r="J109" i="7"/>
  <c r="I109" i="7"/>
  <c r="H109" i="7"/>
  <c r="G109" i="7"/>
  <c r="S109" i="7" s="1"/>
  <c r="F109" i="7"/>
  <c r="E109" i="7"/>
  <c r="D109" i="7"/>
  <c r="Q109" i="7" s="1"/>
  <c r="C109" i="7"/>
  <c r="U109" i="7" s="1"/>
  <c r="B109" i="7"/>
  <c r="R109" i="7" s="1"/>
  <c r="A109" i="7"/>
  <c r="Q108" i="7"/>
  <c r="P108" i="7"/>
  <c r="O108" i="7"/>
  <c r="N108" i="7"/>
  <c r="M108" i="7"/>
  <c r="L108" i="7"/>
  <c r="K108" i="7"/>
  <c r="J108" i="7"/>
  <c r="I108" i="7"/>
  <c r="V108" i="7" s="1"/>
  <c r="H108" i="7"/>
  <c r="G108" i="7"/>
  <c r="S108" i="7" s="1"/>
  <c r="F108" i="7"/>
  <c r="T108" i="7" s="1"/>
  <c r="E108" i="7"/>
  <c r="D108" i="7"/>
  <c r="C108" i="7"/>
  <c r="U108" i="7" s="1"/>
  <c r="B108" i="7"/>
  <c r="R108" i="7" s="1"/>
  <c r="A108" i="7"/>
  <c r="V107" i="7"/>
  <c r="U107" i="7"/>
  <c r="P107" i="7"/>
  <c r="O107" i="7"/>
  <c r="N107" i="7"/>
  <c r="M107" i="7"/>
  <c r="L107" i="7"/>
  <c r="K107" i="7"/>
  <c r="J107" i="7"/>
  <c r="I107" i="7"/>
  <c r="H107" i="7"/>
  <c r="G107" i="7"/>
  <c r="S107" i="7" s="1"/>
  <c r="F107" i="7"/>
  <c r="T107" i="7" s="1"/>
  <c r="E107" i="7"/>
  <c r="D107" i="7"/>
  <c r="Q107" i="7" s="1"/>
  <c r="C107" i="7"/>
  <c r="B107" i="7"/>
  <c r="R107" i="7" s="1"/>
  <c r="A107" i="7"/>
  <c r="R106" i="7"/>
  <c r="Q106" i="7"/>
  <c r="P106" i="7"/>
  <c r="O106" i="7"/>
  <c r="N106" i="7"/>
  <c r="M106" i="7"/>
  <c r="L106" i="7"/>
  <c r="K106" i="7"/>
  <c r="J106" i="7"/>
  <c r="I106" i="7"/>
  <c r="V106" i="7" s="1"/>
  <c r="H106" i="7"/>
  <c r="G106" i="7"/>
  <c r="S106" i="7" s="1"/>
  <c r="F106" i="7"/>
  <c r="T106" i="7" s="1"/>
  <c r="E106" i="7"/>
  <c r="D106" i="7"/>
  <c r="C106" i="7"/>
  <c r="U106" i="7" s="1"/>
  <c r="B106" i="7"/>
  <c r="A106" i="7"/>
  <c r="U105" i="7"/>
  <c r="T105" i="7"/>
  <c r="R105" i="7"/>
  <c r="P105" i="7"/>
  <c r="O105" i="7"/>
  <c r="N105" i="7"/>
  <c r="M105" i="7"/>
  <c r="L105" i="7"/>
  <c r="K105" i="7"/>
  <c r="J105" i="7"/>
  <c r="I105" i="7"/>
  <c r="V105" i="7" s="1"/>
  <c r="H105" i="7"/>
  <c r="S105" i="7" s="1"/>
  <c r="G105" i="7"/>
  <c r="F105" i="7"/>
  <c r="E105" i="7"/>
  <c r="D105" i="7"/>
  <c r="Q105" i="7" s="1"/>
  <c r="C105" i="7"/>
  <c r="B105" i="7"/>
  <c r="A105" i="7"/>
  <c r="V104" i="7"/>
  <c r="S104" i="7"/>
  <c r="R104" i="7"/>
  <c r="Q104" i="7"/>
  <c r="P104" i="7"/>
  <c r="O104" i="7"/>
  <c r="N104" i="7"/>
  <c r="M104" i="7"/>
  <c r="L104" i="7"/>
  <c r="K104" i="7"/>
  <c r="J104" i="7"/>
  <c r="I104" i="7"/>
  <c r="H104" i="7"/>
  <c r="G104" i="7"/>
  <c r="F104" i="7"/>
  <c r="T104" i="7" s="1"/>
  <c r="E104" i="7"/>
  <c r="D104" i="7"/>
  <c r="C104" i="7"/>
  <c r="U104" i="7" s="1"/>
  <c r="B104" i="7"/>
  <c r="A104" i="7"/>
  <c r="V103" i="7"/>
  <c r="U103" i="7"/>
  <c r="T103" i="7"/>
  <c r="S103" i="7"/>
  <c r="R103" i="7"/>
  <c r="P103" i="7"/>
  <c r="O103" i="7"/>
  <c r="N103" i="7"/>
  <c r="M103" i="7"/>
  <c r="L103" i="7"/>
  <c r="K103" i="7"/>
  <c r="J103" i="7"/>
  <c r="I103" i="7"/>
  <c r="H103" i="7"/>
  <c r="G103" i="7"/>
  <c r="F103" i="7"/>
  <c r="E103" i="7"/>
  <c r="D103" i="7"/>
  <c r="Q103" i="7" s="1"/>
  <c r="C103" i="7"/>
  <c r="B103" i="7"/>
  <c r="A103" i="7"/>
  <c r="V102" i="7"/>
  <c r="U102" i="7"/>
  <c r="R102" i="7"/>
  <c r="P102" i="7"/>
  <c r="O102" i="7"/>
  <c r="N102" i="7"/>
  <c r="M102" i="7"/>
  <c r="L102" i="7"/>
  <c r="K102" i="7"/>
  <c r="J102" i="7"/>
  <c r="I102" i="7"/>
  <c r="H102" i="7"/>
  <c r="S102" i="7" s="1"/>
  <c r="G102" i="7"/>
  <c r="F102" i="7"/>
  <c r="T102" i="7" s="1"/>
  <c r="E102" i="7"/>
  <c r="D102" i="7"/>
  <c r="Q102" i="7" s="1"/>
  <c r="C102" i="7"/>
  <c r="B102" i="7"/>
  <c r="A102" i="7"/>
  <c r="V101" i="7"/>
  <c r="U101" i="7"/>
  <c r="R101" i="7"/>
  <c r="P101" i="7"/>
  <c r="O101" i="7"/>
  <c r="N101" i="7"/>
  <c r="M101" i="7"/>
  <c r="L101" i="7"/>
  <c r="K101" i="7"/>
  <c r="J101" i="7"/>
  <c r="I101" i="7"/>
  <c r="H101" i="7"/>
  <c r="G101" i="7"/>
  <c r="F101" i="7"/>
  <c r="T101" i="7" s="1"/>
  <c r="E101" i="7"/>
  <c r="D101" i="7"/>
  <c r="Q101" i="7" s="1"/>
  <c r="C101" i="7"/>
  <c r="B101" i="7"/>
  <c r="A101" i="7"/>
  <c r="V100" i="7"/>
  <c r="U100" i="7"/>
  <c r="Q100" i="7"/>
  <c r="P100" i="7"/>
  <c r="O100" i="7"/>
  <c r="N100" i="7"/>
  <c r="M100" i="7"/>
  <c r="L100" i="7"/>
  <c r="K100" i="7"/>
  <c r="J100" i="7"/>
  <c r="I100" i="7"/>
  <c r="H100" i="7"/>
  <c r="G100" i="7"/>
  <c r="F100" i="7"/>
  <c r="T100" i="7" s="1"/>
  <c r="E100" i="7"/>
  <c r="D100" i="7"/>
  <c r="C100" i="7"/>
  <c r="B100" i="7"/>
  <c r="R100" i="7" s="1"/>
  <c r="A100" i="7"/>
  <c r="T99" i="7"/>
  <c r="Q99" i="7"/>
  <c r="P99" i="7"/>
  <c r="O99" i="7"/>
  <c r="N99" i="7"/>
  <c r="M99" i="7"/>
  <c r="L99" i="7"/>
  <c r="K99" i="7"/>
  <c r="J99" i="7"/>
  <c r="I99" i="7"/>
  <c r="V99" i="7" s="1"/>
  <c r="H99" i="7"/>
  <c r="S99" i="7" s="1"/>
  <c r="G99" i="7"/>
  <c r="F99" i="7"/>
  <c r="E99" i="7"/>
  <c r="D99" i="7"/>
  <c r="C99" i="7"/>
  <c r="U99" i="7" s="1"/>
  <c r="B99" i="7"/>
  <c r="R99" i="7" s="1"/>
  <c r="A99" i="7"/>
  <c r="V98" i="7"/>
  <c r="R98" i="7"/>
  <c r="Q98" i="7"/>
  <c r="P98" i="7"/>
  <c r="O98" i="7"/>
  <c r="N98" i="7"/>
  <c r="M98" i="7"/>
  <c r="L98" i="7"/>
  <c r="K98" i="7"/>
  <c r="J98" i="7"/>
  <c r="I98" i="7"/>
  <c r="H98" i="7"/>
  <c r="G98" i="7"/>
  <c r="S98" i="7" s="1"/>
  <c r="F98" i="7"/>
  <c r="T98" i="7" s="1"/>
  <c r="E98" i="7"/>
  <c r="D98" i="7"/>
  <c r="C98" i="7"/>
  <c r="U98" i="7" s="1"/>
  <c r="B98" i="7"/>
  <c r="A98" i="7"/>
  <c r="V97" i="7"/>
  <c r="T97" i="7"/>
  <c r="S97" i="7"/>
  <c r="Q97" i="7"/>
  <c r="P97" i="7"/>
  <c r="O97" i="7"/>
  <c r="N97" i="7"/>
  <c r="M97" i="7"/>
  <c r="L97" i="7"/>
  <c r="K97" i="7"/>
  <c r="J97" i="7"/>
  <c r="I97" i="7"/>
  <c r="H97" i="7"/>
  <c r="G97" i="7"/>
  <c r="F97" i="7"/>
  <c r="E97" i="7"/>
  <c r="D97" i="7"/>
  <c r="C97" i="7"/>
  <c r="U97" i="7" s="1"/>
  <c r="B97" i="7"/>
  <c r="R97" i="7" s="1"/>
  <c r="A97" i="7"/>
  <c r="V96" i="7"/>
  <c r="P96" i="7"/>
  <c r="O96" i="7"/>
  <c r="N96" i="7"/>
  <c r="M96" i="7"/>
  <c r="L96" i="7"/>
  <c r="K96" i="7"/>
  <c r="J96" i="7"/>
  <c r="I96" i="7"/>
  <c r="H96" i="7"/>
  <c r="G96" i="7"/>
  <c r="F96" i="7"/>
  <c r="T96" i="7" s="1"/>
  <c r="E96" i="7"/>
  <c r="D96" i="7"/>
  <c r="Q96" i="7" s="1"/>
  <c r="C96" i="7"/>
  <c r="U96" i="7" s="1"/>
  <c r="B96" i="7"/>
  <c r="R96" i="7" s="1"/>
  <c r="A96" i="7"/>
  <c r="R95" i="7"/>
  <c r="Q95" i="7"/>
  <c r="P95" i="7"/>
  <c r="O95" i="7"/>
  <c r="N95" i="7"/>
  <c r="M95" i="7"/>
  <c r="L95" i="7"/>
  <c r="K95" i="7"/>
  <c r="J95" i="7"/>
  <c r="I95" i="7"/>
  <c r="V95" i="7" s="1"/>
  <c r="H95" i="7"/>
  <c r="G95" i="7"/>
  <c r="F95" i="7"/>
  <c r="T95" i="7" s="1"/>
  <c r="E95" i="7"/>
  <c r="D95" i="7"/>
  <c r="C95" i="7"/>
  <c r="U95" i="7" s="1"/>
  <c r="B95" i="7"/>
  <c r="A95" i="7"/>
  <c r="V94" i="7"/>
  <c r="T94" i="7"/>
  <c r="S94" i="7"/>
  <c r="R94" i="7"/>
  <c r="Q94" i="7"/>
  <c r="P94" i="7"/>
  <c r="O94" i="7"/>
  <c r="N94" i="7"/>
  <c r="M94" i="7"/>
  <c r="L94" i="7"/>
  <c r="K94" i="7"/>
  <c r="J94" i="7"/>
  <c r="I94" i="7"/>
  <c r="H94" i="7"/>
  <c r="G94" i="7"/>
  <c r="F94" i="7"/>
  <c r="E94" i="7"/>
  <c r="D94" i="7"/>
  <c r="C94" i="7"/>
  <c r="U94" i="7" s="1"/>
  <c r="B94" i="7"/>
  <c r="A94" i="7"/>
  <c r="V93" i="7"/>
  <c r="U93" i="7"/>
  <c r="T93" i="7"/>
  <c r="P93" i="7"/>
  <c r="O93" i="7"/>
  <c r="N93" i="7"/>
  <c r="M93" i="7"/>
  <c r="L93" i="7"/>
  <c r="K93" i="7"/>
  <c r="J93" i="7"/>
  <c r="I93" i="7"/>
  <c r="H93" i="7"/>
  <c r="G93" i="7"/>
  <c r="S93" i="7" s="1"/>
  <c r="F93" i="7"/>
  <c r="E93" i="7"/>
  <c r="D93" i="7"/>
  <c r="Q93" i="7" s="1"/>
  <c r="C93" i="7"/>
  <c r="B93" i="7"/>
  <c r="R93" i="7" s="1"/>
  <c r="A93" i="7"/>
  <c r="T92" i="7"/>
  <c r="Q92" i="7"/>
  <c r="P92" i="7"/>
  <c r="O92" i="7"/>
  <c r="N92" i="7"/>
  <c r="M92" i="7"/>
  <c r="L92" i="7"/>
  <c r="K92" i="7"/>
  <c r="J92" i="7"/>
  <c r="I92" i="7"/>
  <c r="V92" i="7" s="1"/>
  <c r="H92" i="7"/>
  <c r="G92" i="7"/>
  <c r="F92" i="7"/>
  <c r="E92" i="7"/>
  <c r="D92" i="7"/>
  <c r="C92" i="7"/>
  <c r="U92" i="7" s="1"/>
  <c r="B92" i="7"/>
  <c r="R92" i="7" s="1"/>
  <c r="A92" i="7"/>
  <c r="V91" i="7"/>
  <c r="U91" i="7"/>
  <c r="T91" i="7"/>
  <c r="P91" i="7"/>
  <c r="O91" i="7"/>
  <c r="N91" i="7"/>
  <c r="M91" i="7"/>
  <c r="L91" i="7"/>
  <c r="K91" i="7"/>
  <c r="J91" i="7"/>
  <c r="I91" i="7"/>
  <c r="H91" i="7"/>
  <c r="G91" i="7"/>
  <c r="F91" i="7"/>
  <c r="E91" i="7"/>
  <c r="D91" i="7"/>
  <c r="Q91" i="7" s="1"/>
  <c r="C91" i="7"/>
  <c r="B91" i="7"/>
  <c r="R91" i="7" s="1"/>
  <c r="A91" i="7"/>
  <c r="T90" i="7"/>
  <c r="Q90" i="7"/>
  <c r="P90" i="7"/>
  <c r="O90" i="7"/>
  <c r="N90" i="7"/>
  <c r="M90" i="7"/>
  <c r="L90" i="7"/>
  <c r="K90" i="7"/>
  <c r="J90" i="7"/>
  <c r="I90" i="7"/>
  <c r="V90" i="7" s="1"/>
  <c r="H90" i="7"/>
  <c r="G90" i="7"/>
  <c r="F90" i="7"/>
  <c r="E90" i="7"/>
  <c r="D90" i="7"/>
  <c r="C90" i="7"/>
  <c r="U90" i="7" s="1"/>
  <c r="B90" i="7"/>
  <c r="R90" i="7" s="1"/>
  <c r="A90" i="7"/>
  <c r="V89" i="7"/>
  <c r="T89" i="7"/>
  <c r="Q89" i="7"/>
  <c r="P89" i="7"/>
  <c r="O89" i="7"/>
  <c r="N89" i="7"/>
  <c r="M89" i="7"/>
  <c r="L89" i="7"/>
  <c r="K89" i="7"/>
  <c r="J89" i="7"/>
  <c r="I89" i="7"/>
  <c r="H89" i="7"/>
  <c r="G89" i="7"/>
  <c r="S89" i="7" s="1"/>
  <c r="F89" i="7"/>
  <c r="E89" i="7"/>
  <c r="D89" i="7"/>
  <c r="C89" i="7"/>
  <c r="U89" i="7" s="1"/>
  <c r="B89" i="7"/>
  <c r="R89" i="7" s="1"/>
  <c r="A89" i="7"/>
  <c r="V88" i="7"/>
  <c r="U88" i="7"/>
  <c r="S88" i="7"/>
  <c r="Q88" i="7"/>
  <c r="P88" i="7"/>
  <c r="O88" i="7"/>
  <c r="N88" i="7"/>
  <c r="M88" i="7"/>
  <c r="L88" i="7"/>
  <c r="K88" i="7"/>
  <c r="J88" i="7"/>
  <c r="I88" i="7"/>
  <c r="H88" i="7"/>
  <c r="G88" i="7"/>
  <c r="F88" i="7"/>
  <c r="T88" i="7" s="1"/>
  <c r="E88" i="7"/>
  <c r="D88" i="7"/>
  <c r="C88" i="7"/>
  <c r="B88" i="7"/>
  <c r="R88" i="7" s="1"/>
  <c r="A88" i="7"/>
  <c r="V87" i="7"/>
  <c r="T87" i="7"/>
  <c r="P87" i="7"/>
  <c r="O87" i="7"/>
  <c r="N87" i="7"/>
  <c r="M87" i="7"/>
  <c r="L87" i="7"/>
  <c r="K87" i="7"/>
  <c r="J87" i="7"/>
  <c r="I87" i="7"/>
  <c r="H87" i="7"/>
  <c r="G87" i="7"/>
  <c r="S87" i="7" s="1"/>
  <c r="F87" i="7"/>
  <c r="E87" i="7"/>
  <c r="D87" i="7"/>
  <c r="Q87" i="7" s="1"/>
  <c r="C87" i="7"/>
  <c r="U87" i="7" s="1"/>
  <c r="B87" i="7"/>
  <c r="R87" i="7" s="1"/>
  <c r="A87" i="7"/>
  <c r="R86" i="7"/>
  <c r="P86" i="7"/>
  <c r="O86" i="7"/>
  <c r="N86" i="7"/>
  <c r="M86" i="7"/>
  <c r="L86" i="7"/>
  <c r="K86" i="7"/>
  <c r="J86" i="7"/>
  <c r="I86" i="7"/>
  <c r="V86" i="7" s="1"/>
  <c r="H86" i="7"/>
  <c r="G86" i="7"/>
  <c r="F86" i="7"/>
  <c r="T86" i="7" s="1"/>
  <c r="E86" i="7"/>
  <c r="D86" i="7"/>
  <c r="Q86" i="7" s="1"/>
  <c r="C86" i="7"/>
  <c r="U86" i="7" s="1"/>
  <c r="B86" i="7"/>
  <c r="A86" i="7"/>
  <c r="V85" i="7"/>
  <c r="T85" i="7"/>
  <c r="S85" i="7"/>
  <c r="P85" i="7"/>
  <c r="O85" i="7"/>
  <c r="N85" i="7"/>
  <c r="M85" i="7"/>
  <c r="L85" i="7"/>
  <c r="K85" i="7"/>
  <c r="J85" i="7"/>
  <c r="I85" i="7"/>
  <c r="H85" i="7"/>
  <c r="G85" i="7"/>
  <c r="F85" i="7"/>
  <c r="E85" i="7"/>
  <c r="D85" i="7"/>
  <c r="Q85" i="7" s="1"/>
  <c r="C85" i="7"/>
  <c r="U85" i="7" s="1"/>
  <c r="B85" i="7"/>
  <c r="R85" i="7" s="1"/>
  <c r="A85" i="7"/>
  <c r="T84" i="7"/>
  <c r="S84" i="7"/>
  <c r="Q84" i="7"/>
  <c r="P84" i="7"/>
  <c r="O84" i="7"/>
  <c r="N84" i="7"/>
  <c r="M84" i="7"/>
  <c r="L84" i="7"/>
  <c r="K84" i="7"/>
  <c r="J84" i="7"/>
  <c r="I84" i="7"/>
  <c r="V84" i="7" s="1"/>
  <c r="H84" i="7"/>
  <c r="G84" i="7"/>
  <c r="F84" i="7"/>
  <c r="E84" i="7"/>
  <c r="D84" i="7"/>
  <c r="C84" i="7"/>
  <c r="U84" i="7" s="1"/>
  <c r="B84" i="7"/>
  <c r="R84" i="7" s="1"/>
  <c r="A84" i="7"/>
  <c r="V83" i="7"/>
  <c r="T83" i="7"/>
  <c r="S83" i="7"/>
  <c r="P83" i="7"/>
  <c r="O83" i="7"/>
  <c r="N83" i="7"/>
  <c r="M83" i="7"/>
  <c r="L83" i="7"/>
  <c r="K83" i="7"/>
  <c r="J83" i="7"/>
  <c r="I83" i="7"/>
  <c r="H83" i="7"/>
  <c r="G83" i="7"/>
  <c r="F83" i="7"/>
  <c r="E83" i="7"/>
  <c r="D83" i="7"/>
  <c r="Q83" i="7" s="1"/>
  <c r="C83" i="7"/>
  <c r="U83" i="7" s="1"/>
  <c r="B83" i="7"/>
  <c r="R83" i="7" s="1"/>
  <c r="A83" i="7"/>
  <c r="V82" i="7"/>
  <c r="P82" i="7"/>
  <c r="O82" i="7"/>
  <c r="N82" i="7"/>
  <c r="M82" i="7"/>
  <c r="L82" i="7"/>
  <c r="K82" i="7"/>
  <c r="J82" i="7"/>
  <c r="I82" i="7"/>
  <c r="H82" i="7"/>
  <c r="G82" i="7"/>
  <c r="F82" i="7"/>
  <c r="T82" i="7" s="1"/>
  <c r="E82" i="7"/>
  <c r="D82" i="7"/>
  <c r="Q82" i="7" s="1"/>
  <c r="C82" i="7"/>
  <c r="U82" i="7" s="1"/>
  <c r="B82" i="7"/>
  <c r="R82" i="7" s="1"/>
  <c r="A82" i="7"/>
  <c r="R81" i="7"/>
  <c r="Q81" i="7"/>
  <c r="P81" i="7"/>
  <c r="O81" i="7"/>
  <c r="N81" i="7"/>
  <c r="M81" i="7"/>
  <c r="L81" i="7"/>
  <c r="K81" i="7"/>
  <c r="J81" i="7"/>
  <c r="I81" i="7"/>
  <c r="V81" i="7" s="1"/>
  <c r="H81" i="7"/>
  <c r="G81" i="7"/>
  <c r="S81" i="7" s="1"/>
  <c r="F81" i="7"/>
  <c r="T81" i="7" s="1"/>
  <c r="E81" i="7"/>
  <c r="D81" i="7"/>
  <c r="C81" i="7"/>
  <c r="U81" i="7" s="1"/>
  <c r="B81" i="7"/>
  <c r="A81" i="7"/>
  <c r="V80" i="7"/>
  <c r="P80" i="7"/>
  <c r="O80" i="7"/>
  <c r="N80" i="7"/>
  <c r="M80" i="7"/>
  <c r="L80" i="7"/>
  <c r="K80" i="7"/>
  <c r="J80" i="7"/>
  <c r="I80" i="7"/>
  <c r="H80" i="7"/>
  <c r="G80" i="7"/>
  <c r="S80" i="7" s="1"/>
  <c r="F80" i="7"/>
  <c r="T80" i="7" s="1"/>
  <c r="E80" i="7"/>
  <c r="D80" i="7"/>
  <c r="Q80" i="7" s="1"/>
  <c r="C80" i="7"/>
  <c r="U80" i="7" s="1"/>
  <c r="B80" i="7"/>
  <c r="R80" i="7" s="1"/>
  <c r="A80" i="7"/>
  <c r="R79" i="7"/>
  <c r="P79" i="7"/>
  <c r="O79" i="7"/>
  <c r="N79" i="7"/>
  <c r="M79" i="7"/>
  <c r="L79" i="7"/>
  <c r="K79" i="7"/>
  <c r="J79" i="7"/>
  <c r="I79" i="7"/>
  <c r="V79" i="7" s="1"/>
  <c r="H79" i="7"/>
  <c r="G79" i="7"/>
  <c r="S79" i="7" s="1"/>
  <c r="F79" i="7"/>
  <c r="T79" i="7" s="1"/>
  <c r="E79" i="7"/>
  <c r="D79" i="7"/>
  <c r="Q79" i="7" s="1"/>
  <c r="C79" i="7"/>
  <c r="U79" i="7" s="1"/>
  <c r="B79" i="7"/>
  <c r="A79" i="7"/>
  <c r="T78" i="7"/>
  <c r="R78" i="7"/>
  <c r="P78" i="7"/>
  <c r="O78" i="7"/>
  <c r="N78" i="7"/>
  <c r="M78" i="7"/>
  <c r="L78" i="7"/>
  <c r="K78" i="7"/>
  <c r="J78" i="7"/>
  <c r="I78" i="7"/>
  <c r="V78" i="7" s="1"/>
  <c r="H78" i="7"/>
  <c r="G78" i="7"/>
  <c r="F78" i="7"/>
  <c r="E78" i="7"/>
  <c r="D78" i="7"/>
  <c r="Q78" i="7" s="1"/>
  <c r="C78" i="7"/>
  <c r="U78" i="7" s="1"/>
  <c r="B78" i="7"/>
  <c r="A78" i="7"/>
  <c r="S77" i="7"/>
  <c r="R77" i="7"/>
  <c r="Q77" i="7"/>
  <c r="P77" i="7"/>
  <c r="O77" i="7"/>
  <c r="N77" i="7"/>
  <c r="M77" i="7"/>
  <c r="L77" i="7"/>
  <c r="K77" i="7"/>
  <c r="J77" i="7"/>
  <c r="I77" i="7"/>
  <c r="V77" i="7" s="1"/>
  <c r="H77" i="7"/>
  <c r="G77" i="7"/>
  <c r="F77" i="7"/>
  <c r="T77" i="7" s="1"/>
  <c r="E77" i="7"/>
  <c r="D77" i="7"/>
  <c r="C77" i="7"/>
  <c r="U77" i="7" s="1"/>
  <c r="B77" i="7"/>
  <c r="A77" i="7"/>
  <c r="V76" i="7"/>
  <c r="U76" i="7"/>
  <c r="T76" i="7"/>
  <c r="S76" i="7"/>
  <c r="R76" i="7"/>
  <c r="P76" i="7"/>
  <c r="O76" i="7"/>
  <c r="N76" i="7"/>
  <c r="M76" i="7"/>
  <c r="L76" i="7"/>
  <c r="K76" i="7"/>
  <c r="J76" i="7"/>
  <c r="I76" i="7"/>
  <c r="H76" i="7"/>
  <c r="G76" i="7"/>
  <c r="F76" i="7"/>
  <c r="E76" i="7"/>
  <c r="D76" i="7"/>
  <c r="Q76" i="7" s="1"/>
  <c r="C76" i="7"/>
  <c r="B76" i="7"/>
  <c r="A76" i="7"/>
  <c r="T75" i="7"/>
  <c r="R75" i="7"/>
  <c r="Q75" i="7"/>
  <c r="P75" i="7"/>
  <c r="O75" i="7"/>
  <c r="N75" i="7"/>
  <c r="M75" i="7"/>
  <c r="L75" i="7"/>
  <c r="K75" i="7"/>
  <c r="J75" i="7"/>
  <c r="I75" i="7"/>
  <c r="V75" i="7" s="1"/>
  <c r="H75" i="7"/>
  <c r="G75" i="7"/>
  <c r="S75" i="7" s="1"/>
  <c r="F75" i="7"/>
  <c r="E75" i="7"/>
  <c r="D75" i="7"/>
  <c r="C75" i="7"/>
  <c r="U75" i="7" s="1"/>
  <c r="B75" i="7"/>
  <c r="A75" i="7"/>
  <c r="V74" i="7"/>
  <c r="R74" i="7"/>
  <c r="P74" i="7"/>
  <c r="O74" i="7"/>
  <c r="N74" i="7"/>
  <c r="M74" i="7"/>
  <c r="L74" i="7"/>
  <c r="K74" i="7"/>
  <c r="J74" i="7"/>
  <c r="I74" i="7"/>
  <c r="H74" i="7"/>
  <c r="G74" i="7"/>
  <c r="F74" i="7"/>
  <c r="T74" i="7" s="1"/>
  <c r="E74" i="7"/>
  <c r="D74" i="7"/>
  <c r="Q74" i="7" s="1"/>
  <c r="C74" i="7"/>
  <c r="U74" i="7" s="1"/>
  <c r="B74" i="7"/>
  <c r="A74" i="7"/>
  <c r="U73" i="7"/>
  <c r="Q73" i="7"/>
  <c r="P73" i="7"/>
  <c r="O73" i="7"/>
  <c r="N73" i="7"/>
  <c r="M73" i="7"/>
  <c r="L73" i="7"/>
  <c r="K73" i="7"/>
  <c r="J73" i="7"/>
  <c r="I73" i="7"/>
  <c r="V73" i="7" s="1"/>
  <c r="H73" i="7"/>
  <c r="G73" i="7"/>
  <c r="S73" i="7" s="1"/>
  <c r="F73" i="7"/>
  <c r="T73" i="7" s="1"/>
  <c r="E73" i="7"/>
  <c r="D73" i="7"/>
  <c r="C73" i="7"/>
  <c r="B73" i="7"/>
  <c r="R73" i="7" s="1"/>
  <c r="A73" i="7"/>
  <c r="T72" i="7"/>
  <c r="Q72" i="7"/>
  <c r="P72" i="7"/>
  <c r="O72" i="7"/>
  <c r="N72" i="7"/>
  <c r="M72" i="7"/>
  <c r="L72" i="7"/>
  <c r="K72" i="7"/>
  <c r="J72" i="7"/>
  <c r="I72" i="7"/>
  <c r="V72" i="7" s="1"/>
  <c r="H72" i="7"/>
  <c r="S72" i="7" s="1"/>
  <c r="G72" i="7"/>
  <c r="F72" i="7"/>
  <c r="E72" i="7"/>
  <c r="D72" i="7"/>
  <c r="C72" i="7"/>
  <c r="U72" i="7" s="1"/>
  <c r="B72" i="7"/>
  <c r="R72" i="7" s="1"/>
  <c r="A72" i="7"/>
  <c r="V71" i="7"/>
  <c r="S71" i="7"/>
  <c r="R71" i="7"/>
  <c r="Q71" i="7"/>
  <c r="P71" i="7"/>
  <c r="O71" i="7"/>
  <c r="N71" i="7"/>
  <c r="M71" i="7"/>
  <c r="L71" i="7"/>
  <c r="K71" i="7"/>
  <c r="J71" i="7"/>
  <c r="I71" i="7"/>
  <c r="H71" i="7"/>
  <c r="G71" i="7"/>
  <c r="F71" i="7"/>
  <c r="T71" i="7" s="1"/>
  <c r="E71" i="7"/>
  <c r="D71" i="7"/>
  <c r="C71" i="7"/>
  <c r="U71" i="7" s="1"/>
  <c r="B71" i="7"/>
  <c r="A71" i="7"/>
  <c r="V70" i="7"/>
  <c r="T70" i="7"/>
  <c r="S70" i="7"/>
  <c r="Q70" i="7"/>
  <c r="P70" i="7"/>
  <c r="O70" i="7"/>
  <c r="N70" i="7"/>
  <c r="M70" i="7"/>
  <c r="L70" i="7"/>
  <c r="K70" i="7"/>
  <c r="J70" i="7"/>
  <c r="I70" i="7"/>
  <c r="H70" i="7"/>
  <c r="G70" i="7"/>
  <c r="F70" i="7"/>
  <c r="E70" i="7"/>
  <c r="D70" i="7"/>
  <c r="C70" i="7"/>
  <c r="U70" i="7" s="1"/>
  <c r="B70" i="7"/>
  <c r="R70" i="7" s="1"/>
  <c r="A70" i="7"/>
  <c r="V69" i="7"/>
  <c r="P69" i="7"/>
  <c r="O69" i="7"/>
  <c r="N69" i="7"/>
  <c r="M69" i="7"/>
  <c r="L69" i="7"/>
  <c r="K69" i="7"/>
  <c r="J69" i="7"/>
  <c r="I69" i="7"/>
  <c r="H69" i="7"/>
  <c r="G69" i="7"/>
  <c r="F69" i="7"/>
  <c r="T69" i="7" s="1"/>
  <c r="E69" i="7"/>
  <c r="D69" i="7"/>
  <c r="Q69" i="7" s="1"/>
  <c r="C69" i="7"/>
  <c r="U69" i="7" s="1"/>
  <c r="B69" i="7"/>
  <c r="R69" i="7" s="1"/>
  <c r="A69" i="7"/>
  <c r="R68" i="7"/>
  <c r="Q68" i="7"/>
  <c r="P68" i="7"/>
  <c r="O68" i="7"/>
  <c r="N68" i="7"/>
  <c r="M68" i="7"/>
  <c r="L68" i="7"/>
  <c r="K68" i="7"/>
  <c r="J68" i="7"/>
  <c r="I68" i="7"/>
  <c r="V68" i="7" s="1"/>
  <c r="H68" i="7"/>
  <c r="G68" i="7"/>
  <c r="F68" i="7"/>
  <c r="T68" i="7" s="1"/>
  <c r="E68" i="7"/>
  <c r="D68" i="7"/>
  <c r="C68" i="7"/>
  <c r="U68" i="7" s="1"/>
  <c r="B68" i="7"/>
  <c r="A68" i="7"/>
  <c r="U67" i="7"/>
  <c r="T67" i="7"/>
  <c r="S67" i="7"/>
  <c r="R67" i="7"/>
  <c r="P67" i="7"/>
  <c r="O67" i="7"/>
  <c r="N67" i="7"/>
  <c r="M67" i="7"/>
  <c r="L67" i="7"/>
  <c r="K67" i="7"/>
  <c r="J67" i="7"/>
  <c r="I67" i="7"/>
  <c r="V67" i="7" s="1"/>
  <c r="H67" i="7"/>
  <c r="G67" i="7"/>
  <c r="F67" i="7"/>
  <c r="E67" i="7"/>
  <c r="D67" i="7"/>
  <c r="Q67" i="7" s="1"/>
  <c r="C67" i="7"/>
  <c r="B67" i="7"/>
  <c r="A67" i="7"/>
  <c r="V66" i="7"/>
  <c r="Q66" i="7"/>
  <c r="P66" i="7"/>
  <c r="O66" i="7"/>
  <c r="N66" i="7"/>
  <c r="M66" i="7"/>
  <c r="L66" i="7"/>
  <c r="K66" i="7"/>
  <c r="J66" i="7"/>
  <c r="I66" i="7"/>
  <c r="H66" i="7"/>
  <c r="G66" i="7"/>
  <c r="S66" i="7" s="1"/>
  <c r="F66" i="7"/>
  <c r="T66" i="7" s="1"/>
  <c r="E66" i="7"/>
  <c r="D66" i="7"/>
  <c r="C66" i="7"/>
  <c r="U66" i="7" s="1"/>
  <c r="B66" i="7"/>
  <c r="R66" i="7" s="1"/>
  <c r="A66" i="7"/>
  <c r="T65" i="7"/>
  <c r="Q65" i="7"/>
  <c r="P65" i="7"/>
  <c r="O65" i="7"/>
  <c r="N65" i="7"/>
  <c r="M65" i="7"/>
  <c r="L65" i="7"/>
  <c r="K65" i="7"/>
  <c r="J65" i="7"/>
  <c r="I65" i="7"/>
  <c r="V65" i="7" s="1"/>
  <c r="H65" i="7"/>
  <c r="S65" i="7" s="1"/>
  <c r="G65" i="7"/>
  <c r="F65" i="7"/>
  <c r="E65" i="7"/>
  <c r="D65" i="7"/>
  <c r="C65" i="7"/>
  <c r="U65" i="7" s="1"/>
  <c r="B65" i="7"/>
  <c r="R65" i="7" s="1"/>
  <c r="A65" i="7"/>
  <c r="V64" i="7"/>
  <c r="T64" i="7"/>
  <c r="P64" i="7"/>
  <c r="O64" i="7"/>
  <c r="N64" i="7"/>
  <c r="M64" i="7"/>
  <c r="L64" i="7"/>
  <c r="K64" i="7"/>
  <c r="J64" i="7"/>
  <c r="I64" i="7"/>
  <c r="H64" i="7"/>
  <c r="G64" i="7"/>
  <c r="S64" i="7" s="1"/>
  <c r="F64" i="7"/>
  <c r="E64" i="7"/>
  <c r="D64" i="7"/>
  <c r="Q64" i="7" s="1"/>
  <c r="C64" i="7"/>
  <c r="U64" i="7" s="1"/>
  <c r="B64" i="7"/>
  <c r="R64" i="7" s="1"/>
  <c r="A64" i="7"/>
  <c r="Q63" i="7"/>
  <c r="P63" i="7"/>
  <c r="O63" i="7"/>
  <c r="N63" i="7"/>
  <c r="M63" i="7"/>
  <c r="L63" i="7"/>
  <c r="K63" i="7"/>
  <c r="J63" i="7"/>
  <c r="I63" i="7"/>
  <c r="V63" i="7" s="1"/>
  <c r="H63" i="7"/>
  <c r="G63" i="7"/>
  <c r="F63" i="7"/>
  <c r="T63" i="7" s="1"/>
  <c r="E63" i="7"/>
  <c r="D63" i="7"/>
  <c r="C63" i="7"/>
  <c r="U63" i="7" s="1"/>
  <c r="B63" i="7"/>
  <c r="R63" i="7" s="1"/>
  <c r="A63" i="7"/>
  <c r="V62" i="7"/>
  <c r="T62" i="7"/>
  <c r="Q62" i="7"/>
  <c r="P62" i="7"/>
  <c r="O62" i="7"/>
  <c r="N62" i="7"/>
  <c r="M62" i="7"/>
  <c r="L62" i="7"/>
  <c r="K62" i="7"/>
  <c r="J62" i="7"/>
  <c r="I62" i="7"/>
  <c r="H62" i="7"/>
  <c r="G62" i="7"/>
  <c r="S62" i="7" s="1"/>
  <c r="F62" i="7"/>
  <c r="E62" i="7"/>
  <c r="D62" i="7"/>
  <c r="C62" i="7"/>
  <c r="U62" i="7" s="1"/>
  <c r="B62" i="7"/>
  <c r="R62" i="7" s="1"/>
  <c r="A62" i="7"/>
  <c r="V61" i="7"/>
  <c r="U61" i="7"/>
  <c r="T61" i="7"/>
  <c r="S61" i="7"/>
  <c r="P61" i="7"/>
  <c r="O61" i="7"/>
  <c r="N61" i="7"/>
  <c r="M61" i="7"/>
  <c r="L61" i="7"/>
  <c r="K61" i="7"/>
  <c r="J61" i="7"/>
  <c r="I61" i="7"/>
  <c r="H61" i="7"/>
  <c r="G61" i="7"/>
  <c r="F61" i="7"/>
  <c r="E61" i="7"/>
  <c r="D61" i="7"/>
  <c r="Q61" i="7" s="1"/>
  <c r="C61" i="7"/>
  <c r="B61" i="7"/>
  <c r="R61" i="7" s="1"/>
  <c r="A61" i="7"/>
  <c r="U60" i="7"/>
  <c r="T60" i="7"/>
  <c r="R60" i="7"/>
  <c r="P60" i="7"/>
  <c r="O60" i="7"/>
  <c r="N60" i="7"/>
  <c r="M60" i="7"/>
  <c r="L60" i="7"/>
  <c r="K60" i="7"/>
  <c r="J60" i="7"/>
  <c r="I60" i="7"/>
  <c r="V60" i="7" s="1"/>
  <c r="H60" i="7"/>
  <c r="G60" i="7"/>
  <c r="S60" i="7" s="1"/>
  <c r="F60" i="7"/>
  <c r="E60" i="7"/>
  <c r="D60" i="7"/>
  <c r="Q60" i="7" s="1"/>
  <c r="C60" i="7"/>
  <c r="B60" i="7"/>
  <c r="A60" i="7"/>
  <c r="S59" i="7"/>
  <c r="R59" i="7"/>
  <c r="Q59" i="7"/>
  <c r="P59" i="7"/>
  <c r="O59" i="7"/>
  <c r="N59" i="7"/>
  <c r="M59" i="7"/>
  <c r="L59" i="7"/>
  <c r="K59" i="7"/>
  <c r="J59" i="7"/>
  <c r="I59" i="7"/>
  <c r="V59" i="7" s="1"/>
  <c r="H59" i="7"/>
  <c r="G59" i="7"/>
  <c r="F59" i="7"/>
  <c r="T59" i="7" s="1"/>
  <c r="E59" i="7"/>
  <c r="D59" i="7"/>
  <c r="C59" i="7"/>
  <c r="U59" i="7" s="1"/>
  <c r="B59" i="7"/>
  <c r="A59" i="7"/>
  <c r="V58" i="7"/>
  <c r="T58" i="7"/>
  <c r="P58" i="7"/>
  <c r="O58" i="7"/>
  <c r="N58" i="7"/>
  <c r="M58" i="7"/>
  <c r="L58" i="7"/>
  <c r="K58" i="7"/>
  <c r="J58" i="7"/>
  <c r="I58" i="7"/>
  <c r="H58" i="7"/>
  <c r="S58" i="7" s="1"/>
  <c r="G58" i="7"/>
  <c r="F58" i="7"/>
  <c r="E58" i="7"/>
  <c r="D58" i="7"/>
  <c r="Q58" i="7" s="1"/>
  <c r="C58" i="7"/>
  <c r="U58" i="7" s="1"/>
  <c r="B58" i="7"/>
  <c r="R58" i="7" s="1"/>
  <c r="A58" i="7"/>
  <c r="T57" i="7"/>
  <c r="R57" i="7"/>
  <c r="Q57" i="7"/>
  <c r="P57" i="7"/>
  <c r="O57" i="7"/>
  <c r="N57" i="7"/>
  <c r="M57" i="7"/>
  <c r="L57" i="7"/>
  <c r="K57" i="7"/>
  <c r="J57" i="7"/>
  <c r="I57" i="7"/>
  <c r="V57" i="7" s="1"/>
  <c r="H57" i="7"/>
  <c r="G57" i="7"/>
  <c r="S57" i="7" s="1"/>
  <c r="F57" i="7"/>
  <c r="E57" i="7"/>
  <c r="D57" i="7"/>
  <c r="C57" i="7"/>
  <c r="U57" i="7" s="1"/>
  <c r="B57" i="7"/>
  <c r="A57" i="7"/>
  <c r="T56" i="7"/>
  <c r="S56" i="7"/>
  <c r="P56" i="7"/>
  <c r="O56" i="7"/>
  <c r="N56" i="7"/>
  <c r="M56" i="7"/>
  <c r="L56" i="7"/>
  <c r="K56" i="7"/>
  <c r="J56" i="7"/>
  <c r="I56" i="7"/>
  <c r="V56" i="7" s="1"/>
  <c r="H56" i="7"/>
  <c r="G56" i="7"/>
  <c r="F56" i="7"/>
  <c r="E56" i="7"/>
  <c r="D56" i="7"/>
  <c r="Q56" i="7" s="1"/>
  <c r="C56" i="7"/>
  <c r="U56" i="7" s="1"/>
  <c r="B56" i="7"/>
  <c r="R56" i="7" s="1"/>
  <c r="A56" i="7"/>
  <c r="V55" i="7"/>
  <c r="P55" i="7"/>
  <c r="O55" i="7"/>
  <c r="N55" i="7"/>
  <c r="M55" i="7"/>
  <c r="L55" i="7"/>
  <c r="K55" i="7"/>
  <c r="J55" i="7"/>
  <c r="I55" i="7"/>
  <c r="H55" i="7"/>
  <c r="G55" i="7"/>
  <c r="S55" i="7" s="1"/>
  <c r="F55" i="7"/>
  <c r="T55" i="7" s="1"/>
  <c r="E55" i="7"/>
  <c r="D55" i="7"/>
  <c r="Q55" i="7" s="1"/>
  <c r="C55" i="7"/>
  <c r="U55" i="7" s="1"/>
  <c r="B55" i="7"/>
  <c r="R55" i="7" s="1"/>
  <c r="A55" i="7"/>
  <c r="U54" i="7"/>
  <c r="Q54" i="7"/>
  <c r="P54" i="7"/>
  <c r="O54" i="7"/>
  <c r="N54" i="7"/>
  <c r="M54" i="7"/>
  <c r="L54" i="7"/>
  <c r="K54" i="7"/>
  <c r="J54" i="7"/>
  <c r="I54" i="7"/>
  <c r="V54" i="7" s="1"/>
  <c r="H54" i="7"/>
  <c r="G54" i="7"/>
  <c r="S54" i="7" s="1"/>
  <c r="F54" i="7"/>
  <c r="T54" i="7" s="1"/>
  <c r="E54" i="7"/>
  <c r="D54" i="7"/>
  <c r="C54" i="7"/>
  <c r="B54" i="7"/>
  <c r="R54" i="7" s="1"/>
  <c r="A54" i="7"/>
  <c r="V53" i="7"/>
  <c r="U53" i="7"/>
  <c r="R53" i="7"/>
  <c r="P53" i="7"/>
  <c r="O53" i="7"/>
  <c r="N53" i="7"/>
  <c r="M53" i="7"/>
  <c r="L53" i="7"/>
  <c r="K53" i="7"/>
  <c r="J53" i="7"/>
  <c r="I53" i="7"/>
  <c r="H53" i="7"/>
  <c r="G53" i="7"/>
  <c r="S53" i="7" s="1"/>
  <c r="F53" i="7"/>
  <c r="T53" i="7" s="1"/>
  <c r="E53" i="7"/>
  <c r="D53" i="7"/>
  <c r="Q53" i="7" s="1"/>
  <c r="C53" i="7"/>
  <c r="B53" i="7"/>
  <c r="A53" i="7"/>
  <c r="R52" i="7"/>
  <c r="Q52" i="7"/>
  <c r="P52" i="7"/>
  <c r="O52" i="7"/>
  <c r="N52" i="7"/>
  <c r="M52" i="7"/>
  <c r="L52" i="7"/>
  <c r="K52" i="7"/>
  <c r="J52" i="7"/>
  <c r="I52" i="7"/>
  <c r="V52" i="7" s="1"/>
  <c r="H52" i="7"/>
  <c r="G52" i="7"/>
  <c r="S52" i="7" s="1"/>
  <c r="F52" i="7"/>
  <c r="T52" i="7" s="1"/>
  <c r="E52" i="7"/>
  <c r="D52" i="7"/>
  <c r="C52" i="7"/>
  <c r="U52" i="7" s="1"/>
  <c r="B52" i="7"/>
  <c r="A52" i="7"/>
  <c r="V51" i="7"/>
  <c r="T51" i="7"/>
  <c r="S51" i="7"/>
  <c r="P51" i="7"/>
  <c r="O51" i="7"/>
  <c r="N51" i="7"/>
  <c r="M51" i="7"/>
  <c r="L51" i="7"/>
  <c r="K51" i="7"/>
  <c r="J51" i="7"/>
  <c r="I51" i="7"/>
  <c r="H51" i="7"/>
  <c r="G51" i="7"/>
  <c r="F51" i="7"/>
  <c r="E51" i="7"/>
  <c r="D51" i="7"/>
  <c r="Q51" i="7" s="1"/>
  <c r="C51" i="7"/>
  <c r="U51" i="7" s="1"/>
  <c r="B51" i="7"/>
  <c r="R51" i="7" s="1"/>
  <c r="A51" i="7"/>
  <c r="V50" i="7"/>
  <c r="S50" i="7"/>
  <c r="R50" i="7"/>
  <c r="P50" i="7"/>
  <c r="O50" i="7"/>
  <c r="N50" i="7"/>
  <c r="M50" i="7"/>
  <c r="L50" i="7"/>
  <c r="K50" i="7"/>
  <c r="J50" i="7"/>
  <c r="I50" i="7"/>
  <c r="H50" i="7"/>
  <c r="G50" i="7"/>
  <c r="F50" i="7"/>
  <c r="T50" i="7" s="1"/>
  <c r="E50" i="7"/>
  <c r="D50" i="7"/>
  <c r="Q50" i="7" s="1"/>
  <c r="C50" i="7"/>
  <c r="U50" i="7" s="1"/>
  <c r="B50" i="7"/>
  <c r="A50" i="7"/>
  <c r="T49" i="7"/>
  <c r="S49" i="7"/>
  <c r="R49" i="7"/>
  <c r="Q49" i="7"/>
  <c r="P49" i="7"/>
  <c r="O49" i="7"/>
  <c r="N49" i="7"/>
  <c r="M49" i="7"/>
  <c r="L49" i="7"/>
  <c r="K49" i="7"/>
  <c r="J49" i="7"/>
  <c r="I49" i="7"/>
  <c r="V49" i="7" s="1"/>
  <c r="H49" i="7"/>
  <c r="G49" i="7"/>
  <c r="F49" i="7"/>
  <c r="E49" i="7"/>
  <c r="D49" i="7"/>
  <c r="C49" i="7"/>
  <c r="U49" i="7" s="1"/>
  <c r="B49" i="7"/>
  <c r="A49" i="7"/>
  <c r="V48" i="7"/>
  <c r="T48" i="7"/>
  <c r="P48" i="7"/>
  <c r="O48" i="7"/>
  <c r="N48" i="7"/>
  <c r="M48" i="7"/>
  <c r="L48" i="7"/>
  <c r="K48" i="7"/>
  <c r="J48" i="7"/>
  <c r="I48" i="7"/>
  <c r="H48" i="7"/>
  <c r="G48" i="7"/>
  <c r="S48" i="7" s="1"/>
  <c r="F48" i="7"/>
  <c r="E48" i="7"/>
  <c r="D48" i="7"/>
  <c r="Q48" i="7" s="1"/>
  <c r="C48" i="7"/>
  <c r="U48" i="7" s="1"/>
  <c r="B48" i="7"/>
  <c r="R48" i="7" s="1"/>
  <c r="A48" i="7"/>
  <c r="R47" i="7"/>
  <c r="P47" i="7"/>
  <c r="O47" i="7"/>
  <c r="N47" i="7"/>
  <c r="M47" i="7"/>
  <c r="L47" i="7"/>
  <c r="K47" i="7"/>
  <c r="J47" i="7"/>
  <c r="I47" i="7"/>
  <c r="V47" i="7" s="1"/>
  <c r="H47" i="7"/>
  <c r="G47" i="7"/>
  <c r="F47" i="7"/>
  <c r="T47" i="7" s="1"/>
  <c r="E47" i="7"/>
  <c r="D47" i="7"/>
  <c r="Q47" i="7" s="1"/>
  <c r="C47" i="7"/>
  <c r="U47" i="7" s="1"/>
  <c r="B47" i="7"/>
  <c r="A47" i="7"/>
  <c r="V46" i="7"/>
  <c r="U46" i="7"/>
  <c r="Q46" i="7"/>
  <c r="P46" i="7"/>
  <c r="O46" i="7"/>
  <c r="N46" i="7"/>
  <c r="M46" i="7"/>
  <c r="L46" i="7"/>
  <c r="K46" i="7"/>
  <c r="J46" i="7"/>
  <c r="I46" i="7"/>
  <c r="H46" i="7"/>
  <c r="G46" i="7"/>
  <c r="F46" i="7"/>
  <c r="T46" i="7" s="1"/>
  <c r="E46" i="7"/>
  <c r="D46" i="7"/>
  <c r="C46" i="7"/>
  <c r="B46" i="7"/>
  <c r="R46" i="7" s="1"/>
  <c r="A46" i="7"/>
  <c r="T45" i="7"/>
  <c r="R45" i="7"/>
  <c r="Q45" i="7"/>
  <c r="P45" i="7"/>
  <c r="O45" i="7"/>
  <c r="N45" i="7"/>
  <c r="M45" i="7"/>
  <c r="L45" i="7"/>
  <c r="K45" i="7"/>
  <c r="J45" i="7"/>
  <c r="I45" i="7"/>
  <c r="V45" i="7" s="1"/>
  <c r="H45" i="7"/>
  <c r="S45" i="7" s="1"/>
  <c r="G45" i="7"/>
  <c r="F45" i="7"/>
  <c r="E45" i="7"/>
  <c r="D45" i="7"/>
  <c r="C45" i="7"/>
  <c r="U45" i="7" s="1"/>
  <c r="B45" i="7"/>
  <c r="A45" i="7"/>
  <c r="V44" i="7"/>
  <c r="S44" i="7"/>
  <c r="R44" i="7"/>
  <c r="Q44" i="7"/>
  <c r="P44" i="7"/>
  <c r="O44" i="7"/>
  <c r="N44" i="7"/>
  <c r="M44" i="7"/>
  <c r="L44" i="7"/>
  <c r="K44" i="7"/>
  <c r="J44" i="7"/>
  <c r="I44" i="7"/>
  <c r="H44" i="7"/>
  <c r="G44" i="7"/>
  <c r="F44" i="7"/>
  <c r="T44" i="7" s="1"/>
  <c r="E44" i="7"/>
  <c r="D44" i="7"/>
  <c r="C44" i="7"/>
  <c r="U44" i="7" s="1"/>
  <c r="B44" i="7"/>
  <c r="A44" i="7"/>
  <c r="V43" i="7"/>
  <c r="U43" i="7"/>
  <c r="T43" i="7"/>
  <c r="R43" i="7"/>
  <c r="P43" i="7"/>
  <c r="O43" i="7"/>
  <c r="N43" i="7"/>
  <c r="M43" i="7"/>
  <c r="L43" i="7"/>
  <c r="K43" i="7"/>
  <c r="J43" i="7"/>
  <c r="I43" i="7"/>
  <c r="H43" i="7"/>
  <c r="S43" i="7" s="1"/>
  <c r="G43" i="7"/>
  <c r="F43" i="7"/>
  <c r="E43" i="7"/>
  <c r="D43" i="7"/>
  <c r="Q43" i="7" s="1"/>
  <c r="C43" i="7"/>
  <c r="B43" i="7"/>
  <c r="A43" i="7"/>
  <c r="U42" i="7"/>
  <c r="P42" i="7"/>
  <c r="O42" i="7"/>
  <c r="N42" i="7"/>
  <c r="M42" i="7"/>
  <c r="L42" i="7"/>
  <c r="K42" i="7"/>
  <c r="J42" i="7"/>
  <c r="I42" i="7"/>
  <c r="V42" i="7" s="1"/>
  <c r="H42" i="7"/>
  <c r="G42" i="7"/>
  <c r="F42" i="7"/>
  <c r="T42" i="7" s="1"/>
  <c r="E42" i="7"/>
  <c r="D42" i="7"/>
  <c r="Q42" i="7" s="1"/>
  <c r="C42" i="7"/>
  <c r="B42" i="7"/>
  <c r="R42" i="7" s="1"/>
  <c r="A42" i="7"/>
  <c r="R41" i="7"/>
  <c r="P41" i="7"/>
  <c r="O41" i="7"/>
  <c r="N41" i="7"/>
  <c r="M41" i="7"/>
  <c r="L41" i="7"/>
  <c r="K41" i="7"/>
  <c r="J41" i="7"/>
  <c r="I41" i="7"/>
  <c r="V41" i="7" s="1"/>
  <c r="H41" i="7"/>
  <c r="G41" i="7"/>
  <c r="F41" i="7"/>
  <c r="T41" i="7" s="1"/>
  <c r="E41" i="7"/>
  <c r="D41" i="7"/>
  <c r="Q41" i="7" s="1"/>
  <c r="C41" i="7"/>
  <c r="U41" i="7" s="1"/>
  <c r="B41" i="7"/>
  <c r="A41" i="7"/>
  <c r="V40" i="7"/>
  <c r="U40" i="7"/>
  <c r="T40" i="7"/>
  <c r="R40" i="7"/>
  <c r="P40" i="7"/>
  <c r="O40" i="7"/>
  <c r="N40" i="7"/>
  <c r="M40" i="7"/>
  <c r="L40" i="7"/>
  <c r="K40" i="7"/>
  <c r="J40" i="7"/>
  <c r="I40" i="7"/>
  <c r="H40" i="7"/>
  <c r="S40" i="7" s="1"/>
  <c r="G40" i="7"/>
  <c r="F40" i="7"/>
  <c r="E40" i="7"/>
  <c r="D40" i="7"/>
  <c r="Q40" i="7" s="1"/>
  <c r="C40" i="7"/>
  <c r="B40" i="7"/>
  <c r="A40" i="7"/>
  <c r="V39" i="7"/>
  <c r="T39" i="7"/>
  <c r="P39" i="7"/>
  <c r="O39" i="7"/>
  <c r="N39" i="7"/>
  <c r="M39" i="7"/>
  <c r="L39" i="7"/>
  <c r="K39" i="7"/>
  <c r="J39" i="7"/>
  <c r="I39" i="7"/>
  <c r="H39" i="7"/>
  <c r="G39" i="7"/>
  <c r="S39" i="7" s="1"/>
  <c r="F39" i="7"/>
  <c r="E39" i="7"/>
  <c r="D39" i="7"/>
  <c r="Q39" i="7" s="1"/>
  <c r="C39" i="7"/>
  <c r="U39" i="7" s="1"/>
  <c r="B39" i="7"/>
  <c r="R39" i="7" s="1"/>
  <c r="A39" i="7"/>
  <c r="V38" i="7"/>
  <c r="R38" i="7"/>
  <c r="P38" i="7"/>
  <c r="O38" i="7"/>
  <c r="N38" i="7"/>
  <c r="M38" i="7"/>
  <c r="L38" i="7"/>
  <c r="K38" i="7"/>
  <c r="J38" i="7"/>
  <c r="I38" i="7"/>
  <c r="H38" i="7"/>
  <c r="S38" i="7" s="1"/>
  <c r="G38" i="7"/>
  <c r="F38" i="7"/>
  <c r="T38" i="7" s="1"/>
  <c r="E38" i="7"/>
  <c r="D38" i="7"/>
  <c r="Q38" i="7" s="1"/>
  <c r="C38" i="7"/>
  <c r="U38" i="7" s="1"/>
  <c r="B38" i="7"/>
  <c r="A38" i="7"/>
  <c r="V37" i="7"/>
  <c r="U37" i="7"/>
  <c r="Q37" i="7"/>
  <c r="P37" i="7"/>
  <c r="O37" i="7"/>
  <c r="N37" i="7"/>
  <c r="M37" i="7"/>
  <c r="L37" i="7"/>
  <c r="K37" i="7"/>
  <c r="J37" i="7"/>
  <c r="I37" i="7"/>
  <c r="H37" i="7"/>
  <c r="G37" i="7"/>
  <c r="F37" i="7"/>
  <c r="T37" i="7" s="1"/>
  <c r="E37" i="7"/>
  <c r="D37" i="7"/>
  <c r="C37" i="7"/>
  <c r="B37" i="7"/>
  <c r="R37" i="7" s="1"/>
  <c r="A37" i="7"/>
  <c r="T36" i="7"/>
  <c r="Q36" i="7"/>
  <c r="P36" i="7"/>
  <c r="O36" i="7"/>
  <c r="N36" i="7"/>
  <c r="M36" i="7"/>
  <c r="L36" i="7"/>
  <c r="K36" i="7"/>
  <c r="J36" i="7"/>
  <c r="I36" i="7"/>
  <c r="V36" i="7" s="1"/>
  <c r="H36" i="7"/>
  <c r="G36" i="7"/>
  <c r="S36" i="7" s="1"/>
  <c r="F36" i="7"/>
  <c r="E36" i="7"/>
  <c r="D36" i="7"/>
  <c r="C36" i="7"/>
  <c r="U36" i="7" s="1"/>
  <c r="B36" i="7"/>
  <c r="R36" i="7" s="1"/>
  <c r="A36" i="7"/>
  <c r="V35" i="7"/>
  <c r="T35" i="7"/>
  <c r="Q35" i="7"/>
  <c r="P35" i="7"/>
  <c r="O35" i="7"/>
  <c r="N35" i="7"/>
  <c r="M35" i="7"/>
  <c r="L35" i="7"/>
  <c r="K35" i="7"/>
  <c r="J35" i="7"/>
  <c r="I35" i="7"/>
  <c r="H35" i="7"/>
  <c r="G35" i="7"/>
  <c r="S35" i="7" s="1"/>
  <c r="F35" i="7"/>
  <c r="E35" i="7"/>
  <c r="D35" i="7"/>
  <c r="C35" i="7"/>
  <c r="U35" i="7" s="1"/>
  <c r="B35" i="7"/>
  <c r="R35" i="7" s="1"/>
  <c r="A35" i="7"/>
  <c r="V34" i="7"/>
  <c r="S34" i="7"/>
  <c r="P34" i="7"/>
  <c r="O34" i="7"/>
  <c r="N34" i="7"/>
  <c r="M34" i="7"/>
  <c r="L34" i="7"/>
  <c r="K34" i="7"/>
  <c r="J34" i="7"/>
  <c r="I34" i="7"/>
  <c r="H34" i="7"/>
  <c r="G34" i="7"/>
  <c r="F34" i="7"/>
  <c r="T34" i="7" s="1"/>
  <c r="E34" i="7"/>
  <c r="D34" i="7"/>
  <c r="Q34" i="7" s="1"/>
  <c r="C34" i="7"/>
  <c r="U34" i="7" s="1"/>
  <c r="B34" i="7"/>
  <c r="R34" i="7" s="1"/>
  <c r="A34" i="7"/>
  <c r="U33" i="7"/>
  <c r="T33" i="7"/>
  <c r="R33" i="7"/>
  <c r="P33" i="7"/>
  <c r="O33" i="7"/>
  <c r="N33" i="7"/>
  <c r="M33" i="7"/>
  <c r="L33" i="7"/>
  <c r="K33" i="7"/>
  <c r="J33" i="7"/>
  <c r="I33" i="7"/>
  <c r="V33" i="7" s="1"/>
  <c r="H33" i="7"/>
  <c r="G33" i="7"/>
  <c r="S33" i="7" s="1"/>
  <c r="F33" i="7"/>
  <c r="E33" i="7"/>
  <c r="D33" i="7"/>
  <c r="Q33" i="7" s="1"/>
  <c r="C33" i="7"/>
  <c r="B33" i="7"/>
  <c r="A33" i="7"/>
  <c r="S32" i="7"/>
  <c r="R32" i="7"/>
  <c r="Q32" i="7"/>
  <c r="P32" i="7"/>
  <c r="O32" i="7"/>
  <c r="N32" i="7"/>
  <c r="M32" i="7"/>
  <c r="L32" i="7"/>
  <c r="K32" i="7"/>
  <c r="J32" i="7"/>
  <c r="I32" i="7"/>
  <c r="V32" i="7" s="1"/>
  <c r="H32" i="7"/>
  <c r="G32" i="7"/>
  <c r="F32" i="7"/>
  <c r="T32" i="7" s="1"/>
  <c r="E32" i="7"/>
  <c r="D32" i="7"/>
  <c r="C32" i="7"/>
  <c r="U32" i="7" s="1"/>
  <c r="B32" i="7"/>
  <c r="A32" i="7"/>
  <c r="V31" i="7"/>
  <c r="T31" i="7"/>
  <c r="P31" i="7"/>
  <c r="O31" i="7"/>
  <c r="N31" i="7"/>
  <c r="M31" i="7"/>
  <c r="L31" i="7"/>
  <c r="K31" i="7"/>
  <c r="J31" i="7"/>
  <c r="I31" i="7"/>
  <c r="H31" i="7"/>
  <c r="S31" i="7" s="1"/>
  <c r="G31" i="7"/>
  <c r="F31" i="7"/>
  <c r="E31" i="7"/>
  <c r="D31" i="7"/>
  <c r="Q31" i="7" s="1"/>
  <c r="C31" i="7"/>
  <c r="U31" i="7" s="1"/>
  <c r="B31" i="7"/>
  <c r="R31" i="7" s="1"/>
  <c r="A31" i="7"/>
  <c r="Q30" i="7"/>
  <c r="P30" i="7"/>
  <c r="O30" i="7"/>
  <c r="N30" i="7"/>
  <c r="M30" i="7"/>
  <c r="L30" i="7"/>
  <c r="K30" i="7"/>
  <c r="J30" i="7"/>
  <c r="I30" i="7"/>
  <c r="V30" i="7" s="1"/>
  <c r="H30" i="7"/>
  <c r="G30" i="7"/>
  <c r="S30" i="7" s="1"/>
  <c r="F30" i="7"/>
  <c r="T30" i="7" s="1"/>
  <c r="E30" i="7"/>
  <c r="D30" i="7"/>
  <c r="C30" i="7"/>
  <c r="U30" i="7" s="1"/>
  <c r="B30" i="7"/>
  <c r="R30" i="7" s="1"/>
  <c r="A30" i="7"/>
  <c r="T29" i="7"/>
  <c r="S29" i="7"/>
  <c r="Q29" i="7"/>
  <c r="P29" i="7"/>
  <c r="O29" i="7"/>
  <c r="N29" i="7"/>
  <c r="M29" i="7"/>
  <c r="L29" i="7"/>
  <c r="K29" i="7"/>
  <c r="J29" i="7"/>
  <c r="I29" i="7"/>
  <c r="V29" i="7" s="1"/>
  <c r="H29" i="7"/>
  <c r="G29" i="7"/>
  <c r="F29" i="7"/>
  <c r="E29" i="7"/>
  <c r="D29" i="7"/>
  <c r="C29" i="7"/>
  <c r="U29" i="7" s="1"/>
  <c r="B29" i="7"/>
  <c r="R29" i="7" s="1"/>
  <c r="A29" i="7"/>
  <c r="V28" i="7"/>
  <c r="U28" i="7"/>
  <c r="P28" i="7"/>
  <c r="O28" i="7"/>
  <c r="N28" i="7"/>
  <c r="M28" i="7"/>
  <c r="L28" i="7"/>
  <c r="K28" i="7"/>
  <c r="J28" i="7"/>
  <c r="I28" i="7"/>
  <c r="H28" i="7"/>
  <c r="G28" i="7"/>
  <c r="F28" i="7"/>
  <c r="T28" i="7" s="1"/>
  <c r="E28" i="7"/>
  <c r="D28" i="7"/>
  <c r="Q28" i="7" s="1"/>
  <c r="C28" i="7"/>
  <c r="B28" i="7"/>
  <c r="R28" i="7" s="1"/>
  <c r="A28" i="7"/>
  <c r="Q27" i="7"/>
  <c r="P27" i="7"/>
  <c r="O27" i="7"/>
  <c r="N27" i="7"/>
  <c r="M27" i="7"/>
  <c r="L27" i="7"/>
  <c r="K27" i="7"/>
  <c r="J27" i="7"/>
  <c r="I27" i="7"/>
  <c r="V27" i="7" s="1"/>
  <c r="H27" i="7"/>
  <c r="G27" i="7"/>
  <c r="S27" i="7" s="1"/>
  <c r="F27" i="7"/>
  <c r="T27" i="7" s="1"/>
  <c r="E27" i="7"/>
  <c r="D27" i="7"/>
  <c r="C27" i="7"/>
  <c r="U27" i="7" s="1"/>
  <c r="B27" i="7"/>
  <c r="R27" i="7" s="1"/>
  <c r="A27" i="7"/>
  <c r="V26" i="7"/>
  <c r="U26" i="7"/>
  <c r="T26" i="7"/>
  <c r="S26" i="7"/>
  <c r="P26" i="7"/>
  <c r="O26" i="7"/>
  <c r="N26" i="7"/>
  <c r="M26" i="7"/>
  <c r="L26" i="7"/>
  <c r="K26" i="7"/>
  <c r="J26" i="7"/>
  <c r="I26" i="7"/>
  <c r="H26" i="7"/>
  <c r="G26" i="7"/>
  <c r="F26" i="7"/>
  <c r="E26" i="7"/>
  <c r="D26" i="7"/>
  <c r="Q26" i="7" s="1"/>
  <c r="C26" i="7"/>
  <c r="B26" i="7"/>
  <c r="R26" i="7" s="1"/>
  <c r="A26" i="7"/>
  <c r="V25" i="7"/>
  <c r="S25" i="7"/>
  <c r="R25" i="7"/>
  <c r="P25" i="7"/>
  <c r="O25" i="7"/>
  <c r="N25" i="7"/>
  <c r="M25" i="7"/>
  <c r="L25" i="7"/>
  <c r="K25" i="7"/>
  <c r="J25" i="7"/>
  <c r="I25" i="7"/>
  <c r="H25" i="7"/>
  <c r="G25" i="7"/>
  <c r="F25" i="7"/>
  <c r="T25" i="7" s="1"/>
  <c r="E25" i="7"/>
  <c r="D25" i="7"/>
  <c r="Q25" i="7" s="1"/>
  <c r="C25" i="7"/>
  <c r="U25" i="7" s="1"/>
  <c r="B25" i="7"/>
  <c r="A25" i="7"/>
  <c r="V24" i="7"/>
  <c r="T24" i="7"/>
  <c r="R24" i="7"/>
  <c r="P24" i="7"/>
  <c r="O24" i="7"/>
  <c r="N24" i="7"/>
  <c r="M24" i="7"/>
  <c r="L24" i="7"/>
  <c r="K24" i="7"/>
  <c r="J24" i="7"/>
  <c r="I24" i="7"/>
  <c r="H24" i="7"/>
  <c r="G24" i="7"/>
  <c r="S24" i="7" s="1"/>
  <c r="F24" i="7"/>
  <c r="E24" i="7"/>
  <c r="D24" i="7"/>
  <c r="Q24" i="7" s="1"/>
  <c r="C24" i="7"/>
  <c r="U24" i="7" s="1"/>
  <c r="B24" i="7"/>
  <c r="A24" i="7"/>
  <c r="S23" i="7"/>
  <c r="R23" i="7"/>
  <c r="Q23" i="7"/>
  <c r="P23" i="7"/>
  <c r="O23" i="7"/>
  <c r="N23" i="7"/>
  <c r="M23" i="7"/>
  <c r="L23" i="7"/>
  <c r="K23" i="7"/>
  <c r="J23" i="7"/>
  <c r="I23" i="7"/>
  <c r="V23" i="7" s="1"/>
  <c r="H23" i="7"/>
  <c r="G23" i="7"/>
  <c r="F23" i="7"/>
  <c r="T23" i="7" s="1"/>
  <c r="E23" i="7"/>
  <c r="D23" i="7"/>
  <c r="C23" i="7"/>
  <c r="U23" i="7" s="1"/>
  <c r="B23" i="7"/>
  <c r="A23" i="7"/>
  <c r="V22" i="7"/>
  <c r="T22" i="7"/>
  <c r="P22" i="7"/>
  <c r="O22" i="7"/>
  <c r="N22" i="7"/>
  <c r="M22" i="7"/>
  <c r="L22" i="7"/>
  <c r="K22" i="7"/>
  <c r="J22" i="7"/>
  <c r="I22" i="7"/>
  <c r="H22" i="7"/>
  <c r="S22" i="7" s="1"/>
  <c r="G22" i="7"/>
  <c r="F22" i="7"/>
  <c r="E22" i="7"/>
  <c r="D22" i="7"/>
  <c r="Q22" i="7" s="1"/>
  <c r="C22" i="7"/>
  <c r="U22" i="7" s="1"/>
  <c r="B22" i="7"/>
  <c r="R22" i="7" s="1"/>
  <c r="A22" i="7"/>
  <c r="P21" i="7"/>
  <c r="O21" i="7"/>
  <c r="N21" i="7"/>
  <c r="M21" i="7"/>
  <c r="L21" i="7"/>
  <c r="K21" i="7"/>
  <c r="J21" i="7"/>
  <c r="I21" i="7"/>
  <c r="V21" i="7" s="1"/>
  <c r="H21" i="7"/>
  <c r="G21" i="7"/>
  <c r="S21" i="7" s="1"/>
  <c r="F21" i="7"/>
  <c r="T21" i="7" s="1"/>
  <c r="E21" i="7"/>
  <c r="D21" i="7"/>
  <c r="Q21" i="7" s="1"/>
  <c r="C21" i="7"/>
  <c r="U21" i="7" s="1"/>
  <c r="B21" i="7"/>
  <c r="R21" i="7" s="1"/>
  <c r="A21" i="7"/>
  <c r="R20" i="7"/>
  <c r="Q20" i="7"/>
  <c r="P20" i="7"/>
  <c r="O20" i="7"/>
  <c r="N20" i="7"/>
  <c r="M20" i="7"/>
  <c r="L20" i="7"/>
  <c r="K20" i="7"/>
  <c r="J20" i="7"/>
  <c r="I20" i="7"/>
  <c r="V20" i="7" s="1"/>
  <c r="H20" i="7"/>
  <c r="G20" i="7"/>
  <c r="S20" i="7" s="1"/>
  <c r="F20" i="7"/>
  <c r="T20" i="7" s="1"/>
  <c r="E20" i="7"/>
  <c r="D20" i="7"/>
  <c r="C20" i="7"/>
  <c r="U20" i="7" s="1"/>
  <c r="B20" i="7"/>
  <c r="A20" i="7"/>
  <c r="U19" i="7"/>
  <c r="T19" i="7"/>
  <c r="Q19" i="7"/>
  <c r="P19" i="7"/>
  <c r="O19" i="7"/>
  <c r="N19" i="7"/>
  <c r="M19" i="7"/>
  <c r="L19" i="7"/>
  <c r="K19" i="7"/>
  <c r="J19" i="7"/>
  <c r="I19" i="7"/>
  <c r="V19" i="7" s="1"/>
  <c r="H19" i="7"/>
  <c r="G19" i="7"/>
  <c r="F19" i="7"/>
  <c r="E19" i="7"/>
  <c r="D19" i="7"/>
  <c r="C19" i="7"/>
  <c r="B19" i="7"/>
  <c r="R19" i="7" s="1"/>
  <c r="A19" i="7"/>
  <c r="T18" i="7"/>
  <c r="S18" i="7"/>
  <c r="R18" i="7"/>
  <c r="Q18" i="7"/>
  <c r="P18" i="7"/>
  <c r="O18" i="7"/>
  <c r="N18" i="7"/>
  <c r="M18" i="7"/>
  <c r="L18" i="7"/>
  <c r="K18" i="7"/>
  <c r="J18" i="7"/>
  <c r="I18" i="7"/>
  <c r="V18" i="7" s="1"/>
  <c r="H18" i="7"/>
  <c r="G18" i="7"/>
  <c r="F18" i="7"/>
  <c r="E18" i="7"/>
  <c r="D18" i="7"/>
  <c r="C18" i="7"/>
  <c r="U18" i="7" s="1"/>
  <c r="B18" i="7"/>
  <c r="A18" i="7"/>
  <c r="V17" i="7"/>
  <c r="U17" i="7"/>
  <c r="T17" i="7"/>
  <c r="S17" i="7"/>
  <c r="R17" i="7"/>
  <c r="P17" i="7"/>
  <c r="O17" i="7"/>
  <c r="N17" i="7"/>
  <c r="M17" i="7"/>
  <c r="L17" i="7"/>
  <c r="K17" i="7"/>
  <c r="J17" i="7"/>
  <c r="I17" i="7"/>
  <c r="H17" i="7"/>
  <c r="G17" i="7"/>
  <c r="F17" i="7"/>
  <c r="E17" i="7"/>
  <c r="D17" i="7"/>
  <c r="Q17" i="7" s="1"/>
  <c r="C17" i="7"/>
  <c r="B17" i="7"/>
  <c r="A17" i="7"/>
  <c r="V16" i="7"/>
  <c r="T16" i="7"/>
  <c r="P16" i="7"/>
  <c r="O16" i="7"/>
  <c r="N16" i="7"/>
  <c r="M16" i="7"/>
  <c r="L16" i="7"/>
  <c r="K16" i="7"/>
  <c r="J16" i="7"/>
  <c r="I16" i="7"/>
  <c r="H16" i="7"/>
  <c r="G16" i="7"/>
  <c r="S16" i="7" s="1"/>
  <c r="F16" i="7"/>
  <c r="E16" i="7"/>
  <c r="D16" i="7"/>
  <c r="Q16" i="7" s="1"/>
  <c r="C16" i="7"/>
  <c r="U16" i="7" s="1"/>
  <c r="B16" i="7"/>
  <c r="R16" i="7" s="1"/>
  <c r="A16" i="7"/>
  <c r="P15" i="7"/>
  <c r="O15" i="7"/>
  <c r="N15" i="7"/>
  <c r="M15" i="7"/>
  <c r="L15" i="7"/>
  <c r="K15" i="7"/>
  <c r="J15" i="7"/>
  <c r="I15" i="7"/>
  <c r="V15" i="7" s="1"/>
  <c r="H15" i="7"/>
  <c r="G15" i="7"/>
  <c r="F15" i="7"/>
  <c r="T15" i="7" s="1"/>
  <c r="E15" i="7"/>
  <c r="D15" i="7"/>
  <c r="Q15" i="7" s="1"/>
  <c r="C15" i="7"/>
  <c r="U15" i="7" s="1"/>
  <c r="B15" i="7"/>
  <c r="R15" i="7" s="1"/>
  <c r="A15" i="7"/>
  <c r="R14" i="7"/>
  <c r="P14" i="7"/>
  <c r="O14" i="7"/>
  <c r="N14" i="7"/>
  <c r="M14" i="7"/>
  <c r="L14" i="7"/>
  <c r="K14" i="7"/>
  <c r="J14" i="7"/>
  <c r="I14" i="7"/>
  <c r="V14" i="7" s="1"/>
  <c r="H14" i="7"/>
  <c r="G14" i="7"/>
  <c r="F14" i="7"/>
  <c r="T14" i="7" s="1"/>
  <c r="E14" i="7"/>
  <c r="D14" i="7"/>
  <c r="Q14" i="7" s="1"/>
  <c r="C14" i="7"/>
  <c r="U14" i="7" s="1"/>
  <c r="B14" i="7"/>
  <c r="A14" i="7"/>
  <c r="T13" i="7"/>
  <c r="S13" i="7"/>
  <c r="R13" i="7"/>
  <c r="Q13" i="7"/>
  <c r="P13" i="7"/>
  <c r="O13" i="7"/>
  <c r="N13" i="7"/>
  <c r="M13" i="7"/>
  <c r="L13" i="7"/>
  <c r="K13" i="7"/>
  <c r="J13" i="7"/>
  <c r="I13" i="7"/>
  <c r="V13" i="7" s="1"/>
  <c r="H13" i="7"/>
  <c r="G13" i="7"/>
  <c r="F13" i="7"/>
  <c r="E13" i="7"/>
  <c r="D13" i="7"/>
  <c r="C13" i="7"/>
  <c r="U13" i="7" s="1"/>
  <c r="B13" i="7"/>
  <c r="A13" i="7"/>
  <c r="V12" i="7"/>
  <c r="T12" i="7"/>
  <c r="P12" i="7"/>
  <c r="O12" i="7"/>
  <c r="N12" i="7"/>
  <c r="M12" i="7"/>
  <c r="L12" i="7"/>
  <c r="K12" i="7"/>
  <c r="J12" i="7"/>
  <c r="I12" i="7"/>
  <c r="H12" i="7"/>
  <c r="G12" i="7"/>
  <c r="S12" i="7" s="1"/>
  <c r="F12" i="7"/>
  <c r="E12" i="7"/>
  <c r="D12" i="7"/>
  <c r="Q12" i="7" s="1"/>
  <c r="C12" i="7"/>
  <c r="U12" i="7" s="1"/>
  <c r="B12" i="7"/>
  <c r="R12" i="7" s="1"/>
  <c r="A12" i="7"/>
  <c r="T11" i="7"/>
  <c r="Q11" i="7"/>
  <c r="P11" i="7"/>
  <c r="O11" i="7"/>
  <c r="N11" i="7"/>
  <c r="M11" i="7"/>
  <c r="L11" i="7"/>
  <c r="K11" i="7"/>
  <c r="J11" i="7"/>
  <c r="I11" i="7"/>
  <c r="V11" i="7" s="1"/>
  <c r="H11" i="7"/>
  <c r="G11" i="7"/>
  <c r="F11" i="7"/>
  <c r="E11" i="7"/>
  <c r="D11" i="7"/>
  <c r="C11" i="7"/>
  <c r="U11" i="7" s="1"/>
  <c r="B11" i="7"/>
  <c r="R11" i="7" s="1"/>
  <c r="A11" i="7"/>
  <c r="U10" i="7"/>
  <c r="T10" i="7"/>
  <c r="Q10" i="7"/>
  <c r="P10" i="7"/>
  <c r="O10" i="7"/>
  <c r="N10" i="7"/>
  <c r="M10" i="7"/>
  <c r="L10" i="7"/>
  <c r="K10" i="7"/>
  <c r="J10" i="7"/>
  <c r="I10" i="7"/>
  <c r="V10" i="7" s="1"/>
  <c r="H10" i="7"/>
  <c r="G10" i="7"/>
  <c r="F10" i="7"/>
  <c r="E10" i="7"/>
  <c r="D10" i="7"/>
  <c r="C10" i="7"/>
  <c r="B10" i="7"/>
  <c r="R10" i="7" s="1"/>
  <c r="A10" i="7"/>
  <c r="U9" i="7"/>
  <c r="T9" i="7"/>
  <c r="Q9" i="7"/>
  <c r="P9" i="7"/>
  <c r="O9" i="7"/>
  <c r="N9" i="7"/>
  <c r="M9" i="7"/>
  <c r="L9" i="7"/>
  <c r="K9" i="7"/>
  <c r="J9" i="7"/>
  <c r="I9" i="7"/>
  <c r="V9" i="7" s="1"/>
  <c r="H9" i="7"/>
  <c r="G9" i="7"/>
  <c r="S9" i="7" s="1"/>
  <c r="F9" i="7"/>
  <c r="E9" i="7"/>
  <c r="D9" i="7"/>
  <c r="C9" i="7"/>
  <c r="B9" i="7"/>
  <c r="R9" i="7" s="1"/>
  <c r="A9" i="7"/>
  <c r="V8" i="7"/>
  <c r="R8" i="7"/>
  <c r="Q8" i="7"/>
  <c r="P8" i="7"/>
  <c r="O8" i="7"/>
  <c r="N8" i="7"/>
  <c r="M8" i="7"/>
  <c r="L8" i="7"/>
  <c r="K8" i="7"/>
  <c r="J8" i="7"/>
  <c r="I8" i="7"/>
  <c r="H8" i="7"/>
  <c r="G8" i="7"/>
  <c r="S8" i="7" s="1"/>
  <c r="F8" i="7"/>
  <c r="T8" i="7" s="1"/>
  <c r="E8" i="7"/>
  <c r="D8" i="7"/>
  <c r="C8" i="7"/>
  <c r="U8" i="7" s="1"/>
  <c r="B8" i="7"/>
  <c r="A8" i="7"/>
  <c r="V7" i="7"/>
  <c r="T7" i="7"/>
  <c r="R7" i="7"/>
  <c r="Q7" i="7"/>
  <c r="P7" i="7"/>
  <c r="O7" i="7"/>
  <c r="N7" i="7"/>
  <c r="M7" i="7"/>
  <c r="L7" i="7"/>
  <c r="K7" i="7"/>
  <c r="J7" i="7"/>
  <c r="I7" i="7"/>
  <c r="H7" i="7"/>
  <c r="G7" i="7"/>
  <c r="S7" i="7" s="1"/>
  <c r="F7" i="7"/>
  <c r="E7" i="7"/>
  <c r="D7" i="7"/>
  <c r="C7" i="7"/>
  <c r="U7" i="7" s="1"/>
  <c r="B7" i="7"/>
  <c r="A7" i="7"/>
  <c r="V6" i="7"/>
  <c r="U6" i="7"/>
  <c r="T6" i="7"/>
  <c r="S6" i="7"/>
  <c r="P6" i="7"/>
  <c r="O6" i="7"/>
  <c r="N6" i="7"/>
  <c r="M6" i="7"/>
  <c r="L6" i="7"/>
  <c r="K6" i="7"/>
  <c r="J6" i="7"/>
  <c r="I6" i="7"/>
  <c r="H6" i="7"/>
  <c r="G6" i="7"/>
  <c r="F6" i="7"/>
  <c r="E6" i="7"/>
  <c r="D6" i="7"/>
  <c r="Q6" i="7" s="1"/>
  <c r="C6" i="7"/>
  <c r="B6" i="7"/>
  <c r="R6" i="7" s="1"/>
  <c r="A6" i="7"/>
  <c r="V5" i="7"/>
  <c r="S5" i="7"/>
  <c r="R5" i="7"/>
  <c r="P5" i="7"/>
  <c r="O5" i="7"/>
  <c r="N5" i="7"/>
  <c r="M5" i="7"/>
  <c r="L5" i="7"/>
  <c r="K5" i="7"/>
  <c r="J5" i="7"/>
  <c r="I5" i="7"/>
  <c r="H5" i="7"/>
  <c r="G5" i="7"/>
  <c r="F5" i="7"/>
  <c r="T5" i="7" s="1"/>
  <c r="E5" i="7"/>
  <c r="D5" i="7"/>
  <c r="Q5" i="7" s="1"/>
  <c r="C5" i="7"/>
  <c r="U5" i="7" s="1"/>
  <c r="B5" i="7"/>
  <c r="A5" i="7"/>
  <c r="T4" i="7"/>
  <c r="S4" i="7"/>
  <c r="P4" i="7"/>
  <c r="O4" i="7"/>
  <c r="N4" i="7"/>
  <c r="M4" i="7"/>
  <c r="L4" i="7"/>
  <c r="K4" i="7"/>
  <c r="J4" i="7"/>
  <c r="I4" i="7"/>
  <c r="V4" i="7" s="1"/>
  <c r="H4" i="7"/>
  <c r="G4" i="7"/>
  <c r="F4" i="7"/>
  <c r="E4" i="7"/>
  <c r="D4" i="7"/>
  <c r="Q4" i="7" s="1"/>
  <c r="C4" i="7"/>
  <c r="U4" i="7" s="1"/>
  <c r="B4" i="7"/>
  <c r="R4" i="7" s="1"/>
  <c r="A4" i="7"/>
  <c r="R3" i="7"/>
  <c r="Q3" i="7"/>
  <c r="P3" i="7"/>
  <c r="O3" i="7"/>
  <c r="N3" i="7"/>
  <c r="M3" i="7"/>
  <c r="L3" i="7"/>
  <c r="K3" i="7"/>
  <c r="J3" i="7"/>
  <c r="I3" i="7"/>
  <c r="V3" i="7" s="1"/>
  <c r="H3" i="7"/>
  <c r="G3" i="7"/>
  <c r="S3" i="7" s="1"/>
  <c r="F3" i="7"/>
  <c r="T3" i="7" s="1"/>
  <c r="E3" i="7"/>
  <c r="D3" i="7"/>
  <c r="C3" i="7"/>
  <c r="U3" i="7" s="1"/>
  <c r="B3" i="7"/>
  <c r="A3" i="7"/>
  <c r="T2" i="7"/>
  <c r="S2" i="7"/>
  <c r="Q2" i="7"/>
  <c r="P2" i="7"/>
  <c r="O2" i="7"/>
  <c r="N2" i="7"/>
  <c r="M2" i="7"/>
  <c r="L2" i="7"/>
  <c r="K2" i="7"/>
  <c r="J2" i="7"/>
  <c r="I2" i="7"/>
  <c r="V2" i="7" s="1"/>
  <c r="H2" i="7"/>
  <c r="G2" i="7"/>
  <c r="F2" i="7"/>
  <c r="E2" i="7"/>
  <c r="D2" i="7"/>
  <c r="C2" i="7"/>
  <c r="U2" i="7" s="1"/>
  <c r="B2" i="7"/>
  <c r="R2" i="7" s="1"/>
  <c r="A2" i="7"/>
  <c r="X1001" i="5"/>
  <c r="W1001" i="5"/>
  <c r="V1001" i="5"/>
  <c r="U1001" i="5"/>
  <c r="T1001" i="5"/>
  <c r="S1001" i="5"/>
  <c r="R1001" i="5"/>
  <c r="Q1001" i="5"/>
  <c r="X1000" i="5"/>
  <c r="W1000" i="5"/>
  <c r="V1000" i="5"/>
  <c r="U1000" i="5"/>
  <c r="T1000" i="5"/>
  <c r="S1000" i="5"/>
  <c r="R1000" i="5"/>
  <c r="Q1000" i="5"/>
  <c r="X999" i="5"/>
  <c r="W999" i="5"/>
  <c r="V999" i="5"/>
  <c r="U999" i="5"/>
  <c r="T999" i="5"/>
  <c r="S999" i="5"/>
  <c r="R999" i="5"/>
  <c r="Q999" i="5"/>
  <c r="X998" i="5"/>
  <c r="W998" i="5"/>
  <c r="V998" i="5"/>
  <c r="U998" i="5"/>
  <c r="T998" i="5"/>
  <c r="S998" i="5"/>
  <c r="R998" i="5"/>
  <c r="Q998" i="5"/>
  <c r="X997" i="5"/>
  <c r="W997" i="5"/>
  <c r="V997" i="5"/>
  <c r="U997" i="5"/>
  <c r="T997" i="5"/>
  <c r="S997" i="5"/>
  <c r="R997" i="5"/>
  <c r="Q997" i="5"/>
  <c r="X996" i="5"/>
  <c r="W996" i="5"/>
  <c r="V996" i="5"/>
  <c r="U996" i="5"/>
  <c r="T996" i="5"/>
  <c r="S996" i="5"/>
  <c r="R996" i="5"/>
  <c r="Q996" i="5"/>
  <c r="X995" i="5"/>
  <c r="W995" i="5"/>
  <c r="V995" i="5"/>
  <c r="U995" i="5"/>
  <c r="T995" i="5"/>
  <c r="S995" i="5"/>
  <c r="R995" i="5"/>
  <c r="Q995" i="5"/>
  <c r="X994" i="5"/>
  <c r="W994" i="5"/>
  <c r="V994" i="5"/>
  <c r="U994" i="5"/>
  <c r="T994" i="5"/>
  <c r="S994" i="5"/>
  <c r="R994" i="5"/>
  <c r="Q994" i="5"/>
  <c r="X993" i="5"/>
  <c r="W993" i="5"/>
  <c r="V993" i="5"/>
  <c r="U993" i="5"/>
  <c r="T993" i="5"/>
  <c r="S993" i="5"/>
  <c r="R993" i="5"/>
  <c r="Q993" i="5"/>
  <c r="X992" i="5"/>
  <c r="W992" i="5"/>
  <c r="V992" i="5"/>
  <c r="U992" i="5"/>
  <c r="T992" i="5"/>
  <c r="S992" i="5"/>
  <c r="R992" i="5"/>
  <c r="Q992" i="5"/>
  <c r="X991" i="5"/>
  <c r="W991" i="5"/>
  <c r="V991" i="5"/>
  <c r="U991" i="5"/>
  <c r="T991" i="5"/>
  <c r="S991" i="5"/>
  <c r="R991" i="5"/>
  <c r="Q991" i="5"/>
  <c r="X990" i="5"/>
  <c r="W990" i="5"/>
  <c r="V990" i="5"/>
  <c r="U990" i="5"/>
  <c r="T990" i="5"/>
  <c r="S990" i="5"/>
  <c r="R990" i="5"/>
  <c r="Q990" i="5"/>
  <c r="X989" i="5"/>
  <c r="W989" i="5"/>
  <c r="V989" i="5"/>
  <c r="U989" i="5"/>
  <c r="T989" i="5"/>
  <c r="S989" i="5"/>
  <c r="R989" i="5"/>
  <c r="Q989" i="5"/>
  <c r="X988" i="5"/>
  <c r="W988" i="5"/>
  <c r="V988" i="5"/>
  <c r="U988" i="5"/>
  <c r="T988" i="5"/>
  <c r="S988" i="5"/>
  <c r="R988" i="5"/>
  <c r="Q988" i="5"/>
  <c r="X987" i="5"/>
  <c r="W987" i="5"/>
  <c r="V987" i="5"/>
  <c r="U987" i="5"/>
  <c r="T987" i="5"/>
  <c r="S987" i="5"/>
  <c r="R987" i="5"/>
  <c r="Q987" i="5"/>
  <c r="X986" i="5"/>
  <c r="W986" i="5"/>
  <c r="V986" i="5"/>
  <c r="U986" i="5"/>
  <c r="T986" i="5"/>
  <c r="S986" i="5"/>
  <c r="R986" i="5"/>
  <c r="Q986" i="5"/>
  <c r="X985" i="5"/>
  <c r="W985" i="5"/>
  <c r="V985" i="5"/>
  <c r="U985" i="5"/>
  <c r="T985" i="5"/>
  <c r="S985" i="5"/>
  <c r="R985" i="5"/>
  <c r="Q985" i="5"/>
  <c r="X984" i="5"/>
  <c r="W984" i="5"/>
  <c r="V984" i="5"/>
  <c r="U984" i="5"/>
  <c r="T984" i="5"/>
  <c r="S984" i="5"/>
  <c r="R984" i="5"/>
  <c r="Q984" i="5"/>
  <c r="X983" i="5"/>
  <c r="W983" i="5"/>
  <c r="V983" i="5"/>
  <c r="U983" i="5"/>
  <c r="T983" i="5"/>
  <c r="S983" i="5"/>
  <c r="R983" i="5"/>
  <c r="Q983" i="5"/>
  <c r="X982" i="5"/>
  <c r="W982" i="5"/>
  <c r="V982" i="5"/>
  <c r="U982" i="5"/>
  <c r="T982" i="5"/>
  <c r="S982" i="5"/>
  <c r="R982" i="5"/>
  <c r="Q982" i="5"/>
  <c r="X981" i="5"/>
  <c r="W981" i="5"/>
  <c r="V981" i="5"/>
  <c r="U981" i="5"/>
  <c r="T981" i="5"/>
  <c r="S981" i="5"/>
  <c r="R981" i="5"/>
  <c r="Q981" i="5"/>
  <c r="X980" i="5"/>
  <c r="W980" i="5"/>
  <c r="V980" i="5"/>
  <c r="U980" i="5"/>
  <c r="T980" i="5"/>
  <c r="S980" i="5"/>
  <c r="R980" i="5"/>
  <c r="Q980" i="5"/>
  <c r="X979" i="5"/>
  <c r="W979" i="5"/>
  <c r="V979" i="5"/>
  <c r="U979" i="5"/>
  <c r="T979" i="5"/>
  <c r="S979" i="5"/>
  <c r="R979" i="5"/>
  <c r="Q979" i="5"/>
  <c r="X978" i="5"/>
  <c r="W978" i="5"/>
  <c r="V978" i="5"/>
  <c r="U978" i="5"/>
  <c r="T978" i="5"/>
  <c r="S978" i="5"/>
  <c r="R978" i="5"/>
  <c r="Q978" i="5"/>
  <c r="X977" i="5"/>
  <c r="W977" i="5"/>
  <c r="V977" i="5"/>
  <c r="U977" i="5"/>
  <c r="T977" i="5"/>
  <c r="S977" i="5"/>
  <c r="R977" i="5"/>
  <c r="Q977" i="5"/>
  <c r="X976" i="5"/>
  <c r="W976" i="5"/>
  <c r="V976" i="5"/>
  <c r="U976" i="5"/>
  <c r="T976" i="5"/>
  <c r="S976" i="5"/>
  <c r="R976" i="5"/>
  <c r="Q976" i="5"/>
  <c r="X975" i="5"/>
  <c r="W975" i="5"/>
  <c r="V975" i="5"/>
  <c r="U975" i="5"/>
  <c r="T975" i="5"/>
  <c r="S975" i="5"/>
  <c r="R975" i="5"/>
  <c r="Q975" i="5"/>
  <c r="X974" i="5"/>
  <c r="W974" i="5"/>
  <c r="V974" i="5"/>
  <c r="U974" i="5"/>
  <c r="T974" i="5"/>
  <c r="S974" i="5"/>
  <c r="R974" i="5"/>
  <c r="Q974" i="5"/>
  <c r="X973" i="5"/>
  <c r="W973" i="5"/>
  <c r="V973" i="5"/>
  <c r="U973" i="5"/>
  <c r="T973" i="5"/>
  <c r="S973" i="5"/>
  <c r="R973" i="5"/>
  <c r="Q973" i="5"/>
  <c r="X972" i="5"/>
  <c r="W972" i="5"/>
  <c r="V972" i="5"/>
  <c r="U972" i="5"/>
  <c r="T972" i="5"/>
  <c r="S972" i="5"/>
  <c r="R972" i="5"/>
  <c r="Q972" i="5"/>
  <c r="X971" i="5"/>
  <c r="W971" i="5"/>
  <c r="V971" i="5"/>
  <c r="U971" i="5"/>
  <c r="T971" i="5"/>
  <c r="S971" i="5"/>
  <c r="R971" i="5"/>
  <c r="Q971" i="5"/>
  <c r="X970" i="5"/>
  <c r="W970" i="5"/>
  <c r="V970" i="5"/>
  <c r="U970" i="5"/>
  <c r="T970" i="5"/>
  <c r="S970" i="5"/>
  <c r="R970" i="5"/>
  <c r="Q970" i="5"/>
  <c r="X969" i="5"/>
  <c r="W969" i="5"/>
  <c r="V969" i="5"/>
  <c r="U969" i="5"/>
  <c r="T969" i="5"/>
  <c r="S969" i="5"/>
  <c r="R969" i="5"/>
  <c r="Q969" i="5"/>
  <c r="X968" i="5"/>
  <c r="W968" i="5"/>
  <c r="V968" i="5"/>
  <c r="U968" i="5"/>
  <c r="T968" i="5"/>
  <c r="S968" i="5"/>
  <c r="R968" i="5"/>
  <c r="Q968" i="5"/>
  <c r="X967" i="5"/>
  <c r="W967" i="5"/>
  <c r="V967" i="5"/>
  <c r="U967" i="5"/>
  <c r="T967" i="5"/>
  <c r="S967" i="5"/>
  <c r="R967" i="5"/>
  <c r="Q967" i="5"/>
  <c r="X966" i="5"/>
  <c r="W966" i="5"/>
  <c r="V966" i="5"/>
  <c r="U966" i="5"/>
  <c r="T966" i="5"/>
  <c r="S966" i="5"/>
  <c r="R966" i="5"/>
  <c r="Q966" i="5"/>
  <c r="X965" i="5"/>
  <c r="W965" i="5"/>
  <c r="V965" i="5"/>
  <c r="U965" i="5"/>
  <c r="T965" i="5"/>
  <c r="S965" i="5"/>
  <c r="R965" i="5"/>
  <c r="Q965" i="5"/>
  <c r="X964" i="5"/>
  <c r="W964" i="5"/>
  <c r="V964" i="5"/>
  <c r="U964" i="5"/>
  <c r="T964" i="5"/>
  <c r="S964" i="5"/>
  <c r="R964" i="5"/>
  <c r="Q964" i="5"/>
  <c r="X963" i="5"/>
  <c r="W963" i="5"/>
  <c r="V963" i="5"/>
  <c r="U963" i="5"/>
  <c r="T963" i="5"/>
  <c r="S963" i="5"/>
  <c r="R963" i="5"/>
  <c r="Q963" i="5"/>
  <c r="X962" i="5"/>
  <c r="W962" i="5"/>
  <c r="V962" i="5"/>
  <c r="U962" i="5"/>
  <c r="T962" i="5"/>
  <c r="S962" i="5"/>
  <c r="R962" i="5"/>
  <c r="Q962" i="5"/>
  <c r="X961" i="5"/>
  <c r="W961" i="5"/>
  <c r="V961" i="5"/>
  <c r="U961" i="5"/>
  <c r="T961" i="5"/>
  <c r="S961" i="5"/>
  <c r="R961" i="5"/>
  <c r="Q961" i="5"/>
  <c r="X960" i="5"/>
  <c r="W960" i="5"/>
  <c r="V960" i="5"/>
  <c r="U960" i="5"/>
  <c r="T960" i="5"/>
  <c r="S960" i="5"/>
  <c r="R960" i="5"/>
  <c r="Q960" i="5"/>
  <c r="X959" i="5"/>
  <c r="W959" i="5"/>
  <c r="V959" i="5"/>
  <c r="U959" i="5"/>
  <c r="T959" i="5"/>
  <c r="S959" i="5"/>
  <c r="R959" i="5"/>
  <c r="Q959" i="5"/>
  <c r="X958" i="5"/>
  <c r="W958" i="5"/>
  <c r="V958" i="5"/>
  <c r="U958" i="5"/>
  <c r="T958" i="5"/>
  <c r="S958" i="5"/>
  <c r="R958" i="5"/>
  <c r="Q958" i="5"/>
  <c r="X957" i="5"/>
  <c r="W957" i="5"/>
  <c r="V957" i="5"/>
  <c r="U957" i="5"/>
  <c r="T957" i="5"/>
  <c r="S957" i="5"/>
  <c r="R957" i="5"/>
  <c r="Q957" i="5"/>
  <c r="X956" i="5"/>
  <c r="W956" i="5"/>
  <c r="V956" i="5"/>
  <c r="U956" i="5"/>
  <c r="T956" i="5"/>
  <c r="S956" i="5"/>
  <c r="R956" i="5"/>
  <c r="Q956" i="5"/>
  <c r="X955" i="5"/>
  <c r="W955" i="5"/>
  <c r="V955" i="5"/>
  <c r="U955" i="5"/>
  <c r="T955" i="5"/>
  <c r="S955" i="5"/>
  <c r="R955" i="5"/>
  <c r="Q955" i="5"/>
  <c r="X954" i="5"/>
  <c r="W954" i="5"/>
  <c r="V954" i="5"/>
  <c r="U954" i="5"/>
  <c r="T954" i="5"/>
  <c r="S954" i="5"/>
  <c r="R954" i="5"/>
  <c r="Q954" i="5"/>
  <c r="X953" i="5"/>
  <c r="W953" i="5"/>
  <c r="V953" i="5"/>
  <c r="U953" i="5"/>
  <c r="T953" i="5"/>
  <c r="S953" i="5"/>
  <c r="R953" i="5"/>
  <c r="Q953" i="5"/>
  <c r="X952" i="5"/>
  <c r="W952" i="5"/>
  <c r="V952" i="5"/>
  <c r="U952" i="5"/>
  <c r="T952" i="5"/>
  <c r="S952" i="5"/>
  <c r="R952" i="5"/>
  <c r="Q952" i="5"/>
  <c r="X951" i="5"/>
  <c r="W951" i="5"/>
  <c r="V951" i="5"/>
  <c r="U951" i="5"/>
  <c r="T951" i="5"/>
  <c r="S951" i="5"/>
  <c r="R951" i="5"/>
  <c r="Q951" i="5"/>
  <c r="X950" i="5"/>
  <c r="W950" i="5"/>
  <c r="V950" i="5"/>
  <c r="U950" i="5"/>
  <c r="T950" i="5"/>
  <c r="S950" i="5"/>
  <c r="R950" i="5"/>
  <c r="Q950" i="5"/>
  <c r="X949" i="5"/>
  <c r="W949" i="5"/>
  <c r="V949" i="5"/>
  <c r="U949" i="5"/>
  <c r="T949" i="5"/>
  <c r="S949" i="5"/>
  <c r="R949" i="5"/>
  <c r="Q949" i="5"/>
  <c r="X948" i="5"/>
  <c r="W948" i="5"/>
  <c r="V948" i="5"/>
  <c r="U948" i="5"/>
  <c r="T948" i="5"/>
  <c r="S948" i="5"/>
  <c r="R948" i="5"/>
  <c r="Q948" i="5"/>
  <c r="X947" i="5"/>
  <c r="W947" i="5"/>
  <c r="V947" i="5"/>
  <c r="U947" i="5"/>
  <c r="T947" i="5"/>
  <c r="S947" i="5"/>
  <c r="R947" i="5"/>
  <c r="Q947" i="5"/>
  <c r="X946" i="5"/>
  <c r="W946" i="5"/>
  <c r="V946" i="5"/>
  <c r="U946" i="5"/>
  <c r="T946" i="5"/>
  <c r="S946" i="5"/>
  <c r="R946" i="5"/>
  <c r="Q946" i="5"/>
  <c r="X945" i="5"/>
  <c r="W945" i="5"/>
  <c r="V945" i="5"/>
  <c r="U945" i="5"/>
  <c r="T945" i="5"/>
  <c r="S945" i="5"/>
  <c r="R945" i="5"/>
  <c r="Q945" i="5"/>
  <c r="X944" i="5"/>
  <c r="W944" i="5"/>
  <c r="V944" i="5"/>
  <c r="U944" i="5"/>
  <c r="T944" i="5"/>
  <c r="S944" i="5"/>
  <c r="R944" i="5"/>
  <c r="Q944" i="5"/>
  <c r="X943" i="5"/>
  <c r="W943" i="5"/>
  <c r="V943" i="5"/>
  <c r="U943" i="5"/>
  <c r="T943" i="5"/>
  <c r="S943" i="5"/>
  <c r="R943" i="5"/>
  <c r="Q943" i="5"/>
  <c r="X942" i="5"/>
  <c r="W942" i="5"/>
  <c r="V942" i="5"/>
  <c r="U942" i="5"/>
  <c r="T942" i="5"/>
  <c r="S942" i="5"/>
  <c r="R942" i="5"/>
  <c r="Q942" i="5"/>
  <c r="X941" i="5"/>
  <c r="W941" i="5"/>
  <c r="V941" i="5"/>
  <c r="U941" i="5"/>
  <c r="T941" i="5"/>
  <c r="S941" i="5"/>
  <c r="R941" i="5"/>
  <c r="Q941" i="5"/>
  <c r="X940" i="5"/>
  <c r="W940" i="5"/>
  <c r="V940" i="5"/>
  <c r="U940" i="5"/>
  <c r="T940" i="5"/>
  <c r="S940" i="5"/>
  <c r="R940" i="5"/>
  <c r="Q940" i="5"/>
  <c r="X939" i="5"/>
  <c r="W939" i="5"/>
  <c r="V939" i="5"/>
  <c r="U939" i="5"/>
  <c r="T939" i="5"/>
  <c r="S939" i="5"/>
  <c r="R939" i="5"/>
  <c r="Q939" i="5"/>
  <c r="X938" i="5"/>
  <c r="W938" i="5"/>
  <c r="V938" i="5"/>
  <c r="U938" i="5"/>
  <c r="T938" i="5"/>
  <c r="S938" i="5"/>
  <c r="R938" i="5"/>
  <c r="Q938" i="5"/>
  <c r="X937" i="5"/>
  <c r="W937" i="5"/>
  <c r="V937" i="5"/>
  <c r="U937" i="5"/>
  <c r="T937" i="5"/>
  <c r="S937" i="5"/>
  <c r="R937" i="5"/>
  <c r="Q937" i="5"/>
  <c r="X936" i="5"/>
  <c r="W936" i="5"/>
  <c r="V936" i="5"/>
  <c r="U936" i="5"/>
  <c r="T936" i="5"/>
  <c r="S936" i="5"/>
  <c r="R936" i="5"/>
  <c r="Q936" i="5"/>
  <c r="X935" i="5"/>
  <c r="W935" i="5"/>
  <c r="V935" i="5"/>
  <c r="U935" i="5"/>
  <c r="T935" i="5"/>
  <c r="S935" i="5"/>
  <c r="R935" i="5"/>
  <c r="Q935" i="5"/>
  <c r="X934" i="5"/>
  <c r="W934" i="5"/>
  <c r="V934" i="5"/>
  <c r="U934" i="5"/>
  <c r="T934" i="5"/>
  <c r="S934" i="5"/>
  <c r="R934" i="5"/>
  <c r="Q934" i="5"/>
  <c r="X933" i="5"/>
  <c r="W933" i="5"/>
  <c r="V933" i="5"/>
  <c r="U933" i="5"/>
  <c r="T933" i="5"/>
  <c r="S933" i="5"/>
  <c r="R933" i="5"/>
  <c r="Q933" i="5"/>
  <c r="X932" i="5"/>
  <c r="W932" i="5"/>
  <c r="V932" i="5"/>
  <c r="U932" i="5"/>
  <c r="T932" i="5"/>
  <c r="S932" i="5"/>
  <c r="R932" i="5"/>
  <c r="Q932" i="5"/>
  <c r="X931" i="5"/>
  <c r="W931" i="5"/>
  <c r="V931" i="5"/>
  <c r="U931" i="5"/>
  <c r="T931" i="5"/>
  <c r="S931" i="5"/>
  <c r="R931" i="5"/>
  <c r="Q931" i="5"/>
  <c r="X930" i="5"/>
  <c r="W930" i="5"/>
  <c r="V930" i="5"/>
  <c r="U930" i="5"/>
  <c r="T930" i="5"/>
  <c r="S930" i="5"/>
  <c r="R930" i="5"/>
  <c r="Q930" i="5"/>
  <c r="X929" i="5"/>
  <c r="W929" i="5"/>
  <c r="V929" i="5"/>
  <c r="U929" i="5"/>
  <c r="T929" i="5"/>
  <c r="S929" i="5"/>
  <c r="R929" i="5"/>
  <c r="Q929" i="5"/>
  <c r="X928" i="5"/>
  <c r="W928" i="5"/>
  <c r="V928" i="5"/>
  <c r="U928" i="5"/>
  <c r="T928" i="5"/>
  <c r="S928" i="5"/>
  <c r="R928" i="5"/>
  <c r="Q928" i="5"/>
  <c r="X927" i="5"/>
  <c r="W927" i="5"/>
  <c r="V927" i="5"/>
  <c r="U927" i="5"/>
  <c r="T927" i="5"/>
  <c r="S927" i="5"/>
  <c r="R927" i="5"/>
  <c r="Q927" i="5"/>
  <c r="X926" i="5"/>
  <c r="W926" i="5"/>
  <c r="V926" i="5"/>
  <c r="U926" i="5"/>
  <c r="T926" i="5"/>
  <c r="S926" i="5"/>
  <c r="R926" i="5"/>
  <c r="Q926" i="5"/>
  <c r="X925" i="5"/>
  <c r="W925" i="5"/>
  <c r="V925" i="5"/>
  <c r="U925" i="5"/>
  <c r="T925" i="5"/>
  <c r="S925" i="5"/>
  <c r="R925" i="5"/>
  <c r="Q925" i="5"/>
  <c r="X924" i="5"/>
  <c r="W924" i="5"/>
  <c r="V924" i="5"/>
  <c r="U924" i="5"/>
  <c r="T924" i="5"/>
  <c r="S924" i="5"/>
  <c r="R924" i="5"/>
  <c r="Q924" i="5"/>
  <c r="X923" i="5"/>
  <c r="W923" i="5"/>
  <c r="V923" i="5"/>
  <c r="U923" i="5"/>
  <c r="T923" i="5"/>
  <c r="S923" i="5"/>
  <c r="R923" i="5"/>
  <c r="Q923" i="5"/>
  <c r="X922" i="5"/>
  <c r="W922" i="5"/>
  <c r="V922" i="5"/>
  <c r="U922" i="5"/>
  <c r="T922" i="5"/>
  <c r="S922" i="5"/>
  <c r="R922" i="5"/>
  <c r="Q922" i="5"/>
  <c r="X921" i="5"/>
  <c r="W921" i="5"/>
  <c r="V921" i="5"/>
  <c r="U921" i="5"/>
  <c r="T921" i="5"/>
  <c r="S921" i="5"/>
  <c r="R921" i="5"/>
  <c r="Q921" i="5"/>
  <c r="X920" i="5"/>
  <c r="W920" i="5"/>
  <c r="V920" i="5"/>
  <c r="U920" i="5"/>
  <c r="T920" i="5"/>
  <c r="S920" i="5"/>
  <c r="R920" i="5"/>
  <c r="Q920" i="5"/>
  <c r="X919" i="5"/>
  <c r="W919" i="5"/>
  <c r="V919" i="5"/>
  <c r="U919" i="5"/>
  <c r="T919" i="5"/>
  <c r="S919" i="5"/>
  <c r="R919" i="5"/>
  <c r="Q919" i="5"/>
  <c r="X918" i="5"/>
  <c r="W918" i="5"/>
  <c r="V918" i="5"/>
  <c r="U918" i="5"/>
  <c r="T918" i="5"/>
  <c r="S918" i="5"/>
  <c r="R918" i="5"/>
  <c r="Q918" i="5"/>
  <c r="X917" i="5"/>
  <c r="W917" i="5"/>
  <c r="V917" i="5"/>
  <c r="U917" i="5"/>
  <c r="T917" i="5"/>
  <c r="S917" i="5"/>
  <c r="R917" i="5"/>
  <c r="Q917" i="5"/>
  <c r="X916" i="5"/>
  <c r="W916" i="5"/>
  <c r="V916" i="5"/>
  <c r="U916" i="5"/>
  <c r="T916" i="5"/>
  <c r="S916" i="5"/>
  <c r="R916" i="5"/>
  <c r="Q916" i="5"/>
  <c r="X915" i="5"/>
  <c r="W915" i="5"/>
  <c r="V915" i="5"/>
  <c r="U915" i="5"/>
  <c r="T915" i="5"/>
  <c r="S915" i="5"/>
  <c r="R915" i="5"/>
  <c r="Q915" i="5"/>
  <c r="X914" i="5"/>
  <c r="W914" i="5"/>
  <c r="V914" i="5"/>
  <c r="U914" i="5"/>
  <c r="T914" i="5"/>
  <c r="S914" i="5"/>
  <c r="R914" i="5"/>
  <c r="Q914" i="5"/>
  <c r="X913" i="5"/>
  <c r="W913" i="5"/>
  <c r="V913" i="5"/>
  <c r="U913" i="5"/>
  <c r="T913" i="5"/>
  <c r="S913" i="5"/>
  <c r="R913" i="5"/>
  <c r="Q913" i="5"/>
  <c r="X912" i="5"/>
  <c r="W912" i="5"/>
  <c r="V912" i="5"/>
  <c r="U912" i="5"/>
  <c r="T912" i="5"/>
  <c r="S912" i="5"/>
  <c r="R912" i="5"/>
  <c r="Q912" i="5"/>
  <c r="X911" i="5"/>
  <c r="W911" i="5"/>
  <c r="V911" i="5"/>
  <c r="U911" i="5"/>
  <c r="T911" i="5"/>
  <c r="S911" i="5"/>
  <c r="R911" i="5"/>
  <c r="Q911" i="5"/>
  <c r="X910" i="5"/>
  <c r="W910" i="5"/>
  <c r="V910" i="5"/>
  <c r="U910" i="5"/>
  <c r="T910" i="5"/>
  <c r="S910" i="5"/>
  <c r="R910" i="5"/>
  <c r="Q910" i="5"/>
  <c r="X909" i="5"/>
  <c r="W909" i="5"/>
  <c r="V909" i="5"/>
  <c r="U909" i="5"/>
  <c r="T909" i="5"/>
  <c r="S909" i="5"/>
  <c r="R909" i="5"/>
  <c r="Q909" i="5"/>
  <c r="X908" i="5"/>
  <c r="W908" i="5"/>
  <c r="V908" i="5"/>
  <c r="U908" i="5"/>
  <c r="T908" i="5"/>
  <c r="S908" i="5"/>
  <c r="R908" i="5"/>
  <c r="Q908" i="5"/>
  <c r="X907" i="5"/>
  <c r="W907" i="5"/>
  <c r="V907" i="5"/>
  <c r="U907" i="5"/>
  <c r="T907" i="5"/>
  <c r="S907" i="5"/>
  <c r="R907" i="5"/>
  <c r="Q907" i="5"/>
  <c r="X906" i="5"/>
  <c r="W906" i="5"/>
  <c r="V906" i="5"/>
  <c r="U906" i="5"/>
  <c r="T906" i="5"/>
  <c r="S906" i="5"/>
  <c r="R906" i="5"/>
  <c r="Q906" i="5"/>
  <c r="X905" i="5"/>
  <c r="W905" i="5"/>
  <c r="V905" i="5"/>
  <c r="U905" i="5"/>
  <c r="T905" i="5"/>
  <c r="S905" i="5"/>
  <c r="R905" i="5"/>
  <c r="Q905" i="5"/>
  <c r="X904" i="5"/>
  <c r="W904" i="5"/>
  <c r="V904" i="5"/>
  <c r="U904" i="5"/>
  <c r="T904" i="5"/>
  <c r="S904" i="5"/>
  <c r="R904" i="5"/>
  <c r="Q904" i="5"/>
  <c r="X903" i="5"/>
  <c r="W903" i="5"/>
  <c r="V903" i="5"/>
  <c r="U903" i="5"/>
  <c r="T903" i="5"/>
  <c r="S903" i="5"/>
  <c r="R903" i="5"/>
  <c r="Q903" i="5"/>
  <c r="X902" i="5"/>
  <c r="W902" i="5"/>
  <c r="V902" i="5"/>
  <c r="U902" i="5"/>
  <c r="T902" i="5"/>
  <c r="S902" i="5"/>
  <c r="R902" i="5"/>
  <c r="Q902" i="5"/>
  <c r="X901" i="5"/>
  <c r="W901" i="5"/>
  <c r="V901" i="5"/>
  <c r="U901" i="5"/>
  <c r="T901" i="5"/>
  <c r="S901" i="5"/>
  <c r="R901" i="5"/>
  <c r="Q901" i="5"/>
  <c r="X900" i="5"/>
  <c r="W900" i="5"/>
  <c r="V900" i="5"/>
  <c r="U900" i="5"/>
  <c r="T900" i="5"/>
  <c r="S900" i="5"/>
  <c r="R900" i="5"/>
  <c r="Q900" i="5"/>
  <c r="X899" i="5"/>
  <c r="W899" i="5"/>
  <c r="V899" i="5"/>
  <c r="U899" i="5"/>
  <c r="T899" i="5"/>
  <c r="S899" i="5"/>
  <c r="R899" i="5"/>
  <c r="Q899" i="5"/>
  <c r="X898" i="5"/>
  <c r="W898" i="5"/>
  <c r="V898" i="5"/>
  <c r="U898" i="5"/>
  <c r="T898" i="5"/>
  <c r="S898" i="5"/>
  <c r="R898" i="5"/>
  <c r="Q898" i="5"/>
  <c r="X897" i="5"/>
  <c r="W897" i="5"/>
  <c r="V897" i="5"/>
  <c r="U897" i="5"/>
  <c r="T897" i="5"/>
  <c r="S897" i="5"/>
  <c r="R897" i="5"/>
  <c r="Q897" i="5"/>
  <c r="X896" i="5"/>
  <c r="W896" i="5"/>
  <c r="V896" i="5"/>
  <c r="U896" i="5"/>
  <c r="T896" i="5"/>
  <c r="S896" i="5"/>
  <c r="R896" i="5"/>
  <c r="Q896" i="5"/>
  <c r="X895" i="5"/>
  <c r="W895" i="5"/>
  <c r="V895" i="5"/>
  <c r="U895" i="5"/>
  <c r="T895" i="5"/>
  <c r="S895" i="5"/>
  <c r="R895" i="5"/>
  <c r="Q895" i="5"/>
  <c r="X894" i="5"/>
  <c r="W894" i="5"/>
  <c r="V894" i="5"/>
  <c r="U894" i="5"/>
  <c r="T894" i="5"/>
  <c r="S894" i="5"/>
  <c r="R894" i="5"/>
  <c r="Q894" i="5"/>
  <c r="X893" i="5"/>
  <c r="W893" i="5"/>
  <c r="V893" i="5"/>
  <c r="U893" i="5"/>
  <c r="T893" i="5"/>
  <c r="S893" i="5"/>
  <c r="R893" i="5"/>
  <c r="Q893" i="5"/>
  <c r="X892" i="5"/>
  <c r="W892" i="5"/>
  <c r="V892" i="5"/>
  <c r="U892" i="5"/>
  <c r="T892" i="5"/>
  <c r="S892" i="5"/>
  <c r="R892" i="5"/>
  <c r="Q892" i="5"/>
  <c r="X891" i="5"/>
  <c r="W891" i="5"/>
  <c r="V891" i="5"/>
  <c r="U891" i="5"/>
  <c r="T891" i="5"/>
  <c r="S891" i="5"/>
  <c r="R891" i="5"/>
  <c r="Q891" i="5"/>
  <c r="X890" i="5"/>
  <c r="W890" i="5"/>
  <c r="V890" i="5"/>
  <c r="U890" i="5"/>
  <c r="T890" i="5"/>
  <c r="S890" i="5"/>
  <c r="R890" i="5"/>
  <c r="Q890" i="5"/>
  <c r="X889" i="5"/>
  <c r="W889" i="5"/>
  <c r="V889" i="5"/>
  <c r="U889" i="5"/>
  <c r="T889" i="5"/>
  <c r="S889" i="5"/>
  <c r="R889" i="5"/>
  <c r="Q889" i="5"/>
  <c r="X888" i="5"/>
  <c r="W888" i="5"/>
  <c r="V888" i="5"/>
  <c r="U888" i="5"/>
  <c r="T888" i="5"/>
  <c r="S888" i="5"/>
  <c r="R888" i="5"/>
  <c r="Q888" i="5"/>
  <c r="X887" i="5"/>
  <c r="W887" i="5"/>
  <c r="V887" i="5"/>
  <c r="U887" i="5"/>
  <c r="T887" i="5"/>
  <c r="S887" i="5"/>
  <c r="R887" i="5"/>
  <c r="Q887" i="5"/>
  <c r="X886" i="5"/>
  <c r="W886" i="5"/>
  <c r="V886" i="5"/>
  <c r="U886" i="5"/>
  <c r="T886" i="5"/>
  <c r="S886" i="5"/>
  <c r="R886" i="5"/>
  <c r="Q886" i="5"/>
  <c r="X885" i="5"/>
  <c r="W885" i="5"/>
  <c r="V885" i="5"/>
  <c r="U885" i="5"/>
  <c r="T885" i="5"/>
  <c r="S885" i="5"/>
  <c r="R885" i="5"/>
  <c r="Q885" i="5"/>
  <c r="X884" i="5"/>
  <c r="W884" i="5"/>
  <c r="V884" i="5"/>
  <c r="U884" i="5"/>
  <c r="T884" i="5"/>
  <c r="S884" i="5"/>
  <c r="R884" i="5"/>
  <c r="Q884" i="5"/>
  <c r="X883" i="5"/>
  <c r="W883" i="5"/>
  <c r="V883" i="5"/>
  <c r="U883" i="5"/>
  <c r="T883" i="5"/>
  <c r="S883" i="5"/>
  <c r="R883" i="5"/>
  <c r="Q883" i="5"/>
  <c r="X882" i="5"/>
  <c r="W882" i="5"/>
  <c r="V882" i="5"/>
  <c r="U882" i="5"/>
  <c r="T882" i="5"/>
  <c r="S882" i="5"/>
  <c r="R882" i="5"/>
  <c r="Q882" i="5"/>
  <c r="X881" i="5"/>
  <c r="W881" i="5"/>
  <c r="V881" i="5"/>
  <c r="U881" i="5"/>
  <c r="T881" i="5"/>
  <c r="S881" i="5"/>
  <c r="R881" i="5"/>
  <c r="Q881" i="5"/>
  <c r="X880" i="5"/>
  <c r="W880" i="5"/>
  <c r="V880" i="5"/>
  <c r="U880" i="5"/>
  <c r="T880" i="5"/>
  <c r="S880" i="5"/>
  <c r="R880" i="5"/>
  <c r="Q880" i="5"/>
  <c r="X879" i="5"/>
  <c r="W879" i="5"/>
  <c r="V879" i="5"/>
  <c r="U879" i="5"/>
  <c r="T879" i="5"/>
  <c r="S879" i="5"/>
  <c r="R879" i="5"/>
  <c r="Q879" i="5"/>
  <c r="X878" i="5"/>
  <c r="W878" i="5"/>
  <c r="V878" i="5"/>
  <c r="U878" i="5"/>
  <c r="T878" i="5"/>
  <c r="S878" i="5"/>
  <c r="R878" i="5"/>
  <c r="Q878" i="5"/>
  <c r="X877" i="5"/>
  <c r="W877" i="5"/>
  <c r="V877" i="5"/>
  <c r="U877" i="5"/>
  <c r="T877" i="5"/>
  <c r="S877" i="5"/>
  <c r="R877" i="5"/>
  <c r="Q877" i="5"/>
  <c r="X876" i="5"/>
  <c r="W876" i="5"/>
  <c r="V876" i="5"/>
  <c r="U876" i="5"/>
  <c r="T876" i="5"/>
  <c r="S876" i="5"/>
  <c r="R876" i="5"/>
  <c r="Q876" i="5"/>
  <c r="X875" i="5"/>
  <c r="W875" i="5"/>
  <c r="V875" i="5"/>
  <c r="U875" i="5"/>
  <c r="T875" i="5"/>
  <c r="S875" i="5"/>
  <c r="R875" i="5"/>
  <c r="Q875" i="5"/>
  <c r="X874" i="5"/>
  <c r="W874" i="5"/>
  <c r="V874" i="5"/>
  <c r="U874" i="5"/>
  <c r="T874" i="5"/>
  <c r="S874" i="5"/>
  <c r="R874" i="5"/>
  <c r="Q874" i="5"/>
  <c r="X873" i="5"/>
  <c r="W873" i="5"/>
  <c r="V873" i="5"/>
  <c r="U873" i="5"/>
  <c r="T873" i="5"/>
  <c r="S873" i="5"/>
  <c r="R873" i="5"/>
  <c r="Q873" i="5"/>
  <c r="X872" i="5"/>
  <c r="W872" i="5"/>
  <c r="V872" i="5"/>
  <c r="U872" i="5"/>
  <c r="T872" i="5"/>
  <c r="S872" i="5"/>
  <c r="R872" i="5"/>
  <c r="Q872" i="5"/>
  <c r="X871" i="5"/>
  <c r="W871" i="5"/>
  <c r="V871" i="5"/>
  <c r="U871" i="5"/>
  <c r="T871" i="5"/>
  <c r="S871" i="5"/>
  <c r="R871" i="5"/>
  <c r="Q871" i="5"/>
  <c r="X870" i="5"/>
  <c r="W870" i="5"/>
  <c r="V870" i="5"/>
  <c r="U870" i="5"/>
  <c r="T870" i="5"/>
  <c r="S870" i="5"/>
  <c r="R870" i="5"/>
  <c r="Q870" i="5"/>
  <c r="X869" i="5"/>
  <c r="W869" i="5"/>
  <c r="V869" i="5"/>
  <c r="U869" i="5"/>
  <c r="T869" i="5"/>
  <c r="S869" i="5"/>
  <c r="R869" i="5"/>
  <c r="Q869" i="5"/>
  <c r="X868" i="5"/>
  <c r="W868" i="5"/>
  <c r="V868" i="5"/>
  <c r="U868" i="5"/>
  <c r="T868" i="5"/>
  <c r="S868" i="5"/>
  <c r="R868" i="5"/>
  <c r="Q868" i="5"/>
  <c r="X867" i="5"/>
  <c r="W867" i="5"/>
  <c r="V867" i="5"/>
  <c r="U867" i="5"/>
  <c r="T867" i="5"/>
  <c r="S867" i="5"/>
  <c r="R867" i="5"/>
  <c r="Q867" i="5"/>
  <c r="X866" i="5"/>
  <c r="W866" i="5"/>
  <c r="V866" i="5"/>
  <c r="U866" i="5"/>
  <c r="T866" i="5"/>
  <c r="S866" i="5"/>
  <c r="R866" i="5"/>
  <c r="Q866" i="5"/>
  <c r="X865" i="5"/>
  <c r="W865" i="5"/>
  <c r="V865" i="5"/>
  <c r="U865" i="5"/>
  <c r="T865" i="5"/>
  <c r="S865" i="5"/>
  <c r="R865" i="5"/>
  <c r="Q865" i="5"/>
  <c r="X864" i="5"/>
  <c r="W864" i="5"/>
  <c r="V864" i="5"/>
  <c r="U864" i="5"/>
  <c r="T864" i="5"/>
  <c r="S864" i="5"/>
  <c r="R864" i="5"/>
  <c r="Q864" i="5"/>
  <c r="X863" i="5"/>
  <c r="W863" i="5"/>
  <c r="V863" i="5"/>
  <c r="U863" i="5"/>
  <c r="T863" i="5"/>
  <c r="S863" i="5"/>
  <c r="R863" i="5"/>
  <c r="Q863" i="5"/>
  <c r="X862" i="5"/>
  <c r="W862" i="5"/>
  <c r="V862" i="5"/>
  <c r="U862" i="5"/>
  <c r="T862" i="5"/>
  <c r="S862" i="5"/>
  <c r="R862" i="5"/>
  <c r="Q862" i="5"/>
  <c r="X861" i="5"/>
  <c r="W861" i="5"/>
  <c r="V861" i="5"/>
  <c r="U861" i="5"/>
  <c r="T861" i="5"/>
  <c r="S861" i="5"/>
  <c r="R861" i="5"/>
  <c r="Q861" i="5"/>
  <c r="X860" i="5"/>
  <c r="W860" i="5"/>
  <c r="V860" i="5"/>
  <c r="U860" i="5"/>
  <c r="T860" i="5"/>
  <c r="S860" i="5"/>
  <c r="R860" i="5"/>
  <c r="Q860" i="5"/>
  <c r="X859" i="5"/>
  <c r="W859" i="5"/>
  <c r="V859" i="5"/>
  <c r="U859" i="5"/>
  <c r="T859" i="5"/>
  <c r="S859" i="5"/>
  <c r="R859" i="5"/>
  <c r="Q859" i="5"/>
  <c r="X858" i="5"/>
  <c r="W858" i="5"/>
  <c r="V858" i="5"/>
  <c r="U858" i="5"/>
  <c r="T858" i="5"/>
  <c r="S858" i="5"/>
  <c r="R858" i="5"/>
  <c r="Q858" i="5"/>
  <c r="X857" i="5"/>
  <c r="W857" i="5"/>
  <c r="V857" i="5"/>
  <c r="U857" i="5"/>
  <c r="T857" i="5"/>
  <c r="S857" i="5"/>
  <c r="R857" i="5"/>
  <c r="Q857" i="5"/>
  <c r="X856" i="5"/>
  <c r="W856" i="5"/>
  <c r="V856" i="5"/>
  <c r="U856" i="5"/>
  <c r="T856" i="5"/>
  <c r="S856" i="5"/>
  <c r="R856" i="5"/>
  <c r="Q856" i="5"/>
  <c r="X855" i="5"/>
  <c r="W855" i="5"/>
  <c r="V855" i="5"/>
  <c r="U855" i="5"/>
  <c r="T855" i="5"/>
  <c r="S855" i="5"/>
  <c r="R855" i="5"/>
  <c r="Q855" i="5"/>
  <c r="X854" i="5"/>
  <c r="W854" i="5"/>
  <c r="V854" i="5"/>
  <c r="U854" i="5"/>
  <c r="T854" i="5"/>
  <c r="S854" i="5"/>
  <c r="R854" i="5"/>
  <c r="Q854" i="5"/>
  <c r="X853" i="5"/>
  <c r="W853" i="5"/>
  <c r="V853" i="5"/>
  <c r="U853" i="5"/>
  <c r="T853" i="5"/>
  <c r="S853" i="5"/>
  <c r="R853" i="5"/>
  <c r="Q853" i="5"/>
  <c r="X852" i="5"/>
  <c r="W852" i="5"/>
  <c r="V852" i="5"/>
  <c r="U852" i="5"/>
  <c r="T852" i="5"/>
  <c r="S852" i="5"/>
  <c r="R852" i="5"/>
  <c r="Q852" i="5"/>
  <c r="X851" i="5"/>
  <c r="W851" i="5"/>
  <c r="V851" i="5"/>
  <c r="U851" i="5"/>
  <c r="T851" i="5"/>
  <c r="S851" i="5"/>
  <c r="R851" i="5"/>
  <c r="Q851" i="5"/>
  <c r="X850" i="5"/>
  <c r="W850" i="5"/>
  <c r="V850" i="5"/>
  <c r="U850" i="5"/>
  <c r="T850" i="5"/>
  <c r="S850" i="5"/>
  <c r="R850" i="5"/>
  <c r="Q850" i="5"/>
  <c r="X849" i="5"/>
  <c r="W849" i="5"/>
  <c r="V849" i="5"/>
  <c r="U849" i="5"/>
  <c r="T849" i="5"/>
  <c r="S849" i="5"/>
  <c r="R849" i="5"/>
  <c r="Q849" i="5"/>
  <c r="X848" i="5"/>
  <c r="W848" i="5"/>
  <c r="V848" i="5"/>
  <c r="U848" i="5"/>
  <c r="T848" i="5"/>
  <c r="S848" i="5"/>
  <c r="R848" i="5"/>
  <c r="Q848" i="5"/>
  <c r="X847" i="5"/>
  <c r="W847" i="5"/>
  <c r="V847" i="5"/>
  <c r="U847" i="5"/>
  <c r="T847" i="5"/>
  <c r="S847" i="5"/>
  <c r="R847" i="5"/>
  <c r="Q847" i="5"/>
  <c r="X846" i="5"/>
  <c r="W846" i="5"/>
  <c r="V846" i="5"/>
  <c r="U846" i="5"/>
  <c r="T846" i="5"/>
  <c r="S846" i="5"/>
  <c r="R846" i="5"/>
  <c r="Q846" i="5"/>
  <c r="X845" i="5"/>
  <c r="W845" i="5"/>
  <c r="V845" i="5"/>
  <c r="U845" i="5"/>
  <c r="T845" i="5"/>
  <c r="S845" i="5"/>
  <c r="R845" i="5"/>
  <c r="Q845" i="5"/>
  <c r="X844" i="5"/>
  <c r="W844" i="5"/>
  <c r="V844" i="5"/>
  <c r="U844" i="5"/>
  <c r="T844" i="5"/>
  <c r="S844" i="5"/>
  <c r="R844" i="5"/>
  <c r="Q844" i="5"/>
  <c r="X843" i="5"/>
  <c r="W843" i="5"/>
  <c r="V843" i="5"/>
  <c r="U843" i="5"/>
  <c r="T843" i="5"/>
  <c r="S843" i="5"/>
  <c r="R843" i="5"/>
  <c r="Q843" i="5"/>
  <c r="X842" i="5"/>
  <c r="W842" i="5"/>
  <c r="V842" i="5"/>
  <c r="U842" i="5"/>
  <c r="T842" i="5"/>
  <c r="S842" i="5"/>
  <c r="R842" i="5"/>
  <c r="Q842" i="5"/>
  <c r="X841" i="5"/>
  <c r="W841" i="5"/>
  <c r="V841" i="5"/>
  <c r="U841" i="5"/>
  <c r="T841" i="5"/>
  <c r="S841" i="5"/>
  <c r="R841" i="5"/>
  <c r="Q841" i="5"/>
  <c r="X840" i="5"/>
  <c r="W840" i="5"/>
  <c r="V840" i="5"/>
  <c r="U840" i="5"/>
  <c r="T840" i="5"/>
  <c r="S840" i="5"/>
  <c r="R840" i="5"/>
  <c r="Q840" i="5"/>
  <c r="X839" i="5"/>
  <c r="W839" i="5"/>
  <c r="V839" i="5"/>
  <c r="U839" i="5"/>
  <c r="T839" i="5"/>
  <c r="S839" i="5"/>
  <c r="R839" i="5"/>
  <c r="Q839" i="5"/>
  <c r="X838" i="5"/>
  <c r="W838" i="5"/>
  <c r="V838" i="5"/>
  <c r="U838" i="5"/>
  <c r="T838" i="5"/>
  <c r="S838" i="5"/>
  <c r="R838" i="5"/>
  <c r="Q838" i="5"/>
  <c r="X837" i="5"/>
  <c r="W837" i="5"/>
  <c r="V837" i="5"/>
  <c r="U837" i="5"/>
  <c r="T837" i="5"/>
  <c r="S837" i="5"/>
  <c r="R837" i="5"/>
  <c r="Q837" i="5"/>
  <c r="X836" i="5"/>
  <c r="W836" i="5"/>
  <c r="V836" i="5"/>
  <c r="U836" i="5"/>
  <c r="T836" i="5"/>
  <c r="S836" i="5"/>
  <c r="R836" i="5"/>
  <c r="Q836" i="5"/>
  <c r="X835" i="5"/>
  <c r="W835" i="5"/>
  <c r="V835" i="5"/>
  <c r="U835" i="5"/>
  <c r="T835" i="5"/>
  <c r="S835" i="5"/>
  <c r="R835" i="5"/>
  <c r="Q835" i="5"/>
  <c r="X834" i="5"/>
  <c r="W834" i="5"/>
  <c r="V834" i="5"/>
  <c r="U834" i="5"/>
  <c r="T834" i="5"/>
  <c r="S834" i="5"/>
  <c r="R834" i="5"/>
  <c r="Q834" i="5"/>
  <c r="X833" i="5"/>
  <c r="W833" i="5"/>
  <c r="V833" i="5"/>
  <c r="U833" i="5"/>
  <c r="T833" i="5"/>
  <c r="S833" i="5"/>
  <c r="R833" i="5"/>
  <c r="Q833" i="5"/>
  <c r="X832" i="5"/>
  <c r="W832" i="5"/>
  <c r="V832" i="5"/>
  <c r="U832" i="5"/>
  <c r="T832" i="5"/>
  <c r="S832" i="5"/>
  <c r="R832" i="5"/>
  <c r="Q832" i="5"/>
  <c r="X831" i="5"/>
  <c r="W831" i="5"/>
  <c r="V831" i="5"/>
  <c r="U831" i="5"/>
  <c r="T831" i="5"/>
  <c r="S831" i="5"/>
  <c r="R831" i="5"/>
  <c r="Q831" i="5"/>
  <c r="X830" i="5"/>
  <c r="W830" i="5"/>
  <c r="V830" i="5"/>
  <c r="U830" i="5"/>
  <c r="T830" i="5"/>
  <c r="S830" i="5"/>
  <c r="R830" i="5"/>
  <c r="Q830" i="5"/>
  <c r="X829" i="5"/>
  <c r="W829" i="5"/>
  <c r="V829" i="5"/>
  <c r="U829" i="5"/>
  <c r="T829" i="5"/>
  <c r="S829" i="5"/>
  <c r="R829" i="5"/>
  <c r="Q829" i="5"/>
  <c r="X828" i="5"/>
  <c r="W828" i="5"/>
  <c r="V828" i="5"/>
  <c r="U828" i="5"/>
  <c r="T828" i="5"/>
  <c r="S828" i="5"/>
  <c r="R828" i="5"/>
  <c r="Q828" i="5"/>
  <c r="X827" i="5"/>
  <c r="W827" i="5"/>
  <c r="V827" i="5"/>
  <c r="U827" i="5"/>
  <c r="T827" i="5"/>
  <c r="S827" i="5"/>
  <c r="R827" i="5"/>
  <c r="Q827" i="5"/>
  <c r="X826" i="5"/>
  <c r="W826" i="5"/>
  <c r="V826" i="5"/>
  <c r="U826" i="5"/>
  <c r="T826" i="5"/>
  <c r="S826" i="5"/>
  <c r="R826" i="5"/>
  <c r="Q826" i="5"/>
  <c r="X825" i="5"/>
  <c r="W825" i="5"/>
  <c r="V825" i="5"/>
  <c r="U825" i="5"/>
  <c r="T825" i="5"/>
  <c r="S825" i="5"/>
  <c r="R825" i="5"/>
  <c r="Q825" i="5"/>
  <c r="X824" i="5"/>
  <c r="W824" i="5"/>
  <c r="V824" i="5"/>
  <c r="U824" i="5"/>
  <c r="T824" i="5"/>
  <c r="S824" i="5"/>
  <c r="R824" i="5"/>
  <c r="Q824" i="5"/>
  <c r="X823" i="5"/>
  <c r="W823" i="5"/>
  <c r="V823" i="5"/>
  <c r="U823" i="5"/>
  <c r="T823" i="5"/>
  <c r="S823" i="5"/>
  <c r="R823" i="5"/>
  <c r="Q823" i="5"/>
  <c r="X822" i="5"/>
  <c r="W822" i="5"/>
  <c r="V822" i="5"/>
  <c r="U822" i="5"/>
  <c r="T822" i="5"/>
  <c r="S822" i="5"/>
  <c r="R822" i="5"/>
  <c r="Q822" i="5"/>
  <c r="X821" i="5"/>
  <c r="W821" i="5"/>
  <c r="V821" i="5"/>
  <c r="U821" i="5"/>
  <c r="T821" i="5"/>
  <c r="S821" i="5"/>
  <c r="R821" i="5"/>
  <c r="Q821" i="5"/>
  <c r="X820" i="5"/>
  <c r="W820" i="5"/>
  <c r="V820" i="5"/>
  <c r="U820" i="5"/>
  <c r="T820" i="5"/>
  <c r="S820" i="5"/>
  <c r="R820" i="5"/>
  <c r="Q820" i="5"/>
  <c r="X819" i="5"/>
  <c r="W819" i="5"/>
  <c r="V819" i="5"/>
  <c r="U819" i="5"/>
  <c r="T819" i="5"/>
  <c r="S819" i="5"/>
  <c r="R819" i="5"/>
  <c r="Q819" i="5"/>
  <c r="X818" i="5"/>
  <c r="W818" i="5"/>
  <c r="V818" i="5"/>
  <c r="U818" i="5"/>
  <c r="T818" i="5"/>
  <c r="S818" i="5"/>
  <c r="R818" i="5"/>
  <c r="Q818" i="5"/>
  <c r="X817" i="5"/>
  <c r="W817" i="5"/>
  <c r="V817" i="5"/>
  <c r="U817" i="5"/>
  <c r="T817" i="5"/>
  <c r="S817" i="5"/>
  <c r="R817" i="5"/>
  <c r="Q817" i="5"/>
  <c r="X816" i="5"/>
  <c r="W816" i="5"/>
  <c r="V816" i="5"/>
  <c r="U816" i="5"/>
  <c r="T816" i="5"/>
  <c r="S816" i="5"/>
  <c r="R816" i="5"/>
  <c r="Q816" i="5"/>
  <c r="X815" i="5"/>
  <c r="W815" i="5"/>
  <c r="V815" i="5"/>
  <c r="U815" i="5"/>
  <c r="T815" i="5"/>
  <c r="S815" i="5"/>
  <c r="R815" i="5"/>
  <c r="Q815" i="5"/>
  <c r="X814" i="5"/>
  <c r="W814" i="5"/>
  <c r="V814" i="5"/>
  <c r="U814" i="5"/>
  <c r="T814" i="5"/>
  <c r="S814" i="5"/>
  <c r="R814" i="5"/>
  <c r="Q814" i="5"/>
  <c r="X813" i="5"/>
  <c r="W813" i="5"/>
  <c r="V813" i="5"/>
  <c r="U813" i="5"/>
  <c r="T813" i="5"/>
  <c r="S813" i="5"/>
  <c r="R813" i="5"/>
  <c r="Q813" i="5"/>
  <c r="X812" i="5"/>
  <c r="W812" i="5"/>
  <c r="V812" i="5"/>
  <c r="U812" i="5"/>
  <c r="T812" i="5"/>
  <c r="S812" i="5"/>
  <c r="R812" i="5"/>
  <c r="Q812" i="5"/>
  <c r="X811" i="5"/>
  <c r="W811" i="5"/>
  <c r="V811" i="5"/>
  <c r="U811" i="5"/>
  <c r="T811" i="5"/>
  <c r="S811" i="5"/>
  <c r="R811" i="5"/>
  <c r="Q811" i="5"/>
  <c r="X810" i="5"/>
  <c r="W810" i="5"/>
  <c r="V810" i="5"/>
  <c r="U810" i="5"/>
  <c r="T810" i="5"/>
  <c r="S810" i="5"/>
  <c r="R810" i="5"/>
  <c r="Q810" i="5"/>
  <c r="X809" i="5"/>
  <c r="W809" i="5"/>
  <c r="V809" i="5"/>
  <c r="U809" i="5"/>
  <c r="T809" i="5"/>
  <c r="S809" i="5"/>
  <c r="R809" i="5"/>
  <c r="Q809" i="5"/>
  <c r="X808" i="5"/>
  <c r="W808" i="5"/>
  <c r="V808" i="5"/>
  <c r="U808" i="5"/>
  <c r="T808" i="5"/>
  <c r="S808" i="5"/>
  <c r="R808" i="5"/>
  <c r="Q808" i="5"/>
  <c r="X807" i="5"/>
  <c r="W807" i="5"/>
  <c r="V807" i="5"/>
  <c r="U807" i="5"/>
  <c r="T807" i="5"/>
  <c r="S807" i="5"/>
  <c r="R807" i="5"/>
  <c r="Q807" i="5"/>
  <c r="X806" i="5"/>
  <c r="W806" i="5"/>
  <c r="V806" i="5"/>
  <c r="U806" i="5"/>
  <c r="T806" i="5"/>
  <c r="S806" i="5"/>
  <c r="R806" i="5"/>
  <c r="Q806" i="5"/>
  <c r="X805" i="5"/>
  <c r="W805" i="5"/>
  <c r="V805" i="5"/>
  <c r="U805" i="5"/>
  <c r="T805" i="5"/>
  <c r="S805" i="5"/>
  <c r="R805" i="5"/>
  <c r="Q805" i="5"/>
  <c r="X804" i="5"/>
  <c r="W804" i="5"/>
  <c r="V804" i="5"/>
  <c r="U804" i="5"/>
  <c r="T804" i="5"/>
  <c r="S804" i="5"/>
  <c r="R804" i="5"/>
  <c r="Q804" i="5"/>
  <c r="X803" i="5"/>
  <c r="W803" i="5"/>
  <c r="V803" i="5"/>
  <c r="U803" i="5"/>
  <c r="T803" i="5"/>
  <c r="S803" i="5"/>
  <c r="R803" i="5"/>
  <c r="Q803" i="5"/>
  <c r="X802" i="5"/>
  <c r="W802" i="5"/>
  <c r="V802" i="5"/>
  <c r="U802" i="5"/>
  <c r="T802" i="5"/>
  <c r="S802" i="5"/>
  <c r="R802" i="5"/>
  <c r="Q802" i="5"/>
  <c r="X801" i="5"/>
  <c r="W801" i="5"/>
  <c r="V801" i="5"/>
  <c r="U801" i="5"/>
  <c r="T801" i="5"/>
  <c r="S801" i="5"/>
  <c r="R801" i="5"/>
  <c r="Q801" i="5"/>
  <c r="X800" i="5"/>
  <c r="W800" i="5"/>
  <c r="V800" i="5"/>
  <c r="U800" i="5"/>
  <c r="T800" i="5"/>
  <c r="S800" i="5"/>
  <c r="R800" i="5"/>
  <c r="Q800" i="5"/>
  <c r="X799" i="5"/>
  <c r="W799" i="5"/>
  <c r="V799" i="5"/>
  <c r="U799" i="5"/>
  <c r="T799" i="5"/>
  <c r="S799" i="5"/>
  <c r="R799" i="5"/>
  <c r="Q799" i="5"/>
  <c r="X798" i="5"/>
  <c r="W798" i="5"/>
  <c r="V798" i="5"/>
  <c r="U798" i="5"/>
  <c r="T798" i="5"/>
  <c r="S798" i="5"/>
  <c r="R798" i="5"/>
  <c r="Q798" i="5"/>
  <c r="X797" i="5"/>
  <c r="W797" i="5"/>
  <c r="V797" i="5"/>
  <c r="U797" i="5"/>
  <c r="T797" i="5"/>
  <c r="S797" i="5"/>
  <c r="R797" i="5"/>
  <c r="Q797" i="5"/>
  <c r="X796" i="5"/>
  <c r="W796" i="5"/>
  <c r="V796" i="5"/>
  <c r="U796" i="5"/>
  <c r="T796" i="5"/>
  <c r="S796" i="5"/>
  <c r="R796" i="5"/>
  <c r="Q796" i="5"/>
  <c r="X795" i="5"/>
  <c r="W795" i="5"/>
  <c r="V795" i="5"/>
  <c r="U795" i="5"/>
  <c r="T795" i="5"/>
  <c r="S795" i="5"/>
  <c r="R795" i="5"/>
  <c r="Q795" i="5"/>
  <c r="X794" i="5"/>
  <c r="W794" i="5"/>
  <c r="V794" i="5"/>
  <c r="U794" i="5"/>
  <c r="T794" i="5"/>
  <c r="S794" i="5"/>
  <c r="R794" i="5"/>
  <c r="Q794" i="5"/>
  <c r="X793" i="5"/>
  <c r="W793" i="5"/>
  <c r="V793" i="5"/>
  <c r="U793" i="5"/>
  <c r="T793" i="5"/>
  <c r="S793" i="5"/>
  <c r="R793" i="5"/>
  <c r="Q793" i="5"/>
  <c r="X792" i="5"/>
  <c r="W792" i="5"/>
  <c r="V792" i="5"/>
  <c r="U792" i="5"/>
  <c r="T792" i="5"/>
  <c r="S792" i="5"/>
  <c r="R792" i="5"/>
  <c r="Q792" i="5"/>
  <c r="X791" i="5"/>
  <c r="W791" i="5"/>
  <c r="V791" i="5"/>
  <c r="U791" i="5"/>
  <c r="T791" i="5"/>
  <c r="S791" i="5"/>
  <c r="R791" i="5"/>
  <c r="Q791" i="5"/>
  <c r="X790" i="5"/>
  <c r="W790" i="5"/>
  <c r="V790" i="5"/>
  <c r="U790" i="5"/>
  <c r="T790" i="5"/>
  <c r="S790" i="5"/>
  <c r="R790" i="5"/>
  <c r="Q790" i="5"/>
  <c r="X789" i="5"/>
  <c r="W789" i="5"/>
  <c r="V789" i="5"/>
  <c r="U789" i="5"/>
  <c r="T789" i="5"/>
  <c r="S789" i="5"/>
  <c r="R789" i="5"/>
  <c r="Q789" i="5"/>
  <c r="X788" i="5"/>
  <c r="W788" i="5"/>
  <c r="V788" i="5"/>
  <c r="U788" i="5"/>
  <c r="T788" i="5"/>
  <c r="S788" i="5"/>
  <c r="R788" i="5"/>
  <c r="Q788" i="5"/>
  <c r="X787" i="5"/>
  <c r="W787" i="5"/>
  <c r="V787" i="5"/>
  <c r="U787" i="5"/>
  <c r="T787" i="5"/>
  <c r="S787" i="5"/>
  <c r="R787" i="5"/>
  <c r="Q787" i="5"/>
  <c r="X786" i="5"/>
  <c r="W786" i="5"/>
  <c r="V786" i="5"/>
  <c r="U786" i="5"/>
  <c r="T786" i="5"/>
  <c r="S786" i="5"/>
  <c r="R786" i="5"/>
  <c r="Q786" i="5"/>
  <c r="X785" i="5"/>
  <c r="W785" i="5"/>
  <c r="V785" i="5"/>
  <c r="U785" i="5"/>
  <c r="T785" i="5"/>
  <c r="S785" i="5"/>
  <c r="R785" i="5"/>
  <c r="Q785" i="5"/>
  <c r="X784" i="5"/>
  <c r="W784" i="5"/>
  <c r="V784" i="5"/>
  <c r="U784" i="5"/>
  <c r="T784" i="5"/>
  <c r="S784" i="5"/>
  <c r="R784" i="5"/>
  <c r="Q784" i="5"/>
  <c r="X783" i="5"/>
  <c r="W783" i="5"/>
  <c r="V783" i="5"/>
  <c r="U783" i="5"/>
  <c r="T783" i="5"/>
  <c r="S783" i="5"/>
  <c r="R783" i="5"/>
  <c r="Q783" i="5"/>
  <c r="X782" i="5"/>
  <c r="W782" i="5"/>
  <c r="V782" i="5"/>
  <c r="U782" i="5"/>
  <c r="T782" i="5"/>
  <c r="S782" i="5"/>
  <c r="R782" i="5"/>
  <c r="Q782" i="5"/>
  <c r="X781" i="5"/>
  <c r="W781" i="5"/>
  <c r="V781" i="5"/>
  <c r="U781" i="5"/>
  <c r="T781" i="5"/>
  <c r="S781" i="5"/>
  <c r="R781" i="5"/>
  <c r="Q781" i="5"/>
  <c r="X780" i="5"/>
  <c r="W780" i="5"/>
  <c r="V780" i="5"/>
  <c r="U780" i="5"/>
  <c r="T780" i="5"/>
  <c r="S780" i="5"/>
  <c r="R780" i="5"/>
  <c r="Q780" i="5"/>
  <c r="X779" i="5"/>
  <c r="W779" i="5"/>
  <c r="V779" i="5"/>
  <c r="U779" i="5"/>
  <c r="T779" i="5"/>
  <c r="S779" i="5"/>
  <c r="R779" i="5"/>
  <c r="Q779" i="5"/>
  <c r="X778" i="5"/>
  <c r="W778" i="5"/>
  <c r="V778" i="5"/>
  <c r="U778" i="5"/>
  <c r="T778" i="5"/>
  <c r="S778" i="5"/>
  <c r="R778" i="5"/>
  <c r="Q778" i="5"/>
  <c r="X777" i="5"/>
  <c r="W777" i="5"/>
  <c r="V777" i="5"/>
  <c r="U777" i="5"/>
  <c r="T777" i="5"/>
  <c r="S777" i="5"/>
  <c r="R777" i="5"/>
  <c r="Q777" i="5"/>
  <c r="X776" i="5"/>
  <c r="W776" i="5"/>
  <c r="V776" i="5"/>
  <c r="U776" i="5"/>
  <c r="T776" i="5"/>
  <c r="S776" i="5"/>
  <c r="R776" i="5"/>
  <c r="Q776" i="5"/>
  <c r="X775" i="5"/>
  <c r="W775" i="5"/>
  <c r="V775" i="5"/>
  <c r="U775" i="5"/>
  <c r="T775" i="5"/>
  <c r="S775" i="5"/>
  <c r="R775" i="5"/>
  <c r="Q775" i="5"/>
  <c r="X774" i="5"/>
  <c r="W774" i="5"/>
  <c r="V774" i="5"/>
  <c r="U774" i="5"/>
  <c r="T774" i="5"/>
  <c r="S774" i="5"/>
  <c r="R774" i="5"/>
  <c r="Q774" i="5"/>
  <c r="X773" i="5"/>
  <c r="W773" i="5"/>
  <c r="V773" i="5"/>
  <c r="U773" i="5"/>
  <c r="T773" i="5"/>
  <c r="S773" i="5"/>
  <c r="R773" i="5"/>
  <c r="Q773" i="5"/>
  <c r="X772" i="5"/>
  <c r="W772" i="5"/>
  <c r="V772" i="5"/>
  <c r="U772" i="5"/>
  <c r="T772" i="5"/>
  <c r="S772" i="5"/>
  <c r="R772" i="5"/>
  <c r="Q772" i="5"/>
  <c r="X771" i="5"/>
  <c r="W771" i="5"/>
  <c r="V771" i="5"/>
  <c r="U771" i="5"/>
  <c r="T771" i="5"/>
  <c r="S771" i="5"/>
  <c r="R771" i="5"/>
  <c r="Q771" i="5"/>
  <c r="X770" i="5"/>
  <c r="W770" i="5"/>
  <c r="V770" i="5"/>
  <c r="U770" i="5"/>
  <c r="T770" i="5"/>
  <c r="S770" i="5"/>
  <c r="R770" i="5"/>
  <c r="Q770" i="5"/>
  <c r="X769" i="5"/>
  <c r="W769" i="5"/>
  <c r="V769" i="5"/>
  <c r="U769" i="5"/>
  <c r="T769" i="5"/>
  <c r="S769" i="5"/>
  <c r="R769" i="5"/>
  <c r="Q769" i="5"/>
  <c r="X768" i="5"/>
  <c r="W768" i="5"/>
  <c r="V768" i="5"/>
  <c r="U768" i="5"/>
  <c r="T768" i="5"/>
  <c r="S768" i="5"/>
  <c r="R768" i="5"/>
  <c r="Q768" i="5"/>
  <c r="X767" i="5"/>
  <c r="W767" i="5"/>
  <c r="V767" i="5"/>
  <c r="U767" i="5"/>
  <c r="T767" i="5"/>
  <c r="S767" i="5"/>
  <c r="R767" i="5"/>
  <c r="Q767" i="5"/>
  <c r="X766" i="5"/>
  <c r="W766" i="5"/>
  <c r="V766" i="5"/>
  <c r="U766" i="5"/>
  <c r="T766" i="5"/>
  <c r="S766" i="5"/>
  <c r="R766" i="5"/>
  <c r="Q766" i="5"/>
  <c r="X765" i="5"/>
  <c r="W765" i="5"/>
  <c r="V765" i="5"/>
  <c r="U765" i="5"/>
  <c r="T765" i="5"/>
  <c r="S765" i="5"/>
  <c r="R765" i="5"/>
  <c r="Q765" i="5"/>
  <c r="X764" i="5"/>
  <c r="W764" i="5"/>
  <c r="V764" i="5"/>
  <c r="U764" i="5"/>
  <c r="T764" i="5"/>
  <c r="S764" i="5"/>
  <c r="R764" i="5"/>
  <c r="Q764" i="5"/>
  <c r="X763" i="5"/>
  <c r="W763" i="5"/>
  <c r="V763" i="5"/>
  <c r="U763" i="5"/>
  <c r="T763" i="5"/>
  <c r="S763" i="5"/>
  <c r="R763" i="5"/>
  <c r="Q763" i="5"/>
  <c r="X762" i="5"/>
  <c r="W762" i="5"/>
  <c r="V762" i="5"/>
  <c r="U762" i="5"/>
  <c r="T762" i="5"/>
  <c r="S762" i="5"/>
  <c r="R762" i="5"/>
  <c r="Q762" i="5"/>
  <c r="X761" i="5"/>
  <c r="W761" i="5"/>
  <c r="V761" i="5"/>
  <c r="U761" i="5"/>
  <c r="T761" i="5"/>
  <c r="S761" i="5"/>
  <c r="R761" i="5"/>
  <c r="Q761" i="5"/>
  <c r="X760" i="5"/>
  <c r="W760" i="5"/>
  <c r="V760" i="5"/>
  <c r="U760" i="5"/>
  <c r="T760" i="5"/>
  <c r="S760" i="5"/>
  <c r="R760" i="5"/>
  <c r="Q760" i="5"/>
  <c r="X759" i="5"/>
  <c r="W759" i="5"/>
  <c r="V759" i="5"/>
  <c r="U759" i="5"/>
  <c r="T759" i="5"/>
  <c r="S759" i="5"/>
  <c r="R759" i="5"/>
  <c r="Q759" i="5"/>
  <c r="X758" i="5"/>
  <c r="W758" i="5"/>
  <c r="V758" i="5"/>
  <c r="U758" i="5"/>
  <c r="T758" i="5"/>
  <c r="S758" i="5"/>
  <c r="R758" i="5"/>
  <c r="Q758" i="5"/>
  <c r="X757" i="5"/>
  <c r="W757" i="5"/>
  <c r="V757" i="5"/>
  <c r="U757" i="5"/>
  <c r="T757" i="5"/>
  <c r="S757" i="5"/>
  <c r="R757" i="5"/>
  <c r="Q757" i="5"/>
  <c r="X756" i="5"/>
  <c r="W756" i="5"/>
  <c r="V756" i="5"/>
  <c r="U756" i="5"/>
  <c r="T756" i="5"/>
  <c r="S756" i="5"/>
  <c r="R756" i="5"/>
  <c r="Q756" i="5"/>
  <c r="X755" i="5"/>
  <c r="W755" i="5"/>
  <c r="V755" i="5"/>
  <c r="U755" i="5"/>
  <c r="T755" i="5"/>
  <c r="S755" i="5"/>
  <c r="R755" i="5"/>
  <c r="Q755" i="5"/>
  <c r="X754" i="5"/>
  <c r="W754" i="5"/>
  <c r="V754" i="5"/>
  <c r="U754" i="5"/>
  <c r="T754" i="5"/>
  <c r="S754" i="5"/>
  <c r="R754" i="5"/>
  <c r="Q754" i="5"/>
  <c r="X753" i="5"/>
  <c r="W753" i="5"/>
  <c r="V753" i="5"/>
  <c r="U753" i="5"/>
  <c r="T753" i="5"/>
  <c r="S753" i="5"/>
  <c r="R753" i="5"/>
  <c r="Q753" i="5"/>
  <c r="X752" i="5"/>
  <c r="W752" i="5"/>
  <c r="V752" i="5"/>
  <c r="U752" i="5"/>
  <c r="T752" i="5"/>
  <c r="S752" i="5"/>
  <c r="R752" i="5"/>
  <c r="Q752" i="5"/>
  <c r="X751" i="5"/>
  <c r="W751" i="5"/>
  <c r="V751" i="5"/>
  <c r="U751" i="5"/>
  <c r="T751" i="5"/>
  <c r="S751" i="5"/>
  <c r="R751" i="5"/>
  <c r="Q751" i="5"/>
  <c r="X750" i="5"/>
  <c r="W750" i="5"/>
  <c r="V750" i="5"/>
  <c r="U750" i="5"/>
  <c r="T750" i="5"/>
  <c r="S750" i="5"/>
  <c r="R750" i="5"/>
  <c r="Q750" i="5"/>
  <c r="X749" i="5"/>
  <c r="W749" i="5"/>
  <c r="V749" i="5"/>
  <c r="U749" i="5"/>
  <c r="T749" i="5"/>
  <c r="S749" i="5"/>
  <c r="R749" i="5"/>
  <c r="Q749" i="5"/>
  <c r="X748" i="5"/>
  <c r="W748" i="5"/>
  <c r="V748" i="5"/>
  <c r="U748" i="5"/>
  <c r="T748" i="5"/>
  <c r="S748" i="5"/>
  <c r="R748" i="5"/>
  <c r="Q748" i="5"/>
  <c r="X747" i="5"/>
  <c r="W747" i="5"/>
  <c r="V747" i="5"/>
  <c r="U747" i="5"/>
  <c r="T747" i="5"/>
  <c r="S747" i="5"/>
  <c r="R747" i="5"/>
  <c r="Q747" i="5"/>
  <c r="X746" i="5"/>
  <c r="W746" i="5"/>
  <c r="V746" i="5"/>
  <c r="U746" i="5"/>
  <c r="T746" i="5"/>
  <c r="S746" i="5"/>
  <c r="R746" i="5"/>
  <c r="Q746" i="5"/>
  <c r="X745" i="5"/>
  <c r="W745" i="5"/>
  <c r="V745" i="5"/>
  <c r="U745" i="5"/>
  <c r="T745" i="5"/>
  <c r="S745" i="5"/>
  <c r="R745" i="5"/>
  <c r="Q745" i="5"/>
  <c r="X744" i="5"/>
  <c r="W744" i="5"/>
  <c r="V744" i="5"/>
  <c r="U744" i="5"/>
  <c r="T744" i="5"/>
  <c r="S744" i="5"/>
  <c r="R744" i="5"/>
  <c r="Q744" i="5"/>
  <c r="X743" i="5"/>
  <c r="W743" i="5"/>
  <c r="V743" i="5"/>
  <c r="U743" i="5"/>
  <c r="T743" i="5"/>
  <c r="S743" i="5"/>
  <c r="R743" i="5"/>
  <c r="Q743" i="5"/>
  <c r="X742" i="5"/>
  <c r="W742" i="5"/>
  <c r="V742" i="5"/>
  <c r="U742" i="5"/>
  <c r="T742" i="5"/>
  <c r="S742" i="5"/>
  <c r="R742" i="5"/>
  <c r="Q742" i="5"/>
  <c r="X741" i="5"/>
  <c r="W741" i="5"/>
  <c r="V741" i="5"/>
  <c r="U741" i="5"/>
  <c r="T741" i="5"/>
  <c r="S741" i="5"/>
  <c r="R741" i="5"/>
  <c r="Q741" i="5"/>
  <c r="X740" i="5"/>
  <c r="W740" i="5"/>
  <c r="V740" i="5"/>
  <c r="U740" i="5"/>
  <c r="T740" i="5"/>
  <c r="S740" i="5"/>
  <c r="R740" i="5"/>
  <c r="Q740" i="5"/>
  <c r="X739" i="5"/>
  <c r="W739" i="5"/>
  <c r="V739" i="5"/>
  <c r="U739" i="5"/>
  <c r="T739" i="5"/>
  <c r="S739" i="5"/>
  <c r="R739" i="5"/>
  <c r="Q739" i="5"/>
  <c r="X738" i="5"/>
  <c r="W738" i="5"/>
  <c r="V738" i="5"/>
  <c r="U738" i="5"/>
  <c r="T738" i="5"/>
  <c r="S738" i="5"/>
  <c r="R738" i="5"/>
  <c r="Q738" i="5"/>
  <c r="X737" i="5"/>
  <c r="W737" i="5"/>
  <c r="V737" i="5"/>
  <c r="U737" i="5"/>
  <c r="T737" i="5"/>
  <c r="S737" i="5"/>
  <c r="R737" i="5"/>
  <c r="Q737" i="5"/>
  <c r="X736" i="5"/>
  <c r="W736" i="5"/>
  <c r="V736" i="5"/>
  <c r="U736" i="5"/>
  <c r="T736" i="5"/>
  <c r="S736" i="5"/>
  <c r="R736" i="5"/>
  <c r="Q736" i="5"/>
  <c r="X735" i="5"/>
  <c r="W735" i="5"/>
  <c r="V735" i="5"/>
  <c r="U735" i="5"/>
  <c r="T735" i="5"/>
  <c r="S735" i="5"/>
  <c r="R735" i="5"/>
  <c r="Q735" i="5"/>
  <c r="X734" i="5"/>
  <c r="W734" i="5"/>
  <c r="V734" i="5"/>
  <c r="U734" i="5"/>
  <c r="T734" i="5"/>
  <c r="S734" i="5"/>
  <c r="R734" i="5"/>
  <c r="Q734" i="5"/>
  <c r="X733" i="5"/>
  <c r="W733" i="5"/>
  <c r="V733" i="5"/>
  <c r="U733" i="5"/>
  <c r="T733" i="5"/>
  <c r="S733" i="5"/>
  <c r="R733" i="5"/>
  <c r="Q733" i="5"/>
  <c r="X732" i="5"/>
  <c r="W732" i="5"/>
  <c r="V732" i="5"/>
  <c r="U732" i="5"/>
  <c r="T732" i="5"/>
  <c r="S732" i="5"/>
  <c r="R732" i="5"/>
  <c r="Q732" i="5"/>
  <c r="X731" i="5"/>
  <c r="W731" i="5"/>
  <c r="V731" i="5"/>
  <c r="U731" i="5"/>
  <c r="T731" i="5"/>
  <c r="S731" i="5"/>
  <c r="R731" i="5"/>
  <c r="Q731" i="5"/>
  <c r="X730" i="5"/>
  <c r="W730" i="5"/>
  <c r="V730" i="5"/>
  <c r="U730" i="5"/>
  <c r="T730" i="5"/>
  <c r="S730" i="5"/>
  <c r="R730" i="5"/>
  <c r="Q730" i="5"/>
  <c r="X729" i="5"/>
  <c r="W729" i="5"/>
  <c r="V729" i="5"/>
  <c r="U729" i="5"/>
  <c r="T729" i="5"/>
  <c r="S729" i="5"/>
  <c r="R729" i="5"/>
  <c r="Q729" i="5"/>
  <c r="X728" i="5"/>
  <c r="W728" i="5"/>
  <c r="V728" i="5"/>
  <c r="U728" i="5"/>
  <c r="T728" i="5"/>
  <c r="S728" i="5"/>
  <c r="R728" i="5"/>
  <c r="Q728" i="5"/>
  <c r="X727" i="5"/>
  <c r="W727" i="5"/>
  <c r="V727" i="5"/>
  <c r="U727" i="5"/>
  <c r="T727" i="5"/>
  <c r="S727" i="5"/>
  <c r="R727" i="5"/>
  <c r="Q727" i="5"/>
  <c r="X726" i="5"/>
  <c r="W726" i="5"/>
  <c r="V726" i="5"/>
  <c r="U726" i="5"/>
  <c r="T726" i="5"/>
  <c r="S726" i="5"/>
  <c r="R726" i="5"/>
  <c r="Q726" i="5"/>
  <c r="X725" i="5"/>
  <c r="W725" i="5"/>
  <c r="V725" i="5"/>
  <c r="U725" i="5"/>
  <c r="T725" i="5"/>
  <c r="S725" i="5"/>
  <c r="R725" i="5"/>
  <c r="Q725" i="5"/>
  <c r="X724" i="5"/>
  <c r="W724" i="5"/>
  <c r="V724" i="5"/>
  <c r="U724" i="5"/>
  <c r="T724" i="5"/>
  <c r="S724" i="5"/>
  <c r="R724" i="5"/>
  <c r="Q724" i="5"/>
  <c r="X723" i="5"/>
  <c r="W723" i="5"/>
  <c r="V723" i="5"/>
  <c r="U723" i="5"/>
  <c r="T723" i="5"/>
  <c r="S723" i="5"/>
  <c r="R723" i="5"/>
  <c r="Q723" i="5"/>
  <c r="X722" i="5"/>
  <c r="W722" i="5"/>
  <c r="V722" i="5"/>
  <c r="U722" i="5"/>
  <c r="T722" i="5"/>
  <c r="S722" i="5"/>
  <c r="R722" i="5"/>
  <c r="Q722" i="5"/>
  <c r="X721" i="5"/>
  <c r="W721" i="5"/>
  <c r="V721" i="5"/>
  <c r="U721" i="5"/>
  <c r="T721" i="5"/>
  <c r="S721" i="5"/>
  <c r="R721" i="5"/>
  <c r="Q721" i="5"/>
  <c r="X720" i="5"/>
  <c r="W720" i="5"/>
  <c r="V720" i="5"/>
  <c r="U720" i="5"/>
  <c r="T720" i="5"/>
  <c r="S720" i="5"/>
  <c r="R720" i="5"/>
  <c r="Q720" i="5"/>
  <c r="X719" i="5"/>
  <c r="W719" i="5"/>
  <c r="V719" i="5"/>
  <c r="U719" i="5"/>
  <c r="T719" i="5"/>
  <c r="S719" i="5"/>
  <c r="R719" i="5"/>
  <c r="Q719" i="5"/>
  <c r="X718" i="5"/>
  <c r="W718" i="5"/>
  <c r="V718" i="5"/>
  <c r="U718" i="5"/>
  <c r="T718" i="5"/>
  <c r="S718" i="5"/>
  <c r="R718" i="5"/>
  <c r="Q718" i="5"/>
  <c r="X717" i="5"/>
  <c r="W717" i="5"/>
  <c r="V717" i="5"/>
  <c r="U717" i="5"/>
  <c r="T717" i="5"/>
  <c r="S717" i="5"/>
  <c r="R717" i="5"/>
  <c r="Q717" i="5"/>
  <c r="X716" i="5"/>
  <c r="W716" i="5"/>
  <c r="V716" i="5"/>
  <c r="U716" i="5"/>
  <c r="T716" i="5"/>
  <c r="S716" i="5"/>
  <c r="R716" i="5"/>
  <c r="Q716" i="5"/>
  <c r="X715" i="5"/>
  <c r="W715" i="5"/>
  <c r="V715" i="5"/>
  <c r="U715" i="5"/>
  <c r="T715" i="5"/>
  <c r="S715" i="5"/>
  <c r="R715" i="5"/>
  <c r="Q715" i="5"/>
  <c r="X714" i="5"/>
  <c r="W714" i="5"/>
  <c r="V714" i="5"/>
  <c r="U714" i="5"/>
  <c r="T714" i="5"/>
  <c r="S714" i="5"/>
  <c r="R714" i="5"/>
  <c r="Q714" i="5"/>
  <c r="X713" i="5"/>
  <c r="W713" i="5"/>
  <c r="V713" i="5"/>
  <c r="U713" i="5"/>
  <c r="T713" i="5"/>
  <c r="S713" i="5"/>
  <c r="R713" i="5"/>
  <c r="Q713" i="5"/>
  <c r="X712" i="5"/>
  <c r="W712" i="5"/>
  <c r="V712" i="5"/>
  <c r="U712" i="5"/>
  <c r="T712" i="5"/>
  <c r="S712" i="5"/>
  <c r="R712" i="5"/>
  <c r="Q712" i="5"/>
  <c r="X711" i="5"/>
  <c r="W711" i="5"/>
  <c r="V711" i="5"/>
  <c r="U711" i="5"/>
  <c r="T711" i="5"/>
  <c r="S711" i="5"/>
  <c r="R711" i="5"/>
  <c r="Q711" i="5"/>
  <c r="X710" i="5"/>
  <c r="W710" i="5"/>
  <c r="V710" i="5"/>
  <c r="U710" i="5"/>
  <c r="T710" i="5"/>
  <c r="S710" i="5"/>
  <c r="R710" i="5"/>
  <c r="Q710" i="5"/>
  <c r="X709" i="5"/>
  <c r="W709" i="5"/>
  <c r="V709" i="5"/>
  <c r="U709" i="5"/>
  <c r="T709" i="5"/>
  <c r="S709" i="5"/>
  <c r="R709" i="5"/>
  <c r="Q709" i="5"/>
  <c r="X708" i="5"/>
  <c r="W708" i="5"/>
  <c r="V708" i="5"/>
  <c r="U708" i="5"/>
  <c r="T708" i="5"/>
  <c r="S708" i="5"/>
  <c r="R708" i="5"/>
  <c r="Q708" i="5"/>
  <c r="X707" i="5"/>
  <c r="W707" i="5"/>
  <c r="V707" i="5"/>
  <c r="U707" i="5"/>
  <c r="T707" i="5"/>
  <c r="S707" i="5"/>
  <c r="R707" i="5"/>
  <c r="Q707" i="5"/>
  <c r="X706" i="5"/>
  <c r="W706" i="5"/>
  <c r="V706" i="5"/>
  <c r="U706" i="5"/>
  <c r="T706" i="5"/>
  <c r="S706" i="5"/>
  <c r="R706" i="5"/>
  <c r="Q706" i="5"/>
  <c r="X705" i="5"/>
  <c r="W705" i="5"/>
  <c r="V705" i="5"/>
  <c r="U705" i="5"/>
  <c r="T705" i="5"/>
  <c r="S705" i="5"/>
  <c r="R705" i="5"/>
  <c r="Q705" i="5"/>
  <c r="X704" i="5"/>
  <c r="W704" i="5"/>
  <c r="V704" i="5"/>
  <c r="U704" i="5"/>
  <c r="T704" i="5"/>
  <c r="S704" i="5"/>
  <c r="R704" i="5"/>
  <c r="Q704" i="5"/>
  <c r="X703" i="5"/>
  <c r="W703" i="5"/>
  <c r="V703" i="5"/>
  <c r="U703" i="5"/>
  <c r="T703" i="5"/>
  <c r="S703" i="5"/>
  <c r="R703" i="5"/>
  <c r="Q703" i="5"/>
  <c r="X702" i="5"/>
  <c r="W702" i="5"/>
  <c r="V702" i="5"/>
  <c r="U702" i="5"/>
  <c r="T702" i="5"/>
  <c r="S702" i="5"/>
  <c r="R702" i="5"/>
  <c r="Q702" i="5"/>
  <c r="X701" i="5"/>
  <c r="W701" i="5"/>
  <c r="V701" i="5"/>
  <c r="U701" i="5"/>
  <c r="T701" i="5"/>
  <c r="S701" i="5"/>
  <c r="R701" i="5"/>
  <c r="Q701" i="5"/>
  <c r="X700" i="5"/>
  <c r="W700" i="5"/>
  <c r="V700" i="5"/>
  <c r="U700" i="5"/>
  <c r="T700" i="5"/>
  <c r="S700" i="5"/>
  <c r="R700" i="5"/>
  <c r="Q700" i="5"/>
  <c r="X699" i="5"/>
  <c r="W699" i="5"/>
  <c r="V699" i="5"/>
  <c r="U699" i="5"/>
  <c r="T699" i="5"/>
  <c r="S699" i="5"/>
  <c r="R699" i="5"/>
  <c r="Q699" i="5"/>
  <c r="X698" i="5"/>
  <c r="W698" i="5"/>
  <c r="V698" i="5"/>
  <c r="U698" i="5"/>
  <c r="T698" i="5"/>
  <c r="S698" i="5"/>
  <c r="R698" i="5"/>
  <c r="Q698" i="5"/>
  <c r="X697" i="5"/>
  <c r="W697" i="5"/>
  <c r="V697" i="5"/>
  <c r="U697" i="5"/>
  <c r="T697" i="5"/>
  <c r="S697" i="5"/>
  <c r="R697" i="5"/>
  <c r="Q697" i="5"/>
  <c r="X696" i="5"/>
  <c r="W696" i="5"/>
  <c r="V696" i="5"/>
  <c r="U696" i="5"/>
  <c r="T696" i="5"/>
  <c r="S696" i="5"/>
  <c r="R696" i="5"/>
  <c r="Q696" i="5"/>
  <c r="X695" i="5"/>
  <c r="W695" i="5"/>
  <c r="V695" i="5"/>
  <c r="U695" i="5"/>
  <c r="T695" i="5"/>
  <c r="S695" i="5"/>
  <c r="R695" i="5"/>
  <c r="Q695" i="5"/>
  <c r="X694" i="5"/>
  <c r="W694" i="5"/>
  <c r="V694" i="5"/>
  <c r="U694" i="5"/>
  <c r="T694" i="5"/>
  <c r="S694" i="5"/>
  <c r="R694" i="5"/>
  <c r="Q694" i="5"/>
  <c r="X693" i="5"/>
  <c r="W693" i="5"/>
  <c r="V693" i="5"/>
  <c r="U693" i="5"/>
  <c r="T693" i="5"/>
  <c r="S693" i="5"/>
  <c r="R693" i="5"/>
  <c r="Q693" i="5"/>
  <c r="X692" i="5"/>
  <c r="W692" i="5"/>
  <c r="V692" i="5"/>
  <c r="U692" i="5"/>
  <c r="T692" i="5"/>
  <c r="S692" i="5"/>
  <c r="R692" i="5"/>
  <c r="Q692" i="5"/>
  <c r="X691" i="5"/>
  <c r="W691" i="5"/>
  <c r="V691" i="5"/>
  <c r="U691" i="5"/>
  <c r="T691" i="5"/>
  <c r="S691" i="5"/>
  <c r="R691" i="5"/>
  <c r="Q691" i="5"/>
  <c r="X690" i="5"/>
  <c r="W690" i="5"/>
  <c r="V690" i="5"/>
  <c r="U690" i="5"/>
  <c r="T690" i="5"/>
  <c r="S690" i="5"/>
  <c r="R690" i="5"/>
  <c r="Q690" i="5"/>
  <c r="X689" i="5"/>
  <c r="W689" i="5"/>
  <c r="V689" i="5"/>
  <c r="U689" i="5"/>
  <c r="T689" i="5"/>
  <c r="S689" i="5"/>
  <c r="R689" i="5"/>
  <c r="Q689" i="5"/>
  <c r="X688" i="5"/>
  <c r="W688" i="5"/>
  <c r="V688" i="5"/>
  <c r="U688" i="5"/>
  <c r="T688" i="5"/>
  <c r="S688" i="5"/>
  <c r="R688" i="5"/>
  <c r="Q688" i="5"/>
  <c r="X687" i="5"/>
  <c r="W687" i="5"/>
  <c r="V687" i="5"/>
  <c r="U687" i="5"/>
  <c r="T687" i="5"/>
  <c r="S687" i="5"/>
  <c r="R687" i="5"/>
  <c r="Q687" i="5"/>
  <c r="X686" i="5"/>
  <c r="W686" i="5"/>
  <c r="V686" i="5"/>
  <c r="U686" i="5"/>
  <c r="T686" i="5"/>
  <c r="S686" i="5"/>
  <c r="R686" i="5"/>
  <c r="Q686" i="5"/>
  <c r="X685" i="5"/>
  <c r="W685" i="5"/>
  <c r="V685" i="5"/>
  <c r="U685" i="5"/>
  <c r="T685" i="5"/>
  <c r="S685" i="5"/>
  <c r="R685" i="5"/>
  <c r="Q685" i="5"/>
  <c r="X684" i="5"/>
  <c r="W684" i="5"/>
  <c r="V684" i="5"/>
  <c r="U684" i="5"/>
  <c r="T684" i="5"/>
  <c r="S684" i="5"/>
  <c r="R684" i="5"/>
  <c r="Q684" i="5"/>
  <c r="X683" i="5"/>
  <c r="W683" i="5"/>
  <c r="V683" i="5"/>
  <c r="U683" i="5"/>
  <c r="T683" i="5"/>
  <c r="S683" i="5"/>
  <c r="R683" i="5"/>
  <c r="Q683" i="5"/>
  <c r="X682" i="5"/>
  <c r="W682" i="5"/>
  <c r="V682" i="5"/>
  <c r="U682" i="5"/>
  <c r="T682" i="5"/>
  <c r="S682" i="5"/>
  <c r="R682" i="5"/>
  <c r="Q682" i="5"/>
  <c r="X681" i="5"/>
  <c r="W681" i="5"/>
  <c r="V681" i="5"/>
  <c r="U681" i="5"/>
  <c r="T681" i="5"/>
  <c r="S681" i="5"/>
  <c r="R681" i="5"/>
  <c r="Q681" i="5"/>
  <c r="X680" i="5"/>
  <c r="W680" i="5"/>
  <c r="V680" i="5"/>
  <c r="U680" i="5"/>
  <c r="T680" i="5"/>
  <c r="S680" i="5"/>
  <c r="R680" i="5"/>
  <c r="Q680" i="5"/>
  <c r="X679" i="5"/>
  <c r="W679" i="5"/>
  <c r="V679" i="5"/>
  <c r="U679" i="5"/>
  <c r="T679" i="5"/>
  <c r="S679" i="5"/>
  <c r="R679" i="5"/>
  <c r="Q679" i="5"/>
  <c r="X678" i="5"/>
  <c r="W678" i="5"/>
  <c r="V678" i="5"/>
  <c r="U678" i="5"/>
  <c r="T678" i="5"/>
  <c r="S678" i="5"/>
  <c r="R678" i="5"/>
  <c r="Q678" i="5"/>
  <c r="X677" i="5"/>
  <c r="W677" i="5"/>
  <c r="V677" i="5"/>
  <c r="U677" i="5"/>
  <c r="T677" i="5"/>
  <c r="S677" i="5"/>
  <c r="R677" i="5"/>
  <c r="Q677" i="5"/>
  <c r="X676" i="5"/>
  <c r="W676" i="5"/>
  <c r="V676" i="5"/>
  <c r="U676" i="5"/>
  <c r="T676" i="5"/>
  <c r="S676" i="5"/>
  <c r="R676" i="5"/>
  <c r="Q676" i="5"/>
  <c r="X675" i="5"/>
  <c r="W675" i="5"/>
  <c r="V675" i="5"/>
  <c r="U675" i="5"/>
  <c r="T675" i="5"/>
  <c r="S675" i="5"/>
  <c r="R675" i="5"/>
  <c r="Q675" i="5"/>
  <c r="X674" i="5"/>
  <c r="W674" i="5"/>
  <c r="V674" i="5"/>
  <c r="U674" i="5"/>
  <c r="T674" i="5"/>
  <c r="S674" i="5"/>
  <c r="R674" i="5"/>
  <c r="Q674" i="5"/>
  <c r="X673" i="5"/>
  <c r="W673" i="5"/>
  <c r="V673" i="5"/>
  <c r="U673" i="5"/>
  <c r="T673" i="5"/>
  <c r="S673" i="5"/>
  <c r="R673" i="5"/>
  <c r="Q673" i="5"/>
  <c r="X672" i="5"/>
  <c r="W672" i="5"/>
  <c r="V672" i="5"/>
  <c r="U672" i="5"/>
  <c r="T672" i="5"/>
  <c r="S672" i="5"/>
  <c r="R672" i="5"/>
  <c r="Q672" i="5"/>
  <c r="X671" i="5"/>
  <c r="W671" i="5"/>
  <c r="V671" i="5"/>
  <c r="U671" i="5"/>
  <c r="T671" i="5"/>
  <c r="S671" i="5"/>
  <c r="R671" i="5"/>
  <c r="Q671" i="5"/>
  <c r="X670" i="5"/>
  <c r="W670" i="5"/>
  <c r="V670" i="5"/>
  <c r="U670" i="5"/>
  <c r="T670" i="5"/>
  <c r="S670" i="5"/>
  <c r="R670" i="5"/>
  <c r="Q670" i="5"/>
  <c r="X669" i="5"/>
  <c r="W669" i="5"/>
  <c r="V669" i="5"/>
  <c r="U669" i="5"/>
  <c r="T669" i="5"/>
  <c r="S669" i="5"/>
  <c r="R669" i="5"/>
  <c r="Q669" i="5"/>
  <c r="X668" i="5"/>
  <c r="W668" i="5"/>
  <c r="V668" i="5"/>
  <c r="U668" i="5"/>
  <c r="T668" i="5"/>
  <c r="S668" i="5"/>
  <c r="R668" i="5"/>
  <c r="Q668" i="5"/>
  <c r="X667" i="5"/>
  <c r="W667" i="5"/>
  <c r="V667" i="5"/>
  <c r="U667" i="5"/>
  <c r="T667" i="5"/>
  <c r="S667" i="5"/>
  <c r="R667" i="5"/>
  <c r="Q667" i="5"/>
  <c r="X666" i="5"/>
  <c r="W666" i="5"/>
  <c r="V666" i="5"/>
  <c r="U666" i="5"/>
  <c r="T666" i="5"/>
  <c r="S666" i="5"/>
  <c r="R666" i="5"/>
  <c r="Q666" i="5"/>
  <c r="X665" i="5"/>
  <c r="W665" i="5"/>
  <c r="V665" i="5"/>
  <c r="U665" i="5"/>
  <c r="T665" i="5"/>
  <c r="S665" i="5"/>
  <c r="R665" i="5"/>
  <c r="Q665" i="5"/>
  <c r="X664" i="5"/>
  <c r="W664" i="5"/>
  <c r="V664" i="5"/>
  <c r="U664" i="5"/>
  <c r="T664" i="5"/>
  <c r="S664" i="5"/>
  <c r="R664" i="5"/>
  <c r="Q664" i="5"/>
  <c r="X663" i="5"/>
  <c r="W663" i="5"/>
  <c r="V663" i="5"/>
  <c r="U663" i="5"/>
  <c r="T663" i="5"/>
  <c r="S663" i="5"/>
  <c r="R663" i="5"/>
  <c r="Q663" i="5"/>
  <c r="X662" i="5"/>
  <c r="W662" i="5"/>
  <c r="V662" i="5"/>
  <c r="U662" i="5"/>
  <c r="T662" i="5"/>
  <c r="S662" i="5"/>
  <c r="R662" i="5"/>
  <c r="Q662" i="5"/>
  <c r="X661" i="5"/>
  <c r="W661" i="5"/>
  <c r="V661" i="5"/>
  <c r="U661" i="5"/>
  <c r="T661" i="5"/>
  <c r="S661" i="5"/>
  <c r="R661" i="5"/>
  <c r="Q661" i="5"/>
  <c r="X660" i="5"/>
  <c r="W660" i="5"/>
  <c r="V660" i="5"/>
  <c r="U660" i="5"/>
  <c r="T660" i="5"/>
  <c r="S660" i="5"/>
  <c r="R660" i="5"/>
  <c r="Q660" i="5"/>
  <c r="X659" i="5"/>
  <c r="W659" i="5"/>
  <c r="V659" i="5"/>
  <c r="U659" i="5"/>
  <c r="T659" i="5"/>
  <c r="S659" i="5"/>
  <c r="R659" i="5"/>
  <c r="Q659" i="5"/>
  <c r="X658" i="5"/>
  <c r="W658" i="5"/>
  <c r="V658" i="5"/>
  <c r="U658" i="5"/>
  <c r="T658" i="5"/>
  <c r="S658" i="5"/>
  <c r="R658" i="5"/>
  <c r="Q658" i="5"/>
  <c r="X657" i="5"/>
  <c r="W657" i="5"/>
  <c r="V657" i="5"/>
  <c r="U657" i="5"/>
  <c r="T657" i="5"/>
  <c r="S657" i="5"/>
  <c r="R657" i="5"/>
  <c r="Q657" i="5"/>
  <c r="X656" i="5"/>
  <c r="W656" i="5"/>
  <c r="V656" i="5"/>
  <c r="U656" i="5"/>
  <c r="T656" i="5"/>
  <c r="S656" i="5"/>
  <c r="R656" i="5"/>
  <c r="Q656" i="5"/>
  <c r="X655" i="5"/>
  <c r="W655" i="5"/>
  <c r="V655" i="5"/>
  <c r="U655" i="5"/>
  <c r="T655" i="5"/>
  <c r="S655" i="5"/>
  <c r="R655" i="5"/>
  <c r="Q655" i="5"/>
  <c r="X654" i="5"/>
  <c r="W654" i="5"/>
  <c r="V654" i="5"/>
  <c r="U654" i="5"/>
  <c r="T654" i="5"/>
  <c r="S654" i="5"/>
  <c r="R654" i="5"/>
  <c r="Q654" i="5"/>
  <c r="X653" i="5"/>
  <c r="W653" i="5"/>
  <c r="V653" i="5"/>
  <c r="U653" i="5"/>
  <c r="T653" i="5"/>
  <c r="S653" i="5"/>
  <c r="R653" i="5"/>
  <c r="Q653" i="5"/>
  <c r="X652" i="5"/>
  <c r="W652" i="5"/>
  <c r="V652" i="5"/>
  <c r="U652" i="5"/>
  <c r="T652" i="5"/>
  <c r="S652" i="5"/>
  <c r="R652" i="5"/>
  <c r="Q652" i="5"/>
  <c r="X651" i="5"/>
  <c r="W651" i="5"/>
  <c r="V651" i="5"/>
  <c r="U651" i="5"/>
  <c r="T651" i="5"/>
  <c r="S651" i="5"/>
  <c r="R651" i="5"/>
  <c r="Q651" i="5"/>
  <c r="X650" i="5"/>
  <c r="W650" i="5"/>
  <c r="V650" i="5"/>
  <c r="U650" i="5"/>
  <c r="T650" i="5"/>
  <c r="S650" i="5"/>
  <c r="R650" i="5"/>
  <c r="Q650" i="5"/>
  <c r="X649" i="5"/>
  <c r="W649" i="5"/>
  <c r="V649" i="5"/>
  <c r="U649" i="5"/>
  <c r="T649" i="5"/>
  <c r="S649" i="5"/>
  <c r="R649" i="5"/>
  <c r="Q649" i="5"/>
  <c r="X648" i="5"/>
  <c r="W648" i="5"/>
  <c r="V648" i="5"/>
  <c r="U648" i="5"/>
  <c r="T648" i="5"/>
  <c r="S648" i="5"/>
  <c r="R648" i="5"/>
  <c r="Q648" i="5"/>
  <c r="X647" i="5"/>
  <c r="W647" i="5"/>
  <c r="V647" i="5"/>
  <c r="U647" i="5"/>
  <c r="T647" i="5"/>
  <c r="S647" i="5"/>
  <c r="R647" i="5"/>
  <c r="Q647" i="5"/>
  <c r="X646" i="5"/>
  <c r="W646" i="5"/>
  <c r="V646" i="5"/>
  <c r="U646" i="5"/>
  <c r="T646" i="5"/>
  <c r="S646" i="5"/>
  <c r="R646" i="5"/>
  <c r="Q646" i="5"/>
  <c r="X645" i="5"/>
  <c r="W645" i="5"/>
  <c r="V645" i="5"/>
  <c r="U645" i="5"/>
  <c r="T645" i="5"/>
  <c r="S645" i="5"/>
  <c r="R645" i="5"/>
  <c r="Q645" i="5"/>
  <c r="X644" i="5"/>
  <c r="W644" i="5"/>
  <c r="V644" i="5"/>
  <c r="U644" i="5"/>
  <c r="T644" i="5"/>
  <c r="S644" i="5"/>
  <c r="R644" i="5"/>
  <c r="Q644" i="5"/>
  <c r="X643" i="5"/>
  <c r="W643" i="5"/>
  <c r="V643" i="5"/>
  <c r="U643" i="5"/>
  <c r="T643" i="5"/>
  <c r="S643" i="5"/>
  <c r="R643" i="5"/>
  <c r="Q643" i="5"/>
  <c r="X642" i="5"/>
  <c r="W642" i="5"/>
  <c r="V642" i="5"/>
  <c r="U642" i="5"/>
  <c r="T642" i="5"/>
  <c r="S642" i="5"/>
  <c r="R642" i="5"/>
  <c r="Q642" i="5"/>
  <c r="X641" i="5"/>
  <c r="W641" i="5"/>
  <c r="V641" i="5"/>
  <c r="U641" i="5"/>
  <c r="T641" i="5"/>
  <c r="S641" i="5"/>
  <c r="R641" i="5"/>
  <c r="Q641" i="5"/>
  <c r="X640" i="5"/>
  <c r="W640" i="5"/>
  <c r="V640" i="5"/>
  <c r="U640" i="5"/>
  <c r="T640" i="5"/>
  <c r="S640" i="5"/>
  <c r="R640" i="5"/>
  <c r="Q640" i="5"/>
  <c r="X639" i="5"/>
  <c r="W639" i="5"/>
  <c r="V639" i="5"/>
  <c r="U639" i="5"/>
  <c r="T639" i="5"/>
  <c r="S639" i="5"/>
  <c r="R639" i="5"/>
  <c r="Q639" i="5"/>
  <c r="X638" i="5"/>
  <c r="W638" i="5"/>
  <c r="V638" i="5"/>
  <c r="U638" i="5"/>
  <c r="T638" i="5"/>
  <c r="S638" i="5"/>
  <c r="R638" i="5"/>
  <c r="Q638" i="5"/>
  <c r="X637" i="5"/>
  <c r="W637" i="5"/>
  <c r="V637" i="5"/>
  <c r="U637" i="5"/>
  <c r="T637" i="5"/>
  <c r="S637" i="5"/>
  <c r="R637" i="5"/>
  <c r="Q637" i="5"/>
  <c r="X636" i="5"/>
  <c r="W636" i="5"/>
  <c r="V636" i="5"/>
  <c r="U636" i="5"/>
  <c r="T636" i="5"/>
  <c r="S636" i="5"/>
  <c r="R636" i="5"/>
  <c r="Q636" i="5"/>
  <c r="X635" i="5"/>
  <c r="W635" i="5"/>
  <c r="V635" i="5"/>
  <c r="U635" i="5"/>
  <c r="T635" i="5"/>
  <c r="S635" i="5"/>
  <c r="R635" i="5"/>
  <c r="Q635" i="5"/>
  <c r="X634" i="5"/>
  <c r="W634" i="5"/>
  <c r="V634" i="5"/>
  <c r="U634" i="5"/>
  <c r="T634" i="5"/>
  <c r="S634" i="5"/>
  <c r="R634" i="5"/>
  <c r="Q634" i="5"/>
  <c r="X633" i="5"/>
  <c r="W633" i="5"/>
  <c r="V633" i="5"/>
  <c r="U633" i="5"/>
  <c r="T633" i="5"/>
  <c r="S633" i="5"/>
  <c r="R633" i="5"/>
  <c r="Q633" i="5"/>
  <c r="X632" i="5"/>
  <c r="W632" i="5"/>
  <c r="V632" i="5"/>
  <c r="U632" i="5"/>
  <c r="T632" i="5"/>
  <c r="S632" i="5"/>
  <c r="R632" i="5"/>
  <c r="Q632" i="5"/>
  <c r="X631" i="5"/>
  <c r="W631" i="5"/>
  <c r="V631" i="5"/>
  <c r="U631" i="5"/>
  <c r="T631" i="5"/>
  <c r="S631" i="5"/>
  <c r="R631" i="5"/>
  <c r="Q631" i="5"/>
  <c r="X630" i="5"/>
  <c r="W630" i="5"/>
  <c r="V630" i="5"/>
  <c r="U630" i="5"/>
  <c r="T630" i="5"/>
  <c r="S630" i="5"/>
  <c r="R630" i="5"/>
  <c r="Q630" i="5"/>
  <c r="X629" i="5"/>
  <c r="W629" i="5"/>
  <c r="V629" i="5"/>
  <c r="U629" i="5"/>
  <c r="T629" i="5"/>
  <c r="S629" i="5"/>
  <c r="R629" i="5"/>
  <c r="Q629" i="5"/>
  <c r="X628" i="5"/>
  <c r="W628" i="5"/>
  <c r="V628" i="5"/>
  <c r="U628" i="5"/>
  <c r="T628" i="5"/>
  <c r="S628" i="5"/>
  <c r="R628" i="5"/>
  <c r="Q628" i="5"/>
  <c r="X627" i="5"/>
  <c r="W627" i="5"/>
  <c r="V627" i="5"/>
  <c r="U627" i="5"/>
  <c r="T627" i="5"/>
  <c r="S627" i="5"/>
  <c r="R627" i="5"/>
  <c r="Q627" i="5"/>
  <c r="X626" i="5"/>
  <c r="W626" i="5"/>
  <c r="V626" i="5"/>
  <c r="U626" i="5"/>
  <c r="T626" i="5"/>
  <c r="S626" i="5"/>
  <c r="R626" i="5"/>
  <c r="Q626" i="5"/>
  <c r="X625" i="5"/>
  <c r="W625" i="5"/>
  <c r="V625" i="5"/>
  <c r="U625" i="5"/>
  <c r="T625" i="5"/>
  <c r="S625" i="5"/>
  <c r="R625" i="5"/>
  <c r="Q625" i="5"/>
  <c r="X624" i="5"/>
  <c r="W624" i="5"/>
  <c r="V624" i="5"/>
  <c r="U624" i="5"/>
  <c r="T624" i="5"/>
  <c r="S624" i="5"/>
  <c r="R624" i="5"/>
  <c r="Q624" i="5"/>
  <c r="X623" i="5"/>
  <c r="W623" i="5"/>
  <c r="V623" i="5"/>
  <c r="U623" i="5"/>
  <c r="T623" i="5"/>
  <c r="S623" i="5"/>
  <c r="R623" i="5"/>
  <c r="Q623" i="5"/>
  <c r="X622" i="5"/>
  <c r="W622" i="5"/>
  <c r="V622" i="5"/>
  <c r="U622" i="5"/>
  <c r="T622" i="5"/>
  <c r="S622" i="5"/>
  <c r="R622" i="5"/>
  <c r="Q622" i="5"/>
  <c r="X621" i="5"/>
  <c r="W621" i="5"/>
  <c r="V621" i="5"/>
  <c r="U621" i="5"/>
  <c r="T621" i="5"/>
  <c r="S621" i="5"/>
  <c r="R621" i="5"/>
  <c r="Q621" i="5"/>
  <c r="X620" i="5"/>
  <c r="W620" i="5"/>
  <c r="V620" i="5"/>
  <c r="U620" i="5"/>
  <c r="T620" i="5"/>
  <c r="S620" i="5"/>
  <c r="R620" i="5"/>
  <c r="Q620" i="5"/>
  <c r="X619" i="5"/>
  <c r="W619" i="5"/>
  <c r="V619" i="5"/>
  <c r="U619" i="5"/>
  <c r="T619" i="5"/>
  <c r="S619" i="5"/>
  <c r="R619" i="5"/>
  <c r="Q619" i="5"/>
  <c r="X618" i="5"/>
  <c r="W618" i="5"/>
  <c r="V618" i="5"/>
  <c r="U618" i="5"/>
  <c r="T618" i="5"/>
  <c r="S618" i="5"/>
  <c r="R618" i="5"/>
  <c r="Q618" i="5"/>
  <c r="X617" i="5"/>
  <c r="W617" i="5"/>
  <c r="V617" i="5"/>
  <c r="U617" i="5"/>
  <c r="T617" i="5"/>
  <c r="S617" i="5"/>
  <c r="R617" i="5"/>
  <c r="Q617" i="5"/>
  <c r="X616" i="5"/>
  <c r="W616" i="5"/>
  <c r="V616" i="5"/>
  <c r="U616" i="5"/>
  <c r="T616" i="5"/>
  <c r="S616" i="5"/>
  <c r="R616" i="5"/>
  <c r="Q616" i="5"/>
  <c r="X615" i="5"/>
  <c r="W615" i="5"/>
  <c r="V615" i="5"/>
  <c r="U615" i="5"/>
  <c r="T615" i="5"/>
  <c r="S615" i="5"/>
  <c r="R615" i="5"/>
  <c r="Q615" i="5"/>
  <c r="X614" i="5"/>
  <c r="W614" i="5"/>
  <c r="V614" i="5"/>
  <c r="U614" i="5"/>
  <c r="T614" i="5"/>
  <c r="S614" i="5"/>
  <c r="R614" i="5"/>
  <c r="Q614" i="5"/>
  <c r="X613" i="5"/>
  <c r="W613" i="5"/>
  <c r="V613" i="5"/>
  <c r="U613" i="5"/>
  <c r="T613" i="5"/>
  <c r="S613" i="5"/>
  <c r="R613" i="5"/>
  <c r="Q613" i="5"/>
  <c r="X612" i="5"/>
  <c r="W612" i="5"/>
  <c r="V612" i="5"/>
  <c r="U612" i="5"/>
  <c r="T612" i="5"/>
  <c r="S612" i="5"/>
  <c r="R612" i="5"/>
  <c r="Q612" i="5"/>
  <c r="X611" i="5"/>
  <c r="W611" i="5"/>
  <c r="V611" i="5"/>
  <c r="U611" i="5"/>
  <c r="T611" i="5"/>
  <c r="S611" i="5"/>
  <c r="R611" i="5"/>
  <c r="Q611" i="5"/>
  <c r="X610" i="5"/>
  <c r="W610" i="5"/>
  <c r="V610" i="5"/>
  <c r="U610" i="5"/>
  <c r="T610" i="5"/>
  <c r="S610" i="5"/>
  <c r="R610" i="5"/>
  <c r="Q610" i="5"/>
  <c r="X609" i="5"/>
  <c r="W609" i="5"/>
  <c r="V609" i="5"/>
  <c r="U609" i="5"/>
  <c r="T609" i="5"/>
  <c r="S609" i="5"/>
  <c r="R609" i="5"/>
  <c r="Q609" i="5"/>
  <c r="X608" i="5"/>
  <c r="W608" i="5"/>
  <c r="V608" i="5"/>
  <c r="U608" i="5"/>
  <c r="T608" i="5"/>
  <c r="S608" i="5"/>
  <c r="R608" i="5"/>
  <c r="Q608" i="5"/>
  <c r="X607" i="5"/>
  <c r="W607" i="5"/>
  <c r="V607" i="5"/>
  <c r="U607" i="5"/>
  <c r="T607" i="5"/>
  <c r="S607" i="5"/>
  <c r="R607" i="5"/>
  <c r="Q607" i="5"/>
  <c r="X606" i="5"/>
  <c r="W606" i="5"/>
  <c r="V606" i="5"/>
  <c r="U606" i="5"/>
  <c r="T606" i="5"/>
  <c r="S606" i="5"/>
  <c r="R606" i="5"/>
  <c r="Q606" i="5"/>
  <c r="X605" i="5"/>
  <c r="W605" i="5"/>
  <c r="V605" i="5"/>
  <c r="U605" i="5"/>
  <c r="T605" i="5"/>
  <c r="S605" i="5"/>
  <c r="R605" i="5"/>
  <c r="Q605" i="5"/>
  <c r="X604" i="5"/>
  <c r="W604" i="5"/>
  <c r="V604" i="5"/>
  <c r="U604" i="5"/>
  <c r="T604" i="5"/>
  <c r="S604" i="5"/>
  <c r="R604" i="5"/>
  <c r="Q604" i="5"/>
  <c r="X603" i="5"/>
  <c r="W603" i="5"/>
  <c r="V603" i="5"/>
  <c r="U603" i="5"/>
  <c r="T603" i="5"/>
  <c r="S603" i="5"/>
  <c r="R603" i="5"/>
  <c r="Q603" i="5"/>
  <c r="X602" i="5"/>
  <c r="W602" i="5"/>
  <c r="V602" i="5"/>
  <c r="U602" i="5"/>
  <c r="T602" i="5"/>
  <c r="S602" i="5"/>
  <c r="R602" i="5"/>
  <c r="Q602" i="5"/>
  <c r="X601" i="5"/>
  <c r="W601" i="5"/>
  <c r="V601" i="5"/>
  <c r="U601" i="5"/>
  <c r="T601" i="5"/>
  <c r="S601" i="5"/>
  <c r="R601" i="5"/>
  <c r="Q601" i="5"/>
  <c r="X600" i="5"/>
  <c r="W600" i="5"/>
  <c r="V600" i="5"/>
  <c r="U600" i="5"/>
  <c r="T600" i="5"/>
  <c r="S600" i="5"/>
  <c r="R600" i="5"/>
  <c r="Q600" i="5"/>
  <c r="X599" i="5"/>
  <c r="W599" i="5"/>
  <c r="V599" i="5"/>
  <c r="U599" i="5"/>
  <c r="T599" i="5"/>
  <c r="S599" i="5"/>
  <c r="R599" i="5"/>
  <c r="Q599" i="5"/>
  <c r="X598" i="5"/>
  <c r="W598" i="5"/>
  <c r="V598" i="5"/>
  <c r="U598" i="5"/>
  <c r="T598" i="5"/>
  <c r="S598" i="5"/>
  <c r="R598" i="5"/>
  <c r="Q598" i="5"/>
  <c r="X597" i="5"/>
  <c r="W597" i="5"/>
  <c r="V597" i="5"/>
  <c r="U597" i="5"/>
  <c r="T597" i="5"/>
  <c r="S597" i="5"/>
  <c r="R597" i="5"/>
  <c r="Q597" i="5"/>
  <c r="X596" i="5"/>
  <c r="W596" i="5"/>
  <c r="V596" i="5"/>
  <c r="U596" i="5"/>
  <c r="T596" i="5"/>
  <c r="S596" i="5"/>
  <c r="R596" i="5"/>
  <c r="Q596" i="5"/>
  <c r="X595" i="5"/>
  <c r="W595" i="5"/>
  <c r="V595" i="5"/>
  <c r="U595" i="5"/>
  <c r="T595" i="5"/>
  <c r="S595" i="5"/>
  <c r="R595" i="5"/>
  <c r="Q595" i="5"/>
  <c r="X594" i="5"/>
  <c r="W594" i="5"/>
  <c r="V594" i="5"/>
  <c r="U594" i="5"/>
  <c r="T594" i="5"/>
  <c r="S594" i="5"/>
  <c r="R594" i="5"/>
  <c r="Q594" i="5"/>
  <c r="X593" i="5"/>
  <c r="W593" i="5"/>
  <c r="V593" i="5"/>
  <c r="U593" i="5"/>
  <c r="T593" i="5"/>
  <c r="S593" i="5"/>
  <c r="R593" i="5"/>
  <c r="Q593" i="5"/>
  <c r="X592" i="5"/>
  <c r="W592" i="5"/>
  <c r="V592" i="5"/>
  <c r="U592" i="5"/>
  <c r="T592" i="5"/>
  <c r="S592" i="5"/>
  <c r="R592" i="5"/>
  <c r="Q592" i="5"/>
  <c r="X591" i="5"/>
  <c r="W591" i="5"/>
  <c r="V591" i="5"/>
  <c r="U591" i="5"/>
  <c r="T591" i="5"/>
  <c r="S591" i="5"/>
  <c r="R591" i="5"/>
  <c r="Q591" i="5"/>
  <c r="X590" i="5"/>
  <c r="W590" i="5"/>
  <c r="V590" i="5"/>
  <c r="U590" i="5"/>
  <c r="T590" i="5"/>
  <c r="S590" i="5"/>
  <c r="R590" i="5"/>
  <c r="Q590" i="5"/>
  <c r="X589" i="5"/>
  <c r="W589" i="5"/>
  <c r="V589" i="5"/>
  <c r="U589" i="5"/>
  <c r="T589" i="5"/>
  <c r="S589" i="5"/>
  <c r="R589" i="5"/>
  <c r="Q589" i="5"/>
  <c r="X588" i="5"/>
  <c r="W588" i="5"/>
  <c r="V588" i="5"/>
  <c r="U588" i="5"/>
  <c r="T588" i="5"/>
  <c r="S588" i="5"/>
  <c r="R588" i="5"/>
  <c r="Q588" i="5"/>
  <c r="X587" i="5"/>
  <c r="W587" i="5"/>
  <c r="V587" i="5"/>
  <c r="U587" i="5"/>
  <c r="T587" i="5"/>
  <c r="S587" i="5"/>
  <c r="R587" i="5"/>
  <c r="Q587" i="5"/>
  <c r="X586" i="5"/>
  <c r="W586" i="5"/>
  <c r="V586" i="5"/>
  <c r="U586" i="5"/>
  <c r="T586" i="5"/>
  <c r="S586" i="5"/>
  <c r="R586" i="5"/>
  <c r="Q586" i="5"/>
  <c r="X585" i="5"/>
  <c r="W585" i="5"/>
  <c r="V585" i="5"/>
  <c r="U585" i="5"/>
  <c r="T585" i="5"/>
  <c r="S585" i="5"/>
  <c r="R585" i="5"/>
  <c r="Q585" i="5"/>
  <c r="X584" i="5"/>
  <c r="W584" i="5"/>
  <c r="V584" i="5"/>
  <c r="U584" i="5"/>
  <c r="T584" i="5"/>
  <c r="S584" i="5"/>
  <c r="R584" i="5"/>
  <c r="Q584" i="5"/>
  <c r="X583" i="5"/>
  <c r="W583" i="5"/>
  <c r="V583" i="5"/>
  <c r="U583" i="5"/>
  <c r="T583" i="5"/>
  <c r="S583" i="5"/>
  <c r="R583" i="5"/>
  <c r="Q583" i="5"/>
  <c r="X582" i="5"/>
  <c r="W582" i="5"/>
  <c r="V582" i="5"/>
  <c r="U582" i="5"/>
  <c r="T582" i="5"/>
  <c r="S582" i="5"/>
  <c r="R582" i="5"/>
  <c r="Q582" i="5"/>
  <c r="X581" i="5"/>
  <c r="W581" i="5"/>
  <c r="V581" i="5"/>
  <c r="U581" i="5"/>
  <c r="T581" i="5"/>
  <c r="S581" i="5"/>
  <c r="R581" i="5"/>
  <c r="Q581" i="5"/>
  <c r="X580" i="5"/>
  <c r="W580" i="5"/>
  <c r="V580" i="5"/>
  <c r="U580" i="5"/>
  <c r="T580" i="5"/>
  <c r="S580" i="5"/>
  <c r="R580" i="5"/>
  <c r="Q580" i="5"/>
  <c r="X579" i="5"/>
  <c r="W579" i="5"/>
  <c r="V579" i="5"/>
  <c r="U579" i="5"/>
  <c r="T579" i="5"/>
  <c r="S579" i="5"/>
  <c r="R579" i="5"/>
  <c r="Q579" i="5"/>
  <c r="X578" i="5"/>
  <c r="W578" i="5"/>
  <c r="V578" i="5"/>
  <c r="U578" i="5"/>
  <c r="T578" i="5"/>
  <c r="S578" i="5"/>
  <c r="R578" i="5"/>
  <c r="Q578" i="5"/>
  <c r="X577" i="5"/>
  <c r="W577" i="5"/>
  <c r="V577" i="5"/>
  <c r="U577" i="5"/>
  <c r="T577" i="5"/>
  <c r="S577" i="5"/>
  <c r="R577" i="5"/>
  <c r="Q577" i="5"/>
  <c r="X576" i="5"/>
  <c r="W576" i="5"/>
  <c r="V576" i="5"/>
  <c r="U576" i="5"/>
  <c r="T576" i="5"/>
  <c r="S576" i="5"/>
  <c r="R576" i="5"/>
  <c r="Q576" i="5"/>
  <c r="X575" i="5"/>
  <c r="W575" i="5"/>
  <c r="V575" i="5"/>
  <c r="U575" i="5"/>
  <c r="T575" i="5"/>
  <c r="S575" i="5"/>
  <c r="R575" i="5"/>
  <c r="Q575" i="5"/>
  <c r="X574" i="5"/>
  <c r="W574" i="5"/>
  <c r="V574" i="5"/>
  <c r="U574" i="5"/>
  <c r="T574" i="5"/>
  <c r="S574" i="5"/>
  <c r="R574" i="5"/>
  <c r="Q574" i="5"/>
  <c r="X573" i="5"/>
  <c r="W573" i="5"/>
  <c r="V573" i="5"/>
  <c r="U573" i="5"/>
  <c r="T573" i="5"/>
  <c r="S573" i="5"/>
  <c r="R573" i="5"/>
  <c r="Q573" i="5"/>
  <c r="X572" i="5"/>
  <c r="W572" i="5"/>
  <c r="V572" i="5"/>
  <c r="U572" i="5"/>
  <c r="T572" i="5"/>
  <c r="S572" i="5"/>
  <c r="R572" i="5"/>
  <c r="Q572" i="5"/>
  <c r="X571" i="5"/>
  <c r="W571" i="5"/>
  <c r="V571" i="5"/>
  <c r="U571" i="5"/>
  <c r="T571" i="5"/>
  <c r="S571" i="5"/>
  <c r="R571" i="5"/>
  <c r="Q571" i="5"/>
  <c r="X570" i="5"/>
  <c r="W570" i="5"/>
  <c r="V570" i="5"/>
  <c r="U570" i="5"/>
  <c r="T570" i="5"/>
  <c r="S570" i="5"/>
  <c r="R570" i="5"/>
  <c r="Q570" i="5"/>
  <c r="X569" i="5"/>
  <c r="W569" i="5"/>
  <c r="V569" i="5"/>
  <c r="U569" i="5"/>
  <c r="T569" i="5"/>
  <c r="S569" i="5"/>
  <c r="R569" i="5"/>
  <c r="Q569" i="5"/>
  <c r="X568" i="5"/>
  <c r="W568" i="5"/>
  <c r="V568" i="5"/>
  <c r="U568" i="5"/>
  <c r="T568" i="5"/>
  <c r="S568" i="5"/>
  <c r="R568" i="5"/>
  <c r="Q568" i="5"/>
  <c r="X567" i="5"/>
  <c r="W567" i="5"/>
  <c r="V567" i="5"/>
  <c r="U567" i="5"/>
  <c r="T567" i="5"/>
  <c r="S567" i="5"/>
  <c r="R567" i="5"/>
  <c r="Q567" i="5"/>
  <c r="X566" i="5"/>
  <c r="W566" i="5"/>
  <c r="V566" i="5"/>
  <c r="U566" i="5"/>
  <c r="T566" i="5"/>
  <c r="S566" i="5"/>
  <c r="R566" i="5"/>
  <c r="Q566" i="5"/>
  <c r="X565" i="5"/>
  <c r="W565" i="5"/>
  <c r="V565" i="5"/>
  <c r="U565" i="5"/>
  <c r="T565" i="5"/>
  <c r="S565" i="5"/>
  <c r="R565" i="5"/>
  <c r="Q565" i="5"/>
  <c r="X564" i="5"/>
  <c r="W564" i="5"/>
  <c r="V564" i="5"/>
  <c r="U564" i="5"/>
  <c r="T564" i="5"/>
  <c r="S564" i="5"/>
  <c r="R564" i="5"/>
  <c r="Q564" i="5"/>
  <c r="X563" i="5"/>
  <c r="W563" i="5"/>
  <c r="V563" i="5"/>
  <c r="U563" i="5"/>
  <c r="T563" i="5"/>
  <c r="S563" i="5"/>
  <c r="R563" i="5"/>
  <c r="Q563" i="5"/>
  <c r="X562" i="5"/>
  <c r="W562" i="5"/>
  <c r="V562" i="5"/>
  <c r="U562" i="5"/>
  <c r="T562" i="5"/>
  <c r="S562" i="5"/>
  <c r="R562" i="5"/>
  <c r="Q562" i="5"/>
  <c r="X561" i="5"/>
  <c r="W561" i="5"/>
  <c r="V561" i="5"/>
  <c r="U561" i="5"/>
  <c r="T561" i="5"/>
  <c r="S561" i="5"/>
  <c r="R561" i="5"/>
  <c r="Q561" i="5"/>
  <c r="X560" i="5"/>
  <c r="W560" i="5"/>
  <c r="V560" i="5"/>
  <c r="U560" i="5"/>
  <c r="T560" i="5"/>
  <c r="S560" i="5"/>
  <c r="R560" i="5"/>
  <c r="Q560" i="5"/>
  <c r="X559" i="5"/>
  <c r="W559" i="5"/>
  <c r="V559" i="5"/>
  <c r="U559" i="5"/>
  <c r="T559" i="5"/>
  <c r="S559" i="5"/>
  <c r="R559" i="5"/>
  <c r="Q559" i="5"/>
  <c r="X558" i="5"/>
  <c r="W558" i="5"/>
  <c r="V558" i="5"/>
  <c r="U558" i="5"/>
  <c r="T558" i="5"/>
  <c r="S558" i="5"/>
  <c r="R558" i="5"/>
  <c r="Q558" i="5"/>
  <c r="X557" i="5"/>
  <c r="W557" i="5"/>
  <c r="V557" i="5"/>
  <c r="U557" i="5"/>
  <c r="T557" i="5"/>
  <c r="S557" i="5"/>
  <c r="R557" i="5"/>
  <c r="Q557" i="5"/>
  <c r="X556" i="5"/>
  <c r="W556" i="5"/>
  <c r="V556" i="5"/>
  <c r="U556" i="5"/>
  <c r="T556" i="5"/>
  <c r="S556" i="5"/>
  <c r="R556" i="5"/>
  <c r="Q556" i="5"/>
  <c r="X555" i="5"/>
  <c r="W555" i="5"/>
  <c r="V555" i="5"/>
  <c r="U555" i="5"/>
  <c r="T555" i="5"/>
  <c r="S555" i="5"/>
  <c r="R555" i="5"/>
  <c r="Q555" i="5"/>
  <c r="X554" i="5"/>
  <c r="W554" i="5"/>
  <c r="V554" i="5"/>
  <c r="U554" i="5"/>
  <c r="T554" i="5"/>
  <c r="S554" i="5"/>
  <c r="R554" i="5"/>
  <c r="Q554" i="5"/>
  <c r="X553" i="5"/>
  <c r="W553" i="5"/>
  <c r="V553" i="5"/>
  <c r="U553" i="5"/>
  <c r="T553" i="5"/>
  <c r="S553" i="5"/>
  <c r="R553" i="5"/>
  <c r="Q553" i="5"/>
  <c r="X552" i="5"/>
  <c r="W552" i="5"/>
  <c r="V552" i="5"/>
  <c r="U552" i="5"/>
  <c r="T552" i="5"/>
  <c r="S552" i="5"/>
  <c r="R552" i="5"/>
  <c r="Q552" i="5"/>
  <c r="X551" i="5"/>
  <c r="W551" i="5"/>
  <c r="V551" i="5"/>
  <c r="U551" i="5"/>
  <c r="T551" i="5"/>
  <c r="S551" i="5"/>
  <c r="R551" i="5"/>
  <c r="Q551" i="5"/>
  <c r="X550" i="5"/>
  <c r="W550" i="5"/>
  <c r="V550" i="5"/>
  <c r="U550" i="5"/>
  <c r="T550" i="5"/>
  <c r="S550" i="5"/>
  <c r="R550" i="5"/>
  <c r="Q550" i="5"/>
  <c r="X549" i="5"/>
  <c r="W549" i="5"/>
  <c r="V549" i="5"/>
  <c r="U549" i="5"/>
  <c r="T549" i="5"/>
  <c r="S549" i="5"/>
  <c r="R549" i="5"/>
  <c r="Q549" i="5"/>
  <c r="X548" i="5"/>
  <c r="W548" i="5"/>
  <c r="V548" i="5"/>
  <c r="U548" i="5"/>
  <c r="T548" i="5"/>
  <c r="S548" i="5"/>
  <c r="R548" i="5"/>
  <c r="Q548" i="5"/>
  <c r="X547" i="5"/>
  <c r="W547" i="5"/>
  <c r="V547" i="5"/>
  <c r="U547" i="5"/>
  <c r="T547" i="5"/>
  <c r="S547" i="5"/>
  <c r="R547" i="5"/>
  <c r="Q547" i="5"/>
  <c r="X546" i="5"/>
  <c r="W546" i="5"/>
  <c r="V546" i="5"/>
  <c r="U546" i="5"/>
  <c r="T546" i="5"/>
  <c r="S546" i="5"/>
  <c r="R546" i="5"/>
  <c r="Q546" i="5"/>
  <c r="X545" i="5"/>
  <c r="W545" i="5"/>
  <c r="V545" i="5"/>
  <c r="U545" i="5"/>
  <c r="T545" i="5"/>
  <c r="S545" i="5"/>
  <c r="R545" i="5"/>
  <c r="Q545" i="5"/>
  <c r="X544" i="5"/>
  <c r="W544" i="5"/>
  <c r="V544" i="5"/>
  <c r="U544" i="5"/>
  <c r="T544" i="5"/>
  <c r="S544" i="5"/>
  <c r="R544" i="5"/>
  <c r="Q544" i="5"/>
  <c r="X543" i="5"/>
  <c r="W543" i="5"/>
  <c r="V543" i="5"/>
  <c r="U543" i="5"/>
  <c r="T543" i="5"/>
  <c r="S543" i="5"/>
  <c r="R543" i="5"/>
  <c r="Q543" i="5"/>
  <c r="X542" i="5"/>
  <c r="W542" i="5"/>
  <c r="V542" i="5"/>
  <c r="U542" i="5"/>
  <c r="T542" i="5"/>
  <c r="S542" i="5"/>
  <c r="R542" i="5"/>
  <c r="Q542" i="5"/>
  <c r="X541" i="5"/>
  <c r="W541" i="5"/>
  <c r="V541" i="5"/>
  <c r="U541" i="5"/>
  <c r="T541" i="5"/>
  <c r="S541" i="5"/>
  <c r="R541" i="5"/>
  <c r="Q541" i="5"/>
  <c r="X540" i="5"/>
  <c r="W540" i="5"/>
  <c r="V540" i="5"/>
  <c r="U540" i="5"/>
  <c r="T540" i="5"/>
  <c r="S540" i="5"/>
  <c r="R540" i="5"/>
  <c r="Q540" i="5"/>
  <c r="X539" i="5"/>
  <c r="W539" i="5"/>
  <c r="V539" i="5"/>
  <c r="U539" i="5"/>
  <c r="T539" i="5"/>
  <c r="S539" i="5"/>
  <c r="R539" i="5"/>
  <c r="Q539" i="5"/>
  <c r="X538" i="5"/>
  <c r="W538" i="5"/>
  <c r="V538" i="5"/>
  <c r="U538" i="5"/>
  <c r="T538" i="5"/>
  <c r="S538" i="5"/>
  <c r="R538" i="5"/>
  <c r="Q538" i="5"/>
  <c r="X537" i="5"/>
  <c r="W537" i="5"/>
  <c r="V537" i="5"/>
  <c r="U537" i="5"/>
  <c r="T537" i="5"/>
  <c r="S537" i="5"/>
  <c r="R537" i="5"/>
  <c r="Q537" i="5"/>
  <c r="X536" i="5"/>
  <c r="W536" i="5"/>
  <c r="V536" i="5"/>
  <c r="U536" i="5"/>
  <c r="T536" i="5"/>
  <c r="S536" i="5"/>
  <c r="R536" i="5"/>
  <c r="Q536" i="5"/>
  <c r="X535" i="5"/>
  <c r="W535" i="5"/>
  <c r="V535" i="5"/>
  <c r="U535" i="5"/>
  <c r="T535" i="5"/>
  <c r="S535" i="5"/>
  <c r="R535" i="5"/>
  <c r="Q535" i="5"/>
  <c r="X534" i="5"/>
  <c r="W534" i="5"/>
  <c r="V534" i="5"/>
  <c r="U534" i="5"/>
  <c r="T534" i="5"/>
  <c r="S534" i="5"/>
  <c r="R534" i="5"/>
  <c r="Q534" i="5"/>
  <c r="X533" i="5"/>
  <c r="W533" i="5"/>
  <c r="V533" i="5"/>
  <c r="U533" i="5"/>
  <c r="T533" i="5"/>
  <c r="S533" i="5"/>
  <c r="R533" i="5"/>
  <c r="Q533" i="5"/>
  <c r="X532" i="5"/>
  <c r="W532" i="5"/>
  <c r="V532" i="5"/>
  <c r="U532" i="5"/>
  <c r="T532" i="5"/>
  <c r="S532" i="5"/>
  <c r="R532" i="5"/>
  <c r="Q532" i="5"/>
  <c r="X531" i="5"/>
  <c r="W531" i="5"/>
  <c r="V531" i="5"/>
  <c r="U531" i="5"/>
  <c r="T531" i="5"/>
  <c r="S531" i="5"/>
  <c r="R531" i="5"/>
  <c r="Q531" i="5"/>
  <c r="X530" i="5"/>
  <c r="W530" i="5"/>
  <c r="V530" i="5"/>
  <c r="U530" i="5"/>
  <c r="T530" i="5"/>
  <c r="S530" i="5"/>
  <c r="R530" i="5"/>
  <c r="Q530" i="5"/>
  <c r="X529" i="5"/>
  <c r="W529" i="5"/>
  <c r="V529" i="5"/>
  <c r="U529" i="5"/>
  <c r="T529" i="5"/>
  <c r="S529" i="5"/>
  <c r="R529" i="5"/>
  <c r="Q529" i="5"/>
  <c r="X528" i="5"/>
  <c r="W528" i="5"/>
  <c r="V528" i="5"/>
  <c r="U528" i="5"/>
  <c r="T528" i="5"/>
  <c r="S528" i="5"/>
  <c r="R528" i="5"/>
  <c r="Q528" i="5"/>
  <c r="X527" i="5"/>
  <c r="W527" i="5"/>
  <c r="V527" i="5"/>
  <c r="U527" i="5"/>
  <c r="T527" i="5"/>
  <c r="S527" i="5"/>
  <c r="R527" i="5"/>
  <c r="Q527" i="5"/>
  <c r="X526" i="5"/>
  <c r="W526" i="5"/>
  <c r="V526" i="5"/>
  <c r="U526" i="5"/>
  <c r="T526" i="5"/>
  <c r="S526" i="5"/>
  <c r="R526" i="5"/>
  <c r="Q526" i="5"/>
  <c r="X525" i="5"/>
  <c r="W525" i="5"/>
  <c r="V525" i="5"/>
  <c r="U525" i="5"/>
  <c r="T525" i="5"/>
  <c r="S525" i="5"/>
  <c r="R525" i="5"/>
  <c r="Q525" i="5"/>
  <c r="X524" i="5"/>
  <c r="W524" i="5"/>
  <c r="V524" i="5"/>
  <c r="U524" i="5"/>
  <c r="T524" i="5"/>
  <c r="S524" i="5"/>
  <c r="R524" i="5"/>
  <c r="Q524" i="5"/>
  <c r="X523" i="5"/>
  <c r="W523" i="5"/>
  <c r="V523" i="5"/>
  <c r="U523" i="5"/>
  <c r="T523" i="5"/>
  <c r="S523" i="5"/>
  <c r="R523" i="5"/>
  <c r="Q523" i="5"/>
  <c r="X522" i="5"/>
  <c r="W522" i="5"/>
  <c r="V522" i="5"/>
  <c r="U522" i="5"/>
  <c r="T522" i="5"/>
  <c r="S522" i="5"/>
  <c r="R522" i="5"/>
  <c r="Q522" i="5"/>
  <c r="X521" i="5"/>
  <c r="W521" i="5"/>
  <c r="V521" i="5"/>
  <c r="U521" i="5"/>
  <c r="T521" i="5"/>
  <c r="S521" i="5"/>
  <c r="R521" i="5"/>
  <c r="Q521" i="5"/>
  <c r="X520" i="5"/>
  <c r="W520" i="5"/>
  <c r="V520" i="5"/>
  <c r="U520" i="5"/>
  <c r="T520" i="5"/>
  <c r="S520" i="5"/>
  <c r="R520" i="5"/>
  <c r="Q520" i="5"/>
  <c r="X519" i="5"/>
  <c r="W519" i="5"/>
  <c r="V519" i="5"/>
  <c r="U519" i="5"/>
  <c r="T519" i="5"/>
  <c r="S519" i="5"/>
  <c r="R519" i="5"/>
  <c r="Q519" i="5"/>
  <c r="X518" i="5"/>
  <c r="W518" i="5"/>
  <c r="V518" i="5"/>
  <c r="U518" i="5"/>
  <c r="T518" i="5"/>
  <c r="S518" i="5"/>
  <c r="R518" i="5"/>
  <c r="Q518" i="5"/>
  <c r="X517" i="5"/>
  <c r="W517" i="5"/>
  <c r="V517" i="5"/>
  <c r="U517" i="5"/>
  <c r="T517" i="5"/>
  <c r="S517" i="5"/>
  <c r="R517" i="5"/>
  <c r="Q517" i="5"/>
  <c r="X516" i="5"/>
  <c r="W516" i="5"/>
  <c r="V516" i="5"/>
  <c r="U516" i="5"/>
  <c r="T516" i="5"/>
  <c r="S516" i="5"/>
  <c r="R516" i="5"/>
  <c r="Q516" i="5"/>
  <c r="X515" i="5"/>
  <c r="W515" i="5"/>
  <c r="V515" i="5"/>
  <c r="U515" i="5"/>
  <c r="T515" i="5"/>
  <c r="S515" i="5"/>
  <c r="R515" i="5"/>
  <c r="Q515" i="5"/>
  <c r="X514" i="5"/>
  <c r="W514" i="5"/>
  <c r="V514" i="5"/>
  <c r="U514" i="5"/>
  <c r="T514" i="5"/>
  <c r="S514" i="5"/>
  <c r="R514" i="5"/>
  <c r="Q514" i="5"/>
  <c r="X513" i="5"/>
  <c r="W513" i="5"/>
  <c r="V513" i="5"/>
  <c r="U513" i="5"/>
  <c r="T513" i="5"/>
  <c r="S513" i="5"/>
  <c r="R513" i="5"/>
  <c r="Q513" i="5"/>
  <c r="X512" i="5"/>
  <c r="W512" i="5"/>
  <c r="V512" i="5"/>
  <c r="U512" i="5"/>
  <c r="T512" i="5"/>
  <c r="S512" i="5"/>
  <c r="R512" i="5"/>
  <c r="Q512" i="5"/>
  <c r="X511" i="5"/>
  <c r="W511" i="5"/>
  <c r="V511" i="5"/>
  <c r="U511" i="5"/>
  <c r="T511" i="5"/>
  <c r="S511" i="5"/>
  <c r="R511" i="5"/>
  <c r="Q511" i="5"/>
  <c r="X510" i="5"/>
  <c r="W510" i="5"/>
  <c r="V510" i="5"/>
  <c r="U510" i="5"/>
  <c r="T510" i="5"/>
  <c r="S510" i="5"/>
  <c r="R510" i="5"/>
  <c r="Q510" i="5"/>
  <c r="X509" i="5"/>
  <c r="W509" i="5"/>
  <c r="V509" i="5"/>
  <c r="U509" i="5"/>
  <c r="T509" i="5"/>
  <c r="S509" i="5"/>
  <c r="R509" i="5"/>
  <c r="Q509" i="5"/>
  <c r="X508" i="5"/>
  <c r="W508" i="5"/>
  <c r="V508" i="5"/>
  <c r="U508" i="5"/>
  <c r="T508" i="5"/>
  <c r="S508" i="5"/>
  <c r="R508" i="5"/>
  <c r="Q508" i="5"/>
  <c r="X507" i="5"/>
  <c r="W507" i="5"/>
  <c r="V507" i="5"/>
  <c r="U507" i="5"/>
  <c r="T507" i="5"/>
  <c r="S507" i="5"/>
  <c r="R507" i="5"/>
  <c r="Q507" i="5"/>
  <c r="X506" i="5"/>
  <c r="W506" i="5"/>
  <c r="V506" i="5"/>
  <c r="U506" i="5"/>
  <c r="T506" i="5"/>
  <c r="S506" i="5"/>
  <c r="R506" i="5"/>
  <c r="Q506" i="5"/>
  <c r="X505" i="5"/>
  <c r="W505" i="5"/>
  <c r="V505" i="5"/>
  <c r="U505" i="5"/>
  <c r="T505" i="5"/>
  <c r="S505" i="5"/>
  <c r="R505" i="5"/>
  <c r="Q505" i="5"/>
  <c r="X504" i="5"/>
  <c r="W504" i="5"/>
  <c r="V504" i="5"/>
  <c r="U504" i="5"/>
  <c r="T504" i="5"/>
  <c r="S504" i="5"/>
  <c r="R504" i="5"/>
  <c r="Q504" i="5"/>
  <c r="X503" i="5"/>
  <c r="W503" i="5"/>
  <c r="V503" i="5"/>
  <c r="U503" i="5"/>
  <c r="T503" i="5"/>
  <c r="S503" i="5"/>
  <c r="R503" i="5"/>
  <c r="Q503" i="5"/>
  <c r="X502" i="5"/>
  <c r="W502" i="5"/>
  <c r="V502" i="5"/>
  <c r="U502" i="5"/>
  <c r="T502" i="5"/>
  <c r="S502" i="5"/>
  <c r="R502" i="5"/>
  <c r="Q502" i="5"/>
  <c r="X501" i="5"/>
  <c r="W501" i="5"/>
  <c r="V501" i="5"/>
  <c r="U501" i="5"/>
  <c r="T501" i="5"/>
  <c r="S501" i="5"/>
  <c r="R501" i="5"/>
  <c r="Q501" i="5"/>
  <c r="X500" i="5"/>
  <c r="W500" i="5"/>
  <c r="V500" i="5"/>
  <c r="U500" i="5"/>
  <c r="T500" i="5"/>
  <c r="S500" i="5"/>
  <c r="R500" i="5"/>
  <c r="Q500" i="5"/>
  <c r="X499" i="5"/>
  <c r="W499" i="5"/>
  <c r="V499" i="5"/>
  <c r="U499" i="5"/>
  <c r="T499" i="5"/>
  <c r="S499" i="5"/>
  <c r="R499" i="5"/>
  <c r="Q499" i="5"/>
  <c r="X498" i="5"/>
  <c r="W498" i="5"/>
  <c r="V498" i="5"/>
  <c r="U498" i="5"/>
  <c r="T498" i="5"/>
  <c r="S498" i="5"/>
  <c r="R498" i="5"/>
  <c r="Q498" i="5"/>
  <c r="X497" i="5"/>
  <c r="W497" i="5"/>
  <c r="V497" i="5"/>
  <c r="U497" i="5"/>
  <c r="T497" i="5"/>
  <c r="S497" i="5"/>
  <c r="R497" i="5"/>
  <c r="Q497" i="5"/>
  <c r="X496" i="5"/>
  <c r="W496" i="5"/>
  <c r="V496" i="5"/>
  <c r="U496" i="5"/>
  <c r="T496" i="5"/>
  <c r="S496" i="5"/>
  <c r="R496" i="5"/>
  <c r="Q496" i="5"/>
  <c r="X495" i="5"/>
  <c r="W495" i="5"/>
  <c r="V495" i="5"/>
  <c r="U495" i="5"/>
  <c r="T495" i="5"/>
  <c r="S495" i="5"/>
  <c r="R495" i="5"/>
  <c r="Q495" i="5"/>
  <c r="X494" i="5"/>
  <c r="W494" i="5"/>
  <c r="V494" i="5"/>
  <c r="U494" i="5"/>
  <c r="T494" i="5"/>
  <c r="S494" i="5"/>
  <c r="R494" i="5"/>
  <c r="Q494" i="5"/>
  <c r="X493" i="5"/>
  <c r="W493" i="5"/>
  <c r="V493" i="5"/>
  <c r="U493" i="5"/>
  <c r="T493" i="5"/>
  <c r="S493" i="5"/>
  <c r="R493" i="5"/>
  <c r="Q493" i="5"/>
  <c r="X492" i="5"/>
  <c r="W492" i="5"/>
  <c r="V492" i="5"/>
  <c r="U492" i="5"/>
  <c r="T492" i="5"/>
  <c r="S492" i="5"/>
  <c r="R492" i="5"/>
  <c r="Q492" i="5"/>
  <c r="X491" i="5"/>
  <c r="W491" i="5"/>
  <c r="V491" i="5"/>
  <c r="U491" i="5"/>
  <c r="T491" i="5"/>
  <c r="S491" i="5"/>
  <c r="R491" i="5"/>
  <c r="Q491" i="5"/>
  <c r="X490" i="5"/>
  <c r="W490" i="5"/>
  <c r="V490" i="5"/>
  <c r="U490" i="5"/>
  <c r="T490" i="5"/>
  <c r="S490" i="5"/>
  <c r="R490" i="5"/>
  <c r="Q490" i="5"/>
  <c r="X489" i="5"/>
  <c r="W489" i="5"/>
  <c r="V489" i="5"/>
  <c r="U489" i="5"/>
  <c r="T489" i="5"/>
  <c r="S489" i="5"/>
  <c r="R489" i="5"/>
  <c r="Q489" i="5"/>
  <c r="X488" i="5"/>
  <c r="W488" i="5"/>
  <c r="V488" i="5"/>
  <c r="U488" i="5"/>
  <c r="T488" i="5"/>
  <c r="S488" i="5"/>
  <c r="R488" i="5"/>
  <c r="Q488" i="5"/>
  <c r="X487" i="5"/>
  <c r="W487" i="5"/>
  <c r="V487" i="5"/>
  <c r="U487" i="5"/>
  <c r="T487" i="5"/>
  <c r="S487" i="5"/>
  <c r="R487" i="5"/>
  <c r="Q487" i="5"/>
  <c r="X486" i="5"/>
  <c r="W486" i="5"/>
  <c r="V486" i="5"/>
  <c r="U486" i="5"/>
  <c r="T486" i="5"/>
  <c r="S486" i="5"/>
  <c r="R486" i="5"/>
  <c r="Q486" i="5"/>
  <c r="X485" i="5"/>
  <c r="W485" i="5"/>
  <c r="V485" i="5"/>
  <c r="U485" i="5"/>
  <c r="T485" i="5"/>
  <c r="S485" i="5"/>
  <c r="R485" i="5"/>
  <c r="Q485" i="5"/>
  <c r="X484" i="5"/>
  <c r="W484" i="5"/>
  <c r="V484" i="5"/>
  <c r="U484" i="5"/>
  <c r="T484" i="5"/>
  <c r="S484" i="5"/>
  <c r="R484" i="5"/>
  <c r="Q484" i="5"/>
  <c r="X483" i="5"/>
  <c r="W483" i="5"/>
  <c r="V483" i="5"/>
  <c r="U483" i="5"/>
  <c r="T483" i="5"/>
  <c r="S483" i="5"/>
  <c r="R483" i="5"/>
  <c r="Q483" i="5"/>
  <c r="X482" i="5"/>
  <c r="W482" i="5"/>
  <c r="V482" i="5"/>
  <c r="U482" i="5"/>
  <c r="T482" i="5"/>
  <c r="S482" i="5"/>
  <c r="R482" i="5"/>
  <c r="Q482" i="5"/>
  <c r="X481" i="5"/>
  <c r="W481" i="5"/>
  <c r="V481" i="5"/>
  <c r="U481" i="5"/>
  <c r="T481" i="5"/>
  <c r="S481" i="5"/>
  <c r="R481" i="5"/>
  <c r="Q481" i="5"/>
  <c r="X480" i="5"/>
  <c r="W480" i="5"/>
  <c r="V480" i="5"/>
  <c r="U480" i="5"/>
  <c r="T480" i="5"/>
  <c r="S480" i="5"/>
  <c r="R480" i="5"/>
  <c r="Q480" i="5"/>
  <c r="X479" i="5"/>
  <c r="W479" i="5"/>
  <c r="V479" i="5"/>
  <c r="U479" i="5"/>
  <c r="T479" i="5"/>
  <c r="S479" i="5"/>
  <c r="R479" i="5"/>
  <c r="Q479" i="5"/>
  <c r="X478" i="5"/>
  <c r="W478" i="5"/>
  <c r="V478" i="5"/>
  <c r="U478" i="5"/>
  <c r="T478" i="5"/>
  <c r="S478" i="5"/>
  <c r="R478" i="5"/>
  <c r="Q478" i="5"/>
  <c r="X477" i="5"/>
  <c r="W477" i="5"/>
  <c r="V477" i="5"/>
  <c r="U477" i="5"/>
  <c r="T477" i="5"/>
  <c r="S477" i="5"/>
  <c r="R477" i="5"/>
  <c r="Q477" i="5"/>
  <c r="X476" i="5"/>
  <c r="W476" i="5"/>
  <c r="V476" i="5"/>
  <c r="U476" i="5"/>
  <c r="T476" i="5"/>
  <c r="S476" i="5"/>
  <c r="R476" i="5"/>
  <c r="Q476" i="5"/>
  <c r="X475" i="5"/>
  <c r="W475" i="5"/>
  <c r="V475" i="5"/>
  <c r="U475" i="5"/>
  <c r="T475" i="5"/>
  <c r="S475" i="5"/>
  <c r="R475" i="5"/>
  <c r="Q475" i="5"/>
  <c r="X474" i="5"/>
  <c r="W474" i="5"/>
  <c r="V474" i="5"/>
  <c r="U474" i="5"/>
  <c r="T474" i="5"/>
  <c r="S474" i="5"/>
  <c r="R474" i="5"/>
  <c r="Q474" i="5"/>
  <c r="X473" i="5"/>
  <c r="W473" i="5"/>
  <c r="V473" i="5"/>
  <c r="U473" i="5"/>
  <c r="T473" i="5"/>
  <c r="S473" i="5"/>
  <c r="R473" i="5"/>
  <c r="Q473" i="5"/>
  <c r="X472" i="5"/>
  <c r="W472" i="5"/>
  <c r="V472" i="5"/>
  <c r="U472" i="5"/>
  <c r="T472" i="5"/>
  <c r="S472" i="5"/>
  <c r="R472" i="5"/>
  <c r="Q472" i="5"/>
  <c r="X471" i="5"/>
  <c r="W471" i="5"/>
  <c r="V471" i="5"/>
  <c r="U471" i="5"/>
  <c r="T471" i="5"/>
  <c r="S471" i="5"/>
  <c r="R471" i="5"/>
  <c r="Q471" i="5"/>
  <c r="X470" i="5"/>
  <c r="W470" i="5"/>
  <c r="V470" i="5"/>
  <c r="U470" i="5"/>
  <c r="T470" i="5"/>
  <c r="S470" i="5"/>
  <c r="R470" i="5"/>
  <c r="Q470" i="5"/>
  <c r="X469" i="5"/>
  <c r="W469" i="5"/>
  <c r="V469" i="5"/>
  <c r="U469" i="5"/>
  <c r="T469" i="5"/>
  <c r="S469" i="5"/>
  <c r="R469" i="5"/>
  <c r="Q469" i="5"/>
  <c r="X468" i="5"/>
  <c r="W468" i="5"/>
  <c r="V468" i="5"/>
  <c r="U468" i="5"/>
  <c r="T468" i="5"/>
  <c r="S468" i="5"/>
  <c r="R468" i="5"/>
  <c r="Q468" i="5"/>
  <c r="X467" i="5"/>
  <c r="W467" i="5"/>
  <c r="V467" i="5"/>
  <c r="U467" i="5"/>
  <c r="T467" i="5"/>
  <c r="S467" i="5"/>
  <c r="R467" i="5"/>
  <c r="Q467" i="5"/>
  <c r="X466" i="5"/>
  <c r="W466" i="5"/>
  <c r="V466" i="5"/>
  <c r="U466" i="5"/>
  <c r="T466" i="5"/>
  <c r="S466" i="5"/>
  <c r="R466" i="5"/>
  <c r="Q466" i="5"/>
  <c r="X465" i="5"/>
  <c r="W465" i="5"/>
  <c r="V465" i="5"/>
  <c r="U465" i="5"/>
  <c r="T465" i="5"/>
  <c r="S465" i="5"/>
  <c r="R465" i="5"/>
  <c r="Q465" i="5"/>
  <c r="X464" i="5"/>
  <c r="W464" i="5"/>
  <c r="V464" i="5"/>
  <c r="U464" i="5"/>
  <c r="T464" i="5"/>
  <c r="S464" i="5"/>
  <c r="R464" i="5"/>
  <c r="Q464" i="5"/>
  <c r="X463" i="5"/>
  <c r="W463" i="5"/>
  <c r="V463" i="5"/>
  <c r="U463" i="5"/>
  <c r="T463" i="5"/>
  <c r="S463" i="5"/>
  <c r="R463" i="5"/>
  <c r="Q463" i="5"/>
  <c r="X462" i="5"/>
  <c r="W462" i="5"/>
  <c r="V462" i="5"/>
  <c r="U462" i="5"/>
  <c r="T462" i="5"/>
  <c r="S462" i="5"/>
  <c r="R462" i="5"/>
  <c r="Q462" i="5"/>
  <c r="X461" i="5"/>
  <c r="W461" i="5"/>
  <c r="V461" i="5"/>
  <c r="U461" i="5"/>
  <c r="T461" i="5"/>
  <c r="S461" i="5"/>
  <c r="R461" i="5"/>
  <c r="Q461" i="5"/>
  <c r="X460" i="5"/>
  <c r="W460" i="5"/>
  <c r="V460" i="5"/>
  <c r="U460" i="5"/>
  <c r="T460" i="5"/>
  <c r="S460" i="5"/>
  <c r="R460" i="5"/>
  <c r="Q460" i="5"/>
  <c r="X459" i="5"/>
  <c r="W459" i="5"/>
  <c r="V459" i="5"/>
  <c r="U459" i="5"/>
  <c r="T459" i="5"/>
  <c r="S459" i="5"/>
  <c r="R459" i="5"/>
  <c r="Q459" i="5"/>
  <c r="X458" i="5"/>
  <c r="W458" i="5"/>
  <c r="V458" i="5"/>
  <c r="U458" i="5"/>
  <c r="T458" i="5"/>
  <c r="S458" i="5"/>
  <c r="R458" i="5"/>
  <c r="Q458" i="5"/>
  <c r="X457" i="5"/>
  <c r="W457" i="5"/>
  <c r="V457" i="5"/>
  <c r="U457" i="5"/>
  <c r="T457" i="5"/>
  <c r="S457" i="5"/>
  <c r="R457" i="5"/>
  <c r="Q457" i="5"/>
  <c r="X456" i="5"/>
  <c r="W456" i="5"/>
  <c r="V456" i="5"/>
  <c r="U456" i="5"/>
  <c r="T456" i="5"/>
  <c r="S456" i="5"/>
  <c r="R456" i="5"/>
  <c r="Q456" i="5"/>
  <c r="X455" i="5"/>
  <c r="W455" i="5"/>
  <c r="V455" i="5"/>
  <c r="U455" i="5"/>
  <c r="T455" i="5"/>
  <c r="S455" i="5"/>
  <c r="R455" i="5"/>
  <c r="Q455" i="5"/>
  <c r="X454" i="5"/>
  <c r="W454" i="5"/>
  <c r="V454" i="5"/>
  <c r="U454" i="5"/>
  <c r="T454" i="5"/>
  <c r="S454" i="5"/>
  <c r="R454" i="5"/>
  <c r="Q454" i="5"/>
  <c r="X453" i="5"/>
  <c r="W453" i="5"/>
  <c r="V453" i="5"/>
  <c r="U453" i="5"/>
  <c r="T453" i="5"/>
  <c r="S453" i="5"/>
  <c r="R453" i="5"/>
  <c r="Q453" i="5"/>
  <c r="X452" i="5"/>
  <c r="W452" i="5"/>
  <c r="V452" i="5"/>
  <c r="U452" i="5"/>
  <c r="T452" i="5"/>
  <c r="S452" i="5"/>
  <c r="R452" i="5"/>
  <c r="Q452" i="5"/>
  <c r="X451" i="5"/>
  <c r="W451" i="5"/>
  <c r="V451" i="5"/>
  <c r="U451" i="5"/>
  <c r="T451" i="5"/>
  <c r="S451" i="5"/>
  <c r="R451" i="5"/>
  <c r="Q451" i="5"/>
  <c r="X450" i="5"/>
  <c r="W450" i="5"/>
  <c r="V450" i="5"/>
  <c r="U450" i="5"/>
  <c r="T450" i="5"/>
  <c r="S450" i="5"/>
  <c r="R450" i="5"/>
  <c r="Q450" i="5"/>
  <c r="X449" i="5"/>
  <c r="W449" i="5"/>
  <c r="V449" i="5"/>
  <c r="U449" i="5"/>
  <c r="T449" i="5"/>
  <c r="S449" i="5"/>
  <c r="R449" i="5"/>
  <c r="Q449" i="5"/>
  <c r="X448" i="5"/>
  <c r="W448" i="5"/>
  <c r="V448" i="5"/>
  <c r="U448" i="5"/>
  <c r="T448" i="5"/>
  <c r="S448" i="5"/>
  <c r="R448" i="5"/>
  <c r="Q448" i="5"/>
  <c r="X447" i="5"/>
  <c r="W447" i="5"/>
  <c r="V447" i="5"/>
  <c r="U447" i="5"/>
  <c r="T447" i="5"/>
  <c r="S447" i="5"/>
  <c r="R447" i="5"/>
  <c r="Q447" i="5"/>
  <c r="X446" i="5"/>
  <c r="W446" i="5"/>
  <c r="V446" i="5"/>
  <c r="U446" i="5"/>
  <c r="T446" i="5"/>
  <c r="S446" i="5"/>
  <c r="R446" i="5"/>
  <c r="Q446" i="5"/>
  <c r="X445" i="5"/>
  <c r="W445" i="5"/>
  <c r="V445" i="5"/>
  <c r="U445" i="5"/>
  <c r="T445" i="5"/>
  <c r="S445" i="5"/>
  <c r="R445" i="5"/>
  <c r="Q445" i="5"/>
  <c r="X444" i="5"/>
  <c r="W444" i="5"/>
  <c r="V444" i="5"/>
  <c r="U444" i="5"/>
  <c r="T444" i="5"/>
  <c r="S444" i="5"/>
  <c r="R444" i="5"/>
  <c r="Q444" i="5"/>
  <c r="X443" i="5"/>
  <c r="W443" i="5"/>
  <c r="V443" i="5"/>
  <c r="U443" i="5"/>
  <c r="T443" i="5"/>
  <c r="S443" i="5"/>
  <c r="R443" i="5"/>
  <c r="Q443" i="5"/>
  <c r="X442" i="5"/>
  <c r="W442" i="5"/>
  <c r="V442" i="5"/>
  <c r="U442" i="5"/>
  <c r="T442" i="5"/>
  <c r="S442" i="5"/>
  <c r="R442" i="5"/>
  <c r="Q442" i="5"/>
  <c r="X441" i="5"/>
  <c r="W441" i="5"/>
  <c r="V441" i="5"/>
  <c r="U441" i="5"/>
  <c r="T441" i="5"/>
  <c r="S441" i="5"/>
  <c r="R441" i="5"/>
  <c r="Q441" i="5"/>
  <c r="X440" i="5"/>
  <c r="W440" i="5"/>
  <c r="V440" i="5"/>
  <c r="U440" i="5"/>
  <c r="T440" i="5"/>
  <c r="S440" i="5"/>
  <c r="R440" i="5"/>
  <c r="Q440" i="5"/>
  <c r="X439" i="5"/>
  <c r="W439" i="5"/>
  <c r="V439" i="5"/>
  <c r="U439" i="5"/>
  <c r="T439" i="5"/>
  <c r="S439" i="5"/>
  <c r="R439" i="5"/>
  <c r="Q439" i="5"/>
  <c r="X438" i="5"/>
  <c r="W438" i="5"/>
  <c r="V438" i="5"/>
  <c r="U438" i="5"/>
  <c r="T438" i="5"/>
  <c r="S438" i="5"/>
  <c r="R438" i="5"/>
  <c r="Q438" i="5"/>
  <c r="X437" i="5"/>
  <c r="W437" i="5"/>
  <c r="V437" i="5"/>
  <c r="U437" i="5"/>
  <c r="T437" i="5"/>
  <c r="S437" i="5"/>
  <c r="R437" i="5"/>
  <c r="Q437" i="5"/>
  <c r="X436" i="5"/>
  <c r="W436" i="5"/>
  <c r="V436" i="5"/>
  <c r="U436" i="5"/>
  <c r="T436" i="5"/>
  <c r="S436" i="5"/>
  <c r="R436" i="5"/>
  <c r="Q436" i="5"/>
  <c r="X435" i="5"/>
  <c r="W435" i="5"/>
  <c r="V435" i="5"/>
  <c r="U435" i="5"/>
  <c r="T435" i="5"/>
  <c r="S435" i="5"/>
  <c r="R435" i="5"/>
  <c r="Q435" i="5"/>
  <c r="X434" i="5"/>
  <c r="W434" i="5"/>
  <c r="V434" i="5"/>
  <c r="U434" i="5"/>
  <c r="T434" i="5"/>
  <c r="S434" i="5"/>
  <c r="R434" i="5"/>
  <c r="Q434" i="5"/>
  <c r="X433" i="5"/>
  <c r="W433" i="5"/>
  <c r="V433" i="5"/>
  <c r="U433" i="5"/>
  <c r="T433" i="5"/>
  <c r="S433" i="5"/>
  <c r="R433" i="5"/>
  <c r="Q433" i="5"/>
  <c r="X432" i="5"/>
  <c r="W432" i="5"/>
  <c r="V432" i="5"/>
  <c r="U432" i="5"/>
  <c r="T432" i="5"/>
  <c r="S432" i="5"/>
  <c r="R432" i="5"/>
  <c r="Q432" i="5"/>
  <c r="X431" i="5"/>
  <c r="W431" i="5"/>
  <c r="V431" i="5"/>
  <c r="U431" i="5"/>
  <c r="T431" i="5"/>
  <c r="S431" i="5"/>
  <c r="R431" i="5"/>
  <c r="Q431" i="5"/>
  <c r="X430" i="5"/>
  <c r="W430" i="5"/>
  <c r="V430" i="5"/>
  <c r="U430" i="5"/>
  <c r="T430" i="5"/>
  <c r="S430" i="5"/>
  <c r="R430" i="5"/>
  <c r="Q430" i="5"/>
  <c r="X429" i="5"/>
  <c r="W429" i="5"/>
  <c r="V429" i="5"/>
  <c r="U429" i="5"/>
  <c r="T429" i="5"/>
  <c r="S429" i="5"/>
  <c r="R429" i="5"/>
  <c r="Q429" i="5"/>
  <c r="X428" i="5"/>
  <c r="W428" i="5"/>
  <c r="V428" i="5"/>
  <c r="U428" i="5"/>
  <c r="T428" i="5"/>
  <c r="S428" i="5"/>
  <c r="R428" i="5"/>
  <c r="Q428" i="5"/>
  <c r="X427" i="5"/>
  <c r="W427" i="5"/>
  <c r="V427" i="5"/>
  <c r="U427" i="5"/>
  <c r="T427" i="5"/>
  <c r="S427" i="5"/>
  <c r="R427" i="5"/>
  <c r="Q427" i="5"/>
  <c r="X426" i="5"/>
  <c r="W426" i="5"/>
  <c r="V426" i="5"/>
  <c r="U426" i="5"/>
  <c r="T426" i="5"/>
  <c r="S426" i="5"/>
  <c r="R426" i="5"/>
  <c r="Q426" i="5"/>
  <c r="X425" i="5"/>
  <c r="W425" i="5"/>
  <c r="V425" i="5"/>
  <c r="U425" i="5"/>
  <c r="T425" i="5"/>
  <c r="S425" i="5"/>
  <c r="R425" i="5"/>
  <c r="Q425" i="5"/>
  <c r="X424" i="5"/>
  <c r="W424" i="5"/>
  <c r="V424" i="5"/>
  <c r="U424" i="5"/>
  <c r="T424" i="5"/>
  <c r="S424" i="5"/>
  <c r="R424" i="5"/>
  <c r="Q424" i="5"/>
  <c r="X423" i="5"/>
  <c r="W423" i="5"/>
  <c r="V423" i="5"/>
  <c r="U423" i="5"/>
  <c r="T423" i="5"/>
  <c r="S423" i="5"/>
  <c r="R423" i="5"/>
  <c r="Q423" i="5"/>
  <c r="X422" i="5"/>
  <c r="W422" i="5"/>
  <c r="V422" i="5"/>
  <c r="U422" i="5"/>
  <c r="T422" i="5"/>
  <c r="S422" i="5"/>
  <c r="R422" i="5"/>
  <c r="Q422" i="5"/>
  <c r="X421" i="5"/>
  <c r="W421" i="5"/>
  <c r="V421" i="5"/>
  <c r="U421" i="5"/>
  <c r="T421" i="5"/>
  <c r="S421" i="5"/>
  <c r="R421" i="5"/>
  <c r="Q421" i="5"/>
  <c r="X420" i="5"/>
  <c r="W420" i="5"/>
  <c r="V420" i="5"/>
  <c r="U420" i="5"/>
  <c r="T420" i="5"/>
  <c r="S420" i="5"/>
  <c r="R420" i="5"/>
  <c r="Q420" i="5"/>
  <c r="X419" i="5"/>
  <c r="W419" i="5"/>
  <c r="V419" i="5"/>
  <c r="U419" i="5"/>
  <c r="T419" i="5"/>
  <c r="S419" i="5"/>
  <c r="R419" i="5"/>
  <c r="Q419" i="5"/>
  <c r="X418" i="5"/>
  <c r="W418" i="5"/>
  <c r="V418" i="5"/>
  <c r="U418" i="5"/>
  <c r="T418" i="5"/>
  <c r="S418" i="5"/>
  <c r="R418" i="5"/>
  <c r="Q418" i="5"/>
  <c r="X417" i="5"/>
  <c r="W417" i="5"/>
  <c r="V417" i="5"/>
  <c r="U417" i="5"/>
  <c r="T417" i="5"/>
  <c r="S417" i="5"/>
  <c r="R417" i="5"/>
  <c r="Q417" i="5"/>
  <c r="X416" i="5"/>
  <c r="W416" i="5"/>
  <c r="V416" i="5"/>
  <c r="U416" i="5"/>
  <c r="T416" i="5"/>
  <c r="S416" i="5"/>
  <c r="R416" i="5"/>
  <c r="Q416" i="5"/>
  <c r="X415" i="5"/>
  <c r="W415" i="5"/>
  <c r="V415" i="5"/>
  <c r="U415" i="5"/>
  <c r="T415" i="5"/>
  <c r="S415" i="5"/>
  <c r="R415" i="5"/>
  <c r="Q415" i="5"/>
  <c r="X414" i="5"/>
  <c r="W414" i="5"/>
  <c r="V414" i="5"/>
  <c r="U414" i="5"/>
  <c r="T414" i="5"/>
  <c r="S414" i="5"/>
  <c r="R414" i="5"/>
  <c r="Q414" i="5"/>
  <c r="X413" i="5"/>
  <c r="W413" i="5"/>
  <c r="V413" i="5"/>
  <c r="U413" i="5"/>
  <c r="T413" i="5"/>
  <c r="S413" i="5"/>
  <c r="R413" i="5"/>
  <c r="Q413" i="5"/>
  <c r="X412" i="5"/>
  <c r="W412" i="5"/>
  <c r="V412" i="5"/>
  <c r="U412" i="5"/>
  <c r="T412" i="5"/>
  <c r="S412" i="5"/>
  <c r="R412" i="5"/>
  <c r="Q412" i="5"/>
  <c r="X411" i="5"/>
  <c r="W411" i="5"/>
  <c r="V411" i="5"/>
  <c r="U411" i="5"/>
  <c r="T411" i="5"/>
  <c r="S411" i="5"/>
  <c r="R411" i="5"/>
  <c r="Q411" i="5"/>
  <c r="X410" i="5"/>
  <c r="W410" i="5"/>
  <c r="V410" i="5"/>
  <c r="U410" i="5"/>
  <c r="T410" i="5"/>
  <c r="S410" i="5"/>
  <c r="R410" i="5"/>
  <c r="Q410" i="5"/>
  <c r="X409" i="5"/>
  <c r="W409" i="5"/>
  <c r="V409" i="5"/>
  <c r="U409" i="5"/>
  <c r="T409" i="5"/>
  <c r="S409" i="5"/>
  <c r="R409" i="5"/>
  <c r="Q409" i="5"/>
  <c r="X408" i="5"/>
  <c r="W408" i="5"/>
  <c r="V408" i="5"/>
  <c r="U408" i="5"/>
  <c r="T408" i="5"/>
  <c r="S408" i="5"/>
  <c r="R408" i="5"/>
  <c r="Q408" i="5"/>
  <c r="X407" i="5"/>
  <c r="W407" i="5"/>
  <c r="V407" i="5"/>
  <c r="U407" i="5"/>
  <c r="T407" i="5"/>
  <c r="S407" i="5"/>
  <c r="R407" i="5"/>
  <c r="Q407" i="5"/>
  <c r="X406" i="5"/>
  <c r="W406" i="5"/>
  <c r="V406" i="5"/>
  <c r="U406" i="5"/>
  <c r="T406" i="5"/>
  <c r="S406" i="5"/>
  <c r="R406" i="5"/>
  <c r="Q406" i="5"/>
  <c r="X405" i="5"/>
  <c r="W405" i="5"/>
  <c r="V405" i="5"/>
  <c r="U405" i="5"/>
  <c r="T405" i="5"/>
  <c r="S405" i="5"/>
  <c r="R405" i="5"/>
  <c r="Q405" i="5"/>
  <c r="X404" i="5"/>
  <c r="W404" i="5"/>
  <c r="V404" i="5"/>
  <c r="U404" i="5"/>
  <c r="T404" i="5"/>
  <c r="S404" i="5"/>
  <c r="R404" i="5"/>
  <c r="Q404" i="5"/>
  <c r="X403" i="5"/>
  <c r="W403" i="5"/>
  <c r="V403" i="5"/>
  <c r="U403" i="5"/>
  <c r="T403" i="5"/>
  <c r="S403" i="5"/>
  <c r="R403" i="5"/>
  <c r="Q403" i="5"/>
  <c r="X402" i="5"/>
  <c r="W402" i="5"/>
  <c r="V402" i="5"/>
  <c r="U402" i="5"/>
  <c r="T402" i="5"/>
  <c r="S402" i="5"/>
  <c r="R402" i="5"/>
  <c r="Q402" i="5"/>
  <c r="X401" i="5"/>
  <c r="W401" i="5"/>
  <c r="V401" i="5"/>
  <c r="U401" i="5"/>
  <c r="T401" i="5"/>
  <c r="S401" i="5"/>
  <c r="R401" i="5"/>
  <c r="Q401" i="5"/>
  <c r="X400" i="5"/>
  <c r="W400" i="5"/>
  <c r="V400" i="5"/>
  <c r="U400" i="5"/>
  <c r="T400" i="5"/>
  <c r="S400" i="5"/>
  <c r="R400" i="5"/>
  <c r="Q400" i="5"/>
  <c r="X399" i="5"/>
  <c r="W399" i="5"/>
  <c r="V399" i="5"/>
  <c r="U399" i="5"/>
  <c r="T399" i="5"/>
  <c r="S399" i="5"/>
  <c r="R399" i="5"/>
  <c r="Q399" i="5"/>
  <c r="X398" i="5"/>
  <c r="W398" i="5"/>
  <c r="V398" i="5"/>
  <c r="U398" i="5"/>
  <c r="T398" i="5"/>
  <c r="S398" i="5"/>
  <c r="R398" i="5"/>
  <c r="Q398" i="5"/>
  <c r="X397" i="5"/>
  <c r="W397" i="5"/>
  <c r="V397" i="5"/>
  <c r="U397" i="5"/>
  <c r="T397" i="5"/>
  <c r="S397" i="5"/>
  <c r="R397" i="5"/>
  <c r="Q397" i="5"/>
  <c r="X396" i="5"/>
  <c r="W396" i="5"/>
  <c r="V396" i="5"/>
  <c r="U396" i="5"/>
  <c r="T396" i="5"/>
  <c r="S396" i="5"/>
  <c r="R396" i="5"/>
  <c r="Q396" i="5"/>
  <c r="X395" i="5"/>
  <c r="W395" i="5"/>
  <c r="V395" i="5"/>
  <c r="U395" i="5"/>
  <c r="T395" i="5"/>
  <c r="S395" i="5"/>
  <c r="R395" i="5"/>
  <c r="Q395" i="5"/>
  <c r="X394" i="5"/>
  <c r="W394" i="5"/>
  <c r="V394" i="5"/>
  <c r="U394" i="5"/>
  <c r="T394" i="5"/>
  <c r="S394" i="5"/>
  <c r="R394" i="5"/>
  <c r="Q394" i="5"/>
  <c r="X393" i="5"/>
  <c r="W393" i="5"/>
  <c r="V393" i="5"/>
  <c r="U393" i="5"/>
  <c r="T393" i="5"/>
  <c r="S393" i="5"/>
  <c r="R393" i="5"/>
  <c r="Q393" i="5"/>
  <c r="X392" i="5"/>
  <c r="W392" i="5"/>
  <c r="V392" i="5"/>
  <c r="U392" i="5"/>
  <c r="T392" i="5"/>
  <c r="S392" i="5"/>
  <c r="R392" i="5"/>
  <c r="Q392" i="5"/>
  <c r="X391" i="5"/>
  <c r="W391" i="5"/>
  <c r="V391" i="5"/>
  <c r="U391" i="5"/>
  <c r="T391" i="5"/>
  <c r="S391" i="5"/>
  <c r="R391" i="5"/>
  <c r="Q391" i="5"/>
  <c r="X390" i="5"/>
  <c r="W390" i="5"/>
  <c r="V390" i="5"/>
  <c r="U390" i="5"/>
  <c r="T390" i="5"/>
  <c r="S390" i="5"/>
  <c r="R390" i="5"/>
  <c r="Q390" i="5"/>
  <c r="X389" i="5"/>
  <c r="W389" i="5"/>
  <c r="V389" i="5"/>
  <c r="U389" i="5"/>
  <c r="T389" i="5"/>
  <c r="S389" i="5"/>
  <c r="R389" i="5"/>
  <c r="Q389" i="5"/>
  <c r="X388" i="5"/>
  <c r="W388" i="5"/>
  <c r="V388" i="5"/>
  <c r="U388" i="5"/>
  <c r="T388" i="5"/>
  <c r="S388" i="5"/>
  <c r="R388" i="5"/>
  <c r="Q388" i="5"/>
  <c r="X387" i="5"/>
  <c r="W387" i="5"/>
  <c r="V387" i="5"/>
  <c r="U387" i="5"/>
  <c r="T387" i="5"/>
  <c r="S387" i="5"/>
  <c r="R387" i="5"/>
  <c r="Q387" i="5"/>
  <c r="X386" i="5"/>
  <c r="W386" i="5"/>
  <c r="V386" i="5"/>
  <c r="U386" i="5"/>
  <c r="T386" i="5"/>
  <c r="S386" i="5"/>
  <c r="R386" i="5"/>
  <c r="Q386" i="5"/>
  <c r="X385" i="5"/>
  <c r="W385" i="5"/>
  <c r="V385" i="5"/>
  <c r="U385" i="5"/>
  <c r="T385" i="5"/>
  <c r="S385" i="5"/>
  <c r="R385" i="5"/>
  <c r="Q385" i="5"/>
  <c r="X384" i="5"/>
  <c r="W384" i="5"/>
  <c r="V384" i="5"/>
  <c r="U384" i="5"/>
  <c r="T384" i="5"/>
  <c r="S384" i="5"/>
  <c r="R384" i="5"/>
  <c r="Q384" i="5"/>
  <c r="X383" i="5"/>
  <c r="W383" i="5"/>
  <c r="V383" i="5"/>
  <c r="U383" i="5"/>
  <c r="T383" i="5"/>
  <c r="S383" i="5"/>
  <c r="R383" i="5"/>
  <c r="Q383" i="5"/>
  <c r="X382" i="5"/>
  <c r="W382" i="5"/>
  <c r="V382" i="5"/>
  <c r="U382" i="5"/>
  <c r="T382" i="5"/>
  <c r="S382" i="5"/>
  <c r="R382" i="5"/>
  <c r="Q382" i="5"/>
  <c r="X381" i="5"/>
  <c r="W381" i="5"/>
  <c r="V381" i="5"/>
  <c r="U381" i="5"/>
  <c r="T381" i="5"/>
  <c r="S381" i="5"/>
  <c r="R381" i="5"/>
  <c r="Q381" i="5"/>
  <c r="X380" i="5"/>
  <c r="W380" i="5"/>
  <c r="V380" i="5"/>
  <c r="U380" i="5"/>
  <c r="T380" i="5"/>
  <c r="S380" i="5"/>
  <c r="R380" i="5"/>
  <c r="Q380" i="5"/>
  <c r="X379" i="5"/>
  <c r="W379" i="5"/>
  <c r="V379" i="5"/>
  <c r="U379" i="5"/>
  <c r="T379" i="5"/>
  <c r="S379" i="5"/>
  <c r="R379" i="5"/>
  <c r="Q379" i="5"/>
  <c r="X378" i="5"/>
  <c r="W378" i="5"/>
  <c r="V378" i="5"/>
  <c r="U378" i="5"/>
  <c r="T378" i="5"/>
  <c r="S378" i="5"/>
  <c r="R378" i="5"/>
  <c r="Q378" i="5"/>
  <c r="X377" i="5"/>
  <c r="W377" i="5"/>
  <c r="V377" i="5"/>
  <c r="U377" i="5"/>
  <c r="T377" i="5"/>
  <c r="S377" i="5"/>
  <c r="R377" i="5"/>
  <c r="Q377" i="5"/>
  <c r="X376" i="5"/>
  <c r="W376" i="5"/>
  <c r="V376" i="5"/>
  <c r="U376" i="5"/>
  <c r="T376" i="5"/>
  <c r="S376" i="5"/>
  <c r="R376" i="5"/>
  <c r="Q376" i="5"/>
  <c r="X375" i="5"/>
  <c r="W375" i="5"/>
  <c r="V375" i="5"/>
  <c r="U375" i="5"/>
  <c r="T375" i="5"/>
  <c r="S375" i="5"/>
  <c r="R375" i="5"/>
  <c r="Q375" i="5"/>
  <c r="X374" i="5"/>
  <c r="W374" i="5"/>
  <c r="V374" i="5"/>
  <c r="U374" i="5"/>
  <c r="T374" i="5"/>
  <c r="S374" i="5"/>
  <c r="R374" i="5"/>
  <c r="Q374" i="5"/>
  <c r="X373" i="5"/>
  <c r="W373" i="5"/>
  <c r="V373" i="5"/>
  <c r="U373" i="5"/>
  <c r="T373" i="5"/>
  <c r="S373" i="5"/>
  <c r="R373" i="5"/>
  <c r="Q373" i="5"/>
  <c r="X372" i="5"/>
  <c r="W372" i="5"/>
  <c r="V372" i="5"/>
  <c r="U372" i="5"/>
  <c r="T372" i="5"/>
  <c r="S372" i="5"/>
  <c r="R372" i="5"/>
  <c r="Q372" i="5"/>
  <c r="X371" i="5"/>
  <c r="W371" i="5"/>
  <c r="V371" i="5"/>
  <c r="U371" i="5"/>
  <c r="T371" i="5"/>
  <c r="S371" i="5"/>
  <c r="R371" i="5"/>
  <c r="Q371" i="5"/>
  <c r="X370" i="5"/>
  <c r="W370" i="5"/>
  <c r="V370" i="5"/>
  <c r="U370" i="5"/>
  <c r="T370" i="5"/>
  <c r="S370" i="5"/>
  <c r="R370" i="5"/>
  <c r="Q370" i="5"/>
  <c r="X369" i="5"/>
  <c r="W369" i="5"/>
  <c r="V369" i="5"/>
  <c r="U369" i="5"/>
  <c r="T369" i="5"/>
  <c r="S369" i="5"/>
  <c r="R369" i="5"/>
  <c r="Q369" i="5"/>
  <c r="X368" i="5"/>
  <c r="W368" i="5"/>
  <c r="V368" i="5"/>
  <c r="U368" i="5"/>
  <c r="T368" i="5"/>
  <c r="S368" i="5"/>
  <c r="R368" i="5"/>
  <c r="Q368" i="5"/>
  <c r="X367" i="5"/>
  <c r="W367" i="5"/>
  <c r="V367" i="5"/>
  <c r="U367" i="5"/>
  <c r="T367" i="5"/>
  <c r="S367" i="5"/>
  <c r="R367" i="5"/>
  <c r="Q367" i="5"/>
  <c r="X366" i="5"/>
  <c r="W366" i="5"/>
  <c r="V366" i="5"/>
  <c r="U366" i="5"/>
  <c r="T366" i="5"/>
  <c r="S366" i="5"/>
  <c r="R366" i="5"/>
  <c r="Q366" i="5"/>
  <c r="X365" i="5"/>
  <c r="W365" i="5"/>
  <c r="V365" i="5"/>
  <c r="U365" i="5"/>
  <c r="T365" i="5"/>
  <c r="S365" i="5"/>
  <c r="R365" i="5"/>
  <c r="Q365" i="5"/>
  <c r="X364" i="5"/>
  <c r="W364" i="5"/>
  <c r="V364" i="5"/>
  <c r="U364" i="5"/>
  <c r="T364" i="5"/>
  <c r="S364" i="5"/>
  <c r="R364" i="5"/>
  <c r="Q364" i="5"/>
  <c r="X363" i="5"/>
  <c r="W363" i="5"/>
  <c r="V363" i="5"/>
  <c r="U363" i="5"/>
  <c r="T363" i="5"/>
  <c r="S363" i="5"/>
  <c r="R363" i="5"/>
  <c r="Q363" i="5"/>
  <c r="X362" i="5"/>
  <c r="W362" i="5"/>
  <c r="V362" i="5"/>
  <c r="U362" i="5"/>
  <c r="T362" i="5"/>
  <c r="S362" i="5"/>
  <c r="R362" i="5"/>
  <c r="Q362" i="5"/>
  <c r="X361" i="5"/>
  <c r="W361" i="5"/>
  <c r="V361" i="5"/>
  <c r="U361" i="5"/>
  <c r="T361" i="5"/>
  <c r="S361" i="5"/>
  <c r="R361" i="5"/>
  <c r="Q361" i="5"/>
  <c r="X360" i="5"/>
  <c r="W360" i="5"/>
  <c r="V360" i="5"/>
  <c r="U360" i="5"/>
  <c r="T360" i="5"/>
  <c r="S360" i="5"/>
  <c r="R360" i="5"/>
  <c r="Q360" i="5"/>
  <c r="X359" i="5"/>
  <c r="W359" i="5"/>
  <c r="V359" i="5"/>
  <c r="U359" i="5"/>
  <c r="T359" i="5"/>
  <c r="S359" i="5"/>
  <c r="R359" i="5"/>
  <c r="Q359" i="5"/>
  <c r="X358" i="5"/>
  <c r="W358" i="5"/>
  <c r="V358" i="5"/>
  <c r="U358" i="5"/>
  <c r="T358" i="5"/>
  <c r="S358" i="5"/>
  <c r="R358" i="5"/>
  <c r="Q358" i="5"/>
  <c r="X357" i="5"/>
  <c r="W357" i="5"/>
  <c r="V357" i="5"/>
  <c r="U357" i="5"/>
  <c r="T357" i="5"/>
  <c r="S357" i="5"/>
  <c r="R357" i="5"/>
  <c r="Q357" i="5"/>
  <c r="X356" i="5"/>
  <c r="W356" i="5"/>
  <c r="V356" i="5"/>
  <c r="U356" i="5"/>
  <c r="T356" i="5"/>
  <c r="S356" i="5"/>
  <c r="R356" i="5"/>
  <c r="Q356" i="5"/>
  <c r="X355" i="5"/>
  <c r="W355" i="5"/>
  <c r="V355" i="5"/>
  <c r="U355" i="5"/>
  <c r="T355" i="5"/>
  <c r="S355" i="5"/>
  <c r="R355" i="5"/>
  <c r="Q355" i="5"/>
  <c r="X354" i="5"/>
  <c r="W354" i="5"/>
  <c r="V354" i="5"/>
  <c r="U354" i="5"/>
  <c r="T354" i="5"/>
  <c r="S354" i="5"/>
  <c r="R354" i="5"/>
  <c r="Q354" i="5"/>
  <c r="X353" i="5"/>
  <c r="W353" i="5"/>
  <c r="V353" i="5"/>
  <c r="U353" i="5"/>
  <c r="T353" i="5"/>
  <c r="S353" i="5"/>
  <c r="R353" i="5"/>
  <c r="Q353" i="5"/>
  <c r="X352" i="5"/>
  <c r="W352" i="5"/>
  <c r="V352" i="5"/>
  <c r="U352" i="5"/>
  <c r="T352" i="5"/>
  <c r="S352" i="5"/>
  <c r="R352" i="5"/>
  <c r="Q352" i="5"/>
  <c r="X351" i="5"/>
  <c r="W351" i="5"/>
  <c r="V351" i="5"/>
  <c r="U351" i="5"/>
  <c r="T351" i="5"/>
  <c r="S351" i="5"/>
  <c r="R351" i="5"/>
  <c r="Q351" i="5"/>
  <c r="X350" i="5"/>
  <c r="W350" i="5"/>
  <c r="V350" i="5"/>
  <c r="U350" i="5"/>
  <c r="T350" i="5"/>
  <c r="S350" i="5"/>
  <c r="R350" i="5"/>
  <c r="Q350" i="5"/>
  <c r="X349" i="5"/>
  <c r="W349" i="5"/>
  <c r="V349" i="5"/>
  <c r="U349" i="5"/>
  <c r="T349" i="5"/>
  <c r="S349" i="5"/>
  <c r="R349" i="5"/>
  <c r="Q349" i="5"/>
  <c r="X348" i="5"/>
  <c r="W348" i="5"/>
  <c r="V348" i="5"/>
  <c r="U348" i="5"/>
  <c r="T348" i="5"/>
  <c r="S348" i="5"/>
  <c r="R348" i="5"/>
  <c r="Q348" i="5"/>
  <c r="X347" i="5"/>
  <c r="W347" i="5"/>
  <c r="V347" i="5"/>
  <c r="U347" i="5"/>
  <c r="T347" i="5"/>
  <c r="S347" i="5"/>
  <c r="R347" i="5"/>
  <c r="Q347" i="5"/>
  <c r="X346" i="5"/>
  <c r="W346" i="5"/>
  <c r="V346" i="5"/>
  <c r="U346" i="5"/>
  <c r="T346" i="5"/>
  <c r="S346" i="5"/>
  <c r="R346" i="5"/>
  <c r="Q346" i="5"/>
  <c r="X345" i="5"/>
  <c r="W345" i="5"/>
  <c r="V345" i="5"/>
  <c r="U345" i="5"/>
  <c r="T345" i="5"/>
  <c r="S345" i="5"/>
  <c r="R345" i="5"/>
  <c r="Q345" i="5"/>
  <c r="X344" i="5"/>
  <c r="W344" i="5"/>
  <c r="V344" i="5"/>
  <c r="U344" i="5"/>
  <c r="T344" i="5"/>
  <c r="S344" i="5"/>
  <c r="R344" i="5"/>
  <c r="Q344" i="5"/>
  <c r="X343" i="5"/>
  <c r="W343" i="5"/>
  <c r="V343" i="5"/>
  <c r="U343" i="5"/>
  <c r="T343" i="5"/>
  <c r="S343" i="5"/>
  <c r="R343" i="5"/>
  <c r="Q343" i="5"/>
  <c r="X342" i="5"/>
  <c r="W342" i="5"/>
  <c r="V342" i="5"/>
  <c r="U342" i="5"/>
  <c r="T342" i="5"/>
  <c r="S342" i="5"/>
  <c r="R342" i="5"/>
  <c r="Q342" i="5"/>
  <c r="X341" i="5"/>
  <c r="W341" i="5"/>
  <c r="V341" i="5"/>
  <c r="U341" i="5"/>
  <c r="T341" i="5"/>
  <c r="S341" i="5"/>
  <c r="R341" i="5"/>
  <c r="Q341" i="5"/>
  <c r="X340" i="5"/>
  <c r="W340" i="5"/>
  <c r="V340" i="5"/>
  <c r="U340" i="5"/>
  <c r="T340" i="5"/>
  <c r="S340" i="5"/>
  <c r="R340" i="5"/>
  <c r="Q340" i="5"/>
  <c r="X339" i="5"/>
  <c r="W339" i="5"/>
  <c r="V339" i="5"/>
  <c r="U339" i="5"/>
  <c r="T339" i="5"/>
  <c r="S339" i="5"/>
  <c r="R339" i="5"/>
  <c r="Q339" i="5"/>
  <c r="X338" i="5"/>
  <c r="W338" i="5"/>
  <c r="V338" i="5"/>
  <c r="U338" i="5"/>
  <c r="T338" i="5"/>
  <c r="S338" i="5"/>
  <c r="R338" i="5"/>
  <c r="Q338" i="5"/>
  <c r="X337" i="5"/>
  <c r="W337" i="5"/>
  <c r="V337" i="5"/>
  <c r="U337" i="5"/>
  <c r="T337" i="5"/>
  <c r="S337" i="5"/>
  <c r="R337" i="5"/>
  <c r="Q337" i="5"/>
  <c r="X336" i="5"/>
  <c r="W336" i="5"/>
  <c r="V336" i="5"/>
  <c r="U336" i="5"/>
  <c r="T336" i="5"/>
  <c r="S336" i="5"/>
  <c r="R336" i="5"/>
  <c r="Q336" i="5"/>
  <c r="X335" i="5"/>
  <c r="W335" i="5"/>
  <c r="V335" i="5"/>
  <c r="U335" i="5"/>
  <c r="T335" i="5"/>
  <c r="S335" i="5"/>
  <c r="R335" i="5"/>
  <c r="Q335" i="5"/>
  <c r="X334" i="5"/>
  <c r="W334" i="5"/>
  <c r="V334" i="5"/>
  <c r="U334" i="5"/>
  <c r="T334" i="5"/>
  <c r="S334" i="5"/>
  <c r="R334" i="5"/>
  <c r="Q334" i="5"/>
  <c r="X333" i="5"/>
  <c r="W333" i="5"/>
  <c r="V333" i="5"/>
  <c r="U333" i="5"/>
  <c r="T333" i="5"/>
  <c r="S333" i="5"/>
  <c r="R333" i="5"/>
  <c r="Q333" i="5"/>
  <c r="X332" i="5"/>
  <c r="W332" i="5"/>
  <c r="V332" i="5"/>
  <c r="U332" i="5"/>
  <c r="T332" i="5"/>
  <c r="S332" i="5"/>
  <c r="R332" i="5"/>
  <c r="Q332" i="5"/>
  <c r="X331" i="5"/>
  <c r="W331" i="5"/>
  <c r="V331" i="5"/>
  <c r="U331" i="5"/>
  <c r="T331" i="5"/>
  <c r="S331" i="5"/>
  <c r="R331" i="5"/>
  <c r="Q331" i="5"/>
  <c r="X330" i="5"/>
  <c r="W330" i="5"/>
  <c r="V330" i="5"/>
  <c r="U330" i="5"/>
  <c r="T330" i="5"/>
  <c r="S330" i="5"/>
  <c r="R330" i="5"/>
  <c r="Q330" i="5"/>
  <c r="X329" i="5"/>
  <c r="W329" i="5"/>
  <c r="V329" i="5"/>
  <c r="U329" i="5"/>
  <c r="T329" i="5"/>
  <c r="S329" i="5"/>
  <c r="R329" i="5"/>
  <c r="Q329" i="5"/>
  <c r="X328" i="5"/>
  <c r="W328" i="5"/>
  <c r="V328" i="5"/>
  <c r="U328" i="5"/>
  <c r="T328" i="5"/>
  <c r="S328" i="5"/>
  <c r="R328" i="5"/>
  <c r="Q328" i="5"/>
  <c r="X327" i="5"/>
  <c r="W327" i="5"/>
  <c r="V327" i="5"/>
  <c r="U327" i="5"/>
  <c r="T327" i="5"/>
  <c r="S327" i="5"/>
  <c r="R327" i="5"/>
  <c r="Q327" i="5"/>
  <c r="X326" i="5"/>
  <c r="W326" i="5"/>
  <c r="V326" i="5"/>
  <c r="U326" i="5"/>
  <c r="T326" i="5"/>
  <c r="S326" i="5"/>
  <c r="R326" i="5"/>
  <c r="Q326" i="5"/>
  <c r="X325" i="5"/>
  <c r="W325" i="5"/>
  <c r="V325" i="5"/>
  <c r="U325" i="5"/>
  <c r="T325" i="5"/>
  <c r="S325" i="5"/>
  <c r="R325" i="5"/>
  <c r="Q325" i="5"/>
  <c r="X324" i="5"/>
  <c r="W324" i="5"/>
  <c r="V324" i="5"/>
  <c r="U324" i="5"/>
  <c r="T324" i="5"/>
  <c r="S324" i="5"/>
  <c r="R324" i="5"/>
  <c r="Q324" i="5"/>
  <c r="X323" i="5"/>
  <c r="W323" i="5"/>
  <c r="V323" i="5"/>
  <c r="U323" i="5"/>
  <c r="T323" i="5"/>
  <c r="S323" i="5"/>
  <c r="R323" i="5"/>
  <c r="Q323" i="5"/>
  <c r="X322" i="5"/>
  <c r="W322" i="5"/>
  <c r="V322" i="5"/>
  <c r="U322" i="5"/>
  <c r="T322" i="5"/>
  <c r="S322" i="5"/>
  <c r="R322" i="5"/>
  <c r="Q322" i="5"/>
  <c r="X321" i="5"/>
  <c r="W321" i="5"/>
  <c r="V321" i="5"/>
  <c r="U321" i="5"/>
  <c r="T321" i="5"/>
  <c r="S321" i="5"/>
  <c r="R321" i="5"/>
  <c r="Q321" i="5"/>
  <c r="X320" i="5"/>
  <c r="W320" i="5"/>
  <c r="V320" i="5"/>
  <c r="U320" i="5"/>
  <c r="T320" i="5"/>
  <c r="S320" i="5"/>
  <c r="R320" i="5"/>
  <c r="Q320" i="5"/>
  <c r="X319" i="5"/>
  <c r="W319" i="5"/>
  <c r="V319" i="5"/>
  <c r="U319" i="5"/>
  <c r="T319" i="5"/>
  <c r="S319" i="5"/>
  <c r="R319" i="5"/>
  <c r="Q319" i="5"/>
  <c r="X318" i="5"/>
  <c r="W318" i="5"/>
  <c r="V318" i="5"/>
  <c r="U318" i="5"/>
  <c r="T318" i="5"/>
  <c r="S318" i="5"/>
  <c r="R318" i="5"/>
  <c r="Q318" i="5"/>
  <c r="X317" i="5"/>
  <c r="W317" i="5"/>
  <c r="V317" i="5"/>
  <c r="U317" i="5"/>
  <c r="T317" i="5"/>
  <c r="S317" i="5"/>
  <c r="R317" i="5"/>
  <c r="Q317" i="5"/>
  <c r="X316" i="5"/>
  <c r="W316" i="5"/>
  <c r="V316" i="5"/>
  <c r="U316" i="5"/>
  <c r="T316" i="5"/>
  <c r="S316" i="5"/>
  <c r="R316" i="5"/>
  <c r="Q316" i="5"/>
  <c r="X315" i="5"/>
  <c r="W315" i="5"/>
  <c r="V315" i="5"/>
  <c r="U315" i="5"/>
  <c r="T315" i="5"/>
  <c r="S315" i="5"/>
  <c r="R315" i="5"/>
  <c r="Q315" i="5"/>
  <c r="X314" i="5"/>
  <c r="W314" i="5"/>
  <c r="V314" i="5"/>
  <c r="U314" i="5"/>
  <c r="T314" i="5"/>
  <c r="S314" i="5"/>
  <c r="R314" i="5"/>
  <c r="Q314" i="5"/>
  <c r="X313" i="5"/>
  <c r="W313" i="5"/>
  <c r="V313" i="5"/>
  <c r="U313" i="5"/>
  <c r="T313" i="5"/>
  <c r="S313" i="5"/>
  <c r="R313" i="5"/>
  <c r="Q313" i="5"/>
  <c r="X312" i="5"/>
  <c r="W312" i="5"/>
  <c r="V312" i="5"/>
  <c r="U312" i="5"/>
  <c r="T312" i="5"/>
  <c r="S312" i="5"/>
  <c r="R312" i="5"/>
  <c r="Q312" i="5"/>
  <c r="X311" i="5"/>
  <c r="W311" i="5"/>
  <c r="V311" i="5"/>
  <c r="U311" i="5"/>
  <c r="T311" i="5"/>
  <c r="S311" i="5"/>
  <c r="R311" i="5"/>
  <c r="Q311" i="5"/>
  <c r="X310" i="5"/>
  <c r="W310" i="5"/>
  <c r="V310" i="5"/>
  <c r="U310" i="5"/>
  <c r="T310" i="5"/>
  <c r="S310" i="5"/>
  <c r="R310" i="5"/>
  <c r="Q310" i="5"/>
  <c r="X309" i="5"/>
  <c r="W309" i="5"/>
  <c r="V309" i="5"/>
  <c r="U309" i="5"/>
  <c r="T309" i="5"/>
  <c r="S309" i="5"/>
  <c r="R309" i="5"/>
  <c r="Q309" i="5"/>
  <c r="X308" i="5"/>
  <c r="W308" i="5"/>
  <c r="V308" i="5"/>
  <c r="U308" i="5"/>
  <c r="T308" i="5"/>
  <c r="S308" i="5"/>
  <c r="R308" i="5"/>
  <c r="Q308" i="5"/>
  <c r="X307" i="5"/>
  <c r="W307" i="5"/>
  <c r="V307" i="5"/>
  <c r="U307" i="5"/>
  <c r="T307" i="5"/>
  <c r="S307" i="5"/>
  <c r="R307" i="5"/>
  <c r="Q307" i="5"/>
  <c r="X306" i="5"/>
  <c r="W306" i="5"/>
  <c r="V306" i="5"/>
  <c r="U306" i="5"/>
  <c r="T306" i="5"/>
  <c r="S306" i="5"/>
  <c r="R306" i="5"/>
  <c r="Q306" i="5"/>
  <c r="X305" i="5"/>
  <c r="W305" i="5"/>
  <c r="V305" i="5"/>
  <c r="U305" i="5"/>
  <c r="T305" i="5"/>
  <c r="S305" i="5"/>
  <c r="R305" i="5"/>
  <c r="Q305" i="5"/>
  <c r="X304" i="5"/>
  <c r="W304" i="5"/>
  <c r="V304" i="5"/>
  <c r="U304" i="5"/>
  <c r="T304" i="5"/>
  <c r="S304" i="5"/>
  <c r="R304" i="5"/>
  <c r="Q304" i="5"/>
  <c r="X303" i="5"/>
  <c r="W303" i="5"/>
  <c r="V303" i="5"/>
  <c r="U303" i="5"/>
  <c r="T303" i="5"/>
  <c r="S303" i="5"/>
  <c r="R303" i="5"/>
  <c r="Q303" i="5"/>
  <c r="X302" i="5"/>
  <c r="W302" i="5"/>
  <c r="V302" i="5"/>
  <c r="U302" i="5"/>
  <c r="T302" i="5"/>
  <c r="S302" i="5"/>
  <c r="R302" i="5"/>
  <c r="Q302" i="5"/>
  <c r="X301" i="5"/>
  <c r="W301" i="5"/>
  <c r="V301" i="5"/>
  <c r="U301" i="5"/>
  <c r="T301" i="5"/>
  <c r="S301" i="5"/>
  <c r="R301" i="5"/>
  <c r="Q301" i="5"/>
  <c r="X300" i="5"/>
  <c r="W300" i="5"/>
  <c r="V300" i="5"/>
  <c r="U300" i="5"/>
  <c r="T300" i="5"/>
  <c r="S300" i="5"/>
  <c r="R300" i="5"/>
  <c r="Q300" i="5"/>
  <c r="X299" i="5"/>
  <c r="W299" i="5"/>
  <c r="V299" i="5"/>
  <c r="U299" i="5"/>
  <c r="T299" i="5"/>
  <c r="S299" i="5"/>
  <c r="R299" i="5"/>
  <c r="Q299" i="5"/>
  <c r="X298" i="5"/>
  <c r="W298" i="5"/>
  <c r="V298" i="5"/>
  <c r="U298" i="5"/>
  <c r="T298" i="5"/>
  <c r="S298" i="5"/>
  <c r="R298" i="5"/>
  <c r="Q298" i="5"/>
  <c r="X297" i="5"/>
  <c r="W297" i="5"/>
  <c r="V297" i="5"/>
  <c r="U297" i="5"/>
  <c r="T297" i="5"/>
  <c r="S297" i="5"/>
  <c r="R297" i="5"/>
  <c r="Q297" i="5"/>
  <c r="X296" i="5"/>
  <c r="W296" i="5"/>
  <c r="V296" i="5"/>
  <c r="U296" i="5"/>
  <c r="T296" i="5"/>
  <c r="S296" i="5"/>
  <c r="R296" i="5"/>
  <c r="Q296" i="5"/>
  <c r="X295" i="5"/>
  <c r="W295" i="5"/>
  <c r="V295" i="5"/>
  <c r="U295" i="5"/>
  <c r="T295" i="5"/>
  <c r="S295" i="5"/>
  <c r="R295" i="5"/>
  <c r="Q295" i="5"/>
  <c r="X294" i="5"/>
  <c r="W294" i="5"/>
  <c r="V294" i="5"/>
  <c r="U294" i="5"/>
  <c r="T294" i="5"/>
  <c r="S294" i="5"/>
  <c r="R294" i="5"/>
  <c r="Q294" i="5"/>
  <c r="X293" i="5"/>
  <c r="W293" i="5"/>
  <c r="V293" i="5"/>
  <c r="U293" i="5"/>
  <c r="T293" i="5"/>
  <c r="S293" i="5"/>
  <c r="R293" i="5"/>
  <c r="Q293" i="5"/>
  <c r="X292" i="5"/>
  <c r="W292" i="5"/>
  <c r="V292" i="5"/>
  <c r="U292" i="5"/>
  <c r="T292" i="5"/>
  <c r="S292" i="5"/>
  <c r="R292" i="5"/>
  <c r="Q292" i="5"/>
  <c r="X291" i="5"/>
  <c r="W291" i="5"/>
  <c r="V291" i="5"/>
  <c r="U291" i="5"/>
  <c r="T291" i="5"/>
  <c r="S291" i="5"/>
  <c r="R291" i="5"/>
  <c r="Q291" i="5"/>
  <c r="X290" i="5"/>
  <c r="W290" i="5"/>
  <c r="V290" i="5"/>
  <c r="U290" i="5"/>
  <c r="T290" i="5"/>
  <c r="S290" i="5"/>
  <c r="R290" i="5"/>
  <c r="Q290" i="5"/>
  <c r="X289" i="5"/>
  <c r="W289" i="5"/>
  <c r="V289" i="5"/>
  <c r="U289" i="5"/>
  <c r="T289" i="5"/>
  <c r="S289" i="5"/>
  <c r="R289" i="5"/>
  <c r="Q289" i="5"/>
  <c r="X288" i="5"/>
  <c r="W288" i="5"/>
  <c r="V288" i="5"/>
  <c r="U288" i="5"/>
  <c r="T288" i="5"/>
  <c r="S288" i="5"/>
  <c r="R288" i="5"/>
  <c r="Q288" i="5"/>
  <c r="X287" i="5"/>
  <c r="W287" i="5"/>
  <c r="V287" i="5"/>
  <c r="U287" i="5"/>
  <c r="T287" i="5"/>
  <c r="S287" i="5"/>
  <c r="R287" i="5"/>
  <c r="Q287" i="5"/>
  <c r="X286" i="5"/>
  <c r="W286" i="5"/>
  <c r="V286" i="5"/>
  <c r="U286" i="5"/>
  <c r="T286" i="5"/>
  <c r="S286" i="5"/>
  <c r="R286" i="5"/>
  <c r="Q286" i="5"/>
  <c r="X285" i="5"/>
  <c r="W285" i="5"/>
  <c r="V285" i="5"/>
  <c r="U285" i="5"/>
  <c r="T285" i="5"/>
  <c r="S285" i="5"/>
  <c r="R285" i="5"/>
  <c r="Q285" i="5"/>
  <c r="X284" i="5"/>
  <c r="W284" i="5"/>
  <c r="V284" i="5"/>
  <c r="U284" i="5"/>
  <c r="T284" i="5"/>
  <c r="S284" i="5"/>
  <c r="R284" i="5"/>
  <c r="Q284" i="5"/>
  <c r="X283" i="5"/>
  <c r="W283" i="5"/>
  <c r="V283" i="5"/>
  <c r="U283" i="5"/>
  <c r="T283" i="5"/>
  <c r="S283" i="5"/>
  <c r="R283" i="5"/>
  <c r="Q283" i="5"/>
  <c r="X282" i="5"/>
  <c r="W282" i="5"/>
  <c r="V282" i="5"/>
  <c r="U282" i="5"/>
  <c r="T282" i="5"/>
  <c r="S282" i="5"/>
  <c r="R282" i="5"/>
  <c r="Q282" i="5"/>
  <c r="X281" i="5"/>
  <c r="W281" i="5"/>
  <c r="V281" i="5"/>
  <c r="U281" i="5"/>
  <c r="T281" i="5"/>
  <c r="S281" i="5"/>
  <c r="R281" i="5"/>
  <c r="Q281" i="5"/>
  <c r="X280" i="5"/>
  <c r="W280" i="5"/>
  <c r="V280" i="5"/>
  <c r="U280" i="5"/>
  <c r="T280" i="5"/>
  <c r="S280" i="5"/>
  <c r="R280" i="5"/>
  <c r="Q280" i="5"/>
  <c r="X279" i="5"/>
  <c r="W279" i="5"/>
  <c r="V279" i="5"/>
  <c r="U279" i="5"/>
  <c r="T279" i="5"/>
  <c r="S279" i="5"/>
  <c r="R279" i="5"/>
  <c r="Q279" i="5"/>
  <c r="X278" i="5"/>
  <c r="W278" i="5"/>
  <c r="V278" i="5"/>
  <c r="U278" i="5"/>
  <c r="T278" i="5"/>
  <c r="S278" i="5"/>
  <c r="R278" i="5"/>
  <c r="Q278" i="5"/>
  <c r="X277" i="5"/>
  <c r="W277" i="5"/>
  <c r="V277" i="5"/>
  <c r="U277" i="5"/>
  <c r="T277" i="5"/>
  <c r="S277" i="5"/>
  <c r="R277" i="5"/>
  <c r="Q277" i="5"/>
  <c r="X276" i="5"/>
  <c r="W276" i="5"/>
  <c r="V276" i="5"/>
  <c r="U276" i="5"/>
  <c r="T276" i="5"/>
  <c r="S276" i="5"/>
  <c r="R276" i="5"/>
  <c r="Q276" i="5"/>
  <c r="X275" i="5"/>
  <c r="W275" i="5"/>
  <c r="V275" i="5"/>
  <c r="U275" i="5"/>
  <c r="T275" i="5"/>
  <c r="S275" i="5"/>
  <c r="R275" i="5"/>
  <c r="Q275" i="5"/>
  <c r="X274" i="5"/>
  <c r="W274" i="5"/>
  <c r="V274" i="5"/>
  <c r="U274" i="5"/>
  <c r="T274" i="5"/>
  <c r="S274" i="5"/>
  <c r="R274" i="5"/>
  <c r="Q274" i="5"/>
  <c r="X273" i="5"/>
  <c r="W273" i="5"/>
  <c r="V273" i="5"/>
  <c r="U273" i="5"/>
  <c r="T273" i="5"/>
  <c r="S273" i="5"/>
  <c r="R273" i="5"/>
  <c r="Q273" i="5"/>
  <c r="X272" i="5"/>
  <c r="W272" i="5"/>
  <c r="V272" i="5"/>
  <c r="U272" i="5"/>
  <c r="T272" i="5"/>
  <c r="S272" i="5"/>
  <c r="R272" i="5"/>
  <c r="Q272" i="5"/>
  <c r="X271" i="5"/>
  <c r="W271" i="5"/>
  <c r="V271" i="5"/>
  <c r="U271" i="5"/>
  <c r="T271" i="5"/>
  <c r="S271" i="5"/>
  <c r="R271" i="5"/>
  <c r="Q271" i="5"/>
  <c r="X270" i="5"/>
  <c r="W270" i="5"/>
  <c r="V270" i="5"/>
  <c r="U270" i="5"/>
  <c r="T270" i="5"/>
  <c r="S270" i="5"/>
  <c r="R270" i="5"/>
  <c r="Q270" i="5"/>
  <c r="X269" i="5"/>
  <c r="W269" i="5"/>
  <c r="V269" i="5"/>
  <c r="U269" i="5"/>
  <c r="T269" i="5"/>
  <c r="S269" i="5"/>
  <c r="R269" i="5"/>
  <c r="Q269" i="5"/>
  <c r="X268" i="5"/>
  <c r="W268" i="5"/>
  <c r="V268" i="5"/>
  <c r="U268" i="5"/>
  <c r="T268" i="5"/>
  <c r="S268" i="5"/>
  <c r="R268" i="5"/>
  <c r="Q268" i="5"/>
  <c r="X267" i="5"/>
  <c r="W267" i="5"/>
  <c r="V267" i="5"/>
  <c r="U267" i="5"/>
  <c r="T267" i="5"/>
  <c r="S267" i="5"/>
  <c r="R267" i="5"/>
  <c r="Q267" i="5"/>
  <c r="X266" i="5"/>
  <c r="W266" i="5"/>
  <c r="V266" i="5"/>
  <c r="U266" i="5"/>
  <c r="T266" i="5"/>
  <c r="S266" i="5"/>
  <c r="R266" i="5"/>
  <c r="Q266" i="5"/>
  <c r="X265" i="5"/>
  <c r="W265" i="5"/>
  <c r="V265" i="5"/>
  <c r="U265" i="5"/>
  <c r="T265" i="5"/>
  <c r="S265" i="5"/>
  <c r="R265" i="5"/>
  <c r="Q265" i="5"/>
  <c r="X264" i="5"/>
  <c r="W264" i="5"/>
  <c r="V264" i="5"/>
  <c r="U264" i="5"/>
  <c r="T264" i="5"/>
  <c r="S264" i="5"/>
  <c r="R264" i="5"/>
  <c r="Q264" i="5"/>
  <c r="X263" i="5"/>
  <c r="W263" i="5"/>
  <c r="V263" i="5"/>
  <c r="U263" i="5"/>
  <c r="T263" i="5"/>
  <c r="S263" i="5"/>
  <c r="R263" i="5"/>
  <c r="Q263" i="5"/>
  <c r="X262" i="5"/>
  <c r="W262" i="5"/>
  <c r="V262" i="5"/>
  <c r="U262" i="5"/>
  <c r="T262" i="5"/>
  <c r="S262" i="5"/>
  <c r="R262" i="5"/>
  <c r="Q262" i="5"/>
  <c r="X261" i="5"/>
  <c r="W261" i="5"/>
  <c r="V261" i="5"/>
  <c r="U261" i="5"/>
  <c r="T261" i="5"/>
  <c r="S261" i="5"/>
  <c r="R261" i="5"/>
  <c r="Q261" i="5"/>
  <c r="X260" i="5"/>
  <c r="W260" i="5"/>
  <c r="V260" i="5"/>
  <c r="U260" i="5"/>
  <c r="T260" i="5"/>
  <c r="S260" i="5"/>
  <c r="R260" i="5"/>
  <c r="Q260" i="5"/>
  <c r="X259" i="5"/>
  <c r="W259" i="5"/>
  <c r="V259" i="5"/>
  <c r="U259" i="5"/>
  <c r="T259" i="5"/>
  <c r="S259" i="5"/>
  <c r="R259" i="5"/>
  <c r="Q259" i="5"/>
  <c r="X258" i="5"/>
  <c r="W258" i="5"/>
  <c r="V258" i="5"/>
  <c r="U258" i="5"/>
  <c r="T258" i="5"/>
  <c r="S258" i="5"/>
  <c r="R258" i="5"/>
  <c r="Q258" i="5"/>
  <c r="X257" i="5"/>
  <c r="W257" i="5"/>
  <c r="V257" i="5"/>
  <c r="U257" i="5"/>
  <c r="T257" i="5"/>
  <c r="S257" i="5"/>
  <c r="R257" i="5"/>
  <c r="Q257" i="5"/>
  <c r="X256" i="5"/>
  <c r="W256" i="5"/>
  <c r="V256" i="5"/>
  <c r="U256" i="5"/>
  <c r="T256" i="5"/>
  <c r="S256" i="5"/>
  <c r="R256" i="5"/>
  <c r="Q256" i="5"/>
  <c r="X255" i="5"/>
  <c r="W255" i="5"/>
  <c r="V255" i="5"/>
  <c r="U255" i="5"/>
  <c r="T255" i="5"/>
  <c r="S255" i="5"/>
  <c r="R255" i="5"/>
  <c r="Q255" i="5"/>
  <c r="X254" i="5"/>
  <c r="W254" i="5"/>
  <c r="V254" i="5"/>
  <c r="U254" i="5"/>
  <c r="T254" i="5"/>
  <c r="S254" i="5"/>
  <c r="R254" i="5"/>
  <c r="Q254" i="5"/>
  <c r="X253" i="5"/>
  <c r="W253" i="5"/>
  <c r="V253" i="5"/>
  <c r="U253" i="5"/>
  <c r="T253" i="5"/>
  <c r="S253" i="5"/>
  <c r="R253" i="5"/>
  <c r="Q253" i="5"/>
  <c r="X252" i="5"/>
  <c r="W252" i="5"/>
  <c r="V252" i="5"/>
  <c r="U252" i="5"/>
  <c r="T252" i="5"/>
  <c r="S252" i="5"/>
  <c r="R252" i="5"/>
  <c r="Q252" i="5"/>
  <c r="X251" i="5"/>
  <c r="W251" i="5"/>
  <c r="V251" i="5"/>
  <c r="U251" i="5"/>
  <c r="T251" i="5"/>
  <c r="S251" i="5"/>
  <c r="R251" i="5"/>
  <c r="Q251" i="5"/>
  <c r="X250" i="5"/>
  <c r="W250" i="5"/>
  <c r="V250" i="5"/>
  <c r="U250" i="5"/>
  <c r="T250" i="5"/>
  <c r="S250" i="5"/>
  <c r="R250" i="5"/>
  <c r="Q250" i="5"/>
  <c r="X249" i="5"/>
  <c r="W249" i="5"/>
  <c r="V249" i="5"/>
  <c r="U249" i="5"/>
  <c r="T249" i="5"/>
  <c r="S249" i="5"/>
  <c r="R249" i="5"/>
  <c r="Q249" i="5"/>
  <c r="X248" i="5"/>
  <c r="W248" i="5"/>
  <c r="V248" i="5"/>
  <c r="U248" i="5"/>
  <c r="T248" i="5"/>
  <c r="S248" i="5"/>
  <c r="R248" i="5"/>
  <c r="Q248" i="5"/>
  <c r="X247" i="5"/>
  <c r="W247" i="5"/>
  <c r="V247" i="5"/>
  <c r="U247" i="5"/>
  <c r="T247" i="5"/>
  <c r="S247" i="5"/>
  <c r="R247" i="5"/>
  <c r="Q247" i="5"/>
  <c r="X246" i="5"/>
  <c r="W246" i="5"/>
  <c r="V246" i="5"/>
  <c r="U246" i="5"/>
  <c r="T246" i="5"/>
  <c r="S246" i="5"/>
  <c r="R246" i="5"/>
  <c r="Q246" i="5"/>
  <c r="X245" i="5"/>
  <c r="W245" i="5"/>
  <c r="V245" i="5"/>
  <c r="U245" i="5"/>
  <c r="T245" i="5"/>
  <c r="S245" i="5"/>
  <c r="R245" i="5"/>
  <c r="Q245" i="5"/>
  <c r="X244" i="5"/>
  <c r="W244" i="5"/>
  <c r="V244" i="5"/>
  <c r="U244" i="5"/>
  <c r="T244" i="5"/>
  <c r="S244" i="5"/>
  <c r="R244" i="5"/>
  <c r="Q244" i="5"/>
  <c r="X243" i="5"/>
  <c r="W243" i="5"/>
  <c r="V243" i="5"/>
  <c r="U243" i="5"/>
  <c r="T243" i="5"/>
  <c r="S243" i="5"/>
  <c r="R243" i="5"/>
  <c r="Q243" i="5"/>
  <c r="X242" i="5"/>
  <c r="W242" i="5"/>
  <c r="V242" i="5"/>
  <c r="U242" i="5"/>
  <c r="T242" i="5"/>
  <c r="S242" i="5"/>
  <c r="R242" i="5"/>
  <c r="Q242" i="5"/>
  <c r="X241" i="5"/>
  <c r="W241" i="5"/>
  <c r="V241" i="5"/>
  <c r="U241" i="5"/>
  <c r="T241" i="5"/>
  <c r="S241" i="5"/>
  <c r="R241" i="5"/>
  <c r="Q241" i="5"/>
  <c r="X240" i="5"/>
  <c r="W240" i="5"/>
  <c r="V240" i="5"/>
  <c r="U240" i="5"/>
  <c r="T240" i="5"/>
  <c r="S240" i="5"/>
  <c r="R240" i="5"/>
  <c r="Q240" i="5"/>
  <c r="X239" i="5"/>
  <c r="W239" i="5"/>
  <c r="V239" i="5"/>
  <c r="U239" i="5"/>
  <c r="T239" i="5"/>
  <c r="S239" i="5"/>
  <c r="R239" i="5"/>
  <c r="Q239" i="5"/>
  <c r="X238" i="5"/>
  <c r="W238" i="5"/>
  <c r="V238" i="5"/>
  <c r="U238" i="5"/>
  <c r="T238" i="5"/>
  <c r="S238" i="5"/>
  <c r="R238" i="5"/>
  <c r="Q238" i="5"/>
  <c r="X237" i="5"/>
  <c r="W237" i="5"/>
  <c r="V237" i="5"/>
  <c r="U237" i="5"/>
  <c r="T237" i="5"/>
  <c r="S237" i="5"/>
  <c r="R237" i="5"/>
  <c r="Q237" i="5"/>
  <c r="X236" i="5"/>
  <c r="W236" i="5"/>
  <c r="V236" i="5"/>
  <c r="U236" i="5"/>
  <c r="T236" i="5"/>
  <c r="S236" i="5"/>
  <c r="R236" i="5"/>
  <c r="Q236" i="5"/>
  <c r="X235" i="5"/>
  <c r="W235" i="5"/>
  <c r="V235" i="5"/>
  <c r="U235" i="5"/>
  <c r="T235" i="5"/>
  <c r="S235" i="5"/>
  <c r="R235" i="5"/>
  <c r="Q235" i="5"/>
  <c r="X234" i="5"/>
  <c r="W234" i="5"/>
  <c r="V234" i="5"/>
  <c r="U234" i="5"/>
  <c r="T234" i="5"/>
  <c r="S234" i="5"/>
  <c r="R234" i="5"/>
  <c r="Q234" i="5"/>
  <c r="X233" i="5"/>
  <c r="W233" i="5"/>
  <c r="V233" i="5"/>
  <c r="U233" i="5"/>
  <c r="T233" i="5"/>
  <c r="S233" i="5"/>
  <c r="R233" i="5"/>
  <c r="Q233" i="5"/>
  <c r="X232" i="5"/>
  <c r="W232" i="5"/>
  <c r="V232" i="5"/>
  <c r="U232" i="5"/>
  <c r="T232" i="5"/>
  <c r="S232" i="5"/>
  <c r="R232" i="5"/>
  <c r="Q232" i="5"/>
  <c r="X231" i="5"/>
  <c r="W231" i="5"/>
  <c r="V231" i="5"/>
  <c r="U231" i="5"/>
  <c r="T231" i="5"/>
  <c r="S231" i="5"/>
  <c r="R231" i="5"/>
  <c r="Q231" i="5"/>
  <c r="X230" i="5"/>
  <c r="W230" i="5"/>
  <c r="V230" i="5"/>
  <c r="U230" i="5"/>
  <c r="T230" i="5"/>
  <c r="S230" i="5"/>
  <c r="R230" i="5"/>
  <c r="Q230" i="5"/>
  <c r="X229" i="5"/>
  <c r="W229" i="5"/>
  <c r="V229" i="5"/>
  <c r="U229" i="5"/>
  <c r="T229" i="5"/>
  <c r="S229" i="5"/>
  <c r="R229" i="5"/>
  <c r="Q229" i="5"/>
  <c r="X228" i="5"/>
  <c r="W228" i="5"/>
  <c r="V228" i="5"/>
  <c r="U228" i="5"/>
  <c r="T228" i="5"/>
  <c r="S228" i="5"/>
  <c r="R228" i="5"/>
  <c r="Q228" i="5"/>
  <c r="X227" i="5"/>
  <c r="W227" i="5"/>
  <c r="V227" i="5"/>
  <c r="U227" i="5"/>
  <c r="T227" i="5"/>
  <c r="S227" i="5"/>
  <c r="R227" i="5"/>
  <c r="Q227" i="5"/>
  <c r="X226" i="5"/>
  <c r="W226" i="5"/>
  <c r="V226" i="5"/>
  <c r="U226" i="5"/>
  <c r="T226" i="5"/>
  <c r="S226" i="5"/>
  <c r="R226" i="5"/>
  <c r="Q226" i="5"/>
  <c r="X225" i="5"/>
  <c r="W225" i="5"/>
  <c r="V225" i="5"/>
  <c r="U225" i="5"/>
  <c r="T225" i="5"/>
  <c r="S225" i="5"/>
  <c r="R225" i="5"/>
  <c r="Q225" i="5"/>
  <c r="X224" i="5"/>
  <c r="W224" i="5"/>
  <c r="V224" i="5"/>
  <c r="U224" i="5"/>
  <c r="T224" i="5"/>
  <c r="S224" i="5"/>
  <c r="R224" i="5"/>
  <c r="Q224" i="5"/>
  <c r="X223" i="5"/>
  <c r="W223" i="5"/>
  <c r="V223" i="5"/>
  <c r="U223" i="5"/>
  <c r="T223" i="5"/>
  <c r="S223" i="5"/>
  <c r="R223" i="5"/>
  <c r="Q223" i="5"/>
  <c r="X222" i="5"/>
  <c r="W222" i="5"/>
  <c r="V222" i="5"/>
  <c r="U222" i="5"/>
  <c r="T222" i="5"/>
  <c r="S222" i="5"/>
  <c r="R222" i="5"/>
  <c r="Q222" i="5"/>
  <c r="X221" i="5"/>
  <c r="W221" i="5"/>
  <c r="V221" i="5"/>
  <c r="U221" i="5"/>
  <c r="T221" i="5"/>
  <c r="S221" i="5"/>
  <c r="R221" i="5"/>
  <c r="Q221" i="5"/>
  <c r="X220" i="5"/>
  <c r="W220" i="5"/>
  <c r="V220" i="5"/>
  <c r="U220" i="5"/>
  <c r="T220" i="5"/>
  <c r="S220" i="5"/>
  <c r="R220" i="5"/>
  <c r="Q220" i="5"/>
  <c r="X219" i="5"/>
  <c r="W219" i="5"/>
  <c r="V219" i="5"/>
  <c r="U219" i="5"/>
  <c r="T219" i="5"/>
  <c r="S219" i="5"/>
  <c r="R219" i="5"/>
  <c r="Q219" i="5"/>
  <c r="X218" i="5"/>
  <c r="W218" i="5"/>
  <c r="V218" i="5"/>
  <c r="U218" i="5"/>
  <c r="T218" i="5"/>
  <c r="S218" i="5"/>
  <c r="R218" i="5"/>
  <c r="Q218" i="5"/>
  <c r="X217" i="5"/>
  <c r="W217" i="5"/>
  <c r="V217" i="5"/>
  <c r="U217" i="5"/>
  <c r="T217" i="5"/>
  <c r="S217" i="5"/>
  <c r="R217" i="5"/>
  <c r="Q217" i="5"/>
  <c r="X216" i="5"/>
  <c r="W216" i="5"/>
  <c r="V216" i="5"/>
  <c r="U216" i="5"/>
  <c r="T216" i="5"/>
  <c r="S216" i="5"/>
  <c r="R216" i="5"/>
  <c r="Q216" i="5"/>
  <c r="X215" i="5"/>
  <c r="W215" i="5"/>
  <c r="V215" i="5"/>
  <c r="U215" i="5"/>
  <c r="T215" i="5"/>
  <c r="S215" i="5"/>
  <c r="R215" i="5"/>
  <c r="Q215" i="5"/>
  <c r="X214" i="5"/>
  <c r="W214" i="5"/>
  <c r="V214" i="5"/>
  <c r="U214" i="5"/>
  <c r="T214" i="5"/>
  <c r="S214" i="5"/>
  <c r="R214" i="5"/>
  <c r="Q214" i="5"/>
  <c r="X213" i="5"/>
  <c r="W213" i="5"/>
  <c r="V213" i="5"/>
  <c r="U213" i="5"/>
  <c r="T213" i="5"/>
  <c r="S213" i="5"/>
  <c r="R213" i="5"/>
  <c r="Q213" i="5"/>
  <c r="X212" i="5"/>
  <c r="W212" i="5"/>
  <c r="V212" i="5"/>
  <c r="U212" i="5"/>
  <c r="T212" i="5"/>
  <c r="S212" i="5"/>
  <c r="R212" i="5"/>
  <c r="Q212" i="5"/>
  <c r="X211" i="5"/>
  <c r="W211" i="5"/>
  <c r="V211" i="5"/>
  <c r="U211" i="5"/>
  <c r="T211" i="5"/>
  <c r="S211" i="5"/>
  <c r="R211" i="5"/>
  <c r="Q211" i="5"/>
  <c r="X210" i="5"/>
  <c r="W210" i="5"/>
  <c r="V210" i="5"/>
  <c r="U210" i="5"/>
  <c r="T210" i="5"/>
  <c r="S210" i="5"/>
  <c r="R210" i="5"/>
  <c r="Q210" i="5"/>
  <c r="X209" i="5"/>
  <c r="W209" i="5"/>
  <c r="V209" i="5"/>
  <c r="U209" i="5"/>
  <c r="T209" i="5"/>
  <c r="S209" i="5"/>
  <c r="R209" i="5"/>
  <c r="Q209" i="5"/>
  <c r="X208" i="5"/>
  <c r="W208" i="5"/>
  <c r="V208" i="5"/>
  <c r="U208" i="5"/>
  <c r="T208" i="5"/>
  <c r="S208" i="5"/>
  <c r="R208" i="5"/>
  <c r="Q208" i="5"/>
  <c r="X207" i="5"/>
  <c r="W207" i="5"/>
  <c r="V207" i="5"/>
  <c r="U207" i="5"/>
  <c r="T207" i="5"/>
  <c r="S207" i="5"/>
  <c r="R207" i="5"/>
  <c r="Q207" i="5"/>
  <c r="X206" i="5"/>
  <c r="W206" i="5"/>
  <c r="V206" i="5"/>
  <c r="U206" i="5"/>
  <c r="T206" i="5"/>
  <c r="S206" i="5"/>
  <c r="R206" i="5"/>
  <c r="Q206" i="5"/>
  <c r="X205" i="5"/>
  <c r="W205" i="5"/>
  <c r="V205" i="5"/>
  <c r="U205" i="5"/>
  <c r="T205" i="5"/>
  <c r="S205" i="5"/>
  <c r="R205" i="5"/>
  <c r="Q205" i="5"/>
  <c r="X204" i="5"/>
  <c r="W204" i="5"/>
  <c r="V204" i="5"/>
  <c r="U204" i="5"/>
  <c r="T204" i="5"/>
  <c r="S204" i="5"/>
  <c r="R204" i="5"/>
  <c r="Q204" i="5"/>
  <c r="X203" i="5"/>
  <c r="W203" i="5"/>
  <c r="V203" i="5"/>
  <c r="U203" i="5"/>
  <c r="T203" i="5"/>
  <c r="S203" i="5"/>
  <c r="R203" i="5"/>
  <c r="Q203" i="5"/>
  <c r="X202" i="5"/>
  <c r="W202" i="5"/>
  <c r="V202" i="5"/>
  <c r="U202" i="5"/>
  <c r="T202" i="5"/>
  <c r="S202" i="5"/>
  <c r="R202" i="5"/>
  <c r="Q202" i="5"/>
  <c r="X201" i="5"/>
  <c r="W201" i="5"/>
  <c r="V201" i="5"/>
  <c r="U201" i="5"/>
  <c r="T201" i="5"/>
  <c r="S201" i="5"/>
  <c r="R201" i="5"/>
  <c r="Q201" i="5"/>
  <c r="X200" i="5"/>
  <c r="W200" i="5"/>
  <c r="V200" i="5"/>
  <c r="U200" i="5"/>
  <c r="T200" i="5"/>
  <c r="S200" i="5"/>
  <c r="R200" i="5"/>
  <c r="Q200" i="5"/>
  <c r="X199" i="5"/>
  <c r="W199" i="5"/>
  <c r="V199" i="5"/>
  <c r="U199" i="5"/>
  <c r="T199" i="5"/>
  <c r="S199" i="5"/>
  <c r="R199" i="5"/>
  <c r="Q199" i="5"/>
  <c r="X198" i="5"/>
  <c r="W198" i="5"/>
  <c r="V198" i="5"/>
  <c r="U198" i="5"/>
  <c r="T198" i="5"/>
  <c r="S198" i="5"/>
  <c r="R198" i="5"/>
  <c r="Q198" i="5"/>
  <c r="X197" i="5"/>
  <c r="W197" i="5"/>
  <c r="V197" i="5"/>
  <c r="U197" i="5"/>
  <c r="T197" i="5"/>
  <c r="S197" i="5"/>
  <c r="R197" i="5"/>
  <c r="Q197" i="5"/>
  <c r="X196" i="5"/>
  <c r="W196" i="5"/>
  <c r="V196" i="5"/>
  <c r="U196" i="5"/>
  <c r="T196" i="5"/>
  <c r="S196" i="5"/>
  <c r="R196" i="5"/>
  <c r="Q196" i="5"/>
  <c r="X195" i="5"/>
  <c r="W195" i="5"/>
  <c r="V195" i="5"/>
  <c r="U195" i="5"/>
  <c r="T195" i="5"/>
  <c r="S195" i="5"/>
  <c r="R195" i="5"/>
  <c r="Q195" i="5"/>
  <c r="X194" i="5"/>
  <c r="W194" i="5"/>
  <c r="V194" i="5"/>
  <c r="U194" i="5"/>
  <c r="T194" i="5"/>
  <c r="S194" i="5"/>
  <c r="R194" i="5"/>
  <c r="Q194" i="5"/>
  <c r="X193" i="5"/>
  <c r="W193" i="5"/>
  <c r="V193" i="5"/>
  <c r="U193" i="5"/>
  <c r="T193" i="5"/>
  <c r="S193" i="5"/>
  <c r="R193" i="5"/>
  <c r="Q193" i="5"/>
  <c r="X192" i="5"/>
  <c r="W192" i="5"/>
  <c r="V192" i="5"/>
  <c r="U192" i="5"/>
  <c r="T192" i="5"/>
  <c r="S192" i="5"/>
  <c r="R192" i="5"/>
  <c r="Q192" i="5"/>
  <c r="X191" i="5"/>
  <c r="W191" i="5"/>
  <c r="V191" i="5"/>
  <c r="U191" i="5"/>
  <c r="T191" i="5"/>
  <c r="S191" i="5"/>
  <c r="R191" i="5"/>
  <c r="Q191" i="5"/>
  <c r="X190" i="5"/>
  <c r="W190" i="5"/>
  <c r="V190" i="5"/>
  <c r="U190" i="5"/>
  <c r="T190" i="5"/>
  <c r="S190" i="5"/>
  <c r="R190" i="5"/>
  <c r="Q190" i="5"/>
  <c r="X189" i="5"/>
  <c r="W189" i="5"/>
  <c r="V189" i="5"/>
  <c r="U189" i="5"/>
  <c r="T189" i="5"/>
  <c r="S189" i="5"/>
  <c r="R189" i="5"/>
  <c r="Q189" i="5"/>
  <c r="X188" i="5"/>
  <c r="W188" i="5"/>
  <c r="V188" i="5"/>
  <c r="U188" i="5"/>
  <c r="T188" i="5"/>
  <c r="S188" i="5"/>
  <c r="R188" i="5"/>
  <c r="Q188" i="5"/>
  <c r="X187" i="5"/>
  <c r="W187" i="5"/>
  <c r="V187" i="5"/>
  <c r="U187" i="5"/>
  <c r="T187" i="5"/>
  <c r="S187" i="5"/>
  <c r="R187" i="5"/>
  <c r="Q187" i="5"/>
  <c r="X186" i="5"/>
  <c r="W186" i="5"/>
  <c r="V186" i="5"/>
  <c r="U186" i="5"/>
  <c r="T186" i="5"/>
  <c r="S186" i="5"/>
  <c r="R186" i="5"/>
  <c r="Q186" i="5"/>
  <c r="X185" i="5"/>
  <c r="W185" i="5"/>
  <c r="V185" i="5"/>
  <c r="U185" i="5"/>
  <c r="T185" i="5"/>
  <c r="S185" i="5"/>
  <c r="R185" i="5"/>
  <c r="Q185" i="5"/>
  <c r="X184" i="5"/>
  <c r="W184" i="5"/>
  <c r="V184" i="5"/>
  <c r="U184" i="5"/>
  <c r="T184" i="5"/>
  <c r="S184" i="5"/>
  <c r="R184" i="5"/>
  <c r="Q184" i="5"/>
  <c r="X183" i="5"/>
  <c r="W183" i="5"/>
  <c r="V183" i="5"/>
  <c r="U183" i="5"/>
  <c r="T183" i="5"/>
  <c r="S183" i="5"/>
  <c r="R183" i="5"/>
  <c r="Q183" i="5"/>
  <c r="X182" i="5"/>
  <c r="W182" i="5"/>
  <c r="V182" i="5"/>
  <c r="U182" i="5"/>
  <c r="T182" i="5"/>
  <c r="S182" i="5"/>
  <c r="R182" i="5"/>
  <c r="Q182" i="5"/>
  <c r="X181" i="5"/>
  <c r="W181" i="5"/>
  <c r="V181" i="5"/>
  <c r="U181" i="5"/>
  <c r="T181" i="5"/>
  <c r="S181" i="5"/>
  <c r="R181" i="5"/>
  <c r="Q181" i="5"/>
  <c r="X180" i="5"/>
  <c r="W180" i="5"/>
  <c r="V180" i="5"/>
  <c r="U180" i="5"/>
  <c r="T180" i="5"/>
  <c r="S180" i="5"/>
  <c r="R180" i="5"/>
  <c r="Q180" i="5"/>
  <c r="X179" i="5"/>
  <c r="W179" i="5"/>
  <c r="V179" i="5"/>
  <c r="U179" i="5"/>
  <c r="T179" i="5"/>
  <c r="S179" i="5"/>
  <c r="R179" i="5"/>
  <c r="Q179" i="5"/>
  <c r="X178" i="5"/>
  <c r="W178" i="5"/>
  <c r="V178" i="5"/>
  <c r="U178" i="5"/>
  <c r="T178" i="5"/>
  <c r="S178" i="5"/>
  <c r="R178" i="5"/>
  <c r="Q178" i="5"/>
  <c r="X177" i="5"/>
  <c r="W177" i="5"/>
  <c r="V177" i="5"/>
  <c r="U177" i="5"/>
  <c r="T177" i="5"/>
  <c r="S177" i="5"/>
  <c r="R177" i="5"/>
  <c r="Q177" i="5"/>
  <c r="X176" i="5"/>
  <c r="W176" i="5"/>
  <c r="V176" i="5"/>
  <c r="U176" i="5"/>
  <c r="T176" i="5"/>
  <c r="S176" i="5"/>
  <c r="R176" i="5"/>
  <c r="Q176" i="5"/>
  <c r="X175" i="5"/>
  <c r="W175" i="5"/>
  <c r="V175" i="5"/>
  <c r="U175" i="5"/>
  <c r="T175" i="5"/>
  <c r="S175" i="5"/>
  <c r="R175" i="5"/>
  <c r="Q175" i="5"/>
  <c r="X174" i="5"/>
  <c r="W174" i="5"/>
  <c r="V174" i="5"/>
  <c r="U174" i="5"/>
  <c r="T174" i="5"/>
  <c r="S174" i="5"/>
  <c r="R174" i="5"/>
  <c r="Q174" i="5"/>
  <c r="X173" i="5"/>
  <c r="W173" i="5"/>
  <c r="V173" i="5"/>
  <c r="U173" i="5"/>
  <c r="T173" i="5"/>
  <c r="S173" i="5"/>
  <c r="R173" i="5"/>
  <c r="Q173" i="5"/>
  <c r="X172" i="5"/>
  <c r="W172" i="5"/>
  <c r="V172" i="5"/>
  <c r="U172" i="5"/>
  <c r="T172" i="5"/>
  <c r="S172" i="5"/>
  <c r="R172" i="5"/>
  <c r="Q172" i="5"/>
  <c r="X171" i="5"/>
  <c r="W171" i="5"/>
  <c r="V171" i="5"/>
  <c r="U171" i="5"/>
  <c r="T171" i="5"/>
  <c r="S171" i="5"/>
  <c r="R171" i="5"/>
  <c r="Q171" i="5"/>
  <c r="X170" i="5"/>
  <c r="W170" i="5"/>
  <c r="V170" i="5"/>
  <c r="U170" i="5"/>
  <c r="T170" i="5"/>
  <c r="S170" i="5"/>
  <c r="R170" i="5"/>
  <c r="Q170" i="5"/>
  <c r="X169" i="5"/>
  <c r="W169" i="5"/>
  <c r="V169" i="5"/>
  <c r="U169" i="5"/>
  <c r="T169" i="5"/>
  <c r="S169" i="5"/>
  <c r="R169" i="5"/>
  <c r="Q169" i="5"/>
  <c r="X168" i="5"/>
  <c r="W168" i="5"/>
  <c r="V168" i="5"/>
  <c r="U168" i="5"/>
  <c r="T168" i="5"/>
  <c r="S168" i="5"/>
  <c r="R168" i="5"/>
  <c r="Q168" i="5"/>
  <c r="X167" i="5"/>
  <c r="W167" i="5"/>
  <c r="V167" i="5"/>
  <c r="U167" i="5"/>
  <c r="T167" i="5"/>
  <c r="S167" i="5"/>
  <c r="R167" i="5"/>
  <c r="Q167" i="5"/>
  <c r="X166" i="5"/>
  <c r="W166" i="5"/>
  <c r="V166" i="5"/>
  <c r="U166" i="5"/>
  <c r="T166" i="5"/>
  <c r="S166" i="5"/>
  <c r="R166" i="5"/>
  <c r="Q166" i="5"/>
  <c r="X165" i="5"/>
  <c r="W165" i="5"/>
  <c r="V165" i="5"/>
  <c r="U165" i="5"/>
  <c r="T165" i="5"/>
  <c r="S165" i="5"/>
  <c r="R165" i="5"/>
  <c r="Q165" i="5"/>
  <c r="X164" i="5"/>
  <c r="W164" i="5"/>
  <c r="V164" i="5"/>
  <c r="U164" i="5"/>
  <c r="T164" i="5"/>
  <c r="S164" i="5"/>
  <c r="R164" i="5"/>
  <c r="Q164" i="5"/>
  <c r="X163" i="5"/>
  <c r="W163" i="5"/>
  <c r="V163" i="5"/>
  <c r="U163" i="5"/>
  <c r="T163" i="5"/>
  <c r="S163" i="5"/>
  <c r="R163" i="5"/>
  <c r="Q163" i="5"/>
  <c r="X162" i="5"/>
  <c r="W162" i="5"/>
  <c r="V162" i="5"/>
  <c r="U162" i="5"/>
  <c r="T162" i="5"/>
  <c r="S162" i="5"/>
  <c r="R162" i="5"/>
  <c r="Q162" i="5"/>
  <c r="X161" i="5"/>
  <c r="W161" i="5"/>
  <c r="V161" i="5"/>
  <c r="U161" i="5"/>
  <c r="T161" i="5"/>
  <c r="S161" i="5"/>
  <c r="R161" i="5"/>
  <c r="Q161" i="5"/>
  <c r="X160" i="5"/>
  <c r="W160" i="5"/>
  <c r="V160" i="5"/>
  <c r="U160" i="5"/>
  <c r="T160" i="5"/>
  <c r="S160" i="5"/>
  <c r="R160" i="5"/>
  <c r="Q160" i="5"/>
  <c r="X159" i="5"/>
  <c r="W159" i="5"/>
  <c r="V159" i="5"/>
  <c r="U159" i="5"/>
  <c r="T159" i="5"/>
  <c r="S159" i="5"/>
  <c r="R159" i="5"/>
  <c r="Q159" i="5"/>
  <c r="X158" i="5"/>
  <c r="W158" i="5"/>
  <c r="V158" i="5"/>
  <c r="U158" i="5"/>
  <c r="T158" i="5"/>
  <c r="S158" i="5"/>
  <c r="R158" i="5"/>
  <c r="Q158" i="5"/>
  <c r="X157" i="5"/>
  <c r="W157" i="5"/>
  <c r="V157" i="5"/>
  <c r="U157" i="5"/>
  <c r="T157" i="5"/>
  <c r="S157" i="5"/>
  <c r="R157" i="5"/>
  <c r="Q157" i="5"/>
  <c r="X156" i="5"/>
  <c r="W156" i="5"/>
  <c r="V156" i="5"/>
  <c r="U156" i="5"/>
  <c r="T156" i="5"/>
  <c r="S156" i="5"/>
  <c r="R156" i="5"/>
  <c r="Q156" i="5"/>
  <c r="X155" i="5"/>
  <c r="W155" i="5"/>
  <c r="V155" i="5"/>
  <c r="U155" i="5"/>
  <c r="T155" i="5"/>
  <c r="S155" i="5"/>
  <c r="R155" i="5"/>
  <c r="Q155" i="5"/>
  <c r="X154" i="5"/>
  <c r="W154" i="5"/>
  <c r="V154" i="5"/>
  <c r="U154" i="5"/>
  <c r="T154" i="5"/>
  <c r="S154" i="5"/>
  <c r="R154" i="5"/>
  <c r="Q154" i="5"/>
  <c r="X153" i="5"/>
  <c r="W153" i="5"/>
  <c r="V153" i="5"/>
  <c r="U153" i="5"/>
  <c r="T153" i="5"/>
  <c r="S153" i="5"/>
  <c r="R153" i="5"/>
  <c r="Q153" i="5"/>
  <c r="X152" i="5"/>
  <c r="W152" i="5"/>
  <c r="V152" i="5"/>
  <c r="U152" i="5"/>
  <c r="T152" i="5"/>
  <c r="S152" i="5"/>
  <c r="R152" i="5"/>
  <c r="Q152" i="5"/>
  <c r="X151" i="5"/>
  <c r="W151" i="5"/>
  <c r="V151" i="5"/>
  <c r="U151" i="5"/>
  <c r="T151" i="5"/>
  <c r="S151" i="5"/>
  <c r="R151" i="5"/>
  <c r="Q151" i="5"/>
  <c r="X150" i="5"/>
  <c r="W150" i="5"/>
  <c r="V150" i="5"/>
  <c r="U150" i="5"/>
  <c r="T150" i="5"/>
  <c r="S150" i="5"/>
  <c r="R150" i="5"/>
  <c r="Q150" i="5"/>
  <c r="X149" i="5"/>
  <c r="W149" i="5"/>
  <c r="V149" i="5"/>
  <c r="U149" i="5"/>
  <c r="T149" i="5"/>
  <c r="S149" i="5"/>
  <c r="R149" i="5"/>
  <c r="Q149" i="5"/>
  <c r="X148" i="5"/>
  <c r="W148" i="5"/>
  <c r="V148" i="5"/>
  <c r="U148" i="5"/>
  <c r="T148" i="5"/>
  <c r="S148" i="5"/>
  <c r="R148" i="5"/>
  <c r="Q148" i="5"/>
  <c r="X147" i="5"/>
  <c r="W147" i="5"/>
  <c r="V147" i="5"/>
  <c r="U147" i="5"/>
  <c r="T147" i="5"/>
  <c r="S147" i="5"/>
  <c r="R147" i="5"/>
  <c r="Q147" i="5"/>
  <c r="X146" i="5"/>
  <c r="W146" i="5"/>
  <c r="V146" i="5"/>
  <c r="U146" i="5"/>
  <c r="T146" i="5"/>
  <c r="S146" i="5"/>
  <c r="R146" i="5"/>
  <c r="Q146" i="5"/>
  <c r="X145" i="5"/>
  <c r="W145" i="5"/>
  <c r="V145" i="5"/>
  <c r="U145" i="5"/>
  <c r="T145" i="5"/>
  <c r="S145" i="5"/>
  <c r="R145" i="5"/>
  <c r="Q145" i="5"/>
  <c r="X144" i="5"/>
  <c r="W144" i="5"/>
  <c r="V144" i="5"/>
  <c r="U144" i="5"/>
  <c r="T144" i="5"/>
  <c r="S144" i="5"/>
  <c r="R144" i="5"/>
  <c r="Q144" i="5"/>
  <c r="X143" i="5"/>
  <c r="W143" i="5"/>
  <c r="V143" i="5"/>
  <c r="U143" i="5"/>
  <c r="T143" i="5"/>
  <c r="S143" i="5"/>
  <c r="R143" i="5"/>
  <c r="Q143" i="5"/>
  <c r="X142" i="5"/>
  <c r="W142" i="5"/>
  <c r="V142" i="5"/>
  <c r="U142" i="5"/>
  <c r="T142" i="5"/>
  <c r="S142" i="5"/>
  <c r="R142" i="5"/>
  <c r="Q142" i="5"/>
  <c r="X141" i="5"/>
  <c r="W141" i="5"/>
  <c r="V141" i="5"/>
  <c r="U141" i="5"/>
  <c r="T141" i="5"/>
  <c r="S141" i="5"/>
  <c r="R141" i="5"/>
  <c r="Q141" i="5"/>
  <c r="X140" i="5"/>
  <c r="W140" i="5"/>
  <c r="V140" i="5"/>
  <c r="U140" i="5"/>
  <c r="T140" i="5"/>
  <c r="S140" i="5"/>
  <c r="R140" i="5"/>
  <c r="Q140" i="5"/>
  <c r="X139" i="5"/>
  <c r="W139" i="5"/>
  <c r="V139" i="5"/>
  <c r="U139" i="5"/>
  <c r="T139" i="5"/>
  <c r="S139" i="5"/>
  <c r="R139" i="5"/>
  <c r="Q139" i="5"/>
  <c r="X138" i="5"/>
  <c r="W138" i="5"/>
  <c r="V138" i="5"/>
  <c r="U138" i="5"/>
  <c r="T138" i="5"/>
  <c r="S138" i="5"/>
  <c r="R138" i="5"/>
  <c r="Q138" i="5"/>
  <c r="X137" i="5"/>
  <c r="W137" i="5"/>
  <c r="V137" i="5"/>
  <c r="U137" i="5"/>
  <c r="T137" i="5"/>
  <c r="S137" i="5"/>
  <c r="R137" i="5"/>
  <c r="Q137" i="5"/>
  <c r="X136" i="5"/>
  <c r="W136" i="5"/>
  <c r="V136" i="5"/>
  <c r="U136" i="5"/>
  <c r="T136" i="5"/>
  <c r="S136" i="5"/>
  <c r="R136" i="5"/>
  <c r="Q136" i="5"/>
  <c r="X135" i="5"/>
  <c r="W135" i="5"/>
  <c r="V135" i="5"/>
  <c r="U135" i="5"/>
  <c r="T135" i="5"/>
  <c r="S135" i="5"/>
  <c r="R135" i="5"/>
  <c r="Q135" i="5"/>
  <c r="X134" i="5"/>
  <c r="W134" i="5"/>
  <c r="V134" i="5"/>
  <c r="U134" i="5"/>
  <c r="T134" i="5"/>
  <c r="S134" i="5"/>
  <c r="R134" i="5"/>
  <c r="Q134" i="5"/>
  <c r="X133" i="5"/>
  <c r="W133" i="5"/>
  <c r="V133" i="5"/>
  <c r="U133" i="5"/>
  <c r="T133" i="5"/>
  <c r="S133" i="5"/>
  <c r="R133" i="5"/>
  <c r="Q133" i="5"/>
  <c r="X132" i="5"/>
  <c r="W132" i="5"/>
  <c r="V132" i="5"/>
  <c r="U132" i="5"/>
  <c r="T132" i="5"/>
  <c r="S132" i="5"/>
  <c r="R132" i="5"/>
  <c r="Q132" i="5"/>
  <c r="X131" i="5"/>
  <c r="W131" i="5"/>
  <c r="V131" i="5"/>
  <c r="U131" i="5"/>
  <c r="T131" i="5"/>
  <c r="S131" i="5"/>
  <c r="R131" i="5"/>
  <c r="Q131" i="5"/>
  <c r="X130" i="5"/>
  <c r="W130" i="5"/>
  <c r="V130" i="5"/>
  <c r="U130" i="5"/>
  <c r="T130" i="5"/>
  <c r="S130" i="5"/>
  <c r="R130" i="5"/>
  <c r="Q130" i="5"/>
  <c r="X129" i="5"/>
  <c r="W129" i="5"/>
  <c r="V129" i="5"/>
  <c r="U129" i="5"/>
  <c r="T129" i="5"/>
  <c r="S129" i="5"/>
  <c r="R129" i="5"/>
  <c r="Q129" i="5"/>
  <c r="X128" i="5"/>
  <c r="W128" i="5"/>
  <c r="V128" i="5"/>
  <c r="U128" i="5"/>
  <c r="T128" i="5"/>
  <c r="S128" i="5"/>
  <c r="R128" i="5"/>
  <c r="Q128" i="5"/>
  <c r="X127" i="5"/>
  <c r="W127" i="5"/>
  <c r="V127" i="5"/>
  <c r="U127" i="5"/>
  <c r="T127" i="5"/>
  <c r="S127" i="5"/>
  <c r="R127" i="5"/>
  <c r="Q127" i="5"/>
  <c r="X126" i="5"/>
  <c r="W126" i="5"/>
  <c r="V126" i="5"/>
  <c r="U126" i="5"/>
  <c r="T126" i="5"/>
  <c r="S126" i="5"/>
  <c r="R126" i="5"/>
  <c r="Q126" i="5"/>
  <c r="X125" i="5"/>
  <c r="W125" i="5"/>
  <c r="V125" i="5"/>
  <c r="U125" i="5"/>
  <c r="T125" i="5"/>
  <c r="S125" i="5"/>
  <c r="R125" i="5"/>
  <c r="Q125" i="5"/>
  <c r="X124" i="5"/>
  <c r="W124" i="5"/>
  <c r="V124" i="5"/>
  <c r="U124" i="5"/>
  <c r="T124" i="5"/>
  <c r="S124" i="5"/>
  <c r="R124" i="5"/>
  <c r="Q124" i="5"/>
  <c r="X123" i="5"/>
  <c r="W123" i="5"/>
  <c r="V123" i="5"/>
  <c r="U123" i="5"/>
  <c r="T123" i="5"/>
  <c r="S123" i="5"/>
  <c r="R123" i="5"/>
  <c r="Q123" i="5"/>
  <c r="X122" i="5"/>
  <c r="W122" i="5"/>
  <c r="V122" i="5"/>
  <c r="U122" i="5"/>
  <c r="T122" i="5"/>
  <c r="S122" i="5"/>
  <c r="R122" i="5"/>
  <c r="Q122" i="5"/>
  <c r="X121" i="5"/>
  <c r="W121" i="5"/>
  <c r="V121" i="5"/>
  <c r="U121" i="5"/>
  <c r="T121" i="5"/>
  <c r="S121" i="5"/>
  <c r="R121" i="5"/>
  <c r="Q121" i="5"/>
  <c r="X120" i="5"/>
  <c r="W120" i="5"/>
  <c r="V120" i="5"/>
  <c r="U120" i="5"/>
  <c r="T120" i="5"/>
  <c r="S120" i="5"/>
  <c r="R120" i="5"/>
  <c r="Q120" i="5"/>
  <c r="X119" i="5"/>
  <c r="W119" i="5"/>
  <c r="V119" i="5"/>
  <c r="U119" i="5"/>
  <c r="T119" i="5"/>
  <c r="S119" i="5"/>
  <c r="R119" i="5"/>
  <c r="Q119" i="5"/>
  <c r="X118" i="5"/>
  <c r="W118" i="5"/>
  <c r="V118" i="5"/>
  <c r="U118" i="5"/>
  <c r="T118" i="5"/>
  <c r="S118" i="5"/>
  <c r="R118" i="5"/>
  <c r="Q118" i="5"/>
  <c r="X117" i="5"/>
  <c r="W117" i="5"/>
  <c r="V117" i="5"/>
  <c r="U117" i="5"/>
  <c r="T117" i="5"/>
  <c r="S117" i="5"/>
  <c r="R117" i="5"/>
  <c r="Q117" i="5"/>
  <c r="X116" i="5"/>
  <c r="W116" i="5"/>
  <c r="V116" i="5"/>
  <c r="U116" i="5"/>
  <c r="T116" i="5"/>
  <c r="S116" i="5"/>
  <c r="R116" i="5"/>
  <c r="Q116" i="5"/>
  <c r="X115" i="5"/>
  <c r="W115" i="5"/>
  <c r="V115" i="5"/>
  <c r="U115" i="5"/>
  <c r="T115" i="5"/>
  <c r="S115" i="5"/>
  <c r="R115" i="5"/>
  <c r="Q115" i="5"/>
  <c r="X114" i="5"/>
  <c r="W114" i="5"/>
  <c r="V114" i="5"/>
  <c r="U114" i="5"/>
  <c r="T114" i="5"/>
  <c r="S114" i="5"/>
  <c r="R114" i="5"/>
  <c r="Q114" i="5"/>
  <c r="X113" i="5"/>
  <c r="W113" i="5"/>
  <c r="V113" i="5"/>
  <c r="U113" i="5"/>
  <c r="T113" i="5"/>
  <c r="S113" i="5"/>
  <c r="R113" i="5"/>
  <c r="Q113" i="5"/>
  <c r="X112" i="5"/>
  <c r="W112" i="5"/>
  <c r="V112" i="5"/>
  <c r="U112" i="5"/>
  <c r="T112" i="5"/>
  <c r="S112" i="5"/>
  <c r="R112" i="5"/>
  <c r="Q112" i="5"/>
  <c r="X111" i="5"/>
  <c r="W111" i="5"/>
  <c r="V111" i="5"/>
  <c r="U111" i="5"/>
  <c r="T111" i="5"/>
  <c r="S111" i="5"/>
  <c r="R111" i="5"/>
  <c r="Q111" i="5"/>
  <c r="X110" i="5"/>
  <c r="W110" i="5"/>
  <c r="V110" i="5"/>
  <c r="U110" i="5"/>
  <c r="T110" i="5"/>
  <c r="S110" i="5"/>
  <c r="R110" i="5"/>
  <c r="Q110" i="5"/>
  <c r="X109" i="5"/>
  <c r="W109" i="5"/>
  <c r="V109" i="5"/>
  <c r="U109" i="5"/>
  <c r="T109" i="5"/>
  <c r="S109" i="5"/>
  <c r="R109" i="5"/>
  <c r="Q109" i="5"/>
  <c r="X108" i="5"/>
  <c r="W108" i="5"/>
  <c r="V108" i="5"/>
  <c r="U108" i="5"/>
  <c r="T108" i="5"/>
  <c r="S108" i="5"/>
  <c r="R108" i="5"/>
  <c r="Q108" i="5"/>
  <c r="X107" i="5"/>
  <c r="W107" i="5"/>
  <c r="V107" i="5"/>
  <c r="U107" i="5"/>
  <c r="T107" i="5"/>
  <c r="S107" i="5"/>
  <c r="R107" i="5"/>
  <c r="Q107" i="5"/>
  <c r="X106" i="5"/>
  <c r="W106" i="5"/>
  <c r="V106" i="5"/>
  <c r="U106" i="5"/>
  <c r="T106" i="5"/>
  <c r="S106" i="5"/>
  <c r="R106" i="5"/>
  <c r="Q106" i="5"/>
  <c r="X105" i="5"/>
  <c r="W105" i="5"/>
  <c r="V105" i="5"/>
  <c r="U105" i="5"/>
  <c r="T105" i="5"/>
  <c r="S105" i="5"/>
  <c r="R105" i="5"/>
  <c r="Q105" i="5"/>
  <c r="X104" i="5"/>
  <c r="W104" i="5"/>
  <c r="V104" i="5"/>
  <c r="U104" i="5"/>
  <c r="T104" i="5"/>
  <c r="S104" i="5"/>
  <c r="R104" i="5"/>
  <c r="Q104" i="5"/>
  <c r="X103" i="5"/>
  <c r="W103" i="5"/>
  <c r="V103" i="5"/>
  <c r="U103" i="5"/>
  <c r="T103" i="5"/>
  <c r="S103" i="5"/>
  <c r="R103" i="5"/>
  <c r="Q103" i="5"/>
  <c r="X102" i="5"/>
  <c r="W102" i="5"/>
  <c r="V102" i="5"/>
  <c r="U102" i="5"/>
  <c r="T102" i="5"/>
  <c r="S102" i="5"/>
  <c r="R102" i="5"/>
  <c r="Q102" i="5"/>
  <c r="X101" i="5"/>
  <c r="W101" i="5"/>
  <c r="V101" i="5"/>
  <c r="U101" i="5"/>
  <c r="T101" i="5"/>
  <c r="S101" i="5"/>
  <c r="R101" i="5"/>
  <c r="Q101" i="5"/>
  <c r="X100" i="5"/>
  <c r="W100" i="5"/>
  <c r="V100" i="5"/>
  <c r="U100" i="5"/>
  <c r="T100" i="5"/>
  <c r="S100" i="5"/>
  <c r="R100" i="5"/>
  <c r="Q100" i="5"/>
  <c r="X99" i="5"/>
  <c r="W99" i="5"/>
  <c r="V99" i="5"/>
  <c r="U99" i="5"/>
  <c r="T99" i="5"/>
  <c r="S99" i="5"/>
  <c r="R99" i="5"/>
  <c r="Q99" i="5"/>
  <c r="X98" i="5"/>
  <c r="W98" i="5"/>
  <c r="V98" i="5"/>
  <c r="U98" i="5"/>
  <c r="T98" i="5"/>
  <c r="S98" i="5"/>
  <c r="R98" i="5"/>
  <c r="Q98" i="5"/>
  <c r="X97" i="5"/>
  <c r="W97" i="5"/>
  <c r="V97" i="5"/>
  <c r="U97" i="5"/>
  <c r="T97" i="5"/>
  <c r="S97" i="5"/>
  <c r="R97" i="5"/>
  <c r="Q97" i="5"/>
  <c r="X96" i="5"/>
  <c r="W96" i="5"/>
  <c r="V96" i="5"/>
  <c r="U96" i="5"/>
  <c r="T96" i="5"/>
  <c r="S96" i="5"/>
  <c r="R96" i="5"/>
  <c r="Q96" i="5"/>
  <c r="X95" i="5"/>
  <c r="W95" i="5"/>
  <c r="V95" i="5"/>
  <c r="U95" i="5"/>
  <c r="T95" i="5"/>
  <c r="S95" i="5"/>
  <c r="R95" i="5"/>
  <c r="Q95" i="5"/>
  <c r="X94" i="5"/>
  <c r="W94" i="5"/>
  <c r="V94" i="5"/>
  <c r="U94" i="5"/>
  <c r="T94" i="5"/>
  <c r="S94" i="5"/>
  <c r="R94" i="5"/>
  <c r="Q94" i="5"/>
  <c r="X93" i="5"/>
  <c r="W93" i="5"/>
  <c r="V93" i="5"/>
  <c r="U93" i="5"/>
  <c r="T93" i="5"/>
  <c r="S93" i="5"/>
  <c r="R93" i="5"/>
  <c r="Q93" i="5"/>
  <c r="X92" i="5"/>
  <c r="W92" i="5"/>
  <c r="V92" i="5"/>
  <c r="U92" i="5"/>
  <c r="T92" i="5"/>
  <c r="S92" i="5"/>
  <c r="R92" i="5"/>
  <c r="Q92" i="5"/>
  <c r="X91" i="5"/>
  <c r="W91" i="5"/>
  <c r="V91" i="5"/>
  <c r="U91" i="5"/>
  <c r="T91" i="5"/>
  <c r="S91" i="5"/>
  <c r="R91" i="5"/>
  <c r="Q91" i="5"/>
  <c r="X90" i="5"/>
  <c r="W90" i="5"/>
  <c r="V90" i="5"/>
  <c r="U90" i="5"/>
  <c r="T90" i="5"/>
  <c r="S90" i="5"/>
  <c r="R90" i="5"/>
  <c r="Q90" i="5"/>
  <c r="X89" i="5"/>
  <c r="W89" i="5"/>
  <c r="V89" i="5"/>
  <c r="U89" i="5"/>
  <c r="T89" i="5"/>
  <c r="S89" i="5"/>
  <c r="R89" i="5"/>
  <c r="Q89" i="5"/>
  <c r="X88" i="5"/>
  <c r="W88" i="5"/>
  <c r="V88" i="5"/>
  <c r="U88" i="5"/>
  <c r="T88" i="5"/>
  <c r="S88" i="5"/>
  <c r="R88" i="5"/>
  <c r="Q88" i="5"/>
  <c r="X87" i="5"/>
  <c r="W87" i="5"/>
  <c r="V87" i="5"/>
  <c r="U87" i="5"/>
  <c r="T87" i="5"/>
  <c r="S87" i="5"/>
  <c r="R87" i="5"/>
  <c r="Q87" i="5"/>
  <c r="X86" i="5"/>
  <c r="W86" i="5"/>
  <c r="V86" i="5"/>
  <c r="U86" i="5"/>
  <c r="T86" i="5"/>
  <c r="S86" i="5"/>
  <c r="R86" i="5"/>
  <c r="Q86" i="5"/>
  <c r="X85" i="5"/>
  <c r="W85" i="5"/>
  <c r="V85" i="5"/>
  <c r="U85" i="5"/>
  <c r="T85" i="5"/>
  <c r="S85" i="5"/>
  <c r="R85" i="5"/>
  <c r="Q85" i="5"/>
  <c r="X84" i="5"/>
  <c r="W84" i="5"/>
  <c r="V84" i="5"/>
  <c r="U84" i="5"/>
  <c r="T84" i="5"/>
  <c r="S84" i="5"/>
  <c r="R84" i="5"/>
  <c r="Q84" i="5"/>
  <c r="X83" i="5"/>
  <c r="W83" i="5"/>
  <c r="V83" i="5"/>
  <c r="U83" i="5"/>
  <c r="T83" i="5"/>
  <c r="S83" i="5"/>
  <c r="R83" i="5"/>
  <c r="Q83" i="5"/>
  <c r="X82" i="5"/>
  <c r="W82" i="5"/>
  <c r="V82" i="5"/>
  <c r="U82" i="5"/>
  <c r="T82" i="5"/>
  <c r="S82" i="5"/>
  <c r="R82" i="5"/>
  <c r="Q82" i="5"/>
  <c r="X81" i="5"/>
  <c r="W81" i="5"/>
  <c r="V81" i="5"/>
  <c r="U81" i="5"/>
  <c r="T81" i="5"/>
  <c r="S81" i="5"/>
  <c r="R81" i="5"/>
  <c r="Q81" i="5"/>
  <c r="X80" i="5"/>
  <c r="W80" i="5"/>
  <c r="V80" i="5"/>
  <c r="U80" i="5"/>
  <c r="T80" i="5"/>
  <c r="S80" i="5"/>
  <c r="R80" i="5"/>
  <c r="Q80" i="5"/>
  <c r="X79" i="5"/>
  <c r="W79" i="5"/>
  <c r="V79" i="5"/>
  <c r="U79" i="5"/>
  <c r="T79" i="5"/>
  <c r="S79" i="5"/>
  <c r="R79" i="5"/>
  <c r="Q79" i="5"/>
  <c r="X78" i="5"/>
  <c r="W78" i="5"/>
  <c r="V78" i="5"/>
  <c r="U78" i="5"/>
  <c r="T78" i="5"/>
  <c r="S78" i="5"/>
  <c r="R78" i="5"/>
  <c r="Q78" i="5"/>
  <c r="X77" i="5"/>
  <c r="W77" i="5"/>
  <c r="V77" i="5"/>
  <c r="U77" i="5"/>
  <c r="T77" i="5"/>
  <c r="S77" i="5"/>
  <c r="R77" i="5"/>
  <c r="Q77" i="5"/>
  <c r="X76" i="5"/>
  <c r="W76" i="5"/>
  <c r="V76" i="5"/>
  <c r="U76" i="5"/>
  <c r="T76" i="5"/>
  <c r="S76" i="5"/>
  <c r="R76" i="5"/>
  <c r="Q76" i="5"/>
  <c r="X75" i="5"/>
  <c r="W75" i="5"/>
  <c r="V75" i="5"/>
  <c r="U75" i="5"/>
  <c r="T75" i="5"/>
  <c r="S75" i="5"/>
  <c r="R75" i="5"/>
  <c r="Q75" i="5"/>
  <c r="X74" i="5"/>
  <c r="W74" i="5"/>
  <c r="V74" i="5"/>
  <c r="U74" i="5"/>
  <c r="T74" i="5"/>
  <c r="S74" i="5"/>
  <c r="R74" i="5"/>
  <c r="Q74" i="5"/>
  <c r="X73" i="5"/>
  <c r="W73" i="5"/>
  <c r="V73" i="5"/>
  <c r="U73" i="5"/>
  <c r="T73" i="5"/>
  <c r="S73" i="5"/>
  <c r="R73" i="5"/>
  <c r="Q73" i="5"/>
  <c r="X72" i="5"/>
  <c r="W72" i="5"/>
  <c r="V72" i="5"/>
  <c r="U72" i="5"/>
  <c r="T72" i="5"/>
  <c r="S72" i="5"/>
  <c r="R72" i="5"/>
  <c r="Q72" i="5"/>
  <c r="X71" i="5"/>
  <c r="W71" i="5"/>
  <c r="V71" i="5"/>
  <c r="U71" i="5"/>
  <c r="T71" i="5"/>
  <c r="S71" i="5"/>
  <c r="R71" i="5"/>
  <c r="Q71" i="5"/>
  <c r="X70" i="5"/>
  <c r="W70" i="5"/>
  <c r="V70" i="5"/>
  <c r="U70" i="5"/>
  <c r="T70" i="5"/>
  <c r="S70" i="5"/>
  <c r="R70" i="5"/>
  <c r="Q70" i="5"/>
  <c r="X69" i="5"/>
  <c r="W69" i="5"/>
  <c r="V69" i="5"/>
  <c r="U69" i="5"/>
  <c r="T69" i="5"/>
  <c r="S69" i="5"/>
  <c r="R69" i="5"/>
  <c r="Q69" i="5"/>
  <c r="X68" i="5"/>
  <c r="W68" i="5"/>
  <c r="V68" i="5"/>
  <c r="U68" i="5"/>
  <c r="T68" i="5"/>
  <c r="S68" i="5"/>
  <c r="R68" i="5"/>
  <c r="Q68" i="5"/>
  <c r="X67" i="5"/>
  <c r="W67" i="5"/>
  <c r="V67" i="5"/>
  <c r="U67" i="5"/>
  <c r="T67" i="5"/>
  <c r="S67" i="5"/>
  <c r="R67" i="5"/>
  <c r="Q67" i="5"/>
  <c r="X66" i="5"/>
  <c r="W66" i="5"/>
  <c r="V66" i="5"/>
  <c r="U66" i="5"/>
  <c r="T66" i="5"/>
  <c r="S66" i="5"/>
  <c r="R66" i="5"/>
  <c r="Q66" i="5"/>
  <c r="X65" i="5"/>
  <c r="W65" i="5"/>
  <c r="V65" i="5"/>
  <c r="U65" i="5"/>
  <c r="T65" i="5"/>
  <c r="S65" i="5"/>
  <c r="R65" i="5"/>
  <c r="Q65" i="5"/>
  <c r="X64" i="5"/>
  <c r="W64" i="5"/>
  <c r="V64" i="5"/>
  <c r="U64" i="5"/>
  <c r="T64" i="5"/>
  <c r="S64" i="5"/>
  <c r="R64" i="5"/>
  <c r="Q64" i="5"/>
  <c r="X63" i="5"/>
  <c r="W63" i="5"/>
  <c r="V63" i="5"/>
  <c r="U63" i="5"/>
  <c r="T63" i="5"/>
  <c r="S63" i="5"/>
  <c r="R63" i="5"/>
  <c r="Q63" i="5"/>
  <c r="X62" i="5"/>
  <c r="W62" i="5"/>
  <c r="V62" i="5"/>
  <c r="U62" i="5"/>
  <c r="T62" i="5"/>
  <c r="S62" i="5"/>
  <c r="R62" i="5"/>
  <c r="Q62" i="5"/>
  <c r="X61" i="5"/>
  <c r="W61" i="5"/>
  <c r="V61" i="5"/>
  <c r="U61" i="5"/>
  <c r="T61" i="5"/>
  <c r="S61" i="5"/>
  <c r="R61" i="5"/>
  <c r="Q61" i="5"/>
  <c r="X60" i="5"/>
  <c r="W60" i="5"/>
  <c r="V60" i="5"/>
  <c r="U60" i="5"/>
  <c r="T60" i="5"/>
  <c r="S60" i="5"/>
  <c r="R60" i="5"/>
  <c r="Q60" i="5"/>
  <c r="X59" i="5"/>
  <c r="W59" i="5"/>
  <c r="V59" i="5"/>
  <c r="U59" i="5"/>
  <c r="T59" i="5"/>
  <c r="S59" i="5"/>
  <c r="R59" i="5"/>
  <c r="Q59" i="5"/>
  <c r="X58" i="5"/>
  <c r="W58" i="5"/>
  <c r="V58" i="5"/>
  <c r="U58" i="5"/>
  <c r="T58" i="5"/>
  <c r="S58" i="5"/>
  <c r="R58" i="5"/>
  <c r="Q58" i="5"/>
  <c r="X57" i="5"/>
  <c r="W57" i="5"/>
  <c r="V57" i="5"/>
  <c r="U57" i="5"/>
  <c r="T57" i="5"/>
  <c r="S57" i="5"/>
  <c r="R57" i="5"/>
  <c r="Q57" i="5"/>
  <c r="X56" i="5"/>
  <c r="W56" i="5"/>
  <c r="V56" i="5"/>
  <c r="U56" i="5"/>
  <c r="T56" i="5"/>
  <c r="S56" i="5"/>
  <c r="R56" i="5"/>
  <c r="Q56" i="5"/>
  <c r="X55" i="5"/>
  <c r="W55" i="5"/>
  <c r="V55" i="5"/>
  <c r="U55" i="5"/>
  <c r="T55" i="5"/>
  <c r="S55" i="5"/>
  <c r="R55" i="5"/>
  <c r="Q55" i="5"/>
  <c r="X54" i="5"/>
  <c r="W54" i="5"/>
  <c r="V54" i="5"/>
  <c r="U54" i="5"/>
  <c r="T54" i="5"/>
  <c r="S54" i="5"/>
  <c r="R54" i="5"/>
  <c r="Q54" i="5"/>
  <c r="X53" i="5"/>
  <c r="W53" i="5"/>
  <c r="V53" i="5"/>
  <c r="U53" i="5"/>
  <c r="T53" i="5"/>
  <c r="S53" i="5"/>
  <c r="R53" i="5"/>
  <c r="Q53" i="5"/>
  <c r="X52" i="5"/>
  <c r="W52" i="5"/>
  <c r="V52" i="5"/>
  <c r="U52" i="5"/>
  <c r="T52" i="5"/>
  <c r="S52" i="5"/>
  <c r="R52" i="5"/>
  <c r="Q52" i="5"/>
  <c r="X51" i="5"/>
  <c r="W51" i="5"/>
  <c r="V51" i="5"/>
  <c r="U51" i="5"/>
  <c r="T51" i="5"/>
  <c r="S51" i="5"/>
  <c r="R51" i="5"/>
  <c r="Q51" i="5"/>
  <c r="X50" i="5"/>
  <c r="W50" i="5"/>
  <c r="V50" i="5"/>
  <c r="U50" i="5"/>
  <c r="T50" i="5"/>
  <c r="S50" i="5"/>
  <c r="R50" i="5"/>
  <c r="Q50" i="5"/>
  <c r="X49" i="5"/>
  <c r="W49" i="5"/>
  <c r="V49" i="5"/>
  <c r="U49" i="5"/>
  <c r="T49" i="5"/>
  <c r="S49" i="5"/>
  <c r="R49" i="5"/>
  <c r="Q49" i="5"/>
  <c r="X48" i="5"/>
  <c r="W48" i="5"/>
  <c r="V48" i="5"/>
  <c r="U48" i="5"/>
  <c r="T48" i="5"/>
  <c r="S48" i="5"/>
  <c r="R48" i="5"/>
  <c r="Q48" i="5"/>
  <c r="X47" i="5"/>
  <c r="W47" i="5"/>
  <c r="V47" i="5"/>
  <c r="U47" i="5"/>
  <c r="T47" i="5"/>
  <c r="S47" i="5"/>
  <c r="R47" i="5"/>
  <c r="Q47" i="5"/>
  <c r="X46" i="5"/>
  <c r="W46" i="5"/>
  <c r="V46" i="5"/>
  <c r="U46" i="5"/>
  <c r="T46" i="5"/>
  <c r="S46" i="5"/>
  <c r="R46" i="5"/>
  <c r="Q46" i="5"/>
  <c r="X45" i="5"/>
  <c r="W45" i="5"/>
  <c r="V45" i="5"/>
  <c r="U45" i="5"/>
  <c r="T45" i="5"/>
  <c r="S45" i="5"/>
  <c r="R45" i="5"/>
  <c r="Q45" i="5"/>
  <c r="X44" i="5"/>
  <c r="W44" i="5"/>
  <c r="V44" i="5"/>
  <c r="U44" i="5"/>
  <c r="T44" i="5"/>
  <c r="S44" i="5"/>
  <c r="R44" i="5"/>
  <c r="Q44" i="5"/>
  <c r="X43" i="5"/>
  <c r="W43" i="5"/>
  <c r="V43" i="5"/>
  <c r="U43" i="5"/>
  <c r="T43" i="5"/>
  <c r="S43" i="5"/>
  <c r="R43" i="5"/>
  <c r="Q43" i="5"/>
  <c r="X42" i="5"/>
  <c r="W42" i="5"/>
  <c r="V42" i="5"/>
  <c r="U42" i="5"/>
  <c r="T42" i="5"/>
  <c r="S42" i="5"/>
  <c r="R42" i="5"/>
  <c r="Q42" i="5"/>
  <c r="X41" i="5"/>
  <c r="W41" i="5"/>
  <c r="V41" i="5"/>
  <c r="U41" i="5"/>
  <c r="T41" i="5"/>
  <c r="S41" i="5"/>
  <c r="R41" i="5"/>
  <c r="Q41" i="5"/>
  <c r="X40" i="5"/>
  <c r="W40" i="5"/>
  <c r="V40" i="5"/>
  <c r="U40" i="5"/>
  <c r="T40" i="5"/>
  <c r="S40" i="5"/>
  <c r="R40" i="5"/>
  <c r="Q40" i="5"/>
  <c r="X39" i="5"/>
  <c r="W39" i="5"/>
  <c r="V39" i="5"/>
  <c r="U39" i="5"/>
  <c r="T39" i="5"/>
  <c r="S39" i="5"/>
  <c r="R39" i="5"/>
  <c r="Q39" i="5"/>
  <c r="X38" i="5"/>
  <c r="W38" i="5"/>
  <c r="V38" i="5"/>
  <c r="U38" i="5"/>
  <c r="T38" i="5"/>
  <c r="S38" i="5"/>
  <c r="R38" i="5"/>
  <c r="Q38" i="5"/>
  <c r="X37" i="5"/>
  <c r="W37" i="5"/>
  <c r="V37" i="5"/>
  <c r="U37" i="5"/>
  <c r="T37" i="5"/>
  <c r="S37" i="5"/>
  <c r="R37" i="5"/>
  <c r="Q37" i="5"/>
  <c r="X36" i="5"/>
  <c r="W36" i="5"/>
  <c r="V36" i="5"/>
  <c r="U36" i="5"/>
  <c r="T36" i="5"/>
  <c r="S36" i="5"/>
  <c r="R36" i="5"/>
  <c r="Q36" i="5"/>
  <c r="X35" i="5"/>
  <c r="W35" i="5"/>
  <c r="V35" i="5"/>
  <c r="U35" i="5"/>
  <c r="T35" i="5"/>
  <c r="S35" i="5"/>
  <c r="R35" i="5"/>
  <c r="Q35" i="5"/>
  <c r="X34" i="5"/>
  <c r="W34" i="5"/>
  <c r="V34" i="5"/>
  <c r="U34" i="5"/>
  <c r="T34" i="5"/>
  <c r="S34" i="5"/>
  <c r="R34" i="5"/>
  <c r="Q34" i="5"/>
  <c r="X33" i="5"/>
  <c r="W33" i="5"/>
  <c r="V33" i="5"/>
  <c r="U33" i="5"/>
  <c r="T33" i="5"/>
  <c r="S33" i="5"/>
  <c r="R33" i="5"/>
  <c r="Q33" i="5"/>
  <c r="X32" i="5"/>
  <c r="W32" i="5"/>
  <c r="V32" i="5"/>
  <c r="U32" i="5"/>
  <c r="T32" i="5"/>
  <c r="S32" i="5"/>
  <c r="R32" i="5"/>
  <c r="Q32" i="5"/>
  <c r="X31" i="5"/>
  <c r="W31" i="5"/>
  <c r="V31" i="5"/>
  <c r="U31" i="5"/>
  <c r="T31" i="5"/>
  <c r="S31" i="5"/>
  <c r="R31" i="5"/>
  <c r="Q31" i="5"/>
  <c r="X30" i="5"/>
  <c r="W30" i="5"/>
  <c r="V30" i="5"/>
  <c r="U30" i="5"/>
  <c r="T30" i="5"/>
  <c r="S30" i="5"/>
  <c r="R30" i="5"/>
  <c r="Q30" i="5"/>
  <c r="X29" i="5"/>
  <c r="W29" i="5"/>
  <c r="V29" i="5"/>
  <c r="U29" i="5"/>
  <c r="T29" i="5"/>
  <c r="S29" i="5"/>
  <c r="R29" i="5"/>
  <c r="Q29" i="5"/>
  <c r="X28" i="5"/>
  <c r="W28" i="5"/>
  <c r="V28" i="5"/>
  <c r="U28" i="5"/>
  <c r="T28" i="5"/>
  <c r="S28" i="5"/>
  <c r="R28" i="5"/>
  <c r="Q28" i="5"/>
  <c r="X27" i="5"/>
  <c r="W27" i="5"/>
  <c r="V27" i="5"/>
  <c r="U27" i="5"/>
  <c r="T27" i="5"/>
  <c r="S27" i="5"/>
  <c r="R27" i="5"/>
  <c r="Q27" i="5"/>
  <c r="X26" i="5"/>
  <c r="W26" i="5"/>
  <c r="V26" i="5"/>
  <c r="U26" i="5"/>
  <c r="T26" i="5"/>
  <c r="S26" i="5"/>
  <c r="R26" i="5"/>
  <c r="Q26" i="5"/>
  <c r="X25" i="5"/>
  <c r="W25" i="5"/>
  <c r="V25" i="5"/>
  <c r="U25" i="5"/>
  <c r="T25" i="5"/>
  <c r="S25" i="5"/>
  <c r="R25" i="5"/>
  <c r="Q25" i="5"/>
  <c r="X24" i="5"/>
  <c r="W24" i="5"/>
  <c r="V24" i="5"/>
  <c r="U24" i="5"/>
  <c r="T24" i="5"/>
  <c r="S24" i="5"/>
  <c r="R24" i="5"/>
  <c r="Q24" i="5"/>
  <c r="X23" i="5"/>
  <c r="W23" i="5"/>
  <c r="V23" i="5"/>
  <c r="U23" i="5"/>
  <c r="T23" i="5"/>
  <c r="S23" i="5"/>
  <c r="R23" i="5"/>
  <c r="Q23" i="5"/>
  <c r="X22" i="5"/>
  <c r="W22" i="5"/>
  <c r="V22" i="5"/>
  <c r="U22" i="5"/>
  <c r="T22" i="5"/>
  <c r="S22" i="5"/>
  <c r="R22" i="5"/>
  <c r="Q22" i="5"/>
  <c r="X21" i="5"/>
  <c r="W21" i="5"/>
  <c r="V21" i="5"/>
  <c r="U21" i="5"/>
  <c r="T21" i="5"/>
  <c r="S21" i="5"/>
  <c r="R21" i="5"/>
  <c r="Q21" i="5"/>
  <c r="X20" i="5"/>
  <c r="W20" i="5"/>
  <c r="V20" i="5"/>
  <c r="U20" i="5"/>
  <c r="T20" i="5"/>
  <c r="S20" i="5"/>
  <c r="R20" i="5"/>
  <c r="Q20" i="5"/>
  <c r="X19" i="5"/>
  <c r="W19" i="5"/>
  <c r="V19" i="5"/>
  <c r="U19" i="5"/>
  <c r="T19" i="5"/>
  <c r="S19" i="5"/>
  <c r="R19" i="5"/>
  <c r="Q19" i="5"/>
  <c r="X18" i="5"/>
  <c r="W18" i="5"/>
  <c r="V18" i="5"/>
  <c r="U18" i="5"/>
  <c r="T18" i="5"/>
  <c r="S18" i="5"/>
  <c r="R18" i="5"/>
  <c r="Q18" i="5"/>
  <c r="X17" i="5"/>
  <c r="W17" i="5"/>
  <c r="V17" i="5"/>
  <c r="U17" i="5"/>
  <c r="T17" i="5"/>
  <c r="S17" i="5"/>
  <c r="R17" i="5"/>
  <c r="Q17" i="5"/>
  <c r="X16" i="5"/>
  <c r="W16" i="5"/>
  <c r="V16" i="5"/>
  <c r="U16" i="5"/>
  <c r="T16" i="5"/>
  <c r="S16" i="5"/>
  <c r="R16" i="5"/>
  <c r="Q16" i="5"/>
  <c r="X15" i="5"/>
  <c r="W15" i="5"/>
  <c r="V15" i="5"/>
  <c r="U15" i="5"/>
  <c r="T15" i="5"/>
  <c r="S15" i="5"/>
  <c r="R15" i="5"/>
  <c r="Q15" i="5"/>
  <c r="X14" i="5"/>
  <c r="W14" i="5"/>
  <c r="V14" i="5"/>
  <c r="U14" i="5"/>
  <c r="T14" i="5"/>
  <c r="S14" i="5"/>
  <c r="R14" i="5"/>
  <c r="Q14" i="5"/>
  <c r="X13" i="5"/>
  <c r="W13" i="5"/>
  <c r="V13" i="5"/>
  <c r="U13" i="5"/>
  <c r="T13" i="5"/>
  <c r="S13" i="5"/>
  <c r="R13" i="5"/>
  <c r="Q13" i="5"/>
  <c r="X12" i="5"/>
  <c r="W12" i="5"/>
  <c r="V12" i="5"/>
  <c r="U12" i="5"/>
  <c r="T12" i="5"/>
  <c r="S12" i="5"/>
  <c r="R12" i="5"/>
  <c r="Q12" i="5"/>
  <c r="X11" i="5"/>
  <c r="W11" i="5"/>
  <c r="V11" i="5"/>
  <c r="U11" i="5"/>
  <c r="T11" i="5"/>
  <c r="S11" i="5"/>
  <c r="R11" i="5"/>
  <c r="Q11" i="5"/>
  <c r="X10" i="5"/>
  <c r="W10" i="5"/>
  <c r="V10" i="5"/>
  <c r="U10" i="5"/>
  <c r="T10" i="5"/>
  <c r="S10" i="5"/>
  <c r="R10" i="5"/>
  <c r="Q10" i="5"/>
  <c r="X9" i="5"/>
  <c r="W9" i="5"/>
  <c r="V9" i="5"/>
  <c r="U9" i="5"/>
  <c r="T9" i="5"/>
  <c r="S9" i="5"/>
  <c r="R9" i="5"/>
  <c r="Q9" i="5"/>
  <c r="X8" i="5"/>
  <c r="W8" i="5"/>
  <c r="V8" i="5"/>
  <c r="U8" i="5"/>
  <c r="T8" i="5"/>
  <c r="S8" i="5"/>
  <c r="R8" i="5"/>
  <c r="Q8" i="5"/>
  <c r="X7" i="5"/>
  <c r="W7" i="5"/>
  <c r="V7" i="5"/>
  <c r="U7" i="5"/>
  <c r="T7" i="5"/>
  <c r="S7" i="5"/>
  <c r="R7" i="5"/>
  <c r="Q7" i="5"/>
  <c r="X6" i="5"/>
  <c r="W6" i="5"/>
  <c r="V6" i="5"/>
  <c r="U6" i="5"/>
  <c r="T6" i="5"/>
  <c r="S6" i="5"/>
  <c r="R6" i="5"/>
  <c r="Q6" i="5"/>
  <c r="X5" i="5"/>
  <c r="W5" i="5"/>
  <c r="V5" i="5"/>
  <c r="U5" i="5"/>
  <c r="T5" i="5"/>
  <c r="S5" i="5"/>
  <c r="R5" i="5"/>
  <c r="Q5" i="5"/>
  <c r="X4" i="5"/>
  <c r="W4" i="5"/>
  <c r="V4" i="5"/>
  <c r="U4" i="5"/>
  <c r="T4" i="5"/>
  <c r="S4" i="5"/>
  <c r="R4" i="5"/>
  <c r="Q4" i="5"/>
  <c r="X3" i="5"/>
  <c r="W3" i="5"/>
  <c r="V3" i="5"/>
  <c r="U3" i="5"/>
  <c r="T3" i="5"/>
  <c r="S3" i="5"/>
  <c r="R3" i="5"/>
  <c r="Q3" i="5"/>
  <c r="X2" i="5"/>
  <c r="W2" i="5"/>
  <c r="V2" i="5"/>
  <c r="U2" i="5"/>
  <c r="T2" i="5"/>
  <c r="S2" i="5"/>
  <c r="R2" i="5"/>
  <c r="Q2" i="5"/>
  <c r="L9" i="17"/>
  <c r="K14" i="8"/>
  <c r="K8" i="8"/>
  <c r="K5" i="8"/>
  <c r="K4" i="8"/>
  <c r="K3" i="8"/>
  <c r="B4" i="9"/>
  <c r="B3" i="9"/>
  <c r="B2" i="9"/>
  <c r="C47" i="19"/>
  <c r="C60" i="19"/>
  <c r="C52" i="19"/>
  <c r="C59" i="19"/>
  <c r="C51" i="19"/>
  <c r="C50" i="19"/>
  <c r="C57" i="19"/>
  <c r="C55" i="19"/>
  <c r="C54" i="19"/>
  <c r="C53" i="19"/>
  <c r="C48" i="19"/>
  <c r="C49" i="19"/>
  <c r="C58" i="19"/>
  <c r="C56" i="19"/>
  <c r="D75" i="8" l="1"/>
  <c r="E75" i="8"/>
  <c r="E74" i="8"/>
  <c r="D76" i="8"/>
  <c r="S11" i="7"/>
  <c r="S78" i="7"/>
  <c r="D74" i="8"/>
  <c r="B13" i="12"/>
  <c r="S46" i="7"/>
  <c r="S82" i="7"/>
  <c r="S91" i="7"/>
  <c r="S100" i="7"/>
  <c r="S176" i="7"/>
  <c r="S177" i="7"/>
  <c r="S178" i="7"/>
  <c r="S198" i="7"/>
  <c r="S199" i="7"/>
  <c r="S200" i="7"/>
  <c r="S221" i="7"/>
  <c r="S222" i="7"/>
  <c r="S307" i="7"/>
  <c r="S450" i="7"/>
  <c r="S574" i="7"/>
  <c r="S575" i="7"/>
  <c r="S47" i="7"/>
  <c r="S74" i="7"/>
  <c r="S92" i="7"/>
  <c r="S101" i="7"/>
  <c r="S463" i="7"/>
  <c r="S464" i="7"/>
  <c r="S562" i="7"/>
  <c r="S155" i="7"/>
  <c r="S156" i="7"/>
  <c r="S235" i="7"/>
  <c r="S535" i="7"/>
  <c r="S617" i="7"/>
  <c r="S14" i="7"/>
  <c r="S15" i="7"/>
  <c r="S41" i="7"/>
  <c r="S42" i="7"/>
  <c r="S214" i="7"/>
  <c r="S122" i="7"/>
  <c r="S123" i="7"/>
  <c r="S144" i="7"/>
  <c r="S145" i="7"/>
  <c r="S692" i="7"/>
  <c r="S693" i="7"/>
  <c r="S68" i="7"/>
  <c r="S69" i="7"/>
  <c r="S86" i="7"/>
  <c r="S133" i="7"/>
  <c r="S135" i="7"/>
  <c r="S217" i="7"/>
  <c r="S325" i="7"/>
  <c r="S430" i="7"/>
  <c r="S431" i="7"/>
  <c r="S442" i="7"/>
  <c r="S443" i="7"/>
  <c r="S598" i="7"/>
  <c r="E73" i="8"/>
  <c r="D73" i="8"/>
  <c r="E76" i="8"/>
  <c r="S10" i="7"/>
  <c r="S498" i="7"/>
  <c r="S499" i="7"/>
  <c r="S750" i="7"/>
  <c r="S804" i="7"/>
  <c r="S28" i="7"/>
  <c r="S37" i="7"/>
  <c r="S268" i="7"/>
  <c r="S128" i="7"/>
  <c r="S149" i="7"/>
  <c r="S150" i="7"/>
  <c r="S171" i="7"/>
  <c r="S172" i="7"/>
  <c r="S253" i="7"/>
  <c r="S284" i="7"/>
  <c r="S285" i="7"/>
  <c r="S334" i="7"/>
  <c r="S365" i="7"/>
  <c r="S366" i="7"/>
  <c r="S401" i="7"/>
  <c r="S529" i="7"/>
  <c r="S599" i="7"/>
  <c r="S620" i="7"/>
  <c r="S63" i="7"/>
  <c r="S95" i="7"/>
  <c r="S96" i="7"/>
  <c r="S182" i="7"/>
  <c r="S203" i="7"/>
  <c r="S204" i="7"/>
  <c r="S225" i="7"/>
  <c r="S226" i="7"/>
  <c r="S436" i="7"/>
  <c r="S524" i="7"/>
  <c r="S569" i="7"/>
  <c r="S592" i="7"/>
  <c r="S593" i="7"/>
  <c r="S638" i="7"/>
  <c r="S687" i="7"/>
  <c r="S877" i="7"/>
  <c r="S917" i="7"/>
  <c r="S19" i="7"/>
  <c r="S90" i="7"/>
  <c r="S154" i="7"/>
  <c r="S290" i="7"/>
  <c r="S493" i="7"/>
  <c r="S533" i="7"/>
  <c r="S536" i="7"/>
  <c r="S466" i="7"/>
  <c r="S580" i="7"/>
  <c r="S768" i="7"/>
  <c r="S370" i="7"/>
  <c r="S406" i="7"/>
  <c r="S769" i="7"/>
  <c r="S924" i="7"/>
  <c r="S908" i="7"/>
  <c r="S975" i="7"/>
  <c r="S470" i="7"/>
  <c r="S504" i="7"/>
  <c r="S505" i="7"/>
  <c r="S822" i="7"/>
  <c r="S985" i="7"/>
  <c r="S823" i="7"/>
  <c r="S632" i="7"/>
  <c r="S795" i="7"/>
  <c r="S578" i="7"/>
  <c r="S656" i="7"/>
  <c r="S820" i="7"/>
  <c r="S878" i="7"/>
  <c r="S915" i="7"/>
  <c r="S843" i="7"/>
  <c r="S647" i="7"/>
  <c r="S891" i="7"/>
  <c r="S921" i="7"/>
  <c r="S930" i="7"/>
  <c r="S973" i="7"/>
  <c r="S936" i="7"/>
  <c r="S695" i="7"/>
  <c r="S861" i="7"/>
  <c r="S764" i="7"/>
  <c r="S713" i="7"/>
  <c r="S759" i="7"/>
  <c r="S883" i="7"/>
  <c r="S881" i="7"/>
  <c r="S887" i="7"/>
  <c r="S842" i="7"/>
  <c r="E56" i="19"/>
  <c r="E51" i="19"/>
  <c r="D58" i="19"/>
  <c r="E59" i="19"/>
  <c r="E58" i="19"/>
  <c r="E49" i="19"/>
  <c r="D52" i="19"/>
  <c r="E52" i="19"/>
  <c r="D60" i="19"/>
  <c r="E48" i="19"/>
  <c r="D53" i="19"/>
  <c r="E54" i="19"/>
  <c r="D50" i="19"/>
  <c r="D56" i="19"/>
  <c r="D51" i="19"/>
  <c r="D59" i="19"/>
  <c r="D49" i="19"/>
  <c r="D48" i="19"/>
  <c r="E53" i="19"/>
  <c r="E47" i="19"/>
  <c r="D47" i="19"/>
  <c r="D54" i="19"/>
  <c r="E55" i="19"/>
  <c r="D55" i="19"/>
  <c r="E60" i="19"/>
  <c r="E57" i="19"/>
  <c r="D57" i="19"/>
  <c r="E50" i="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7DC273F-5C00-4064-85A7-E4CC57932077}" keepAlive="1" name="Query - qry_Dataset1" description="Connection to the 'qry_Dataset1' query in the workbook." type="5" refreshedVersion="0" background="1">
    <dbPr connection="Provider=Microsoft.Mashup.OleDb.1;Data Source=$Workbook$;Location=qry_Dataset1;Extended Properties=&quot;&quot;" command="SELECT * FROM [qry_Dataset1]"/>
  </connection>
  <connection id="2" xr16:uid="{04F4840F-57EA-482A-A898-F792199BB4B4}" keepAlive="1" name="Query - qry_Dataset2" description="Connection to the 'qry_Dataset2' query in the workbook." type="5" refreshedVersion="0" background="1">
    <dbPr connection="Provider=Microsoft.Mashup.OleDb.1;Data Source=$Workbook$;Location=qry_Dataset2;Extended Properties=&quot;&quot;" command="SELECT * FROM [qry_Dataset2]"/>
  </connection>
  <connection id="3" xr16:uid="{E48007F4-9D98-4E23-8D56-EFAE04486E54}" keepAlive="1" name="Query - qry_Dataset3" description="Connection to the 'qry_Dataset3' query in the workbook." type="5" refreshedVersion="0" background="1">
    <dbPr connection="Provider=Microsoft.Mashup.OleDb.1;Data Source=$Workbook$;Location=qry_Dataset3;Extended Properties=&quot;&quot;" command="SELECT * FROM [qry_Dataset3]"/>
  </connection>
  <connection id="4" xr16:uid="{CA79C878-FE4D-4788-8666-BA6C5D4A68E1}" keepAlive="1" name="Query - qry_Master_Data" description="Connection to the 'qry_Master_Data' query in the workbook." type="5" refreshedVersion="0" background="1">
    <dbPr connection="Provider=Microsoft.Mashup.OleDb.1;Data Source=$Workbook$;Location=qry_Master_Data;Extended Properties=&quot;&quot;" command="SELECT * FROM [qry_Master_Data]"/>
  </connection>
  <connection id="5" xr16:uid="{714E64CA-8631-474F-820C-43019AEFCB86}" keepAlive="1" name="Query - qry_Master_Data1" description="Connection to the 'qry_Master_Data' query in the workbook." type="5" refreshedVersion="8" background="1" saveData="1">
    <dbPr connection="Provider=Microsoft.Mashup.OleDb.1;Data Source=$Workbook$;Location=qry_Master_Data;Extended Properties=&quot;&quot;" command="SELECT * FROM [qry_Master_Data]"/>
  </connection>
  <connection id="6" xr16:uid="{B5D66124-5B24-450B-BC75-8C9D99882795}" keepAlive="1" name="Query - qry_Merged_12" description="Connection to the 'qry_Merged_12' query in the workbook." type="5" refreshedVersion="0" background="1">
    <dbPr connection="Provider=Microsoft.Mashup.OleDb.1;Data Source=$Workbook$;Location=qry_Merged_12;Extended Properties=&quot;&quot;" command="SELECT * FROM [qry_Merged_12]"/>
  </connection>
</connections>
</file>

<file path=xl/sharedStrings.xml><?xml version="1.0" encoding="utf-8"?>
<sst xmlns="http://schemas.openxmlformats.org/spreadsheetml/2006/main" count="385" uniqueCount="204">
  <si>
    <t>BIKE SHARING DEMAND ANALYSIS — WORKING V1</t>
  </si>
  <si>
    <t>Project objective</t>
  </si>
  <si>
    <t>Analyze how time, weather and holidays affect bike rentals and build an automated reporting workflow.</t>
  </si>
  <si>
    <t>Submission deadline</t>
  </si>
  <si>
    <t>10 October 2026</t>
  </si>
  <si>
    <t>CURRENT MILESTONE</t>
  </si>
  <si>
    <t>Phase 1 + initial data integration</t>
  </si>
  <si>
    <t>Dataset 1</t>
  </si>
  <si>
    <t>Imported — 610 rows</t>
  </si>
  <si>
    <t>Dataset 2</t>
  </si>
  <si>
    <t>Imported — 610 rows; removed Unnamed: 0 export/index column</t>
  </si>
  <si>
    <t>Dataset 3</t>
  </si>
  <si>
    <t>Imported — 390 rows</t>
  </si>
  <si>
    <t>Master dataset</t>
  </si>
  <si>
    <t>1,000 rows after integration</t>
  </si>
  <si>
    <t>Known data-quality issue</t>
  </si>
  <si>
    <t>Dataset 2 contains 11 missing atemp values; these are preserved for the cleaning step rather than silently overwritten.</t>
  </si>
  <si>
    <t>NEXT STEPS</t>
  </si>
  <si>
    <t>1</t>
  </si>
  <si>
    <t>Complete missing-value treatment</t>
  </si>
  <si>
    <t>2</t>
  </si>
  <si>
    <t>Validate data types and duplicates</t>
  </si>
  <si>
    <t>3</t>
  </si>
  <si>
    <t>Create derived features</t>
  </si>
  <si>
    <t>4</t>
  </si>
  <si>
    <t>Build pivot analyses</t>
  </si>
  <si>
    <t>5</t>
  </si>
  <si>
    <t>Build dashboard</t>
  </si>
  <si>
    <t>6</t>
  </si>
  <si>
    <t>Add forecasting/anomaly analysis</t>
  </si>
  <si>
    <t>7</t>
  </si>
  <si>
    <t>Implement VBA automation</t>
  </si>
  <si>
    <t>8</t>
  </si>
  <si>
    <t>Prepare final summary</t>
  </si>
  <si>
    <t>instant</t>
  </si>
  <si>
    <t>dteday</t>
  </si>
  <si>
    <t>season</t>
  </si>
  <si>
    <t>yr</t>
  </si>
  <si>
    <t>mnth</t>
  </si>
  <si>
    <t>hr</t>
  </si>
  <si>
    <t>holiday</t>
  </si>
  <si>
    <t>weekday</t>
  </si>
  <si>
    <t>weathersit</t>
  </si>
  <si>
    <t>temp</t>
  </si>
  <si>
    <t>Unnamed: 0</t>
  </si>
  <si>
    <t>atemp</t>
  </si>
  <si>
    <t>hum</t>
  </si>
  <si>
    <t>windspeed</t>
  </si>
  <si>
    <t>casual</t>
  </si>
  <si>
    <t>registered</t>
  </si>
  <si>
    <t>cnt</t>
  </si>
  <si>
    <t>DATA QUALITY CHECK</t>
  </si>
  <si>
    <t>RESULT</t>
  </si>
  <si>
    <t>ACTION / STATUS</t>
  </si>
  <si>
    <t>Dataset 1 missing values</t>
  </si>
  <si>
    <t>No missing values found</t>
  </si>
  <si>
    <t>Dataset 1 duplicate rows</t>
  </si>
  <si>
    <t>No duplicates found</t>
  </si>
  <si>
    <t>Dataset 2 missing values</t>
  </si>
  <si>
    <t>11 missing atemp values identified</t>
  </si>
  <si>
    <t>Dataset 2 duplicate rows</t>
  </si>
  <si>
    <t>Dataset 2 export artifact</t>
  </si>
  <si>
    <t>Removed before merge</t>
  </si>
  <si>
    <t>Dataset 3 missing values</t>
  </si>
  <si>
    <t>Dataset 3 duplicate rows</t>
  </si>
  <si>
    <t>Master rows</t>
  </si>
  <si>
    <t>1,000 records</t>
  </si>
  <si>
    <t>Master instant duplicates</t>
  </si>
  <si>
    <t>No duplicate instant keys</t>
  </si>
  <si>
    <t>Year_Label</t>
  </si>
  <si>
    <t>Month_Name</t>
  </si>
  <si>
    <t>Day_Type</t>
  </si>
  <si>
    <t>Hour_Category</t>
  </si>
  <si>
    <t>Season_Name</t>
  </si>
  <si>
    <t>Weather_Category</t>
  </si>
  <si>
    <t>ANALYSIS TASK</t>
  </si>
  <si>
    <t>EXCEL TOOL / FORMULA</t>
  </si>
  <si>
    <t>Total rentals</t>
  </si>
  <si>
    <t>SUM(cnt)</t>
  </si>
  <si>
    <t>Average rentals per record</t>
  </si>
  <si>
    <t>AVERAGE(cnt)</t>
  </si>
  <si>
    <t>Record count</t>
  </si>
  <si>
    <t>COUNT(instant)</t>
  </si>
  <si>
    <t>Demand by hour</t>
  </si>
  <si>
    <t>Demand by weather</t>
  </si>
  <si>
    <t>Demand by user type</t>
  </si>
  <si>
    <t>Pivot Table</t>
  </si>
  <si>
    <t>Weekend vs weekday</t>
  </si>
  <si>
    <t>IF + Pivot Table</t>
  </si>
  <si>
    <t>Demand variability</t>
  </si>
  <si>
    <t>Weather vs demand relationship</t>
  </si>
  <si>
    <t>CORREL</t>
  </si>
  <si>
    <t>Conditional counts</t>
  </si>
  <si>
    <t>COUNTIF</t>
  </si>
  <si>
    <t>FINAL SUMMARY</t>
  </si>
  <si>
    <t>Executive Summary</t>
  </si>
  <si>
    <t>Dataset Description</t>
  </si>
  <si>
    <t>Cleaning Method</t>
  </si>
  <si>
    <t>Merging Method</t>
  </si>
  <si>
    <t>Feature Engineering</t>
  </si>
  <si>
    <t>Analysis Findings</t>
  </si>
  <si>
    <t>Dashboard</t>
  </si>
  <si>
    <t>Forecasting / Anomalies</t>
  </si>
  <si>
    <t>VBA Automation</t>
  </si>
  <si>
    <t>Recommendations</t>
  </si>
  <si>
    <t>A</t>
  </si>
  <si>
    <t>B</t>
  </si>
  <si>
    <t>Check</t>
  </si>
  <si>
    <t>Result</t>
  </si>
  <si>
    <t>Dataset 1 Records</t>
  </si>
  <si>
    <t>Dataset 2 Records</t>
  </si>
  <si>
    <t>Dataset 3 Records</t>
  </si>
  <si>
    <t>Master Records</t>
  </si>
  <si>
    <t>Missing atemp</t>
  </si>
  <si>
    <t>Duplicate Dataset 1</t>
  </si>
  <si>
    <t>Duplicate Dataset 2</t>
  </si>
  <si>
    <t>Duplicate Dataset 3</t>
  </si>
  <si>
    <t>Data_quality_status</t>
  </si>
  <si>
    <t>average atemp</t>
  </si>
  <si>
    <t>Temperature vs Apparent Temperature Correlation</t>
  </si>
  <si>
    <t>atemp_clean</t>
  </si>
  <si>
    <r>
      <t xml:space="preserve">Missing </t>
    </r>
    <r>
      <rPr>
        <sz val="10"/>
        <color theme="1"/>
        <rFont val="Arial Unicode MS"/>
      </rPr>
      <t>atemp_clean</t>
    </r>
  </si>
  <si>
    <t>year_label</t>
  </si>
  <si>
    <t>month_name</t>
  </si>
  <si>
    <t>day_type</t>
  </si>
  <si>
    <t>hour_category</t>
  </si>
  <si>
    <t>season_name</t>
  </si>
  <si>
    <t>weather_category</t>
  </si>
  <si>
    <t>Row Labels</t>
  </si>
  <si>
    <t>Grand Total</t>
  </si>
  <si>
    <t>Sum of cnt</t>
  </si>
  <si>
    <t>Clear</t>
  </si>
  <si>
    <t>Light Rain/Snow</t>
  </si>
  <si>
    <t>Mist/Cloudy</t>
  </si>
  <si>
    <t>Holiday</t>
  </si>
  <si>
    <t>Heavy Rain/Snow</t>
  </si>
  <si>
    <t>Sum of casual</t>
  </si>
  <si>
    <t>Sum of registered</t>
  </si>
  <si>
    <t>RESULT / STATUS</t>
  </si>
  <si>
    <t>STDEV.S(cnt)</t>
  </si>
  <si>
    <t>Completed</t>
  </si>
  <si>
    <t xml:space="preserve">HOUR BY DEMAND COUNT </t>
  </si>
  <si>
    <t xml:space="preserve">WEATHER BY DEMAND COUNT </t>
  </si>
  <si>
    <t>Demand by User Type</t>
  </si>
  <si>
    <t>Weekend vs Weekday</t>
  </si>
  <si>
    <r>
      <t>Season Analysis:</t>
    </r>
    <r>
      <rPr>
        <sz val="12"/>
        <color theme="1"/>
        <rFont val="Aptos Display"/>
        <family val="2"/>
      </rPr>
      <t xml:space="preserve"> All 1,000 records in the provided dataset have season = 1, mapped to Spring. Therefore, seasonal comparison is not possible with this dataset.</t>
    </r>
  </si>
  <si>
    <r>
      <t>Month Analysis:</t>
    </r>
    <r>
      <rPr>
        <sz val="12"/>
        <color theme="1"/>
        <rFont val="Calibri"/>
        <family val="2"/>
        <scheme val="minor"/>
      </rPr>
      <t xml:space="preserve"> All 1,000 records in the provided dataset have </t>
    </r>
    <r>
      <rPr>
        <sz val="12"/>
        <color theme="1"/>
        <rFont val="Arial Unicode MS"/>
      </rPr>
      <t>mnth = 1</t>
    </r>
    <r>
      <rPr>
        <sz val="12"/>
        <color theme="1"/>
        <rFont val="Calibri"/>
        <family val="2"/>
        <scheme val="minor"/>
      </rPr>
      <t>, mapped to January. Therefore, monthly demand comparison is not possible with this dataset.</t>
    </r>
  </si>
  <si>
    <t>Weather × Hour Analysis</t>
  </si>
  <si>
    <t>Column Labels</t>
  </si>
  <si>
    <t>We used a Pivot Table with two dimensions. This lets us examine rental demand across weather conditions and individual hours simultaneously, rather than looking at either factor separately.</t>
  </si>
  <si>
    <t>RECORD COUNT</t>
  </si>
  <si>
    <t>SUMIF check</t>
  </si>
  <si>
    <r>
      <t>Interpretation:</t>
    </r>
    <r>
      <rPr>
        <sz val="11"/>
        <color theme="1"/>
        <rFont val="Calibri"/>
        <family val="2"/>
        <scheme val="minor"/>
      </rPr>
      <t xml:space="preserve"> The correlation between weather condition and rental demand is </t>
    </r>
    <r>
      <rPr>
        <b/>
        <sz val="11"/>
        <color theme="1"/>
        <rFont val="Calibri"/>
        <family val="2"/>
        <scheme val="minor"/>
      </rPr>
      <t>-0.126</t>
    </r>
    <r>
      <rPr>
        <sz val="11"/>
        <color theme="1"/>
        <rFont val="Calibri"/>
        <family val="2"/>
        <scheme val="minor"/>
      </rPr>
      <t xml:space="preserve">, indicating a weak negative relationship. This suggests that rental demand tends to decrease slightly as the weather category becomes less favorable. However, </t>
    </r>
    <r>
      <rPr>
        <sz val="10"/>
        <color theme="1"/>
        <rFont val="Arial Unicode MS"/>
      </rPr>
      <t>weathersit</t>
    </r>
    <r>
      <rPr>
        <sz val="11"/>
        <color theme="1"/>
        <rFont val="Calibri"/>
        <family val="2"/>
        <scheme val="minor"/>
      </rPr>
      <t xml:space="preserve"> represents weather categories rather than a continuous measurement, so this correlation should be interpreted cautiously.</t>
    </r>
  </si>
  <si>
    <t>KPI</t>
  </si>
  <si>
    <t>Value</t>
  </si>
  <si>
    <t>Total Rentals</t>
  </si>
  <si>
    <t>Average Rentals / Record</t>
  </si>
  <si>
    <t>Total Records</t>
  </si>
  <si>
    <t>Demand Variability (STDEV)</t>
  </si>
  <si>
    <t>Bike Rental Demand by Hour</t>
  </si>
  <si>
    <t>Bike Rental Demand by Weather</t>
  </si>
  <si>
    <t>Weekend v/s weekday</t>
  </si>
  <si>
    <t>Date</t>
  </si>
  <si>
    <t>Daily Rentals</t>
  </si>
  <si>
    <t>Forecast(Daily Rentals)</t>
  </si>
  <si>
    <t>Lower Confidence Bound(Daily Rentals)</t>
  </si>
  <si>
    <t>Upper Confidence Bound(Daily Rentals)</t>
  </si>
  <si>
    <t>Average Daily Rentals</t>
  </si>
  <si>
    <t>Standard Deviation</t>
  </si>
  <si>
    <t>Anomaly Threshold (Z)</t>
  </si>
  <si>
    <t>Z-Score</t>
  </si>
  <si>
    <t>status</t>
  </si>
  <si>
    <r>
      <t>Anomaly Detection:</t>
    </r>
    <r>
      <rPr>
        <sz val="11"/>
        <color theme="1"/>
        <rFont val="Calibri"/>
        <family val="2"/>
        <scheme val="minor"/>
      </rPr>
      <t xml:space="preserve"> 3 daily rental records were flagged because their absolute Z-score exceeded the threshold of 2. These records should be reviewed as unusually high or low demand observations, not automatically treated as data errors.</t>
    </r>
  </si>
  <si>
    <t>anx-zpvt-ayn</t>
  </si>
  <si>
    <t>Text function</t>
  </si>
  <si>
    <t>LEFT</t>
  </si>
  <si>
    <t>RIGHT</t>
  </si>
  <si>
    <t>LEN</t>
  </si>
  <si>
    <t>Example result</t>
  </si>
  <si>
    <t>VLOOKUP Demonstration</t>
  </si>
  <si>
    <t>Instant to Lookup</t>
  </si>
  <si>
    <t>Rental Count</t>
  </si>
  <si>
    <t>Bike Sharing Automated Report</t>
  </si>
  <si>
    <t>Demand Status</t>
  </si>
  <si>
    <t>High Demand</t>
  </si>
  <si>
    <t>Normal</t>
  </si>
  <si>
    <t>Anomaly</t>
  </si>
  <si>
    <t>Anomalies Detected</t>
  </si>
  <si>
    <t>Weather-Demand Correlation</t>
  </si>
  <si>
    <t>Registered Rentals</t>
  </si>
  <si>
    <t>Casual Rentals</t>
  </si>
  <si>
    <t>Forecast Horizon</t>
  </si>
  <si>
    <t>Anomaly Threshold</t>
  </si>
  <si>
    <t>AI-Powered Bike Sharing Analysis</t>
  </si>
  <si>
    <t>Analyze   the following Bike Sharing Demand Analysis results and generate a concise   management summary.
     Total Rentals: 58304
     Average Rentals per Record: 58.304
     Demand Status: High Demand
     Anomalies Detected: 3
     Anomaly Threshold: 2
     Weather-Demand Correlation: -0.126448082
     Registered Rentals: 53383
     Casual Rentals: 4921
     Forecast Horizon: 40602
     Generate a concise factual summary. Explain the weather relationship   cautiously, mention anomalies, distinguish correlation from causation, and   state the forecast limitation.</t>
  </si>
  <si>
    <t>AI-Generated Management summary</t>
  </si>
  <si>
    <t>Bike Sharing Demand Analysis Summary:
The dataset contains 58,304 total rentals, with an average of 58.304 rentals per record, indicating the workbook's defined demand status of High Demand. Registered users account for 53,383 rentals, while casual users account for 4,921 rentals, meaning registered rentals represent approximately 91.6% of total rentals.  
The weather-demand correlation is -0.1264, indicating a weak negative relationship between the weather category code and rental demand. This correlation does not establish that weather caused changes in demand, particularly because the weather variable represents ordered categories.  
Three observations were flagged as anomalies using an absolute Z-score threshold of 2. These observations represent unusual demand values and should not automatically be interpreted as data errors.  
The forecast extends to 28-Feb-2011. Because the available dataset covers only a limited period rather than a complete year, the forecast should be interpreted as a short-term projection, not as evidence of long-term seasonal or yearly demand patterns.</t>
  </si>
  <si>
    <t>INDEX + MATCH DEMO</t>
  </si>
  <si>
    <t>Instant</t>
  </si>
  <si>
    <t>Rental count</t>
  </si>
  <si>
    <t>Sum of Avg Rental per Record</t>
  </si>
  <si>
    <t>Sunday</t>
  </si>
  <si>
    <t>Saturday</t>
  </si>
  <si>
    <t>Weekday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</si>
</sst>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mm:ss"/>
  </numFmts>
  <fonts count="15">
    <font>
      <sz val="11"/>
      <color theme="1"/>
      <name val="Calibri"/>
      <family val="2"/>
      <scheme val="minor"/>
    </font>
    <font>
      <b/>
      <sz val="11"/>
      <name val="Calibri"/>
    </font>
    <font>
      <b/>
      <sz val="16"/>
      <name val="Calibri"/>
    </font>
    <font>
      <sz val="11"/>
      <color theme="1"/>
      <name val="Calibri"/>
      <family val="2"/>
      <scheme val="minor"/>
    </font>
    <font>
      <b/>
      <sz val="11"/>
      <color theme="1"/>
      <name val="Calibri"/>
      <family val="2"/>
      <scheme val="minor"/>
    </font>
    <font>
      <sz val="11"/>
      <color theme="0"/>
      <name val="Calibri"/>
      <family val="2"/>
      <scheme val="minor"/>
    </font>
    <font>
      <sz val="10"/>
      <color theme="1"/>
      <name val="Arial Unicode MS"/>
    </font>
    <font>
      <b/>
      <sz val="16"/>
      <color theme="1"/>
      <name val="Calibri"/>
      <family val="2"/>
      <scheme val="minor"/>
    </font>
    <font>
      <b/>
      <sz val="18"/>
      <color theme="1"/>
      <name val="Calibri"/>
      <family val="2"/>
      <scheme val="minor"/>
    </font>
    <font>
      <b/>
      <sz val="12"/>
      <color theme="1"/>
      <name val="Calibri"/>
      <family val="2"/>
      <scheme val="minor"/>
    </font>
    <font>
      <sz val="12"/>
      <color theme="1"/>
      <name val="Calibri"/>
      <family val="2"/>
      <scheme val="minor"/>
    </font>
    <font>
      <sz val="12"/>
      <color theme="1"/>
      <name val="Arial Unicode MS"/>
    </font>
    <font>
      <b/>
      <sz val="12"/>
      <color theme="1"/>
      <name val="Aptos Display"/>
      <family val="2"/>
    </font>
    <font>
      <sz val="12"/>
      <color theme="1"/>
      <name val="Aptos Display"/>
      <family val="2"/>
    </font>
    <font>
      <sz val="11"/>
      <color rgb="FF000000"/>
      <name val="Calibri"/>
      <family val="2"/>
    </font>
  </fonts>
  <fills count="5">
    <fill>
      <patternFill patternType="none"/>
    </fill>
    <fill>
      <patternFill patternType="gray125"/>
    </fill>
    <fill>
      <patternFill patternType="solid">
        <fgColor rgb="FFD9EAF7"/>
      </patternFill>
    </fill>
    <fill>
      <patternFill patternType="solid">
        <fgColor theme="4"/>
      </patternFill>
    </fill>
    <fill>
      <patternFill patternType="solid">
        <fgColor theme="5" tint="0.39997558519241921"/>
        <bgColor indexed="65"/>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5" fillId="3" borderId="0" applyNumberFormat="0" applyBorder="0" applyAlignment="0" applyProtection="0"/>
    <xf numFmtId="0" fontId="3" fillId="4" borderId="0" applyNumberFormat="0" applyBorder="0" applyAlignment="0" applyProtection="0"/>
  </cellStyleXfs>
  <cellXfs count="53">
    <xf numFmtId="0" fontId="0" fillId="0" borderId="0" xfId="0"/>
    <xf numFmtId="0" fontId="1" fillId="2" borderId="0" xfId="0" applyFont="1" applyFill="1" applyAlignment="1">
      <alignment horizontal="center"/>
    </xf>
    <xf numFmtId="164" fontId="0" fillId="0" borderId="0" xfId="0" applyNumberFormat="1"/>
    <xf numFmtId="0" fontId="1" fillId="2" borderId="0" xfId="0" applyFont="1" applyFill="1"/>
    <xf numFmtId="0" fontId="2" fillId="0" borderId="0" xfId="0" applyFont="1"/>
    <xf numFmtId="0" fontId="4"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6" fillId="0" borderId="0" xfId="0" applyFont="1" applyAlignment="1">
      <alignment vertical="center" wrapText="1"/>
    </xf>
    <xf numFmtId="3" fontId="0" fillId="0" borderId="0" xfId="0" applyNumberFormat="1" applyAlignment="1">
      <alignment vertical="center" wrapText="1"/>
    </xf>
    <xf numFmtId="0" fontId="0" fillId="0" borderId="1" xfId="0" pivotButton="1" applyBorder="1"/>
    <xf numFmtId="0" fontId="0" fillId="0" borderId="1" xfId="0" applyBorder="1"/>
    <xf numFmtId="0" fontId="0" fillId="0" borderId="1" xfId="0" applyBorder="1" applyAlignment="1">
      <alignment horizontal="left"/>
    </xf>
    <xf numFmtId="0" fontId="5" fillId="3" borderId="0" xfId="1"/>
    <xf numFmtId="0" fontId="5" fillId="3" borderId="0" xfId="1" applyBorder="1"/>
    <xf numFmtId="0" fontId="4" fillId="0" borderId="0" xfId="0" applyFont="1" applyAlignment="1">
      <alignment vertical="center" wrapText="1"/>
    </xf>
    <xf numFmtId="0" fontId="0" fillId="0" borderId="6" xfId="0" applyBorder="1"/>
    <xf numFmtId="0" fontId="4" fillId="0" borderId="0" xfId="0" applyFont="1" applyAlignment="1">
      <alignment horizontal="right" vertical="center" wrapText="1"/>
    </xf>
    <xf numFmtId="3" fontId="4" fillId="0" borderId="0" xfId="0" applyNumberFormat="1" applyFont="1" applyAlignment="1">
      <alignment horizontal="right" vertical="center" wrapText="1"/>
    </xf>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22" fontId="0" fillId="0" borderId="0" xfId="0" applyNumberFormat="1"/>
    <xf numFmtId="164" fontId="0" fillId="0" borderId="1" xfId="0" applyNumberFormat="1" applyBorder="1" applyAlignment="1">
      <alignment horizontal="left"/>
    </xf>
    <xf numFmtId="2" fontId="0" fillId="0" borderId="0" xfId="0" applyNumberFormat="1"/>
    <xf numFmtId="0" fontId="0" fillId="0" borderId="0" xfId="0" applyAlignment="1">
      <alignment wrapText="1"/>
    </xf>
    <xf numFmtId="14" fontId="0" fillId="0" borderId="0" xfId="0" applyNumberFormat="1"/>
    <xf numFmtId="0" fontId="6" fillId="0" borderId="0" xfId="0" applyFont="1"/>
    <xf numFmtId="14" fontId="6" fillId="0" borderId="0" xfId="0" applyNumberFormat="1" applyFont="1"/>
    <xf numFmtId="0" fontId="4" fillId="0" borderId="0" xfId="0" applyFont="1" applyAlignment="1">
      <alignment wrapText="1"/>
    </xf>
    <xf numFmtId="0" fontId="4" fillId="0" borderId="0" xfId="0" applyFont="1" applyAlignment="1">
      <alignment vertical="top" wrapText="1"/>
    </xf>
    <xf numFmtId="0" fontId="0" fillId="0" borderId="10" xfId="0" applyBorder="1"/>
    <xf numFmtId="0" fontId="0" fillId="0" borderId="11" xfId="0" applyBorder="1"/>
    <xf numFmtId="0" fontId="0" fillId="0" borderId="12" xfId="0" applyBorder="1"/>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center" vertical="top" wrapText="1"/>
    </xf>
    <xf numFmtId="0" fontId="7" fillId="4" borderId="1" xfId="2" applyFont="1" applyBorder="1" applyAlignment="1">
      <alignment horizontal="center" vertical="center"/>
    </xf>
    <xf numFmtId="0" fontId="12" fillId="0" borderId="0" xfId="0" applyFont="1" applyAlignment="1">
      <alignment horizontal="left" vertical="center" wrapText="1"/>
    </xf>
    <xf numFmtId="0" fontId="9" fillId="0" borderId="0" xfId="0" applyFont="1" applyAlignment="1">
      <alignment horizontal="left" vertical="center" wrapText="1"/>
    </xf>
    <xf numFmtId="0" fontId="7" fillId="4" borderId="2" xfId="2" applyFont="1" applyBorder="1" applyAlignment="1">
      <alignment horizontal="center" vertical="center"/>
    </xf>
    <xf numFmtId="0" fontId="7" fillId="4" borderId="3" xfId="2" applyFont="1" applyBorder="1" applyAlignment="1">
      <alignment horizontal="center" vertical="center"/>
    </xf>
    <xf numFmtId="0" fontId="7" fillId="4" borderId="4" xfId="2" applyFont="1" applyBorder="1" applyAlignment="1">
      <alignment horizontal="center" vertical="center"/>
    </xf>
    <xf numFmtId="0" fontId="7" fillId="4" borderId="7" xfId="2" applyFont="1" applyBorder="1" applyAlignment="1">
      <alignment horizontal="center" vertical="center"/>
    </xf>
    <xf numFmtId="0" fontId="7" fillId="4" borderId="8" xfId="2" applyFont="1" applyBorder="1" applyAlignment="1">
      <alignment horizontal="center" vertical="center"/>
    </xf>
    <xf numFmtId="0" fontId="7" fillId="4" borderId="9" xfId="2" applyFont="1" applyBorder="1" applyAlignment="1">
      <alignment horizontal="center" vertical="center"/>
    </xf>
    <xf numFmtId="0" fontId="7" fillId="4" borderId="5" xfId="2" applyFont="1" applyBorder="1" applyAlignment="1">
      <alignment horizontal="center" vertical="center"/>
    </xf>
    <xf numFmtId="0" fontId="7" fillId="4" borderId="0" xfId="2" applyFont="1" applyBorder="1" applyAlignment="1">
      <alignment horizontal="center" vertical="center"/>
    </xf>
    <xf numFmtId="0" fontId="8" fillId="4" borderId="5" xfId="2" applyFont="1" applyBorder="1" applyAlignment="1">
      <alignment horizontal="center" vertical="center"/>
    </xf>
    <xf numFmtId="0" fontId="8" fillId="4" borderId="0" xfId="2" applyFont="1" applyBorder="1" applyAlignment="1">
      <alignment horizontal="center" vertical="center"/>
    </xf>
    <xf numFmtId="0" fontId="8" fillId="4" borderId="7" xfId="2" applyFont="1" applyBorder="1" applyAlignment="1">
      <alignment horizontal="center" vertical="center"/>
    </xf>
    <xf numFmtId="0" fontId="8" fillId="4" borderId="8" xfId="2" applyFont="1" applyBorder="1" applyAlignment="1">
      <alignment horizontal="center" vertical="center"/>
    </xf>
    <xf numFmtId="0" fontId="4" fillId="0" borderId="0" xfId="0" applyFont="1" applyAlignment="1">
      <alignment horizontal="center" vertical="center" wrapText="1"/>
    </xf>
  </cellXfs>
  <cellStyles count="3">
    <cellStyle name="60% - Accent2" xfId="2" builtinId="36"/>
    <cellStyle name="Accent1" xfId="1" builtinId="29"/>
    <cellStyle name="Normal" xfId="0" builtinId="0"/>
  </cellStyles>
  <dxfs count="60">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79998168889431442"/>
        </patternFill>
      </fill>
      <border>
        <vertical/>
        <horizontal/>
      </border>
    </dxf>
    <dxf>
      <fill>
        <patternFill>
          <bgColor theme="5" tint="0.79998168889431442"/>
        </patternFill>
      </fill>
      <border>
        <vertical/>
        <horizontal/>
      </border>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39994506668294322"/>
        </patternFill>
      </fill>
      <border>
        <left style="thin">
          <color auto="1"/>
        </left>
        <right style="thin">
          <color auto="1"/>
        </right>
        <top style="thin">
          <color auto="1"/>
        </top>
        <bottom style="thin">
          <color auto="1"/>
        </bottom>
        <vertical/>
        <horizontal/>
      </border>
    </dxf>
    <dxf>
      <numFmt numFmtId="2" formatCode="0.00"/>
    </dxf>
    <dxf>
      <numFmt numFmtId="2" formatCode="0.00"/>
    </dxf>
    <dxf>
      <numFmt numFmtId="19" formatCode="dd/mm/yyyy"/>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[Bike_Sharing_Demand_Analysis_Final.xlsm]Analysis!PivotTable7</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Analysis!$C$19</c:f>
              <c:strCache>
                <c:ptCount val="1"/>
                <c:pt idx="0">
                  <c:v>Sum of cnt</c:v>
                </c:pt>
              </c:strCache>
            </c:strRef>
          </c:tx>
          <c:spPr>
            <a:ln w="28575" cap="rnd">
              <a:solidFill>
                <a:schemeClr val="accent1"/>
              </a:solidFill>
              <a:round/>
            </a:ln>
            <a:effectLst/>
          </c:spPr>
          <c:marker>
            <c:symbol val="none"/>
          </c:marker>
          <c:cat>
            <c:strRef>
              <c:f>Analysis!$B$20:$B$44</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Analysis!$C$20:$C$44</c:f>
              <c:numCache>
                <c:formatCode>General</c:formatCode>
                <c:ptCount val="24"/>
                <c:pt idx="0">
                  <c:v>438</c:v>
                </c:pt>
                <c:pt idx="1">
                  <c:v>295</c:v>
                </c:pt>
                <c:pt idx="2">
                  <c:v>197</c:v>
                </c:pt>
                <c:pt idx="3">
                  <c:v>94</c:v>
                </c:pt>
                <c:pt idx="4">
                  <c:v>44</c:v>
                </c:pt>
                <c:pt idx="5">
                  <c:v>106</c:v>
                </c:pt>
                <c:pt idx="6">
                  <c:v>515</c:v>
                </c:pt>
                <c:pt idx="7">
                  <c:v>1473</c:v>
                </c:pt>
                <c:pt idx="8">
                  <c:v>3549</c:v>
                </c:pt>
                <c:pt idx="9">
                  <c:v>2380</c:v>
                </c:pt>
                <c:pt idx="10">
                  <c:v>1489</c:v>
                </c:pt>
                <c:pt idx="11">
                  <c:v>1626</c:v>
                </c:pt>
                <c:pt idx="12">
                  <c:v>2179</c:v>
                </c:pt>
                <c:pt idx="13">
                  <c:v>2218</c:v>
                </c:pt>
                <c:pt idx="14">
                  <c:v>2134</c:v>
                </c:pt>
                <c:pt idx="15">
                  <c:v>2207</c:v>
                </c:pt>
                <c:pt idx="16">
                  <c:v>2596</c:v>
                </c:pt>
                <c:pt idx="17">
                  <c:v>4028</c:v>
                </c:pt>
                <c:pt idx="18">
                  <c:v>3480</c:v>
                </c:pt>
                <c:pt idx="19">
                  <c:v>2526</c:v>
                </c:pt>
                <c:pt idx="20">
                  <c:v>1757</c:v>
                </c:pt>
                <c:pt idx="21">
                  <c:v>1253</c:v>
                </c:pt>
                <c:pt idx="22">
                  <c:v>951</c:v>
                </c:pt>
                <c:pt idx="23">
                  <c:v>654</c:v>
                </c:pt>
              </c:numCache>
            </c:numRef>
          </c:val>
          <c:smooth val="0"/>
          <c:extLst>
            <c:ext xmlns:c16="http://schemas.microsoft.com/office/drawing/2014/chart" uri="{C3380CC4-5D6E-409C-BE32-E72D297353CC}">
              <c16:uniqueId val="{00000000-A3C8-4AEA-8B67-A6AF362D73F8}"/>
            </c:ext>
          </c:extLst>
        </c:ser>
        <c:ser>
          <c:idx val="1"/>
          <c:order val="1"/>
          <c:tx>
            <c:strRef>
              <c:f>Analysis!$D$19</c:f>
              <c:strCache>
                <c:ptCount val="1"/>
                <c:pt idx="0">
                  <c:v>Sum of Avg Rental per Record</c:v>
                </c:pt>
              </c:strCache>
            </c:strRef>
          </c:tx>
          <c:spPr>
            <a:ln w="28575" cap="rnd">
              <a:solidFill>
                <a:schemeClr val="accent2"/>
              </a:solidFill>
              <a:round/>
            </a:ln>
            <a:effectLst/>
          </c:spPr>
          <c:marker>
            <c:symbol val="none"/>
          </c:marker>
          <c:cat>
            <c:strRef>
              <c:f>Analysis!$B$20:$B$44</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Analysis!$D$20:$D$44</c:f>
              <c:numCache>
                <c:formatCode>General</c:formatCode>
                <c:ptCount val="24"/>
                <c:pt idx="0">
                  <c:v>4.5549084858569053E-2</c:v>
                </c:pt>
                <c:pt idx="1">
                  <c:v>3.0585795749092794E-2</c:v>
                </c:pt>
                <c:pt idx="2">
                  <c:v>2.1657871591908531E-2</c:v>
                </c:pt>
                <c:pt idx="3">
                  <c:v>1.3080990815474534E-2</c:v>
                </c:pt>
                <c:pt idx="4">
                  <c:v>6.0807075732448868E-3</c:v>
                </c:pt>
                <c:pt idx="5">
                  <c:v>1.2319851231985124E-2</c:v>
                </c:pt>
                <c:pt idx="6">
                  <c:v>5.6463107115447865E-2</c:v>
                </c:pt>
                <c:pt idx="7">
                  <c:v>0.15035214861692356</c:v>
                </c:pt>
                <c:pt idx="8">
                  <c:v>0.36118461225320581</c:v>
                </c:pt>
                <c:pt idx="9">
                  <c:v>0.24150177574835108</c:v>
                </c:pt>
                <c:pt idx="10">
                  <c:v>0.15064751112909752</c:v>
                </c:pt>
                <c:pt idx="11">
                  <c:v>0.16402703520629477</c:v>
                </c:pt>
                <c:pt idx="12">
                  <c:v>0.21075539220427508</c:v>
                </c:pt>
                <c:pt idx="13">
                  <c:v>0.21390683768926608</c:v>
                </c:pt>
                <c:pt idx="14">
                  <c:v>0.20521203961919415</c:v>
                </c:pt>
                <c:pt idx="15">
                  <c:v>0.21162144021478568</c:v>
                </c:pt>
                <c:pt idx="16">
                  <c:v>0.23499592649588125</c:v>
                </c:pt>
                <c:pt idx="17">
                  <c:v>0.36360353854486371</c:v>
                </c:pt>
                <c:pt idx="18">
                  <c:v>0.3307670373538637</c:v>
                </c:pt>
                <c:pt idx="19">
                  <c:v>0.23940858686380437</c:v>
                </c:pt>
                <c:pt idx="20">
                  <c:v>0.16605235800018903</c:v>
                </c:pt>
                <c:pt idx="21">
                  <c:v>0.11808500612571859</c:v>
                </c:pt>
                <c:pt idx="22">
                  <c:v>8.9371299689878766E-2</c:v>
                </c:pt>
                <c:pt idx="23">
                  <c:v>6.1287601911723361E-2</c:v>
                </c:pt>
              </c:numCache>
            </c:numRef>
          </c:val>
          <c:smooth val="0"/>
          <c:extLst>
            <c:ext xmlns:c16="http://schemas.microsoft.com/office/drawing/2014/chart" uri="{C3380CC4-5D6E-409C-BE32-E72D297353CC}">
              <c16:uniqueId val="{00000000-14D8-4E0A-B6A4-35D114A1B607}"/>
            </c:ext>
          </c:extLst>
        </c:ser>
        <c:dLbls>
          <c:showLegendKey val="0"/>
          <c:showVal val="0"/>
          <c:showCatName val="0"/>
          <c:showSerName val="0"/>
          <c:showPercent val="0"/>
          <c:showBubbleSize val="0"/>
        </c:dLbls>
        <c:smooth val="0"/>
        <c:axId val="184419103"/>
        <c:axId val="267858863"/>
      </c:lineChart>
      <c:catAx>
        <c:axId val="18441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858863"/>
        <c:crosses val="autoZero"/>
        <c:auto val="1"/>
        <c:lblAlgn val="ctr"/>
        <c:lblOffset val="100"/>
        <c:noMultiLvlLbl val="0"/>
      </c:catAx>
      <c:valAx>
        <c:axId val="267858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4191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[Bike_Sharing_Demand_Analysis_Final.xlsm]Analysis!PivotTable8</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Analysis!$C$54</c:f>
              <c:strCache>
                <c:ptCount val="1"/>
                <c:pt idx="0">
                  <c:v>Total</c:v>
                </c:pt>
              </c:strCache>
            </c:strRef>
          </c:tx>
          <c:spPr>
            <a:solidFill>
              <a:schemeClr val="accent1"/>
            </a:solidFill>
            <a:ln>
              <a:noFill/>
            </a:ln>
            <a:effectLst/>
          </c:spPr>
          <c:invertIfNegative val="0"/>
          <c:cat>
            <c:strRef>
              <c:f>Analysis!$B$55:$B$59</c:f>
              <c:strCache>
                <c:ptCount val="4"/>
                <c:pt idx="0">
                  <c:v>Clear</c:v>
                </c:pt>
                <c:pt idx="1">
                  <c:v>Heavy Rain/Snow</c:v>
                </c:pt>
                <c:pt idx="2">
                  <c:v>Light Rain/Snow</c:v>
                </c:pt>
                <c:pt idx="3">
                  <c:v>Mist/Cloudy</c:v>
                </c:pt>
              </c:strCache>
            </c:strRef>
          </c:cat>
          <c:val>
            <c:numRef>
              <c:f>Analysis!$C$55:$C$59</c:f>
              <c:numCache>
                <c:formatCode>General</c:formatCode>
                <c:ptCount val="4"/>
                <c:pt idx="0">
                  <c:v>24086</c:v>
                </c:pt>
                <c:pt idx="1">
                  <c:v>36</c:v>
                </c:pt>
                <c:pt idx="2">
                  <c:v>1597</c:v>
                </c:pt>
                <c:pt idx="3">
                  <c:v>12470</c:v>
                </c:pt>
              </c:numCache>
            </c:numRef>
          </c:val>
          <c:extLst>
            <c:ext xmlns:c16="http://schemas.microsoft.com/office/drawing/2014/chart" uri="{C3380CC4-5D6E-409C-BE32-E72D297353CC}">
              <c16:uniqueId val="{00000000-D417-463B-90E0-D66A325CEA59}"/>
            </c:ext>
          </c:extLst>
        </c:ser>
        <c:dLbls>
          <c:showLegendKey val="0"/>
          <c:showVal val="0"/>
          <c:showCatName val="0"/>
          <c:showSerName val="0"/>
          <c:showPercent val="0"/>
          <c:showBubbleSize val="0"/>
        </c:dLbls>
        <c:gapWidth val="219"/>
        <c:overlap val="-27"/>
        <c:axId val="674228368"/>
        <c:axId val="468190768"/>
      </c:barChart>
      <c:catAx>
        <c:axId val="67422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90768"/>
        <c:crosses val="autoZero"/>
        <c:auto val="1"/>
        <c:lblAlgn val="ctr"/>
        <c:lblOffset val="100"/>
        <c:noMultiLvlLbl val="0"/>
      </c:catAx>
      <c:valAx>
        <c:axId val="468190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228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[Bike_Sharing_Demand_Analysis_Final.xlsm]Analysis!PivotTable1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Analysis!$B$65</c:f>
              <c:strCache>
                <c:ptCount val="1"/>
                <c:pt idx="0">
                  <c:v>Sum of registered</c:v>
                </c:pt>
              </c:strCache>
            </c:strRef>
          </c:tx>
          <c:spPr>
            <a:solidFill>
              <a:schemeClr val="accent1"/>
            </a:solidFill>
            <a:ln>
              <a:noFill/>
            </a:ln>
            <a:effectLst/>
          </c:spPr>
          <c:invertIfNegative val="0"/>
          <c:cat>
            <c:strRef>
              <c:f>Analysis!$B$66</c:f>
              <c:strCache>
                <c:ptCount val="1"/>
                <c:pt idx="0">
                  <c:v>Total</c:v>
                </c:pt>
              </c:strCache>
            </c:strRef>
          </c:cat>
          <c:val>
            <c:numRef>
              <c:f>Analysis!$B$66</c:f>
              <c:numCache>
                <c:formatCode>General</c:formatCode>
                <c:ptCount val="1"/>
                <c:pt idx="0">
                  <c:v>35116</c:v>
                </c:pt>
              </c:numCache>
            </c:numRef>
          </c:val>
          <c:extLst>
            <c:ext xmlns:c16="http://schemas.microsoft.com/office/drawing/2014/chart" uri="{C3380CC4-5D6E-409C-BE32-E72D297353CC}">
              <c16:uniqueId val="{00000000-4708-4932-8800-87C7E86CB812}"/>
            </c:ext>
          </c:extLst>
        </c:ser>
        <c:ser>
          <c:idx val="1"/>
          <c:order val="1"/>
          <c:tx>
            <c:strRef>
              <c:f>Analysis!$C$65</c:f>
              <c:strCache>
                <c:ptCount val="1"/>
                <c:pt idx="0">
                  <c:v>Sum of casual</c:v>
                </c:pt>
              </c:strCache>
            </c:strRef>
          </c:tx>
          <c:spPr>
            <a:solidFill>
              <a:schemeClr val="accent2"/>
            </a:solidFill>
            <a:ln>
              <a:noFill/>
            </a:ln>
            <a:effectLst/>
          </c:spPr>
          <c:invertIfNegative val="0"/>
          <c:cat>
            <c:strRef>
              <c:f>Analysis!$B$66</c:f>
              <c:strCache>
                <c:ptCount val="1"/>
                <c:pt idx="0">
                  <c:v>Total</c:v>
                </c:pt>
              </c:strCache>
            </c:strRef>
          </c:cat>
          <c:val>
            <c:numRef>
              <c:f>Analysis!$C$66</c:f>
              <c:numCache>
                <c:formatCode>General</c:formatCode>
                <c:ptCount val="1"/>
                <c:pt idx="0">
                  <c:v>3073</c:v>
                </c:pt>
              </c:numCache>
            </c:numRef>
          </c:val>
          <c:extLst>
            <c:ext xmlns:c16="http://schemas.microsoft.com/office/drawing/2014/chart" uri="{C3380CC4-5D6E-409C-BE32-E72D297353CC}">
              <c16:uniqueId val="{00000001-4708-4932-8800-87C7E86CB812}"/>
            </c:ext>
          </c:extLst>
        </c:ser>
        <c:dLbls>
          <c:showLegendKey val="0"/>
          <c:showVal val="0"/>
          <c:showCatName val="0"/>
          <c:showSerName val="0"/>
          <c:showPercent val="0"/>
          <c:showBubbleSize val="0"/>
        </c:dLbls>
        <c:gapWidth val="219"/>
        <c:overlap val="-27"/>
        <c:axId val="674222336"/>
        <c:axId val="468199888"/>
      </c:barChart>
      <c:catAx>
        <c:axId val="67422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99888"/>
        <c:crosses val="autoZero"/>
        <c:auto val="1"/>
        <c:lblAlgn val="ctr"/>
        <c:lblOffset val="100"/>
        <c:noMultiLvlLbl val="0"/>
      </c:catAx>
      <c:valAx>
        <c:axId val="468199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222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[Bike_Sharing_Demand_Analysis_Final.xlsm]Analysis!PivotTable2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Analysis!$C$72</c:f>
              <c:strCache>
                <c:ptCount val="1"/>
                <c:pt idx="0">
                  <c:v>Total</c:v>
                </c:pt>
              </c:strCache>
            </c:strRef>
          </c:tx>
          <c:spPr>
            <a:solidFill>
              <a:schemeClr val="accent1"/>
            </a:solidFill>
            <a:ln>
              <a:noFill/>
            </a:ln>
            <a:effectLst/>
          </c:spPr>
          <c:invertIfNegative val="0"/>
          <c:cat>
            <c:strRef>
              <c:f>Analysis!$B$73:$B$77</c:f>
              <c:strCache>
                <c:ptCount val="4"/>
                <c:pt idx="0">
                  <c:v>Sunday</c:v>
                </c:pt>
                <c:pt idx="1">
                  <c:v>Saturday</c:v>
                </c:pt>
                <c:pt idx="2">
                  <c:v>Holiday</c:v>
                </c:pt>
                <c:pt idx="3">
                  <c:v>Weekday</c:v>
                </c:pt>
              </c:strCache>
            </c:strRef>
          </c:cat>
          <c:val>
            <c:numRef>
              <c:f>Analysis!$C$73:$C$77</c:f>
              <c:numCache>
                <c:formatCode>General</c:formatCode>
                <c:ptCount val="4"/>
                <c:pt idx="0">
                  <c:v>4909</c:v>
                </c:pt>
                <c:pt idx="1">
                  <c:v>5271</c:v>
                </c:pt>
                <c:pt idx="2">
                  <c:v>1000</c:v>
                </c:pt>
                <c:pt idx="3">
                  <c:v>27009</c:v>
                </c:pt>
              </c:numCache>
            </c:numRef>
          </c:val>
          <c:extLst>
            <c:ext xmlns:c16="http://schemas.microsoft.com/office/drawing/2014/chart" uri="{C3380CC4-5D6E-409C-BE32-E72D297353CC}">
              <c16:uniqueId val="{00000000-5644-497F-B809-5F90B90F3500}"/>
            </c:ext>
          </c:extLst>
        </c:ser>
        <c:dLbls>
          <c:showLegendKey val="0"/>
          <c:showVal val="0"/>
          <c:showCatName val="0"/>
          <c:showSerName val="0"/>
          <c:showPercent val="0"/>
          <c:showBubbleSize val="0"/>
        </c:dLbls>
        <c:gapWidth val="219"/>
        <c:overlap val="-27"/>
        <c:axId val="1336852640"/>
        <c:axId val="1672099856"/>
      </c:barChart>
      <c:catAx>
        <c:axId val="133685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2099856"/>
        <c:crosses val="autoZero"/>
        <c:auto val="1"/>
        <c:lblAlgn val="ctr"/>
        <c:lblOffset val="100"/>
        <c:noMultiLvlLbl val="0"/>
      </c:catAx>
      <c:valAx>
        <c:axId val="167209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68526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Forecast_result!$B$1</c:f>
              <c:strCache>
                <c:ptCount val="1"/>
                <c:pt idx="0">
                  <c:v>Daily Rentals</c:v>
                </c:pt>
              </c:strCache>
            </c:strRef>
          </c:tx>
          <c:spPr>
            <a:ln w="28575" cap="rnd">
              <a:solidFill>
                <a:schemeClr val="accent1"/>
              </a:solidFill>
              <a:round/>
            </a:ln>
            <a:effectLst/>
          </c:spPr>
          <c:marker>
            <c:symbol val="none"/>
          </c:marker>
          <c:val>
            <c:numRef>
              <c:f>Forecast_result!$B$2:$B$60</c:f>
              <c:numCache>
                <c:formatCode>General</c:formatCode>
                <c:ptCount val="59"/>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978A-4F9D-857D-08947DA7082D}"/>
            </c:ext>
          </c:extLst>
        </c:ser>
        <c:ser>
          <c:idx val="1"/>
          <c:order val="1"/>
          <c:tx>
            <c:strRef>
              <c:f>Forecast_result!$C$1</c:f>
              <c:strCache>
                <c:ptCount val="1"/>
                <c:pt idx="0">
                  <c:v>Forecast(Daily Rentals)</c:v>
                </c:pt>
              </c:strCache>
            </c:strRef>
          </c:tx>
          <c:spPr>
            <a:ln w="25400" cap="rnd">
              <a:solidFill>
                <a:schemeClr val="accent2"/>
              </a:solidFill>
              <a:round/>
            </a:ln>
            <a:effectLst/>
          </c:spPr>
          <c:marker>
            <c:symbol val="none"/>
          </c:marker>
          <c:cat>
            <c:numRef>
              <c:f>Forecast_result!$A$2:$A$60</c:f>
              <c:numCache>
                <c:formatCode>m/d/yyyy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Forecast_result!$C$2:$C$60</c:f>
              <c:numCache>
                <c:formatCode>General</c:formatCode>
                <c:ptCount val="59"/>
                <c:pt idx="44">
                  <c:v>151</c:v>
                </c:pt>
                <c:pt idx="45">
                  <c:v>1387.2167441635288</c:v>
                </c:pt>
                <c:pt idx="46">
                  <c:v>1392.5597746183603</c:v>
                </c:pt>
                <c:pt idx="47">
                  <c:v>1397.902805073192</c:v>
                </c:pt>
                <c:pt idx="48">
                  <c:v>1403.2458355280237</c:v>
                </c:pt>
                <c:pt idx="49">
                  <c:v>1408.5888659828554</c:v>
                </c:pt>
                <c:pt idx="50">
                  <c:v>1413.9318964376871</c:v>
                </c:pt>
                <c:pt idx="51">
                  <c:v>1419.2749268925186</c:v>
                </c:pt>
                <c:pt idx="52">
                  <c:v>1424.6179573473503</c:v>
                </c:pt>
                <c:pt idx="53">
                  <c:v>1429.960987802182</c:v>
                </c:pt>
                <c:pt idx="54">
                  <c:v>1435.3040182570135</c:v>
                </c:pt>
                <c:pt idx="55">
                  <c:v>1440.6470487118452</c:v>
                </c:pt>
                <c:pt idx="56">
                  <c:v>1445.9900791666769</c:v>
                </c:pt>
                <c:pt idx="57">
                  <c:v>1451.3331096215086</c:v>
                </c:pt>
                <c:pt idx="58">
                  <c:v>1456.6761400763403</c:v>
                </c:pt>
              </c:numCache>
            </c:numRef>
          </c:val>
          <c:smooth val="0"/>
          <c:extLst>
            <c:ext xmlns:c16="http://schemas.microsoft.com/office/drawing/2014/chart" uri="{C3380CC4-5D6E-409C-BE32-E72D297353CC}">
              <c16:uniqueId val="{00000001-978A-4F9D-857D-08947DA7082D}"/>
            </c:ext>
          </c:extLst>
        </c:ser>
        <c:ser>
          <c:idx val="2"/>
          <c:order val="2"/>
          <c:tx>
            <c:strRef>
              <c:f>Forecast_result!$D$1</c:f>
              <c:strCache>
                <c:ptCount val="1"/>
                <c:pt idx="0">
                  <c:v>Lower Confidence Bound(Daily Rentals)</c:v>
                </c:pt>
              </c:strCache>
            </c:strRef>
          </c:tx>
          <c:spPr>
            <a:ln w="12700" cap="rnd">
              <a:solidFill>
                <a:srgbClr val="C0504D"/>
              </a:solidFill>
              <a:prstDash val="solid"/>
              <a:round/>
            </a:ln>
            <a:effectLst/>
          </c:spPr>
          <c:marker>
            <c:symbol val="none"/>
          </c:marker>
          <c:cat>
            <c:numRef>
              <c:f>Forecast_result!$A$2:$A$60</c:f>
              <c:numCache>
                <c:formatCode>m/d/yyyy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Forecast_result!$D$2:$D$60</c:f>
              <c:numCache>
                <c:formatCode>General</c:formatCode>
                <c:ptCount val="59"/>
                <c:pt idx="44" formatCode="0.00">
                  <c:v>151</c:v>
                </c:pt>
                <c:pt idx="45" formatCode="0.00">
                  <c:v>585.50542669163815</c:v>
                </c:pt>
                <c:pt idx="46" formatCode="0.00">
                  <c:v>586.76970401902065</c:v>
                </c:pt>
                <c:pt idx="47" formatCode="0.00">
                  <c:v>587.97397139650093</c:v>
                </c:pt>
                <c:pt idx="48" formatCode="0.00">
                  <c:v>589.11835455358994</c:v>
                </c:pt>
                <c:pt idx="49" formatCode="0.00">
                  <c:v>590.2029898038752</c:v>
                </c:pt>
                <c:pt idx="50" formatCode="0.00">
                  <c:v>591.22802367584165</c:v>
                </c:pt>
                <c:pt idx="51" formatCode="0.00">
                  <c:v>592.19361254419198</c:v>
                </c:pt>
                <c:pt idx="52" formatCode="0.00">
                  <c:v>593.09992226226586</c:v>
                </c:pt>
                <c:pt idx="53" formatCode="0.00">
                  <c:v>593.94712779612632</c:v>
                </c:pt>
                <c:pt idx="54" formatCode="0.00">
                  <c:v>594.73541286086618</c:v>
                </c:pt>
                <c:pt idx="55" formatCode="0.00">
                  <c:v>595.46496955964824</c:v>
                </c:pt>
                <c:pt idx="56" formatCode="0.00">
                  <c:v>596.13599802596889</c:v>
                </c:pt>
                <c:pt idx="57" formatCode="0.00">
                  <c:v>596.74870606960815</c:v>
                </c:pt>
                <c:pt idx="58" formatCode="0.00">
                  <c:v>597.30330882669921</c:v>
                </c:pt>
              </c:numCache>
            </c:numRef>
          </c:val>
          <c:smooth val="0"/>
          <c:extLst>
            <c:ext xmlns:c16="http://schemas.microsoft.com/office/drawing/2014/chart" uri="{C3380CC4-5D6E-409C-BE32-E72D297353CC}">
              <c16:uniqueId val="{00000002-978A-4F9D-857D-08947DA7082D}"/>
            </c:ext>
          </c:extLst>
        </c:ser>
        <c:ser>
          <c:idx val="3"/>
          <c:order val="3"/>
          <c:tx>
            <c:strRef>
              <c:f>Forecast_result!$E$1</c:f>
              <c:strCache>
                <c:ptCount val="1"/>
                <c:pt idx="0">
                  <c:v>Upper Confidence Bound(Daily Rentals)</c:v>
                </c:pt>
              </c:strCache>
            </c:strRef>
          </c:tx>
          <c:spPr>
            <a:ln w="12700" cap="rnd">
              <a:solidFill>
                <a:srgbClr val="C0504D"/>
              </a:solidFill>
              <a:prstDash val="solid"/>
              <a:round/>
            </a:ln>
            <a:effectLst/>
          </c:spPr>
          <c:marker>
            <c:symbol val="none"/>
          </c:marker>
          <c:cat>
            <c:numRef>
              <c:f>Forecast_result!$A$2:$A$60</c:f>
              <c:numCache>
                <c:formatCode>m/d/yyyy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Forecast_result!$E$2:$E$60</c:f>
              <c:numCache>
                <c:formatCode>General</c:formatCode>
                <c:ptCount val="59"/>
                <c:pt idx="44" formatCode="0.00">
                  <c:v>151</c:v>
                </c:pt>
                <c:pt idx="45" formatCode="0.00">
                  <c:v>2188.9280616354195</c:v>
                </c:pt>
                <c:pt idx="46" formatCode="0.00">
                  <c:v>2198.3498452177</c:v>
                </c:pt>
                <c:pt idx="47" formatCode="0.00">
                  <c:v>2207.831638749883</c:v>
                </c:pt>
                <c:pt idx="48" formatCode="0.00">
                  <c:v>2217.3733165024573</c:v>
                </c:pt>
                <c:pt idx="49" formatCode="0.00">
                  <c:v>2226.9747421618358</c:v>
                </c:pt>
                <c:pt idx="50" formatCode="0.00">
                  <c:v>2236.6357691995327</c:v>
                </c:pt>
                <c:pt idx="51" formatCode="0.00">
                  <c:v>2246.3562412408451</c:v>
                </c:pt>
                <c:pt idx="52" formatCode="0.00">
                  <c:v>2256.1359924324347</c:v>
                </c:pt>
                <c:pt idx="53" formatCode="0.00">
                  <c:v>2265.9748478082374</c:v>
                </c:pt>
                <c:pt idx="54" formatCode="0.00">
                  <c:v>2275.8726236531606</c:v>
                </c:pt>
                <c:pt idx="55" formatCode="0.00">
                  <c:v>2285.8291278640422</c:v>
                </c:pt>
                <c:pt idx="56" formatCode="0.00">
                  <c:v>2295.8441603073848</c:v>
                </c:pt>
                <c:pt idx="57" formatCode="0.00">
                  <c:v>2305.9175131734091</c:v>
                </c:pt>
                <c:pt idx="58" formatCode="0.00">
                  <c:v>2316.0489713259813</c:v>
                </c:pt>
              </c:numCache>
            </c:numRef>
          </c:val>
          <c:smooth val="0"/>
          <c:extLst>
            <c:ext xmlns:c16="http://schemas.microsoft.com/office/drawing/2014/chart" uri="{C3380CC4-5D6E-409C-BE32-E72D297353CC}">
              <c16:uniqueId val="{00000003-978A-4F9D-857D-08947DA7082D}"/>
            </c:ext>
          </c:extLst>
        </c:ser>
        <c:dLbls>
          <c:showLegendKey val="0"/>
          <c:showVal val="0"/>
          <c:showCatName val="0"/>
          <c:showSerName val="0"/>
          <c:showPercent val="0"/>
          <c:showBubbleSize val="0"/>
        </c:dLbls>
        <c:smooth val="0"/>
        <c:axId val="542615328"/>
        <c:axId val="1751011760"/>
      </c:lineChart>
      <c:catAx>
        <c:axId val="542615328"/>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011760"/>
        <c:crosses val="autoZero"/>
        <c:auto val="1"/>
        <c:lblAlgn val="ctr"/>
        <c:lblOffset val="100"/>
        <c:noMultiLvlLbl val="0"/>
      </c:catAx>
      <c:valAx>
        <c:axId val="175101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61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335280</xdr:colOff>
          <xdr:row>21</xdr:row>
          <xdr:rowOff>30480</xdr:rowOff>
        </xdr:from>
        <xdr:to>
          <xdr:col>1</xdr:col>
          <xdr:colOff>678180</xdr:colOff>
          <xdr:row>25</xdr:row>
          <xdr:rowOff>91440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1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Run Full Automated Workflow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167640</xdr:colOff>
      <xdr:row>12</xdr:row>
      <xdr:rowOff>45720</xdr:rowOff>
    </xdr:from>
    <xdr:to>
      <xdr:col>0</xdr:col>
      <xdr:colOff>4739640</xdr:colOff>
      <xdr:row>27</xdr:row>
      <xdr:rowOff>45720</xdr:rowOff>
    </xdr:to>
    <xdr:graphicFrame macro="">
      <xdr:nvGraphicFramePr>
        <xdr:cNvPr id="2" name="Chart 1">
          <a:extLst>
            <a:ext uri="{FF2B5EF4-FFF2-40B4-BE49-F238E27FC236}">
              <a16:creationId xmlns:a16="http://schemas.microsoft.com/office/drawing/2014/main" id="{1F540B9E-A8E2-4520-A188-C46E9D6BC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220980</xdr:colOff>
      <xdr:row>34</xdr:row>
      <xdr:rowOff>45720</xdr:rowOff>
    </xdr:from>
    <xdr:to>
      <xdr:col>0</xdr:col>
      <xdr:colOff>4792980</xdr:colOff>
      <xdr:row>49</xdr:row>
      <xdr:rowOff>45720</xdr:rowOff>
    </xdr:to>
    <xdr:graphicFrame macro="">
      <xdr:nvGraphicFramePr>
        <xdr:cNvPr id="3" name="Chart 2">
          <a:extLst>
            <a:ext uri="{FF2B5EF4-FFF2-40B4-BE49-F238E27FC236}">
              <a16:creationId xmlns:a16="http://schemas.microsoft.com/office/drawing/2014/main" id="{A6CF677C-2837-4882-BC4E-FB20C541A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312420</xdr:colOff>
      <xdr:row>54</xdr:row>
      <xdr:rowOff>106680</xdr:rowOff>
    </xdr:from>
    <xdr:to>
      <xdr:col>1</xdr:col>
      <xdr:colOff>83820</xdr:colOff>
      <xdr:row>69</xdr:row>
      <xdr:rowOff>106680</xdr:rowOff>
    </xdr:to>
    <xdr:graphicFrame macro="">
      <xdr:nvGraphicFramePr>
        <xdr:cNvPr id="4" name="Chart 3">
          <a:extLst>
            <a:ext uri="{FF2B5EF4-FFF2-40B4-BE49-F238E27FC236}">
              <a16:creationId xmlns:a16="http://schemas.microsoft.com/office/drawing/2014/main" id="{A2899F94-89D5-4AC2-A0EB-C6923FC5BA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190500</xdr:colOff>
      <xdr:row>74</xdr:row>
      <xdr:rowOff>60960</xdr:rowOff>
    </xdr:from>
    <xdr:to>
      <xdr:col>0</xdr:col>
      <xdr:colOff>4762500</xdr:colOff>
      <xdr:row>89</xdr:row>
      <xdr:rowOff>60960</xdr:rowOff>
    </xdr:to>
    <xdr:graphicFrame macro="">
      <xdr:nvGraphicFramePr>
        <xdr:cNvPr id="5" name="Weekday vs weekend">
          <a:extLst>
            <a:ext uri="{FF2B5EF4-FFF2-40B4-BE49-F238E27FC236}">
              <a16:creationId xmlns:a16="http://schemas.microsoft.com/office/drawing/2014/main" id="{4985618D-C22A-460B-9C90-8E64A1F63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571500</xdr:colOff>
      <xdr:row>33</xdr:row>
      <xdr:rowOff>68580</xdr:rowOff>
    </xdr:from>
    <xdr:to>
      <xdr:col>4</xdr:col>
      <xdr:colOff>571500</xdr:colOff>
      <xdr:row>46</xdr:row>
      <xdr:rowOff>158115</xdr:rowOff>
    </xdr:to>
    <mc:AlternateContent xmlns:mc="http://schemas.openxmlformats.org/markup-compatibility/2006" xmlns:a14="http://schemas.microsoft.com/office/drawing/2010/main">
      <mc:Choice Requires="a14">
        <xdr:graphicFrame macro="">
          <xdr:nvGraphicFramePr>
            <xdr:cNvPr id="6" name="weather_category">
              <a:extLst>
                <a:ext uri="{FF2B5EF4-FFF2-40B4-BE49-F238E27FC236}">
                  <a16:creationId xmlns:a16="http://schemas.microsoft.com/office/drawing/2014/main" id="{EC8D3E37-CBA6-35B4-6387-941D16B177F0}"/>
                </a:ext>
              </a:extLst>
            </xdr:cNvPr>
            <xdr:cNvGraphicFramePr/>
          </xdr:nvGraphicFramePr>
          <xdr:xfrm>
            <a:off x="0" y="0"/>
            <a:ext cx="0" cy="0"/>
          </xdr:xfrm>
          <a:graphic>
            <a:graphicData uri="http://schemas.microsoft.com/office/drawing/2010/slicer">
              <sle:slicer xmlns:sle="http://schemas.microsoft.com/office/drawing/2010/slicer" name="weather_category"/>
            </a:graphicData>
          </a:graphic>
        </xdr:graphicFrame>
      </mc:Choice>
      <mc:Fallback xmlns="">
        <xdr:sp macro="" textlink="">
          <xdr:nvSpPr>
            <xdr:cNvPr id="0" name=""/>
            <xdr:cNvSpPr>
              <a:spLocks noTextEdit="1"/>
            </xdr:cNvSpPr>
          </xdr:nvSpPr>
          <xdr:spPr>
            <a:xfrm>
              <a:off x="5372100" y="61036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464820</xdr:colOff>
      <xdr:row>75</xdr:row>
      <xdr:rowOff>0</xdr:rowOff>
    </xdr:from>
    <xdr:to>
      <xdr:col>4</xdr:col>
      <xdr:colOff>464820</xdr:colOff>
      <xdr:row>88</xdr:row>
      <xdr:rowOff>89535</xdr:rowOff>
    </xdr:to>
    <mc:AlternateContent xmlns:mc="http://schemas.openxmlformats.org/markup-compatibility/2006" xmlns:a14="http://schemas.microsoft.com/office/drawing/2010/main">
      <mc:Choice Requires="a14">
        <xdr:graphicFrame macro="">
          <xdr:nvGraphicFramePr>
            <xdr:cNvPr id="7" name="day_type">
              <a:extLst>
                <a:ext uri="{FF2B5EF4-FFF2-40B4-BE49-F238E27FC236}">
                  <a16:creationId xmlns:a16="http://schemas.microsoft.com/office/drawing/2014/main" id="{3F7DAC2B-4A2F-5357-2EBB-32F7ECBE6691}"/>
                </a:ext>
              </a:extLst>
            </xdr:cNvPr>
            <xdr:cNvGraphicFramePr/>
          </xdr:nvGraphicFramePr>
          <xdr:xfrm>
            <a:off x="0" y="0"/>
            <a:ext cx="0" cy="0"/>
          </xdr:xfrm>
          <a:graphic>
            <a:graphicData uri="http://schemas.microsoft.com/office/drawing/2010/slicer">
              <sle:slicer xmlns:sle="http://schemas.microsoft.com/office/drawing/2010/slicer" name="day_type"/>
            </a:graphicData>
          </a:graphic>
        </xdr:graphicFrame>
      </mc:Choice>
      <mc:Fallback xmlns="">
        <xdr:sp macro="" textlink="">
          <xdr:nvSpPr>
            <xdr:cNvPr id="0" name=""/>
            <xdr:cNvSpPr>
              <a:spLocks noTextEdit="1"/>
            </xdr:cNvSpPr>
          </xdr:nvSpPr>
          <xdr:spPr>
            <a:xfrm>
              <a:off x="5265420" y="137160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943069</xdr:colOff>
      <xdr:row>95</xdr:row>
      <xdr:rowOff>75446</xdr:rowOff>
    </xdr:from>
    <xdr:to>
      <xdr:col>0</xdr:col>
      <xdr:colOff>2263366</xdr:colOff>
      <xdr:row>101</xdr:row>
      <xdr:rowOff>67901</xdr:rowOff>
    </xdr:to>
    <xdr:sp macro="" textlink="">
      <xdr:nvSpPr>
        <xdr:cNvPr id="8" name="Trapezoid 7">
          <a:extLst>
            <a:ext uri="{FF2B5EF4-FFF2-40B4-BE49-F238E27FC236}">
              <a16:creationId xmlns:a16="http://schemas.microsoft.com/office/drawing/2014/main" id="{9B9C850C-5226-1D35-3F37-0C0B279268B8}"/>
            </a:ext>
          </a:extLst>
        </xdr:cNvPr>
        <xdr:cNvSpPr/>
      </xdr:nvSpPr>
      <xdr:spPr>
        <a:xfrm>
          <a:off x="943069" y="17277030"/>
          <a:ext cx="1320297" cy="1078871"/>
        </a:xfrm>
        <a:prstGeom prst="trapezoi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Original Records — 1,000</a:t>
          </a:r>
          <a:endParaRPr lang="en-IN" sz="1100" b="1"/>
        </a:p>
      </xdr:txBody>
    </xdr:sp>
    <xdr:clientData/>
  </xdr:twoCellAnchor>
  <xdr:twoCellAnchor>
    <xdr:from>
      <xdr:col>0</xdr:col>
      <xdr:colOff>937335</xdr:colOff>
      <xdr:row>102</xdr:row>
      <xdr:rowOff>112364</xdr:rowOff>
    </xdr:from>
    <xdr:to>
      <xdr:col>0</xdr:col>
      <xdr:colOff>2257632</xdr:colOff>
      <xdr:row>108</xdr:row>
      <xdr:rowOff>104819</xdr:rowOff>
    </xdr:to>
    <xdr:sp macro="" textlink="">
      <xdr:nvSpPr>
        <xdr:cNvPr id="9" name="Trapezoid 8">
          <a:extLst>
            <a:ext uri="{FF2B5EF4-FFF2-40B4-BE49-F238E27FC236}">
              <a16:creationId xmlns:a16="http://schemas.microsoft.com/office/drawing/2014/main" id="{3C452213-B259-42A6-B393-FBA94A6C9560}"/>
            </a:ext>
          </a:extLst>
        </xdr:cNvPr>
        <xdr:cNvSpPr/>
      </xdr:nvSpPr>
      <xdr:spPr>
        <a:xfrm>
          <a:off x="937335" y="18766124"/>
          <a:ext cx="1320297" cy="1089735"/>
        </a:xfrm>
        <a:prstGeom prst="trapezoi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Valid Instant IDs — 1,000</a:t>
          </a:r>
          <a:endParaRPr lang="en-IN" sz="1100"/>
        </a:p>
      </xdr:txBody>
    </xdr:sp>
    <xdr:clientData/>
  </xdr:twoCellAnchor>
  <xdr:twoCellAnchor>
    <xdr:from>
      <xdr:col>0</xdr:col>
      <xdr:colOff>980389</xdr:colOff>
      <xdr:row>109</xdr:row>
      <xdr:rowOff>88624</xdr:rowOff>
    </xdr:from>
    <xdr:to>
      <xdr:col>0</xdr:col>
      <xdr:colOff>2308029</xdr:colOff>
      <xdr:row>115</xdr:row>
      <xdr:rowOff>81079</xdr:rowOff>
    </xdr:to>
    <xdr:sp macro="" textlink="">
      <xdr:nvSpPr>
        <xdr:cNvPr id="10" name="Trapezoid 9">
          <a:extLst>
            <a:ext uri="{FF2B5EF4-FFF2-40B4-BE49-F238E27FC236}">
              <a16:creationId xmlns:a16="http://schemas.microsoft.com/office/drawing/2014/main" id="{FEE7ABFD-171A-4304-85B7-6B6F0DBB0A31}"/>
            </a:ext>
          </a:extLst>
        </xdr:cNvPr>
        <xdr:cNvSpPr/>
      </xdr:nvSpPr>
      <xdr:spPr>
        <a:xfrm>
          <a:off x="980389" y="20022544"/>
          <a:ext cx="1327640" cy="1089735"/>
        </a:xfrm>
        <a:prstGeom prst="trapezoi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Valid Rental Totals — 1,000</a:t>
          </a:r>
          <a:endParaRPr lang="en-IN" sz="1100"/>
        </a:p>
      </xdr:txBody>
    </xdr:sp>
    <xdr:clientData/>
  </xdr:twoCellAnchor>
  <xdr:twoCellAnchor>
    <xdr:from>
      <xdr:col>0</xdr:col>
      <xdr:colOff>980389</xdr:colOff>
      <xdr:row>117</xdr:row>
      <xdr:rowOff>8145</xdr:rowOff>
    </xdr:from>
    <xdr:to>
      <xdr:col>0</xdr:col>
      <xdr:colOff>2300686</xdr:colOff>
      <xdr:row>123</xdr:row>
      <xdr:rowOff>601</xdr:rowOff>
    </xdr:to>
    <xdr:sp macro="" textlink="">
      <xdr:nvSpPr>
        <xdr:cNvPr id="11" name="Trapezoid 10">
          <a:extLst>
            <a:ext uri="{FF2B5EF4-FFF2-40B4-BE49-F238E27FC236}">
              <a16:creationId xmlns:a16="http://schemas.microsoft.com/office/drawing/2014/main" id="{9A9D1AA0-4698-4CAC-BC3D-1FDAD2959582}"/>
            </a:ext>
          </a:extLst>
        </xdr:cNvPr>
        <xdr:cNvSpPr/>
      </xdr:nvSpPr>
      <xdr:spPr>
        <a:xfrm>
          <a:off x="980389" y="20903614"/>
          <a:ext cx="1320297" cy="1064018"/>
        </a:xfrm>
        <a:prstGeom prst="trapezoi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a:t>Duplicate IDs — 0</a:t>
          </a:r>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79913</xdr:colOff>
      <xdr:row>21</xdr:row>
      <xdr:rowOff>132811</xdr:rowOff>
    </xdr:from>
    <xdr:to>
      <xdr:col>12</xdr:col>
      <xdr:colOff>413509</xdr:colOff>
      <xdr:row>29</xdr:row>
      <xdr:rowOff>43911</xdr:rowOff>
    </xdr:to>
    <mc:AlternateContent xmlns:mc="http://schemas.openxmlformats.org/markup-compatibility/2006" xmlns:tsle="http://schemas.microsoft.com/office/drawing/2012/timeslicer">
      <mc:Choice Requires="tsle">
        <xdr:graphicFrame macro="">
          <xdr:nvGraphicFramePr>
            <xdr:cNvPr id="2" name="dteday">
              <a:extLst>
                <a:ext uri="{FF2B5EF4-FFF2-40B4-BE49-F238E27FC236}">
                  <a16:creationId xmlns:a16="http://schemas.microsoft.com/office/drawing/2014/main" id="{8564C69B-55C6-47DF-DB21-A8E10AC5CA66}"/>
                </a:ext>
              </a:extLst>
            </xdr:cNvPr>
            <xdr:cNvGraphicFramePr/>
          </xdr:nvGraphicFramePr>
          <xdr:xfrm>
            <a:off x="0" y="0"/>
            <a:ext cx="0" cy="0"/>
          </xdr:xfrm>
          <a:graphic>
            <a:graphicData uri="http://schemas.microsoft.com/office/drawing/2012/timeslicer">
              <tsle:timeslicer name="dteday"/>
            </a:graphicData>
          </a:graphic>
        </xdr:graphicFrame>
      </mc:Choice>
      <mc:Fallback xmlns="">
        <xdr:sp macro="" textlink="">
          <xdr:nvSpPr>
            <xdr:cNvPr id="0" name=""/>
            <xdr:cNvSpPr>
              <a:spLocks noTextEdit="1"/>
            </xdr:cNvSpPr>
          </xdr:nvSpPr>
          <xdr:spPr>
            <a:xfrm>
              <a:off x="6703451" y="8116226"/>
              <a:ext cx="3354046" cy="141165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426720</xdr:colOff>
      <xdr:row>6</xdr:row>
      <xdr:rowOff>34290</xdr:rowOff>
    </xdr:from>
    <xdr:to>
      <xdr:col>6</xdr:col>
      <xdr:colOff>108585</xdr:colOff>
      <xdr:row>26</xdr:row>
      <xdr:rowOff>43815</xdr:rowOff>
    </xdr:to>
    <xdr:graphicFrame macro="">
      <xdr:nvGraphicFramePr>
        <xdr:cNvPr id="2" name="Chart 1">
          <a:extLst>
            <a:ext uri="{FF2B5EF4-FFF2-40B4-BE49-F238E27FC236}">
              <a16:creationId xmlns:a16="http://schemas.microsoft.com/office/drawing/2014/main" id="{99767C22-5891-D5F0-B2ED-38ADF14640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idhi Jain" refreshedDate="46302.026459490742" createdVersion="8" refreshedVersion="8" minRefreshableVersion="3" recordCount="1000" xr:uid="{DE1E5D80-E324-453D-8A3A-8F833C1E8EFE}">
  <cacheSource type="worksheet">
    <worksheetSource name="MasterData"/>
  </cacheSource>
  <cacheFields count="27">
    <cacheField name="instant" numFmtId="0">
      <sharedItems containsSemiMixedTypes="0" containsString="0" containsNumber="1" containsInteger="1" minValue="1" maxValue="1000"/>
    </cacheField>
    <cacheField name="dteday" numFmtId="16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25"/>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acheField>
    <cacheField name="weathersit" numFmtId="0">
      <sharedItems containsSemiMixedTypes="0" containsString="0" containsNumber="1" containsInteger="1" minValue="1" maxValue="4"/>
    </cacheField>
    <cacheField name="temp" numFmtId="0">
      <sharedItems containsSemiMixedTypes="0" containsString="0" containsNumber="1" minValue="0.02" maxValue="0.46"/>
    </cacheField>
    <cacheField name="atemp" numFmtId="0">
      <sharedItems containsString="0" containsBlank="1"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Data_quality_status" numFmtId="0">
      <sharedItems/>
    </cacheField>
    <cacheField name="atemp_clean" numFmtId="0">
      <sharedItems containsSemiMixedTypes="0" containsString="0" containsNumber="1" minValue="0" maxValue="0.46"/>
    </cacheField>
    <cacheField name="year_label" numFmtId="0">
      <sharedItems containsSemiMixedTypes="0" containsString="0" containsNumber="1" containsInteger="1" minValue="2011" maxValue="2011"/>
    </cacheField>
    <cacheField name="month_name" numFmtId="0">
      <sharedItems/>
    </cacheField>
    <cacheField name="day_type" numFmtId="0">
      <sharedItems count="4">
        <s v="Saturday"/>
        <s v="Sunday"/>
        <s v="Weekday"/>
        <s v="Holiday"/>
      </sharedItems>
    </cacheField>
    <cacheField name="hour_category" numFmtId="0">
      <sharedItems count="4">
        <s v="Night"/>
        <s v="Morning"/>
        <s v="Afternoon"/>
        <s v="Evening"/>
      </sharedItems>
    </cacheField>
    <cacheField name="season_name" numFmtId="0">
      <sharedItems/>
    </cacheField>
    <cacheField name="weather_category" numFmtId="0">
      <sharedItems count="4">
        <s v="Clear"/>
        <s v="Mist/Cloudy"/>
        <s v="Light Rain/Snow"/>
        <s v="Heavy Rain/Snow"/>
      </sharedItems>
    </cacheField>
    <cacheField name="Days (dteday)"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teday)"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 name="Avg Rental per Record" numFmtId="0" formula="cnt/instant" databaseField="0"/>
  </cacheFields>
  <extLst>
    <ext xmlns:x14="http://schemas.microsoft.com/office/spreadsheetml/2009/9/main" uri="{725AE2AE-9491-48be-B2B4-4EB974FC3084}">
      <x14:pivotCacheDefinition pivotCacheId="11860864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n v="1"/>
    <n v="0"/>
    <n v="1"/>
    <x v="0"/>
    <b v="0"/>
    <n v="6"/>
    <n v="1"/>
    <n v="0.24"/>
    <n v="0.28789999999999999"/>
    <n v="0.81"/>
    <n v="0"/>
    <n v="3"/>
    <n v="13"/>
    <n v="16"/>
    <s v="Complete"/>
    <n v="0.28789999999999999"/>
    <n v="2011"/>
    <s v="January"/>
    <x v="0"/>
    <x v="0"/>
    <s v="Spring"/>
    <x v="0"/>
  </r>
  <r>
    <n v="2"/>
    <x v="0"/>
    <n v="1"/>
    <n v="0"/>
    <n v="1"/>
    <x v="1"/>
    <b v="0"/>
    <n v="6"/>
    <n v="1"/>
    <n v="0.22"/>
    <n v="0.2727"/>
    <n v="0.8"/>
    <n v="0"/>
    <n v="8"/>
    <n v="32"/>
    <n v="40"/>
    <s v="Complete"/>
    <n v="0.2727"/>
    <n v="2011"/>
    <s v="January"/>
    <x v="0"/>
    <x v="0"/>
    <s v="Spring"/>
    <x v="0"/>
  </r>
  <r>
    <n v="3"/>
    <x v="0"/>
    <n v="1"/>
    <n v="0"/>
    <n v="1"/>
    <x v="2"/>
    <b v="0"/>
    <n v="6"/>
    <n v="1"/>
    <n v="0.22"/>
    <n v="0.2727"/>
    <n v="0.8"/>
    <n v="0"/>
    <n v="5"/>
    <n v="27"/>
    <n v="32"/>
    <s v="Complete"/>
    <n v="0.2727"/>
    <n v="2011"/>
    <s v="January"/>
    <x v="0"/>
    <x v="0"/>
    <s v="Spring"/>
    <x v="0"/>
  </r>
  <r>
    <n v="4"/>
    <x v="0"/>
    <n v="1"/>
    <n v="0"/>
    <n v="1"/>
    <x v="3"/>
    <b v="0"/>
    <n v="6"/>
    <n v="1"/>
    <n v="0.24"/>
    <n v="0.28789999999999999"/>
    <n v="0.75"/>
    <n v="0"/>
    <n v="3"/>
    <n v="10"/>
    <n v="13"/>
    <s v="Complete"/>
    <n v="0.28789999999999999"/>
    <n v="2011"/>
    <s v="January"/>
    <x v="0"/>
    <x v="0"/>
    <s v="Spring"/>
    <x v="0"/>
  </r>
  <r>
    <n v="5"/>
    <x v="0"/>
    <n v="1"/>
    <n v="0"/>
    <n v="1"/>
    <x v="4"/>
    <b v="0"/>
    <n v="6"/>
    <n v="1"/>
    <n v="0.24"/>
    <n v="0.28789999999999999"/>
    <n v="0.75"/>
    <n v="0"/>
    <n v="0"/>
    <n v="1"/>
    <n v="1"/>
    <s v="Complete"/>
    <n v="0.28789999999999999"/>
    <n v="2011"/>
    <s v="January"/>
    <x v="0"/>
    <x v="0"/>
    <s v="Spring"/>
    <x v="0"/>
  </r>
  <r>
    <n v="6"/>
    <x v="0"/>
    <n v="1"/>
    <n v="0"/>
    <n v="1"/>
    <x v="5"/>
    <b v="0"/>
    <n v="6"/>
    <n v="2"/>
    <n v="0.24"/>
    <n v="0.2576"/>
    <n v="0.75"/>
    <n v="8.9599999999999999E-2"/>
    <n v="0"/>
    <n v="1"/>
    <n v="1"/>
    <s v="Complete"/>
    <n v="0.2576"/>
    <n v="2011"/>
    <s v="January"/>
    <x v="0"/>
    <x v="0"/>
    <s v="Spring"/>
    <x v="1"/>
  </r>
  <r>
    <n v="7"/>
    <x v="0"/>
    <n v="1"/>
    <n v="0"/>
    <n v="1"/>
    <x v="6"/>
    <b v="0"/>
    <n v="6"/>
    <n v="1"/>
    <n v="0.22"/>
    <n v="0.2727"/>
    <n v="0.8"/>
    <n v="0"/>
    <n v="2"/>
    <n v="0"/>
    <n v="2"/>
    <s v="Complete"/>
    <n v="0.2727"/>
    <n v="2011"/>
    <s v="January"/>
    <x v="0"/>
    <x v="1"/>
    <s v="Spring"/>
    <x v="0"/>
  </r>
  <r>
    <n v="8"/>
    <x v="0"/>
    <n v="1"/>
    <n v="0"/>
    <n v="1"/>
    <x v="7"/>
    <b v="0"/>
    <n v="6"/>
    <n v="1"/>
    <n v="0.2"/>
    <n v="0.2576"/>
    <n v="0.86"/>
    <n v="0"/>
    <n v="1"/>
    <n v="2"/>
    <n v="3"/>
    <s v="Complete"/>
    <n v="0.2576"/>
    <n v="2011"/>
    <s v="January"/>
    <x v="0"/>
    <x v="1"/>
    <s v="Spring"/>
    <x v="0"/>
  </r>
  <r>
    <n v="9"/>
    <x v="0"/>
    <n v="1"/>
    <n v="0"/>
    <n v="1"/>
    <x v="8"/>
    <b v="0"/>
    <n v="6"/>
    <n v="1"/>
    <n v="0.24"/>
    <m/>
    <n v="0.75"/>
    <n v="0"/>
    <n v="1"/>
    <n v="7"/>
    <n v="8"/>
    <s v="Missing atemp"/>
    <n v="0.24"/>
    <n v="2011"/>
    <s v="January"/>
    <x v="0"/>
    <x v="1"/>
    <s v="Spring"/>
    <x v="0"/>
  </r>
  <r>
    <n v="10"/>
    <x v="0"/>
    <n v="1"/>
    <n v="0"/>
    <n v="1"/>
    <x v="9"/>
    <b v="0"/>
    <n v="6"/>
    <n v="1"/>
    <n v="0.32"/>
    <n v="0.34849999999999998"/>
    <n v="0.76"/>
    <n v="0"/>
    <n v="8"/>
    <n v="6"/>
    <n v="14"/>
    <s v="Complete"/>
    <n v="0.34849999999999998"/>
    <n v="2011"/>
    <s v="January"/>
    <x v="0"/>
    <x v="1"/>
    <s v="Spring"/>
    <x v="0"/>
  </r>
  <r>
    <n v="11"/>
    <x v="0"/>
    <n v="1"/>
    <n v="0"/>
    <n v="1"/>
    <x v="10"/>
    <b v="0"/>
    <n v="6"/>
    <n v="1"/>
    <n v="0.38"/>
    <n v="0.39389999999999997"/>
    <n v="0.76"/>
    <n v="0.25369999999999998"/>
    <n v="12"/>
    <n v="24"/>
    <n v="36"/>
    <s v="Complete"/>
    <n v="0.39389999999999997"/>
    <n v="2011"/>
    <s v="January"/>
    <x v="0"/>
    <x v="1"/>
    <s v="Spring"/>
    <x v="0"/>
  </r>
  <r>
    <n v="12"/>
    <x v="0"/>
    <n v="1"/>
    <n v="0"/>
    <n v="1"/>
    <x v="11"/>
    <b v="0"/>
    <n v="6"/>
    <n v="1"/>
    <n v="0.36"/>
    <n v="0.33329999999999999"/>
    <n v="0.81"/>
    <n v="0.28360000000000002"/>
    <n v="26"/>
    <n v="30"/>
    <n v="56"/>
    <s v="Complete"/>
    <n v="0.33329999999999999"/>
    <n v="2011"/>
    <s v="January"/>
    <x v="0"/>
    <x v="1"/>
    <s v="Spring"/>
    <x v="0"/>
  </r>
  <r>
    <n v="13"/>
    <x v="0"/>
    <n v="1"/>
    <n v="0"/>
    <n v="1"/>
    <x v="12"/>
    <b v="0"/>
    <n v="6"/>
    <n v="1"/>
    <n v="0.42"/>
    <n v="0.42420000000000002"/>
    <n v="0.77"/>
    <n v="0.28360000000000002"/>
    <n v="29"/>
    <n v="55"/>
    <n v="84"/>
    <s v="Complete"/>
    <n v="0.42420000000000002"/>
    <n v="2011"/>
    <s v="January"/>
    <x v="0"/>
    <x v="2"/>
    <s v="Spring"/>
    <x v="0"/>
  </r>
  <r>
    <n v="14"/>
    <x v="0"/>
    <n v="1"/>
    <n v="0"/>
    <n v="1"/>
    <x v="13"/>
    <b v="0"/>
    <n v="6"/>
    <n v="2"/>
    <n v="0.46"/>
    <n v="0.45450000000000002"/>
    <n v="0.72"/>
    <n v="0.29849999999999999"/>
    <n v="47"/>
    <n v="47"/>
    <n v="94"/>
    <s v="Complete"/>
    <n v="0.45450000000000002"/>
    <n v="2011"/>
    <s v="January"/>
    <x v="0"/>
    <x v="2"/>
    <s v="Spring"/>
    <x v="1"/>
  </r>
  <r>
    <n v="15"/>
    <x v="0"/>
    <n v="1"/>
    <n v="0"/>
    <n v="1"/>
    <x v="14"/>
    <b v="0"/>
    <n v="6"/>
    <n v="2"/>
    <n v="0.46"/>
    <n v="0.45450000000000002"/>
    <n v="0.72"/>
    <n v="0.28360000000000002"/>
    <n v="35"/>
    <n v="71"/>
    <n v="106"/>
    <s v="Complete"/>
    <n v="0.45450000000000002"/>
    <n v="2011"/>
    <s v="January"/>
    <x v="0"/>
    <x v="2"/>
    <s v="Spring"/>
    <x v="1"/>
  </r>
  <r>
    <n v="16"/>
    <x v="0"/>
    <n v="1"/>
    <n v="0"/>
    <n v="1"/>
    <x v="15"/>
    <b v="0"/>
    <n v="6"/>
    <n v="2"/>
    <n v="0.44"/>
    <n v="0.43940000000000001"/>
    <n v="0.77"/>
    <n v="0.29849999999999999"/>
    <n v="40"/>
    <n v="70"/>
    <n v="110"/>
    <s v="Complete"/>
    <n v="0.43940000000000001"/>
    <n v="2011"/>
    <s v="January"/>
    <x v="0"/>
    <x v="2"/>
    <s v="Spring"/>
    <x v="1"/>
  </r>
  <r>
    <n v="17"/>
    <x v="0"/>
    <n v="1"/>
    <n v="0"/>
    <n v="1"/>
    <x v="16"/>
    <b v="0"/>
    <n v="6"/>
    <n v="2"/>
    <n v="0.42"/>
    <n v="0.42420000000000002"/>
    <n v="0.82"/>
    <n v="0.29849999999999999"/>
    <n v="41"/>
    <n v="52"/>
    <n v="93"/>
    <s v="Complete"/>
    <n v="0.42420000000000002"/>
    <n v="2011"/>
    <s v="January"/>
    <x v="0"/>
    <x v="2"/>
    <s v="Spring"/>
    <x v="1"/>
  </r>
  <r>
    <n v="18"/>
    <x v="0"/>
    <n v="1"/>
    <n v="0"/>
    <n v="1"/>
    <x v="17"/>
    <b v="0"/>
    <n v="6"/>
    <n v="2"/>
    <n v="0.44"/>
    <m/>
    <n v="0.82"/>
    <n v="0.28360000000000002"/>
    <n v="15"/>
    <n v="52"/>
    <n v="67"/>
    <s v="Missing atemp"/>
    <n v="0.44"/>
    <n v="2011"/>
    <s v="January"/>
    <x v="0"/>
    <x v="2"/>
    <s v="Spring"/>
    <x v="1"/>
  </r>
  <r>
    <n v="19"/>
    <x v="0"/>
    <n v="1"/>
    <n v="0"/>
    <n v="1"/>
    <x v="18"/>
    <b v="0"/>
    <n v="6"/>
    <n v="3"/>
    <n v="0.42"/>
    <n v="0.42420000000000002"/>
    <n v="0.88"/>
    <n v="0.25369999999999998"/>
    <n v="9"/>
    <n v="26"/>
    <n v="35"/>
    <s v="Complete"/>
    <n v="0.42420000000000002"/>
    <n v="2011"/>
    <s v="January"/>
    <x v="0"/>
    <x v="3"/>
    <s v="Spring"/>
    <x v="2"/>
  </r>
  <r>
    <n v="20"/>
    <x v="0"/>
    <n v="1"/>
    <n v="0"/>
    <n v="1"/>
    <x v="19"/>
    <b v="0"/>
    <n v="6"/>
    <n v="3"/>
    <n v="0.42"/>
    <n v="0.42420000000000002"/>
    <n v="0.88"/>
    <n v="0.25369999999999998"/>
    <n v="6"/>
    <n v="31"/>
    <n v="37"/>
    <s v="Complete"/>
    <n v="0.42420000000000002"/>
    <n v="2011"/>
    <s v="January"/>
    <x v="0"/>
    <x v="3"/>
    <s v="Spring"/>
    <x v="2"/>
  </r>
  <r>
    <n v="21"/>
    <x v="0"/>
    <n v="1"/>
    <n v="0"/>
    <n v="1"/>
    <x v="20"/>
    <b v="0"/>
    <n v="6"/>
    <n v="2"/>
    <n v="0.4"/>
    <n v="0.40910000000000002"/>
    <n v="0.87"/>
    <n v="0.25369999999999998"/>
    <n v="11"/>
    <n v="25"/>
    <n v="36"/>
    <s v="Complete"/>
    <n v="0.40910000000000002"/>
    <n v="2011"/>
    <s v="January"/>
    <x v="0"/>
    <x v="3"/>
    <s v="Spring"/>
    <x v="1"/>
  </r>
  <r>
    <n v="22"/>
    <x v="0"/>
    <n v="1"/>
    <n v="0"/>
    <n v="1"/>
    <x v="21"/>
    <b v="0"/>
    <n v="6"/>
    <n v="2"/>
    <n v="0.4"/>
    <n v="0.40910000000000002"/>
    <n v="0.87"/>
    <n v="0.19400000000000001"/>
    <n v="3"/>
    <n v="31"/>
    <n v="34"/>
    <s v="Complete"/>
    <n v="0.40910000000000002"/>
    <n v="2011"/>
    <s v="January"/>
    <x v="0"/>
    <x v="3"/>
    <s v="Spring"/>
    <x v="1"/>
  </r>
  <r>
    <n v="23"/>
    <x v="0"/>
    <n v="1"/>
    <n v="0"/>
    <n v="1"/>
    <x v="22"/>
    <b v="0"/>
    <n v="6"/>
    <n v="2"/>
    <n v="0.4"/>
    <n v="0.40910000000000002"/>
    <n v="0.94"/>
    <n v="0.22389999999999999"/>
    <n v="11"/>
    <n v="17"/>
    <n v="28"/>
    <s v="Complete"/>
    <n v="0.40910000000000002"/>
    <n v="2011"/>
    <s v="January"/>
    <x v="0"/>
    <x v="3"/>
    <s v="Spring"/>
    <x v="1"/>
  </r>
  <r>
    <n v="24"/>
    <x v="0"/>
    <n v="1"/>
    <n v="0"/>
    <n v="1"/>
    <x v="23"/>
    <b v="0"/>
    <n v="6"/>
    <n v="2"/>
    <n v="0.46"/>
    <m/>
    <n v="0.88"/>
    <n v="0.29849999999999999"/>
    <n v="15"/>
    <n v="24"/>
    <n v="39"/>
    <s v="Missing atemp"/>
    <n v="0.46"/>
    <n v="2011"/>
    <s v="January"/>
    <x v="0"/>
    <x v="3"/>
    <s v="Spring"/>
    <x v="1"/>
  </r>
  <r>
    <n v="25"/>
    <x v="1"/>
    <n v="1"/>
    <n v="0"/>
    <n v="1"/>
    <x v="0"/>
    <b v="0"/>
    <n v="0"/>
    <n v="2"/>
    <n v="0.46"/>
    <n v="0.45450000000000002"/>
    <n v="0.88"/>
    <n v="0.29849999999999999"/>
    <n v="4"/>
    <n v="13"/>
    <n v="17"/>
    <s v="Complete"/>
    <n v="0.45450000000000002"/>
    <n v="2011"/>
    <s v="January"/>
    <x v="1"/>
    <x v="0"/>
    <s v="Spring"/>
    <x v="1"/>
  </r>
  <r>
    <n v="26"/>
    <x v="1"/>
    <n v="1"/>
    <n v="0"/>
    <n v="1"/>
    <x v="1"/>
    <b v="0"/>
    <n v="0"/>
    <n v="2"/>
    <n v="0.44"/>
    <n v="0.43940000000000001"/>
    <n v="0.94"/>
    <n v="0.25369999999999998"/>
    <n v="1"/>
    <n v="16"/>
    <n v="17"/>
    <s v="Complete"/>
    <n v="0.43940000000000001"/>
    <n v="2011"/>
    <s v="January"/>
    <x v="1"/>
    <x v="0"/>
    <s v="Spring"/>
    <x v="1"/>
  </r>
  <r>
    <n v="27"/>
    <x v="1"/>
    <n v="1"/>
    <n v="0"/>
    <n v="1"/>
    <x v="2"/>
    <b v="0"/>
    <n v="0"/>
    <n v="2"/>
    <n v="0.42"/>
    <n v="0.42420000000000002"/>
    <n v="1"/>
    <n v="0.28360000000000002"/>
    <n v="1"/>
    <n v="8"/>
    <n v="9"/>
    <s v="Complete"/>
    <n v="0.42420000000000002"/>
    <n v="2011"/>
    <s v="January"/>
    <x v="1"/>
    <x v="0"/>
    <s v="Spring"/>
    <x v="1"/>
  </r>
  <r>
    <n v="28"/>
    <x v="1"/>
    <n v="1"/>
    <n v="0"/>
    <n v="1"/>
    <x v="3"/>
    <b v="0"/>
    <n v="0"/>
    <n v="2"/>
    <n v="0.46"/>
    <n v="0.45450000000000002"/>
    <n v="0.94"/>
    <n v="0.19400000000000001"/>
    <n v="2"/>
    <n v="4"/>
    <n v="6"/>
    <s v="Complete"/>
    <n v="0.45450000000000002"/>
    <n v="2011"/>
    <s v="January"/>
    <x v="1"/>
    <x v="0"/>
    <s v="Spring"/>
    <x v="1"/>
  </r>
  <r>
    <n v="29"/>
    <x v="1"/>
    <n v="1"/>
    <n v="0"/>
    <n v="1"/>
    <x v="4"/>
    <b v="0"/>
    <n v="0"/>
    <n v="2"/>
    <n v="0.46"/>
    <m/>
    <n v="0.94"/>
    <n v="0.19400000000000001"/>
    <n v="2"/>
    <n v="1"/>
    <n v="3"/>
    <s v="Missing atemp"/>
    <n v="0.46"/>
    <n v="2011"/>
    <s v="January"/>
    <x v="1"/>
    <x v="0"/>
    <s v="Spring"/>
    <x v="1"/>
  </r>
  <r>
    <n v="30"/>
    <x v="1"/>
    <n v="1"/>
    <n v="0"/>
    <n v="1"/>
    <x v="6"/>
    <b v="0"/>
    <n v="0"/>
    <n v="3"/>
    <n v="0.42"/>
    <n v="0.42420000000000002"/>
    <n v="0.77"/>
    <n v="0.29849999999999999"/>
    <n v="0"/>
    <n v="2"/>
    <n v="2"/>
    <s v="Complete"/>
    <n v="0.42420000000000002"/>
    <n v="2011"/>
    <s v="January"/>
    <x v="1"/>
    <x v="1"/>
    <s v="Spring"/>
    <x v="2"/>
  </r>
  <r>
    <n v="31"/>
    <x v="1"/>
    <n v="1"/>
    <n v="0"/>
    <n v="1"/>
    <x v="7"/>
    <b v="0"/>
    <n v="0"/>
    <n v="2"/>
    <n v="0.4"/>
    <n v="0.40910000000000002"/>
    <n v="0.76"/>
    <n v="0.19400000000000001"/>
    <n v="0"/>
    <n v="1"/>
    <n v="1"/>
    <s v="Complete"/>
    <n v="0.40910000000000002"/>
    <n v="2011"/>
    <s v="January"/>
    <x v="1"/>
    <x v="1"/>
    <s v="Spring"/>
    <x v="1"/>
  </r>
  <r>
    <n v="32"/>
    <x v="1"/>
    <n v="1"/>
    <n v="0"/>
    <n v="1"/>
    <x v="8"/>
    <b v="0"/>
    <n v="0"/>
    <n v="3"/>
    <n v="0.4"/>
    <n v="0.40910000000000002"/>
    <n v="0.71"/>
    <n v="0.22389999999999999"/>
    <n v="0"/>
    <n v="8"/>
    <n v="8"/>
    <s v="Complete"/>
    <n v="0.40910000000000002"/>
    <n v="2011"/>
    <s v="January"/>
    <x v="1"/>
    <x v="1"/>
    <s v="Spring"/>
    <x v="2"/>
  </r>
  <r>
    <n v="33"/>
    <x v="1"/>
    <n v="1"/>
    <n v="0"/>
    <n v="1"/>
    <x v="9"/>
    <b v="0"/>
    <n v="0"/>
    <n v="2"/>
    <n v="0.38"/>
    <m/>
    <n v="0.76"/>
    <n v="0.22389999999999999"/>
    <n v="1"/>
    <n v="19"/>
    <n v="20"/>
    <s v="Missing atemp"/>
    <n v="0.38"/>
    <n v="2011"/>
    <s v="January"/>
    <x v="1"/>
    <x v="1"/>
    <s v="Spring"/>
    <x v="1"/>
  </r>
  <r>
    <n v="34"/>
    <x v="1"/>
    <n v="1"/>
    <n v="0"/>
    <n v="1"/>
    <x v="10"/>
    <b v="0"/>
    <n v="0"/>
    <n v="2"/>
    <n v="0.36"/>
    <n v="0.34849999999999998"/>
    <n v="0.81"/>
    <n v="0.22389999999999999"/>
    <n v="7"/>
    <n v="46"/>
    <n v="53"/>
    <s v="Complete"/>
    <n v="0.34849999999999998"/>
    <n v="2011"/>
    <s v="January"/>
    <x v="1"/>
    <x v="1"/>
    <s v="Spring"/>
    <x v="1"/>
  </r>
  <r>
    <n v="35"/>
    <x v="1"/>
    <n v="1"/>
    <n v="0"/>
    <n v="1"/>
    <x v="11"/>
    <b v="0"/>
    <n v="0"/>
    <n v="2"/>
    <n v="0.36"/>
    <n v="0.33329999999999999"/>
    <n v="0.71"/>
    <n v="0.25369999999999998"/>
    <n v="16"/>
    <n v="54"/>
    <n v="70"/>
    <s v="Complete"/>
    <n v="0.33329999999999999"/>
    <n v="2011"/>
    <s v="January"/>
    <x v="1"/>
    <x v="1"/>
    <s v="Spring"/>
    <x v="1"/>
  </r>
  <r>
    <n v="36"/>
    <x v="1"/>
    <n v="1"/>
    <n v="0"/>
    <n v="1"/>
    <x v="12"/>
    <b v="0"/>
    <n v="0"/>
    <n v="2"/>
    <n v="0.36"/>
    <n v="0.33329999999999999"/>
    <n v="0.66"/>
    <n v="0.29849999999999999"/>
    <n v="20"/>
    <n v="73"/>
    <n v="93"/>
    <s v="Complete"/>
    <n v="0.33329999999999999"/>
    <n v="2011"/>
    <s v="January"/>
    <x v="1"/>
    <x v="2"/>
    <s v="Spring"/>
    <x v="1"/>
  </r>
  <r>
    <n v="37"/>
    <x v="1"/>
    <n v="1"/>
    <n v="0"/>
    <n v="1"/>
    <x v="13"/>
    <b v="0"/>
    <n v="0"/>
    <n v="2"/>
    <n v="0.36"/>
    <n v="0.34849999999999998"/>
    <n v="0.66"/>
    <n v="0.1343"/>
    <n v="11"/>
    <n v="64"/>
    <n v="75"/>
    <s v="Complete"/>
    <n v="0.34849999999999998"/>
    <n v="2011"/>
    <s v="January"/>
    <x v="1"/>
    <x v="2"/>
    <s v="Spring"/>
    <x v="1"/>
  </r>
  <r>
    <n v="38"/>
    <x v="1"/>
    <n v="1"/>
    <n v="0"/>
    <n v="1"/>
    <x v="14"/>
    <b v="0"/>
    <n v="0"/>
    <n v="3"/>
    <n v="0.36"/>
    <m/>
    <n v="0.76"/>
    <n v="0.19400000000000001"/>
    <n v="4"/>
    <n v="55"/>
    <n v="59"/>
    <s v="Missing atemp"/>
    <n v="0.36"/>
    <n v="2011"/>
    <s v="January"/>
    <x v="1"/>
    <x v="2"/>
    <s v="Spring"/>
    <x v="2"/>
  </r>
  <r>
    <n v="39"/>
    <x v="1"/>
    <n v="1"/>
    <n v="0"/>
    <n v="1"/>
    <x v="15"/>
    <b v="0"/>
    <n v="0"/>
    <n v="3"/>
    <n v="0.34"/>
    <n v="0.33329999999999999"/>
    <n v="0.81"/>
    <n v="0.16420000000000001"/>
    <n v="19"/>
    <n v="55"/>
    <n v="74"/>
    <s v="Complete"/>
    <n v="0.33329999999999999"/>
    <n v="2011"/>
    <s v="January"/>
    <x v="1"/>
    <x v="2"/>
    <s v="Spring"/>
    <x v="2"/>
  </r>
  <r>
    <n v="40"/>
    <x v="1"/>
    <n v="1"/>
    <n v="0"/>
    <n v="1"/>
    <x v="16"/>
    <b v="0"/>
    <n v="0"/>
    <n v="3"/>
    <n v="0.34"/>
    <n v="0.33329999999999999"/>
    <n v="0.71"/>
    <n v="0.16420000000000001"/>
    <n v="9"/>
    <n v="67"/>
    <n v="76"/>
    <s v="Complete"/>
    <n v="0.33329999999999999"/>
    <n v="2011"/>
    <s v="January"/>
    <x v="1"/>
    <x v="2"/>
    <s v="Spring"/>
    <x v="2"/>
  </r>
  <r>
    <n v="41"/>
    <x v="1"/>
    <n v="1"/>
    <n v="0"/>
    <n v="1"/>
    <x v="17"/>
    <b v="0"/>
    <n v="0"/>
    <n v="1"/>
    <n v="0.34"/>
    <n v="0.33329999999999999"/>
    <n v="0.56999999999999995"/>
    <n v="0.19400000000000001"/>
    <n v="7"/>
    <n v="58"/>
    <n v="65"/>
    <s v="Complete"/>
    <n v="0.33329999999999999"/>
    <n v="2011"/>
    <s v="January"/>
    <x v="1"/>
    <x v="2"/>
    <s v="Spring"/>
    <x v="0"/>
  </r>
  <r>
    <n v="42"/>
    <x v="1"/>
    <n v="1"/>
    <n v="0"/>
    <n v="1"/>
    <x v="18"/>
    <b v="0"/>
    <n v="0"/>
    <n v="2"/>
    <n v="0.36"/>
    <n v="0.33329999999999999"/>
    <n v="0.46"/>
    <n v="0.32840000000000003"/>
    <n v="10"/>
    <n v="43"/>
    <n v="53"/>
    <s v="Complete"/>
    <n v="0.33329999999999999"/>
    <n v="2011"/>
    <s v="January"/>
    <x v="1"/>
    <x v="3"/>
    <s v="Spring"/>
    <x v="1"/>
  </r>
  <r>
    <n v="43"/>
    <x v="1"/>
    <n v="1"/>
    <n v="0"/>
    <n v="1"/>
    <x v="19"/>
    <b v="0"/>
    <n v="0"/>
    <n v="1"/>
    <n v="0.32"/>
    <n v="0.28789999999999999"/>
    <n v="0.42"/>
    <n v="0.44779999999999998"/>
    <n v="1"/>
    <n v="29"/>
    <n v="30"/>
    <s v="Complete"/>
    <n v="0.28789999999999999"/>
    <n v="2011"/>
    <s v="January"/>
    <x v="1"/>
    <x v="3"/>
    <s v="Spring"/>
    <x v="0"/>
  </r>
  <r>
    <n v="44"/>
    <x v="1"/>
    <n v="1"/>
    <n v="0"/>
    <n v="1"/>
    <x v="20"/>
    <b v="0"/>
    <n v="0"/>
    <n v="1"/>
    <n v="0.3"/>
    <m/>
    <n v="0.39"/>
    <n v="0.35820000000000002"/>
    <n v="5"/>
    <n v="17"/>
    <n v="22"/>
    <s v="Missing atemp"/>
    <n v="0.3"/>
    <n v="2011"/>
    <s v="January"/>
    <x v="1"/>
    <x v="3"/>
    <s v="Spring"/>
    <x v="0"/>
  </r>
  <r>
    <n v="45"/>
    <x v="1"/>
    <n v="1"/>
    <n v="0"/>
    <n v="1"/>
    <x v="21"/>
    <b v="0"/>
    <n v="0"/>
    <n v="1"/>
    <n v="0.26"/>
    <n v="0.2273"/>
    <n v="0.44"/>
    <n v="0.32840000000000003"/>
    <n v="11"/>
    <n v="20"/>
    <n v="31"/>
    <s v="Complete"/>
    <n v="0.2273"/>
    <n v="2011"/>
    <s v="January"/>
    <x v="1"/>
    <x v="3"/>
    <s v="Spring"/>
    <x v="0"/>
  </r>
  <r>
    <n v="46"/>
    <x v="1"/>
    <n v="1"/>
    <n v="0"/>
    <n v="1"/>
    <x v="22"/>
    <b v="0"/>
    <n v="0"/>
    <n v="1"/>
    <n v="0.24"/>
    <n v="0.21210000000000001"/>
    <n v="0.44"/>
    <n v="0.29849999999999999"/>
    <n v="0"/>
    <n v="9"/>
    <n v="9"/>
    <s v="Complete"/>
    <n v="0.21210000000000001"/>
    <n v="2011"/>
    <s v="January"/>
    <x v="1"/>
    <x v="3"/>
    <s v="Spring"/>
    <x v="0"/>
  </r>
  <r>
    <n v="47"/>
    <x v="1"/>
    <n v="1"/>
    <n v="0"/>
    <n v="1"/>
    <x v="23"/>
    <b v="0"/>
    <n v="0"/>
    <n v="1"/>
    <n v="0.22"/>
    <n v="0.2273"/>
    <n v="0.47"/>
    <n v="0.16420000000000001"/>
    <n v="0"/>
    <n v="8"/>
    <n v="8"/>
    <s v="Complete"/>
    <n v="0.2273"/>
    <n v="2011"/>
    <s v="January"/>
    <x v="1"/>
    <x v="3"/>
    <s v="Spring"/>
    <x v="0"/>
  </r>
  <r>
    <n v="48"/>
    <x v="2"/>
    <n v="1"/>
    <n v="0"/>
    <n v="1"/>
    <x v="0"/>
    <b v="0"/>
    <n v="1"/>
    <n v="1"/>
    <n v="0.22"/>
    <n v="0.19700000000000001"/>
    <n v="0.44"/>
    <n v="0.35820000000000002"/>
    <n v="0"/>
    <n v="5"/>
    <n v="5"/>
    <s v="Complete"/>
    <n v="0.19700000000000001"/>
    <n v="2011"/>
    <s v="January"/>
    <x v="2"/>
    <x v="0"/>
    <s v="Spring"/>
    <x v="0"/>
  </r>
  <r>
    <n v="49"/>
    <x v="2"/>
    <n v="1"/>
    <n v="0"/>
    <n v="1"/>
    <x v="1"/>
    <b v="0"/>
    <n v="1"/>
    <n v="1"/>
    <n v="0.2"/>
    <m/>
    <n v="0.44"/>
    <n v="0.41789999999999999"/>
    <n v="0"/>
    <n v="2"/>
    <n v="2"/>
    <s v="Missing atemp"/>
    <n v="0.2"/>
    <n v="2011"/>
    <s v="January"/>
    <x v="2"/>
    <x v="0"/>
    <s v="Spring"/>
    <x v="0"/>
  </r>
  <r>
    <n v="50"/>
    <x v="2"/>
    <n v="1"/>
    <n v="0"/>
    <n v="1"/>
    <x v="4"/>
    <b v="0"/>
    <n v="1"/>
    <n v="1"/>
    <n v="0.16"/>
    <n v="0.13639999999999999"/>
    <n v="0.47"/>
    <n v="0.3881"/>
    <n v="0"/>
    <n v="1"/>
    <n v="1"/>
    <s v="Complete"/>
    <n v="0.13639999999999999"/>
    <n v="2011"/>
    <s v="January"/>
    <x v="2"/>
    <x v="0"/>
    <s v="Spring"/>
    <x v="0"/>
  </r>
  <r>
    <n v="51"/>
    <x v="2"/>
    <n v="1"/>
    <n v="0"/>
    <n v="1"/>
    <x v="5"/>
    <b v="0"/>
    <n v="1"/>
    <n v="1"/>
    <n v="0.16"/>
    <n v="0.13639999999999999"/>
    <n v="0.47"/>
    <n v="0.28360000000000002"/>
    <n v="0"/>
    <n v="3"/>
    <n v="3"/>
    <s v="Complete"/>
    <n v="0.13639999999999999"/>
    <n v="2011"/>
    <s v="January"/>
    <x v="2"/>
    <x v="0"/>
    <s v="Spring"/>
    <x v="0"/>
  </r>
  <r>
    <n v="52"/>
    <x v="2"/>
    <n v="1"/>
    <n v="0"/>
    <n v="1"/>
    <x v="6"/>
    <b v="0"/>
    <n v="1"/>
    <n v="1"/>
    <n v="0.14000000000000001"/>
    <n v="0.1061"/>
    <n v="0.5"/>
    <n v="0.3881"/>
    <n v="0"/>
    <n v="30"/>
    <n v="30"/>
    <s v="Complete"/>
    <n v="0.1061"/>
    <n v="2011"/>
    <s v="January"/>
    <x v="2"/>
    <x v="1"/>
    <s v="Spring"/>
    <x v="0"/>
  </r>
  <r>
    <n v="53"/>
    <x v="2"/>
    <n v="1"/>
    <n v="0"/>
    <n v="1"/>
    <x v="7"/>
    <b v="0"/>
    <n v="1"/>
    <n v="1"/>
    <n v="0.14000000000000001"/>
    <n v="0.13639999999999999"/>
    <n v="0.5"/>
    <n v="0.19400000000000001"/>
    <n v="1"/>
    <n v="63"/>
    <n v="64"/>
    <s v="Complete"/>
    <n v="0.13639999999999999"/>
    <n v="2011"/>
    <s v="January"/>
    <x v="2"/>
    <x v="1"/>
    <s v="Spring"/>
    <x v="0"/>
  </r>
  <r>
    <n v="54"/>
    <x v="2"/>
    <n v="1"/>
    <n v="0"/>
    <n v="1"/>
    <x v="8"/>
    <b v="0"/>
    <n v="1"/>
    <n v="1"/>
    <n v="0.14000000000000001"/>
    <n v="0.1212"/>
    <n v="0.5"/>
    <n v="0.28360000000000002"/>
    <n v="1"/>
    <n v="153"/>
    <n v="154"/>
    <s v="Complete"/>
    <n v="0.1212"/>
    <n v="2011"/>
    <s v="January"/>
    <x v="2"/>
    <x v="1"/>
    <s v="Spring"/>
    <x v="0"/>
  </r>
  <r>
    <n v="55"/>
    <x v="2"/>
    <n v="1"/>
    <n v="0"/>
    <n v="1"/>
    <x v="9"/>
    <b v="0"/>
    <n v="1"/>
    <n v="1"/>
    <n v="0.16"/>
    <n v="0.13639999999999999"/>
    <n v="0.43"/>
    <n v="0.3881"/>
    <n v="7"/>
    <n v="81"/>
    <n v="88"/>
    <s v="Complete"/>
    <n v="0.13639999999999999"/>
    <n v="2011"/>
    <s v="January"/>
    <x v="2"/>
    <x v="1"/>
    <s v="Spring"/>
    <x v="0"/>
  </r>
  <r>
    <n v="56"/>
    <x v="2"/>
    <n v="1"/>
    <n v="0"/>
    <n v="1"/>
    <x v="10"/>
    <b v="0"/>
    <n v="1"/>
    <n v="1"/>
    <n v="0.18"/>
    <n v="0.16669999999999999"/>
    <n v="0.43"/>
    <n v="0.25369999999999998"/>
    <n v="11"/>
    <n v="33"/>
    <n v="44"/>
    <s v="Complete"/>
    <n v="0.16669999999999999"/>
    <n v="2011"/>
    <s v="January"/>
    <x v="2"/>
    <x v="1"/>
    <s v="Spring"/>
    <x v="0"/>
  </r>
  <r>
    <n v="57"/>
    <x v="2"/>
    <n v="1"/>
    <n v="0"/>
    <n v="1"/>
    <x v="11"/>
    <b v="0"/>
    <n v="1"/>
    <n v="1"/>
    <n v="0.2"/>
    <n v="0.18179999999999999"/>
    <n v="0.4"/>
    <n v="0.32840000000000003"/>
    <n v="10"/>
    <n v="41"/>
    <n v="51"/>
    <s v="Complete"/>
    <n v="0.18179999999999999"/>
    <n v="2011"/>
    <s v="January"/>
    <x v="2"/>
    <x v="1"/>
    <s v="Spring"/>
    <x v="0"/>
  </r>
  <r>
    <n v="58"/>
    <x v="2"/>
    <n v="1"/>
    <n v="0"/>
    <n v="1"/>
    <x v="12"/>
    <b v="0"/>
    <n v="1"/>
    <n v="1"/>
    <n v="0.22"/>
    <n v="0.21210000000000001"/>
    <n v="0.35"/>
    <n v="0.29849999999999999"/>
    <n v="13"/>
    <n v="48"/>
    <n v="61"/>
    <s v="Complete"/>
    <n v="0.21210000000000001"/>
    <n v="2011"/>
    <s v="January"/>
    <x v="2"/>
    <x v="2"/>
    <s v="Spring"/>
    <x v="0"/>
  </r>
  <r>
    <n v="59"/>
    <x v="2"/>
    <n v="1"/>
    <n v="0"/>
    <n v="1"/>
    <x v="13"/>
    <b v="0"/>
    <n v="1"/>
    <n v="1"/>
    <n v="0.24"/>
    <m/>
    <n v="0.35"/>
    <n v="0.28360000000000002"/>
    <n v="8"/>
    <n v="53"/>
    <n v="61"/>
    <s v="Missing atemp"/>
    <n v="0.24"/>
    <n v="2011"/>
    <s v="January"/>
    <x v="2"/>
    <x v="2"/>
    <s v="Spring"/>
    <x v="0"/>
  </r>
  <r>
    <n v="60"/>
    <x v="2"/>
    <n v="1"/>
    <n v="0"/>
    <n v="1"/>
    <x v="14"/>
    <b v="0"/>
    <n v="1"/>
    <n v="1"/>
    <n v="0.26"/>
    <n v="0.2424"/>
    <n v="0.3"/>
    <n v="0.28360000000000002"/>
    <n v="11"/>
    <n v="66"/>
    <n v="77"/>
    <s v="Complete"/>
    <n v="0.2424"/>
    <n v="2011"/>
    <s v="January"/>
    <x v="2"/>
    <x v="2"/>
    <s v="Spring"/>
    <x v="0"/>
  </r>
  <r>
    <n v="61"/>
    <x v="2"/>
    <n v="1"/>
    <n v="0"/>
    <n v="1"/>
    <x v="15"/>
    <b v="0"/>
    <n v="1"/>
    <n v="1"/>
    <n v="0.26"/>
    <n v="0.2424"/>
    <n v="0.3"/>
    <n v="0.25369999999999998"/>
    <n v="14"/>
    <n v="58"/>
    <n v="72"/>
    <s v="Complete"/>
    <n v="0.2424"/>
    <n v="2011"/>
    <s v="January"/>
    <x v="2"/>
    <x v="2"/>
    <s v="Spring"/>
    <x v="0"/>
  </r>
  <r>
    <n v="62"/>
    <x v="2"/>
    <n v="1"/>
    <n v="0"/>
    <n v="1"/>
    <x v="16"/>
    <b v="0"/>
    <n v="1"/>
    <n v="1"/>
    <n v="0.26"/>
    <n v="0.2424"/>
    <n v="0.3"/>
    <n v="0.25369999999999998"/>
    <n v="9"/>
    <n v="67"/>
    <n v="76"/>
    <s v="Complete"/>
    <n v="0.2424"/>
    <n v="2011"/>
    <s v="January"/>
    <x v="2"/>
    <x v="2"/>
    <s v="Spring"/>
    <x v="0"/>
  </r>
  <r>
    <n v="63"/>
    <x v="2"/>
    <n v="1"/>
    <n v="0"/>
    <n v="1"/>
    <x v="17"/>
    <b v="0"/>
    <n v="1"/>
    <n v="1"/>
    <n v="0.24"/>
    <n v="0.2273"/>
    <n v="0.3"/>
    <n v="0.22389999999999999"/>
    <n v="11"/>
    <n v="146"/>
    <n v="157"/>
    <s v="Complete"/>
    <n v="0.2273"/>
    <n v="2011"/>
    <s v="January"/>
    <x v="2"/>
    <x v="2"/>
    <s v="Spring"/>
    <x v="0"/>
  </r>
  <r>
    <n v="64"/>
    <x v="2"/>
    <n v="1"/>
    <n v="0"/>
    <n v="1"/>
    <x v="18"/>
    <b v="0"/>
    <n v="1"/>
    <n v="1"/>
    <n v="0.24"/>
    <n v="0.2576"/>
    <n v="0.32"/>
    <n v="0.1045"/>
    <n v="9"/>
    <n v="148"/>
    <n v="157"/>
    <s v="Complete"/>
    <n v="0.2576"/>
    <n v="2011"/>
    <s v="January"/>
    <x v="2"/>
    <x v="3"/>
    <s v="Spring"/>
    <x v="0"/>
  </r>
  <r>
    <n v="65"/>
    <x v="2"/>
    <n v="1"/>
    <n v="0"/>
    <n v="1"/>
    <x v="19"/>
    <b v="0"/>
    <n v="1"/>
    <n v="1"/>
    <n v="0.2"/>
    <n v="0.2576"/>
    <n v="0.47"/>
    <n v="0"/>
    <n v="8"/>
    <n v="102"/>
    <n v="110"/>
    <s v="Complete"/>
    <n v="0.2576"/>
    <n v="2011"/>
    <s v="January"/>
    <x v="2"/>
    <x v="3"/>
    <s v="Spring"/>
    <x v="0"/>
  </r>
  <r>
    <n v="66"/>
    <x v="2"/>
    <n v="1"/>
    <n v="0"/>
    <n v="1"/>
    <x v="20"/>
    <b v="0"/>
    <n v="1"/>
    <n v="1"/>
    <n v="0.2"/>
    <m/>
    <n v="0.47"/>
    <n v="0.1045"/>
    <n v="3"/>
    <n v="49"/>
    <n v="52"/>
    <s v="Missing atemp"/>
    <n v="0.2"/>
    <n v="2011"/>
    <s v="January"/>
    <x v="2"/>
    <x v="3"/>
    <s v="Spring"/>
    <x v="0"/>
  </r>
  <r>
    <n v="67"/>
    <x v="2"/>
    <n v="1"/>
    <n v="0"/>
    <n v="1"/>
    <x v="21"/>
    <b v="0"/>
    <n v="1"/>
    <n v="1"/>
    <n v="0.18"/>
    <n v="0.19700000000000001"/>
    <n v="0.64"/>
    <n v="0.1343"/>
    <n v="3"/>
    <n v="49"/>
    <n v="52"/>
    <s v="Complete"/>
    <n v="0.19700000000000001"/>
    <n v="2011"/>
    <s v="January"/>
    <x v="2"/>
    <x v="3"/>
    <s v="Spring"/>
    <x v="0"/>
  </r>
  <r>
    <n v="68"/>
    <x v="2"/>
    <n v="1"/>
    <n v="0"/>
    <n v="1"/>
    <x v="22"/>
    <b v="0"/>
    <n v="1"/>
    <n v="1"/>
    <n v="0.14000000000000001"/>
    <n v="0.1515"/>
    <n v="0.69"/>
    <n v="0.1343"/>
    <n v="0"/>
    <n v="20"/>
    <n v="20"/>
    <s v="Complete"/>
    <n v="0.1515"/>
    <n v="2011"/>
    <s v="January"/>
    <x v="2"/>
    <x v="3"/>
    <s v="Spring"/>
    <x v="0"/>
  </r>
  <r>
    <n v="69"/>
    <x v="2"/>
    <n v="1"/>
    <n v="0"/>
    <n v="1"/>
    <x v="23"/>
    <b v="0"/>
    <n v="1"/>
    <n v="1"/>
    <n v="0.18"/>
    <n v="0.21210000000000001"/>
    <n v="0.55000000000000004"/>
    <n v="0.1045"/>
    <n v="1"/>
    <n v="11"/>
    <n v="12"/>
    <s v="Complete"/>
    <n v="0.21210000000000001"/>
    <n v="2011"/>
    <s v="January"/>
    <x v="2"/>
    <x v="3"/>
    <s v="Spring"/>
    <x v="0"/>
  </r>
  <r>
    <n v="70"/>
    <x v="3"/>
    <n v="1"/>
    <n v="0"/>
    <n v="1"/>
    <x v="0"/>
    <b v="0"/>
    <n v="2"/>
    <n v="1"/>
    <n v="0.16"/>
    <m/>
    <n v="0.55000000000000004"/>
    <n v="0.1045"/>
    <n v="0"/>
    <n v="5"/>
    <n v="5"/>
    <s v="Missing atemp"/>
    <n v="0.16"/>
    <n v="2011"/>
    <s v="January"/>
    <x v="2"/>
    <x v="0"/>
    <s v="Spring"/>
    <x v="0"/>
  </r>
  <r>
    <n v="71"/>
    <x v="3"/>
    <n v="1"/>
    <n v="0"/>
    <n v="1"/>
    <x v="1"/>
    <b v="0"/>
    <n v="2"/>
    <n v="1"/>
    <n v="0.16"/>
    <n v="0.18179999999999999"/>
    <n v="0.59"/>
    <n v="0.1045"/>
    <n v="0"/>
    <n v="2"/>
    <n v="2"/>
    <s v="Complete"/>
    <n v="0.18179999999999999"/>
    <n v="2011"/>
    <s v="January"/>
    <x v="2"/>
    <x v="0"/>
    <s v="Spring"/>
    <x v="0"/>
  </r>
  <r>
    <n v="72"/>
    <x v="3"/>
    <n v="1"/>
    <n v="0"/>
    <n v="1"/>
    <x v="2"/>
    <b v="0"/>
    <n v="2"/>
    <n v="1"/>
    <n v="0.14000000000000001"/>
    <n v="0.1515"/>
    <n v="0.63"/>
    <n v="0.1343"/>
    <n v="0"/>
    <n v="1"/>
    <n v="1"/>
    <s v="Complete"/>
    <n v="0.1515"/>
    <n v="2011"/>
    <s v="January"/>
    <x v="2"/>
    <x v="0"/>
    <s v="Spring"/>
    <x v="0"/>
  </r>
  <r>
    <n v="73"/>
    <x v="3"/>
    <n v="1"/>
    <n v="0"/>
    <n v="1"/>
    <x v="4"/>
    <b v="0"/>
    <n v="2"/>
    <n v="1"/>
    <n v="0.14000000000000001"/>
    <n v="0.18179999999999999"/>
    <n v="0.63"/>
    <n v="8.9599999999999999E-2"/>
    <n v="0"/>
    <n v="2"/>
    <n v="2"/>
    <s v="Complete"/>
    <n v="0.18179999999999999"/>
    <n v="2011"/>
    <s v="January"/>
    <x v="2"/>
    <x v="0"/>
    <s v="Spring"/>
    <x v="0"/>
  </r>
  <r>
    <n v="74"/>
    <x v="3"/>
    <n v="1"/>
    <n v="0"/>
    <n v="1"/>
    <x v="5"/>
    <b v="0"/>
    <n v="2"/>
    <n v="1"/>
    <n v="0.12"/>
    <n v="0.1515"/>
    <n v="0.68"/>
    <n v="0.1045"/>
    <n v="0"/>
    <n v="4"/>
    <n v="4"/>
    <s v="Complete"/>
    <n v="0.1515"/>
    <n v="2011"/>
    <s v="January"/>
    <x v="2"/>
    <x v="0"/>
    <s v="Spring"/>
    <x v="0"/>
  </r>
  <r>
    <n v="75"/>
    <x v="3"/>
    <n v="1"/>
    <n v="0"/>
    <n v="1"/>
    <x v="6"/>
    <b v="0"/>
    <n v="2"/>
    <n v="1"/>
    <n v="0.12"/>
    <n v="0.1515"/>
    <n v="0.74"/>
    <n v="0.1045"/>
    <n v="0"/>
    <n v="36"/>
    <n v="36"/>
    <s v="Complete"/>
    <n v="0.1515"/>
    <n v="2011"/>
    <s v="January"/>
    <x v="2"/>
    <x v="1"/>
    <s v="Spring"/>
    <x v="0"/>
  </r>
  <r>
    <n v="76"/>
    <x v="3"/>
    <n v="1"/>
    <n v="0"/>
    <n v="1"/>
    <x v="7"/>
    <b v="0"/>
    <n v="2"/>
    <n v="1"/>
    <n v="0.12"/>
    <n v="0.1515"/>
    <n v="0.74"/>
    <n v="0.1343"/>
    <n v="2"/>
    <n v="92"/>
    <n v="94"/>
    <s v="Complete"/>
    <n v="0.1515"/>
    <n v="2011"/>
    <s v="January"/>
    <x v="2"/>
    <x v="1"/>
    <s v="Spring"/>
    <x v="0"/>
  </r>
  <r>
    <n v="77"/>
    <x v="3"/>
    <n v="1"/>
    <n v="0"/>
    <n v="1"/>
    <x v="8"/>
    <b v="0"/>
    <n v="2"/>
    <n v="1"/>
    <n v="0.14000000000000001"/>
    <n v="0.1515"/>
    <n v="0.69"/>
    <n v="0.16420000000000001"/>
    <n v="2"/>
    <n v="177"/>
    <n v="179"/>
    <s v="Complete"/>
    <n v="0.1515"/>
    <n v="2011"/>
    <s v="January"/>
    <x v="2"/>
    <x v="1"/>
    <s v="Spring"/>
    <x v="0"/>
  </r>
  <r>
    <n v="78"/>
    <x v="3"/>
    <n v="1"/>
    <n v="0"/>
    <n v="1"/>
    <x v="9"/>
    <b v="0"/>
    <n v="2"/>
    <n v="1"/>
    <n v="0.16"/>
    <n v="0.1515"/>
    <n v="0.64"/>
    <n v="0.22389999999999999"/>
    <n v="2"/>
    <n v="98"/>
    <n v="100"/>
    <s v="Complete"/>
    <n v="0.1515"/>
    <n v="2011"/>
    <s v="January"/>
    <x v="2"/>
    <x v="1"/>
    <s v="Spring"/>
    <x v="0"/>
  </r>
  <r>
    <n v="79"/>
    <x v="3"/>
    <n v="1"/>
    <n v="0"/>
    <n v="1"/>
    <x v="10"/>
    <b v="0"/>
    <n v="2"/>
    <n v="2"/>
    <n v="0.16"/>
    <n v="0.13639999999999999"/>
    <n v="0.69"/>
    <n v="0.32840000000000003"/>
    <n v="5"/>
    <n v="37"/>
    <n v="42"/>
    <s v="Complete"/>
    <n v="0.13639999999999999"/>
    <n v="2011"/>
    <s v="January"/>
    <x v="2"/>
    <x v="1"/>
    <s v="Spring"/>
    <x v="1"/>
  </r>
  <r>
    <n v="80"/>
    <x v="3"/>
    <n v="1"/>
    <n v="0"/>
    <n v="1"/>
    <x v="11"/>
    <b v="0"/>
    <n v="2"/>
    <n v="1"/>
    <n v="0.22"/>
    <n v="0.21210000000000001"/>
    <n v="0.51"/>
    <n v="0.29849999999999999"/>
    <n v="7"/>
    <n v="50"/>
    <n v="57"/>
    <s v="Complete"/>
    <n v="0.21210000000000001"/>
    <n v="2011"/>
    <s v="January"/>
    <x v="2"/>
    <x v="1"/>
    <s v="Spring"/>
    <x v="0"/>
  </r>
  <r>
    <n v="81"/>
    <x v="3"/>
    <n v="1"/>
    <n v="0"/>
    <n v="1"/>
    <x v="12"/>
    <b v="0"/>
    <n v="2"/>
    <n v="1"/>
    <n v="0.22"/>
    <n v="0.2273"/>
    <n v="0.51"/>
    <n v="0.16420000000000001"/>
    <n v="12"/>
    <n v="66"/>
    <n v="78"/>
    <s v="Complete"/>
    <n v="0.2273"/>
    <n v="2011"/>
    <s v="January"/>
    <x v="2"/>
    <x v="2"/>
    <s v="Spring"/>
    <x v="0"/>
  </r>
  <r>
    <n v="82"/>
    <x v="3"/>
    <n v="1"/>
    <n v="0"/>
    <n v="1"/>
    <x v="13"/>
    <b v="0"/>
    <n v="2"/>
    <n v="1"/>
    <n v="0.24"/>
    <n v="0.2273"/>
    <n v="0.56000000000000005"/>
    <n v="0.19400000000000001"/>
    <n v="18"/>
    <n v="79"/>
    <n v="97"/>
    <s v="Complete"/>
    <n v="0.2273"/>
    <n v="2011"/>
    <s v="January"/>
    <x v="2"/>
    <x v="2"/>
    <s v="Spring"/>
    <x v="0"/>
  </r>
  <r>
    <n v="83"/>
    <x v="3"/>
    <n v="1"/>
    <n v="0"/>
    <n v="1"/>
    <x v="14"/>
    <b v="0"/>
    <n v="2"/>
    <n v="1"/>
    <n v="0.26"/>
    <n v="0.2576"/>
    <n v="0.52"/>
    <n v="0.22389999999999999"/>
    <n v="9"/>
    <n v="54"/>
    <n v="63"/>
    <s v="Complete"/>
    <n v="0.2576"/>
    <n v="2011"/>
    <s v="January"/>
    <x v="2"/>
    <x v="2"/>
    <s v="Spring"/>
    <x v="0"/>
  </r>
  <r>
    <n v="84"/>
    <x v="3"/>
    <n v="1"/>
    <n v="0"/>
    <n v="1"/>
    <x v="15"/>
    <b v="0"/>
    <n v="2"/>
    <n v="1"/>
    <n v="0.28000000000000003"/>
    <n v="0.2727"/>
    <n v="0.52"/>
    <n v="0.25369999999999998"/>
    <n v="17"/>
    <n v="48"/>
    <n v="65"/>
    <s v="Complete"/>
    <n v="0.2727"/>
    <n v="2011"/>
    <s v="January"/>
    <x v="2"/>
    <x v="2"/>
    <s v="Spring"/>
    <x v="0"/>
  </r>
  <r>
    <n v="85"/>
    <x v="3"/>
    <n v="1"/>
    <n v="0"/>
    <n v="1"/>
    <x v="16"/>
    <b v="0"/>
    <n v="2"/>
    <n v="1"/>
    <n v="0.3"/>
    <n v="0.28789999999999999"/>
    <n v="0.49"/>
    <n v="0.25369999999999998"/>
    <n v="15"/>
    <n v="68"/>
    <n v="83"/>
    <s v="Complete"/>
    <n v="0.28789999999999999"/>
    <n v="2011"/>
    <s v="January"/>
    <x v="2"/>
    <x v="2"/>
    <s v="Spring"/>
    <x v="0"/>
  </r>
  <r>
    <n v="86"/>
    <x v="3"/>
    <n v="1"/>
    <n v="0"/>
    <n v="1"/>
    <x v="17"/>
    <b v="0"/>
    <n v="2"/>
    <n v="1"/>
    <n v="0.28000000000000003"/>
    <n v="0.2727"/>
    <n v="0.48"/>
    <n v="0.22389999999999999"/>
    <n v="10"/>
    <n v="202"/>
    <n v="212"/>
    <s v="Complete"/>
    <n v="0.2727"/>
    <n v="2011"/>
    <s v="January"/>
    <x v="2"/>
    <x v="2"/>
    <s v="Spring"/>
    <x v="0"/>
  </r>
  <r>
    <n v="87"/>
    <x v="3"/>
    <n v="1"/>
    <n v="0"/>
    <n v="1"/>
    <x v="18"/>
    <b v="0"/>
    <n v="2"/>
    <n v="1"/>
    <n v="0.26"/>
    <n v="0.2576"/>
    <n v="0.48"/>
    <n v="0.19400000000000001"/>
    <n v="3"/>
    <n v="179"/>
    <n v="182"/>
    <s v="Complete"/>
    <n v="0.2576"/>
    <n v="2011"/>
    <s v="January"/>
    <x v="2"/>
    <x v="3"/>
    <s v="Spring"/>
    <x v="0"/>
  </r>
  <r>
    <n v="88"/>
    <x v="3"/>
    <n v="1"/>
    <n v="0"/>
    <n v="1"/>
    <x v="19"/>
    <b v="0"/>
    <n v="2"/>
    <n v="1"/>
    <n v="0.24"/>
    <n v="0.2576"/>
    <n v="0.48"/>
    <n v="0.1045"/>
    <n v="2"/>
    <n v="110"/>
    <n v="112"/>
    <s v="Complete"/>
    <n v="0.2576"/>
    <n v="2011"/>
    <s v="January"/>
    <x v="2"/>
    <x v="3"/>
    <s v="Spring"/>
    <x v="0"/>
  </r>
  <r>
    <n v="89"/>
    <x v="3"/>
    <n v="1"/>
    <n v="0"/>
    <n v="1"/>
    <x v="20"/>
    <b v="0"/>
    <n v="2"/>
    <n v="1"/>
    <n v="0.24"/>
    <n v="0.2576"/>
    <n v="0.48"/>
    <n v="0.1045"/>
    <n v="1"/>
    <n v="53"/>
    <n v="54"/>
    <s v="Complete"/>
    <n v="0.2576"/>
    <n v="2011"/>
    <s v="January"/>
    <x v="2"/>
    <x v="3"/>
    <s v="Spring"/>
    <x v="0"/>
  </r>
  <r>
    <n v="90"/>
    <x v="3"/>
    <n v="1"/>
    <n v="0"/>
    <n v="1"/>
    <x v="21"/>
    <b v="0"/>
    <n v="2"/>
    <n v="1"/>
    <n v="0.22"/>
    <n v="0.2727"/>
    <n v="0.64"/>
    <n v="0"/>
    <n v="0"/>
    <n v="48"/>
    <n v="48"/>
    <s v="Complete"/>
    <n v="0.2727"/>
    <n v="2011"/>
    <s v="January"/>
    <x v="2"/>
    <x v="3"/>
    <s v="Spring"/>
    <x v="0"/>
  </r>
  <r>
    <n v="91"/>
    <x v="3"/>
    <n v="1"/>
    <n v="0"/>
    <n v="1"/>
    <x v="22"/>
    <b v="0"/>
    <n v="2"/>
    <n v="1"/>
    <n v="0.22"/>
    <n v="0.2576"/>
    <n v="0.64"/>
    <n v="8.9599999999999999E-2"/>
    <n v="1"/>
    <n v="34"/>
    <n v="35"/>
    <s v="Complete"/>
    <n v="0.2576"/>
    <n v="2011"/>
    <s v="January"/>
    <x v="2"/>
    <x v="3"/>
    <s v="Spring"/>
    <x v="0"/>
  </r>
  <r>
    <n v="92"/>
    <x v="3"/>
    <n v="1"/>
    <n v="0"/>
    <n v="1"/>
    <x v="23"/>
    <b v="0"/>
    <n v="2"/>
    <n v="1"/>
    <n v="0.2"/>
    <n v="0.2273"/>
    <n v="0.69"/>
    <n v="8.9599999999999999E-2"/>
    <n v="2"/>
    <n v="9"/>
    <n v="11"/>
    <s v="Complete"/>
    <n v="0.2273"/>
    <n v="2011"/>
    <s v="January"/>
    <x v="2"/>
    <x v="3"/>
    <s v="Spring"/>
    <x v="0"/>
  </r>
  <r>
    <n v="93"/>
    <x v="4"/>
    <n v="1"/>
    <n v="0"/>
    <n v="1"/>
    <x v="0"/>
    <b v="0"/>
    <n v="3"/>
    <n v="1"/>
    <n v="0.2"/>
    <n v="0.2576"/>
    <n v="0.64"/>
    <n v="0"/>
    <n v="0"/>
    <n v="6"/>
    <n v="6"/>
    <s v="Complete"/>
    <n v="0.2576"/>
    <n v="2011"/>
    <s v="January"/>
    <x v="2"/>
    <x v="0"/>
    <s v="Spring"/>
    <x v="0"/>
  </r>
  <r>
    <n v="94"/>
    <x v="4"/>
    <n v="1"/>
    <n v="0"/>
    <n v="1"/>
    <x v="1"/>
    <b v="0"/>
    <n v="3"/>
    <n v="1"/>
    <n v="0.16"/>
    <n v="0.19700000000000001"/>
    <n v="0.74"/>
    <n v="8.9599999999999999E-2"/>
    <n v="0"/>
    <n v="6"/>
    <n v="6"/>
    <s v="Complete"/>
    <n v="0.19700000000000001"/>
    <n v="2011"/>
    <s v="January"/>
    <x v="2"/>
    <x v="0"/>
    <s v="Spring"/>
    <x v="0"/>
  </r>
  <r>
    <n v="95"/>
    <x v="4"/>
    <n v="1"/>
    <n v="0"/>
    <n v="1"/>
    <x v="2"/>
    <b v="0"/>
    <n v="3"/>
    <n v="1"/>
    <n v="0.16"/>
    <n v="0.19700000000000001"/>
    <n v="0.74"/>
    <n v="8.9599999999999999E-2"/>
    <n v="0"/>
    <n v="2"/>
    <n v="2"/>
    <s v="Complete"/>
    <n v="0.19700000000000001"/>
    <n v="2011"/>
    <s v="January"/>
    <x v="2"/>
    <x v="0"/>
    <s v="Spring"/>
    <x v="0"/>
  </r>
  <r>
    <n v="96"/>
    <x v="4"/>
    <n v="1"/>
    <n v="0"/>
    <n v="1"/>
    <x v="4"/>
    <b v="0"/>
    <n v="3"/>
    <n v="1"/>
    <n v="0.24"/>
    <n v="0.2273"/>
    <n v="0.48"/>
    <n v="0.22389999999999999"/>
    <n v="0"/>
    <n v="2"/>
    <n v="2"/>
    <s v="Complete"/>
    <n v="0.2273"/>
    <n v="2011"/>
    <s v="January"/>
    <x v="2"/>
    <x v="0"/>
    <s v="Spring"/>
    <x v="0"/>
  </r>
  <r>
    <n v="97"/>
    <x v="4"/>
    <n v="1"/>
    <n v="0"/>
    <n v="1"/>
    <x v="5"/>
    <b v="0"/>
    <n v="3"/>
    <n v="1"/>
    <n v="0.22"/>
    <n v="0.2273"/>
    <n v="0.47"/>
    <n v="0.16420000000000001"/>
    <n v="0"/>
    <n v="3"/>
    <n v="3"/>
    <s v="Complete"/>
    <n v="0.2273"/>
    <n v="2011"/>
    <s v="January"/>
    <x v="2"/>
    <x v="0"/>
    <s v="Spring"/>
    <x v="0"/>
  </r>
  <r>
    <n v="98"/>
    <x v="4"/>
    <n v="1"/>
    <n v="0"/>
    <n v="1"/>
    <x v="6"/>
    <b v="0"/>
    <n v="3"/>
    <n v="1"/>
    <n v="0.2"/>
    <n v="0.19700000000000001"/>
    <n v="0.47"/>
    <n v="0.22389999999999999"/>
    <n v="0"/>
    <n v="33"/>
    <n v="33"/>
    <s v="Complete"/>
    <n v="0.19700000000000001"/>
    <n v="2011"/>
    <s v="January"/>
    <x v="2"/>
    <x v="1"/>
    <s v="Spring"/>
    <x v="0"/>
  </r>
  <r>
    <n v="99"/>
    <x v="4"/>
    <n v="1"/>
    <n v="0"/>
    <n v="1"/>
    <x v="7"/>
    <b v="0"/>
    <n v="3"/>
    <n v="1"/>
    <n v="0.18"/>
    <n v="0.18179999999999999"/>
    <n v="0.43"/>
    <n v="0.19400000000000001"/>
    <n v="1"/>
    <n v="87"/>
    <n v="88"/>
    <s v="Complete"/>
    <n v="0.18179999999999999"/>
    <n v="2011"/>
    <s v="January"/>
    <x v="2"/>
    <x v="1"/>
    <s v="Spring"/>
    <x v="0"/>
  </r>
  <r>
    <n v="100"/>
    <x v="4"/>
    <n v="1"/>
    <n v="0"/>
    <n v="1"/>
    <x v="8"/>
    <b v="0"/>
    <n v="3"/>
    <n v="1"/>
    <n v="0.2"/>
    <n v="0.18179999999999999"/>
    <n v="0.4"/>
    <n v="0.29849999999999999"/>
    <n v="3"/>
    <n v="192"/>
    <n v="195"/>
    <s v="Complete"/>
    <n v="0.18179999999999999"/>
    <n v="2011"/>
    <s v="January"/>
    <x v="2"/>
    <x v="1"/>
    <s v="Spring"/>
    <x v="0"/>
  </r>
  <r>
    <n v="101"/>
    <x v="4"/>
    <n v="1"/>
    <n v="0"/>
    <n v="1"/>
    <x v="9"/>
    <b v="0"/>
    <n v="3"/>
    <n v="1"/>
    <n v="0.22"/>
    <n v="0.19700000000000001"/>
    <n v="0.37"/>
    <n v="0.32840000000000003"/>
    <n v="6"/>
    <n v="109"/>
    <n v="115"/>
    <s v="Complete"/>
    <n v="0.19700000000000001"/>
    <n v="2011"/>
    <s v="January"/>
    <x v="2"/>
    <x v="1"/>
    <s v="Spring"/>
    <x v="0"/>
  </r>
  <r>
    <n v="102"/>
    <x v="4"/>
    <n v="1"/>
    <n v="0"/>
    <n v="1"/>
    <x v="10"/>
    <b v="0"/>
    <n v="3"/>
    <n v="1"/>
    <n v="0.22"/>
    <n v="0.19700000000000001"/>
    <n v="0.37"/>
    <n v="0.32840000000000003"/>
    <n v="4"/>
    <n v="53"/>
    <n v="57"/>
    <s v="Complete"/>
    <n v="0.19700000000000001"/>
    <n v="2011"/>
    <s v="January"/>
    <x v="2"/>
    <x v="1"/>
    <s v="Spring"/>
    <x v="0"/>
  </r>
  <r>
    <n v="103"/>
    <x v="4"/>
    <n v="1"/>
    <n v="0"/>
    <n v="1"/>
    <x v="11"/>
    <b v="0"/>
    <n v="3"/>
    <n v="1"/>
    <n v="0.26"/>
    <n v="0.2273"/>
    <n v="0.33"/>
    <n v="0.32840000000000003"/>
    <n v="12"/>
    <n v="34"/>
    <n v="46"/>
    <s v="Complete"/>
    <n v="0.2273"/>
    <n v="2011"/>
    <s v="January"/>
    <x v="2"/>
    <x v="1"/>
    <s v="Spring"/>
    <x v="0"/>
  </r>
  <r>
    <n v="104"/>
    <x v="4"/>
    <n v="1"/>
    <n v="0"/>
    <n v="1"/>
    <x v="12"/>
    <b v="0"/>
    <n v="3"/>
    <n v="1"/>
    <n v="0.26"/>
    <n v="0.2273"/>
    <n v="0.33"/>
    <n v="0.32840000000000003"/>
    <n v="5"/>
    <n v="74"/>
    <n v="79"/>
    <s v="Complete"/>
    <n v="0.2273"/>
    <n v="2011"/>
    <s v="January"/>
    <x v="2"/>
    <x v="2"/>
    <s v="Spring"/>
    <x v="0"/>
  </r>
  <r>
    <n v="105"/>
    <x v="4"/>
    <n v="1"/>
    <n v="0"/>
    <n v="1"/>
    <x v="13"/>
    <b v="0"/>
    <n v="3"/>
    <n v="1"/>
    <n v="0.28000000000000003"/>
    <n v="0.2576"/>
    <n v="0.3"/>
    <n v="0.29849999999999999"/>
    <n v="6"/>
    <n v="65"/>
    <n v="71"/>
    <s v="Complete"/>
    <n v="0.2576"/>
    <n v="2011"/>
    <s v="January"/>
    <x v="2"/>
    <x v="2"/>
    <s v="Spring"/>
    <x v="0"/>
  </r>
  <r>
    <n v="106"/>
    <x v="4"/>
    <n v="1"/>
    <n v="0"/>
    <n v="1"/>
    <x v="14"/>
    <b v="0"/>
    <n v="3"/>
    <n v="1"/>
    <n v="0.3"/>
    <n v="0.28789999999999999"/>
    <n v="0.28000000000000003"/>
    <n v="0.19400000000000001"/>
    <n v="10"/>
    <n v="52"/>
    <n v="62"/>
    <s v="Complete"/>
    <n v="0.28789999999999999"/>
    <n v="2011"/>
    <s v="January"/>
    <x v="2"/>
    <x v="2"/>
    <s v="Spring"/>
    <x v="0"/>
  </r>
  <r>
    <n v="107"/>
    <x v="4"/>
    <n v="1"/>
    <n v="0"/>
    <n v="1"/>
    <x v="15"/>
    <b v="0"/>
    <n v="3"/>
    <n v="1"/>
    <n v="0.3"/>
    <n v="0.28789999999999999"/>
    <n v="0.28000000000000003"/>
    <n v="0.19400000000000001"/>
    <n v="7"/>
    <n v="55"/>
    <n v="62"/>
    <s v="Complete"/>
    <n v="0.28789999999999999"/>
    <n v="2011"/>
    <s v="January"/>
    <x v="2"/>
    <x v="2"/>
    <s v="Spring"/>
    <x v="0"/>
  </r>
  <r>
    <n v="108"/>
    <x v="4"/>
    <n v="1"/>
    <n v="0"/>
    <n v="1"/>
    <x v="16"/>
    <b v="0"/>
    <n v="3"/>
    <n v="1"/>
    <n v="0.3"/>
    <n v="0.31819999999999998"/>
    <n v="0.28000000000000003"/>
    <n v="8.9599999999999999E-2"/>
    <n v="4"/>
    <n v="85"/>
    <n v="89"/>
    <s v="Complete"/>
    <n v="0.31819999999999998"/>
    <n v="2011"/>
    <s v="January"/>
    <x v="2"/>
    <x v="2"/>
    <s v="Spring"/>
    <x v="0"/>
  </r>
  <r>
    <n v="109"/>
    <x v="4"/>
    <n v="1"/>
    <n v="0"/>
    <n v="1"/>
    <x v="17"/>
    <b v="0"/>
    <n v="3"/>
    <n v="1"/>
    <n v="0.24"/>
    <n v="0.2273"/>
    <n v="0.38"/>
    <n v="0.19400000000000001"/>
    <n v="4"/>
    <n v="186"/>
    <n v="190"/>
    <s v="Complete"/>
    <n v="0.2273"/>
    <n v="2011"/>
    <s v="January"/>
    <x v="2"/>
    <x v="2"/>
    <s v="Spring"/>
    <x v="0"/>
  </r>
  <r>
    <n v="110"/>
    <x v="4"/>
    <n v="1"/>
    <n v="0"/>
    <n v="1"/>
    <x v="18"/>
    <b v="0"/>
    <n v="3"/>
    <n v="1"/>
    <n v="0.24"/>
    <n v="0.2424"/>
    <n v="0.38"/>
    <n v="0.1343"/>
    <n v="3"/>
    <n v="166"/>
    <n v="169"/>
    <s v="Complete"/>
    <n v="0.2424"/>
    <n v="2011"/>
    <s v="January"/>
    <x v="2"/>
    <x v="3"/>
    <s v="Spring"/>
    <x v="0"/>
  </r>
  <r>
    <n v="111"/>
    <x v="4"/>
    <n v="1"/>
    <n v="0"/>
    <n v="1"/>
    <x v="19"/>
    <b v="0"/>
    <n v="3"/>
    <n v="1"/>
    <n v="0.24"/>
    <n v="0.2576"/>
    <n v="0.38"/>
    <n v="0.1045"/>
    <n v="5"/>
    <n v="127"/>
    <n v="132"/>
    <s v="Complete"/>
    <n v="0.2576"/>
    <n v="2011"/>
    <s v="January"/>
    <x v="2"/>
    <x v="3"/>
    <s v="Spring"/>
    <x v="0"/>
  </r>
  <r>
    <n v="112"/>
    <x v="4"/>
    <n v="1"/>
    <n v="0"/>
    <n v="1"/>
    <x v="20"/>
    <b v="0"/>
    <n v="3"/>
    <n v="1"/>
    <n v="0.22"/>
    <n v="0.2273"/>
    <n v="0.47"/>
    <n v="0.16420000000000001"/>
    <n v="7"/>
    <n v="82"/>
    <n v="89"/>
    <s v="Complete"/>
    <n v="0.2273"/>
    <n v="2011"/>
    <s v="January"/>
    <x v="2"/>
    <x v="3"/>
    <s v="Spring"/>
    <x v="0"/>
  </r>
  <r>
    <n v="113"/>
    <x v="4"/>
    <n v="1"/>
    <n v="0"/>
    <n v="1"/>
    <x v="21"/>
    <b v="0"/>
    <n v="3"/>
    <n v="1"/>
    <n v="0.2"/>
    <n v="0.19700000000000001"/>
    <n v="0.51"/>
    <n v="0.19400000000000001"/>
    <n v="3"/>
    <n v="40"/>
    <n v="43"/>
    <s v="Complete"/>
    <n v="0.19700000000000001"/>
    <n v="2011"/>
    <s v="January"/>
    <x v="2"/>
    <x v="3"/>
    <s v="Spring"/>
    <x v="0"/>
  </r>
  <r>
    <n v="114"/>
    <x v="4"/>
    <n v="1"/>
    <n v="0"/>
    <n v="1"/>
    <x v="22"/>
    <b v="0"/>
    <n v="3"/>
    <n v="1"/>
    <n v="0.18"/>
    <n v="0.19700000000000001"/>
    <n v="0.55000000000000004"/>
    <n v="0.1343"/>
    <n v="1"/>
    <n v="41"/>
    <n v="42"/>
    <s v="Complete"/>
    <n v="0.19700000000000001"/>
    <n v="2011"/>
    <s v="January"/>
    <x v="2"/>
    <x v="3"/>
    <s v="Spring"/>
    <x v="0"/>
  </r>
  <r>
    <n v="115"/>
    <x v="4"/>
    <n v="1"/>
    <n v="0"/>
    <n v="1"/>
    <x v="23"/>
    <b v="0"/>
    <n v="3"/>
    <n v="1"/>
    <n v="0.2"/>
    <n v="0.2576"/>
    <n v="0.47"/>
    <n v="0"/>
    <n v="1"/>
    <n v="18"/>
    <n v="19"/>
    <s v="Complete"/>
    <n v="0.2576"/>
    <n v="2011"/>
    <s v="January"/>
    <x v="2"/>
    <x v="3"/>
    <s v="Spring"/>
    <x v="0"/>
  </r>
  <r>
    <n v="116"/>
    <x v="5"/>
    <n v="1"/>
    <n v="0"/>
    <n v="1"/>
    <x v="0"/>
    <b v="0"/>
    <n v="4"/>
    <n v="1"/>
    <n v="0.18"/>
    <n v="0.2424"/>
    <n v="0.55000000000000004"/>
    <n v="0"/>
    <n v="0"/>
    <n v="11"/>
    <n v="11"/>
    <s v="Complete"/>
    <n v="0.2424"/>
    <n v="2011"/>
    <s v="January"/>
    <x v="2"/>
    <x v="0"/>
    <s v="Spring"/>
    <x v="0"/>
  </r>
  <r>
    <n v="117"/>
    <x v="5"/>
    <n v="1"/>
    <n v="0"/>
    <n v="1"/>
    <x v="1"/>
    <b v="0"/>
    <n v="4"/>
    <n v="1"/>
    <n v="0.16"/>
    <n v="0.2273"/>
    <n v="0.64"/>
    <n v="0"/>
    <n v="0"/>
    <n v="4"/>
    <n v="4"/>
    <s v="Complete"/>
    <n v="0.2273"/>
    <n v="2011"/>
    <s v="January"/>
    <x v="2"/>
    <x v="0"/>
    <s v="Spring"/>
    <x v="0"/>
  </r>
  <r>
    <n v="118"/>
    <x v="5"/>
    <n v="1"/>
    <n v="0"/>
    <n v="1"/>
    <x v="2"/>
    <b v="0"/>
    <n v="4"/>
    <n v="1"/>
    <n v="0.16"/>
    <n v="0.2273"/>
    <n v="0.64"/>
    <n v="0"/>
    <n v="0"/>
    <n v="2"/>
    <n v="2"/>
    <s v="Complete"/>
    <n v="0.2273"/>
    <n v="2011"/>
    <s v="January"/>
    <x v="2"/>
    <x v="0"/>
    <s v="Spring"/>
    <x v="0"/>
  </r>
  <r>
    <n v="119"/>
    <x v="5"/>
    <n v="1"/>
    <n v="0"/>
    <n v="1"/>
    <x v="4"/>
    <b v="0"/>
    <n v="4"/>
    <n v="2"/>
    <n v="0.16"/>
    <n v="0.19700000000000001"/>
    <n v="0.64"/>
    <n v="8.9599999999999999E-2"/>
    <n v="0"/>
    <n v="1"/>
    <n v="1"/>
    <s v="Complete"/>
    <n v="0.19700000000000001"/>
    <n v="2011"/>
    <s v="January"/>
    <x v="2"/>
    <x v="0"/>
    <s v="Spring"/>
    <x v="1"/>
  </r>
  <r>
    <n v="120"/>
    <x v="5"/>
    <n v="1"/>
    <n v="0"/>
    <n v="1"/>
    <x v="5"/>
    <b v="0"/>
    <n v="4"/>
    <n v="2"/>
    <n v="0.14000000000000001"/>
    <n v="0.18179999999999999"/>
    <n v="0.69"/>
    <n v="8.9599999999999999E-2"/>
    <n v="0"/>
    <n v="4"/>
    <n v="4"/>
    <s v="Complete"/>
    <n v="0.18179999999999999"/>
    <n v="2011"/>
    <s v="January"/>
    <x v="2"/>
    <x v="0"/>
    <s v="Spring"/>
    <x v="1"/>
  </r>
  <r>
    <n v="121"/>
    <x v="5"/>
    <n v="1"/>
    <n v="0"/>
    <n v="1"/>
    <x v="6"/>
    <b v="0"/>
    <n v="4"/>
    <n v="2"/>
    <n v="0.14000000000000001"/>
    <n v="0.16669999999999999"/>
    <n v="0.63"/>
    <n v="0.1045"/>
    <n v="0"/>
    <n v="36"/>
    <n v="36"/>
    <s v="Complete"/>
    <n v="0.16669999999999999"/>
    <n v="2011"/>
    <s v="January"/>
    <x v="2"/>
    <x v="1"/>
    <s v="Spring"/>
    <x v="1"/>
  </r>
  <r>
    <n v="122"/>
    <x v="5"/>
    <n v="1"/>
    <n v="0"/>
    <n v="1"/>
    <x v="7"/>
    <b v="0"/>
    <n v="4"/>
    <n v="2"/>
    <n v="0.16"/>
    <n v="0.2273"/>
    <n v="0.59"/>
    <n v="0"/>
    <n v="0"/>
    <n v="95"/>
    <n v="95"/>
    <s v="Complete"/>
    <n v="0.2273"/>
    <n v="2011"/>
    <s v="January"/>
    <x v="2"/>
    <x v="1"/>
    <s v="Spring"/>
    <x v="1"/>
  </r>
  <r>
    <n v="123"/>
    <x v="5"/>
    <n v="1"/>
    <n v="0"/>
    <n v="1"/>
    <x v="8"/>
    <b v="0"/>
    <n v="4"/>
    <n v="1"/>
    <n v="0.16"/>
    <n v="0.2273"/>
    <n v="0.59"/>
    <n v="0"/>
    <n v="3"/>
    <n v="216"/>
    <n v="219"/>
    <s v="Complete"/>
    <n v="0.2273"/>
    <n v="2011"/>
    <s v="January"/>
    <x v="2"/>
    <x v="1"/>
    <s v="Spring"/>
    <x v="0"/>
  </r>
  <r>
    <n v="124"/>
    <x v="5"/>
    <n v="1"/>
    <n v="0"/>
    <n v="1"/>
    <x v="9"/>
    <b v="0"/>
    <n v="4"/>
    <n v="2"/>
    <n v="0.18"/>
    <n v="0.2424"/>
    <n v="0.51"/>
    <n v="0"/>
    <n v="6"/>
    <n v="116"/>
    <n v="122"/>
    <s v="Complete"/>
    <n v="0.2424"/>
    <n v="2011"/>
    <s v="January"/>
    <x v="2"/>
    <x v="1"/>
    <s v="Spring"/>
    <x v="1"/>
  </r>
  <r>
    <n v="125"/>
    <x v="5"/>
    <n v="1"/>
    <n v="0"/>
    <n v="1"/>
    <x v="10"/>
    <b v="0"/>
    <n v="4"/>
    <n v="1"/>
    <n v="0.2"/>
    <n v="0.2576"/>
    <n v="0.47"/>
    <n v="0"/>
    <n v="3"/>
    <n v="42"/>
    <n v="45"/>
    <s v="Complete"/>
    <n v="0.2576"/>
    <n v="2011"/>
    <s v="January"/>
    <x v="2"/>
    <x v="1"/>
    <s v="Spring"/>
    <x v="0"/>
  </r>
  <r>
    <n v="126"/>
    <x v="5"/>
    <n v="1"/>
    <n v="0"/>
    <n v="1"/>
    <x v="11"/>
    <b v="0"/>
    <n v="4"/>
    <n v="1"/>
    <n v="0.22"/>
    <n v="0.2576"/>
    <n v="0.44"/>
    <n v="8.9599999999999999E-2"/>
    <n v="2"/>
    <n v="57"/>
    <n v="59"/>
    <s v="Complete"/>
    <n v="0.2576"/>
    <n v="2011"/>
    <s v="January"/>
    <x v="2"/>
    <x v="1"/>
    <s v="Spring"/>
    <x v="0"/>
  </r>
  <r>
    <n v="127"/>
    <x v="5"/>
    <n v="1"/>
    <n v="0"/>
    <n v="1"/>
    <x v="12"/>
    <b v="0"/>
    <n v="4"/>
    <n v="1"/>
    <n v="0.26"/>
    <n v="0.28789999999999999"/>
    <n v="0.35"/>
    <n v="0"/>
    <n v="6"/>
    <n v="78"/>
    <n v="84"/>
    <s v="Complete"/>
    <n v="0.28789999999999999"/>
    <n v="2011"/>
    <s v="January"/>
    <x v="2"/>
    <x v="2"/>
    <s v="Spring"/>
    <x v="0"/>
  </r>
  <r>
    <n v="128"/>
    <x v="5"/>
    <n v="1"/>
    <n v="0"/>
    <n v="1"/>
    <x v="13"/>
    <b v="0"/>
    <n v="4"/>
    <n v="1"/>
    <n v="0.26"/>
    <n v="0.2727"/>
    <n v="0.35"/>
    <n v="0.1045"/>
    <n v="12"/>
    <n v="55"/>
    <n v="67"/>
    <s v="Complete"/>
    <n v="0.2727"/>
    <n v="2011"/>
    <s v="January"/>
    <x v="2"/>
    <x v="2"/>
    <s v="Spring"/>
    <x v="0"/>
  </r>
  <r>
    <n v="129"/>
    <x v="5"/>
    <n v="1"/>
    <n v="0"/>
    <n v="1"/>
    <x v="14"/>
    <b v="0"/>
    <n v="4"/>
    <n v="1"/>
    <n v="0.28000000000000003"/>
    <n v="0.2727"/>
    <n v="0.36"/>
    <n v="0.16420000000000001"/>
    <n v="11"/>
    <n v="59"/>
    <n v="70"/>
    <s v="Complete"/>
    <n v="0.2727"/>
    <n v="2011"/>
    <s v="January"/>
    <x v="2"/>
    <x v="2"/>
    <s v="Spring"/>
    <x v="0"/>
  </r>
  <r>
    <n v="130"/>
    <x v="5"/>
    <n v="1"/>
    <n v="0"/>
    <n v="1"/>
    <x v="15"/>
    <b v="0"/>
    <n v="4"/>
    <n v="1"/>
    <n v="0.28000000000000003"/>
    <n v="0.2727"/>
    <n v="0.36"/>
    <n v="0"/>
    <n v="8"/>
    <n v="54"/>
    <n v="62"/>
    <s v="Complete"/>
    <n v="0.2727"/>
    <n v="2011"/>
    <s v="January"/>
    <x v="2"/>
    <x v="2"/>
    <s v="Spring"/>
    <x v="0"/>
  </r>
  <r>
    <n v="131"/>
    <x v="5"/>
    <n v="1"/>
    <n v="0"/>
    <n v="1"/>
    <x v="16"/>
    <b v="0"/>
    <n v="4"/>
    <n v="1"/>
    <n v="0.26"/>
    <n v="0.2576"/>
    <n v="0.38"/>
    <n v="0.16420000000000001"/>
    <n v="12"/>
    <n v="74"/>
    <n v="86"/>
    <s v="Complete"/>
    <n v="0.2576"/>
    <n v="2011"/>
    <s v="January"/>
    <x v="2"/>
    <x v="2"/>
    <s v="Spring"/>
    <x v="0"/>
  </r>
  <r>
    <n v="132"/>
    <x v="5"/>
    <n v="1"/>
    <n v="0"/>
    <n v="1"/>
    <x v="17"/>
    <b v="0"/>
    <n v="4"/>
    <n v="1"/>
    <n v="0.22"/>
    <n v="0.2273"/>
    <n v="0.51"/>
    <n v="0.16420000000000001"/>
    <n v="9"/>
    <n v="163"/>
    <n v="172"/>
    <s v="Complete"/>
    <n v="0.2273"/>
    <n v="2011"/>
    <s v="January"/>
    <x v="2"/>
    <x v="2"/>
    <s v="Spring"/>
    <x v="0"/>
  </r>
  <r>
    <n v="133"/>
    <x v="5"/>
    <n v="1"/>
    <n v="0"/>
    <n v="1"/>
    <x v="18"/>
    <b v="0"/>
    <n v="4"/>
    <n v="1"/>
    <n v="0.22"/>
    <n v="0.2273"/>
    <n v="0.51"/>
    <n v="0.1343"/>
    <n v="5"/>
    <n v="158"/>
    <n v="163"/>
    <s v="Complete"/>
    <n v="0.2273"/>
    <n v="2011"/>
    <s v="January"/>
    <x v="2"/>
    <x v="3"/>
    <s v="Spring"/>
    <x v="0"/>
  </r>
  <r>
    <n v="134"/>
    <x v="5"/>
    <n v="1"/>
    <n v="0"/>
    <n v="1"/>
    <x v="19"/>
    <b v="0"/>
    <n v="4"/>
    <n v="1"/>
    <n v="0.22"/>
    <n v="0.2576"/>
    <n v="0.55000000000000004"/>
    <n v="8.9599999999999999E-2"/>
    <n v="3"/>
    <n v="109"/>
    <n v="112"/>
    <s v="Complete"/>
    <n v="0.2576"/>
    <n v="2011"/>
    <s v="January"/>
    <x v="2"/>
    <x v="3"/>
    <s v="Spring"/>
    <x v="0"/>
  </r>
  <r>
    <n v="135"/>
    <x v="5"/>
    <n v="1"/>
    <n v="0"/>
    <n v="1"/>
    <x v="20"/>
    <b v="0"/>
    <n v="4"/>
    <n v="1"/>
    <n v="0.2"/>
    <n v="0.21210000000000001"/>
    <n v="0.51"/>
    <n v="0.16420000000000001"/>
    <n v="3"/>
    <n v="66"/>
    <n v="69"/>
    <s v="Complete"/>
    <n v="0.21210000000000001"/>
    <n v="2011"/>
    <s v="January"/>
    <x v="2"/>
    <x v="3"/>
    <s v="Spring"/>
    <x v="0"/>
  </r>
  <r>
    <n v="136"/>
    <x v="5"/>
    <n v="1"/>
    <n v="0"/>
    <n v="1"/>
    <x v="21"/>
    <b v="0"/>
    <n v="4"/>
    <n v="2"/>
    <n v="0.22"/>
    <n v="0.21210000000000001"/>
    <n v="0.55000000000000004"/>
    <n v="0.22389999999999999"/>
    <n v="0"/>
    <n v="48"/>
    <n v="48"/>
    <s v="Complete"/>
    <n v="0.21210000000000001"/>
    <n v="2011"/>
    <s v="January"/>
    <x v="2"/>
    <x v="3"/>
    <s v="Spring"/>
    <x v="1"/>
  </r>
  <r>
    <n v="137"/>
    <x v="5"/>
    <n v="1"/>
    <n v="0"/>
    <n v="1"/>
    <x v="22"/>
    <b v="0"/>
    <n v="4"/>
    <n v="2"/>
    <n v="0.22"/>
    <n v="0.21210000000000001"/>
    <n v="0.51"/>
    <n v="0.28360000000000002"/>
    <n v="1"/>
    <n v="51"/>
    <n v="52"/>
    <s v="Complete"/>
    <n v="0.21210000000000001"/>
    <n v="2011"/>
    <s v="January"/>
    <x v="2"/>
    <x v="3"/>
    <s v="Spring"/>
    <x v="1"/>
  </r>
  <r>
    <n v="138"/>
    <x v="5"/>
    <n v="1"/>
    <n v="0"/>
    <n v="1"/>
    <x v="23"/>
    <b v="0"/>
    <n v="4"/>
    <n v="2"/>
    <n v="0.2"/>
    <n v="0.19700000000000001"/>
    <n v="0.59"/>
    <n v="0.19400000000000001"/>
    <n v="4"/>
    <n v="19"/>
    <n v="23"/>
    <s v="Complete"/>
    <n v="0.19700000000000001"/>
    <n v="2011"/>
    <s v="January"/>
    <x v="2"/>
    <x v="3"/>
    <s v="Spring"/>
    <x v="1"/>
  </r>
  <r>
    <n v="139"/>
    <x v="6"/>
    <n v="1"/>
    <n v="0"/>
    <n v="1"/>
    <x v="0"/>
    <b v="0"/>
    <n v="5"/>
    <n v="2"/>
    <n v="0.2"/>
    <n v="0.19700000000000001"/>
    <n v="0.64"/>
    <n v="0.19400000000000001"/>
    <n v="4"/>
    <n v="13"/>
    <n v="17"/>
    <s v="Complete"/>
    <n v="0.19700000000000001"/>
    <n v="2011"/>
    <s v="January"/>
    <x v="2"/>
    <x v="0"/>
    <s v="Spring"/>
    <x v="1"/>
  </r>
  <r>
    <n v="140"/>
    <x v="6"/>
    <n v="1"/>
    <n v="0"/>
    <n v="1"/>
    <x v="1"/>
    <b v="0"/>
    <n v="5"/>
    <n v="2"/>
    <n v="0.2"/>
    <n v="0.19700000000000001"/>
    <n v="0.69"/>
    <n v="0.22389999999999999"/>
    <n v="2"/>
    <n v="5"/>
    <n v="7"/>
    <s v="Complete"/>
    <n v="0.19700000000000001"/>
    <n v="2011"/>
    <s v="January"/>
    <x v="2"/>
    <x v="0"/>
    <s v="Spring"/>
    <x v="1"/>
  </r>
  <r>
    <n v="141"/>
    <x v="6"/>
    <n v="1"/>
    <n v="0"/>
    <n v="1"/>
    <x v="2"/>
    <b v="0"/>
    <n v="5"/>
    <n v="2"/>
    <n v="0.2"/>
    <n v="0.19700000000000001"/>
    <n v="0.69"/>
    <n v="0.22389999999999999"/>
    <n v="0"/>
    <n v="1"/>
    <n v="1"/>
    <s v="Complete"/>
    <n v="0.19700000000000001"/>
    <n v="2011"/>
    <s v="January"/>
    <x v="2"/>
    <x v="0"/>
    <s v="Spring"/>
    <x v="1"/>
  </r>
  <r>
    <n v="142"/>
    <x v="6"/>
    <n v="1"/>
    <n v="0"/>
    <n v="1"/>
    <x v="4"/>
    <b v="0"/>
    <n v="5"/>
    <n v="2"/>
    <n v="0.2"/>
    <n v="0.21210000000000001"/>
    <n v="0.69"/>
    <n v="0.1343"/>
    <n v="0"/>
    <n v="1"/>
    <n v="1"/>
    <s v="Complete"/>
    <n v="0.21210000000000001"/>
    <n v="2011"/>
    <s v="January"/>
    <x v="2"/>
    <x v="0"/>
    <s v="Spring"/>
    <x v="1"/>
  </r>
  <r>
    <n v="143"/>
    <x v="6"/>
    <n v="1"/>
    <n v="0"/>
    <n v="1"/>
    <x v="5"/>
    <b v="0"/>
    <n v="5"/>
    <n v="3"/>
    <n v="0.22"/>
    <n v="0.2727"/>
    <n v="0.55000000000000004"/>
    <n v="0"/>
    <n v="0"/>
    <n v="5"/>
    <n v="5"/>
    <s v="Complete"/>
    <n v="0.2727"/>
    <n v="2011"/>
    <s v="January"/>
    <x v="2"/>
    <x v="0"/>
    <s v="Spring"/>
    <x v="2"/>
  </r>
  <r>
    <n v="144"/>
    <x v="6"/>
    <n v="1"/>
    <n v="0"/>
    <n v="1"/>
    <x v="6"/>
    <b v="0"/>
    <n v="5"/>
    <n v="2"/>
    <n v="0.2"/>
    <n v="0.2576"/>
    <n v="0.69"/>
    <n v="0"/>
    <n v="8"/>
    <n v="26"/>
    <n v="34"/>
    <s v="Complete"/>
    <n v="0.2576"/>
    <n v="2011"/>
    <s v="January"/>
    <x v="2"/>
    <x v="1"/>
    <s v="Spring"/>
    <x v="1"/>
  </r>
  <r>
    <n v="145"/>
    <x v="6"/>
    <n v="1"/>
    <n v="0"/>
    <n v="1"/>
    <x v="7"/>
    <b v="0"/>
    <n v="5"/>
    <n v="1"/>
    <n v="0.2"/>
    <n v="0.21210000000000001"/>
    <n v="0.69"/>
    <n v="0.1343"/>
    <n v="8"/>
    <n v="76"/>
    <n v="84"/>
    <s v="Complete"/>
    <n v="0.21210000000000001"/>
    <n v="2011"/>
    <s v="January"/>
    <x v="2"/>
    <x v="1"/>
    <s v="Spring"/>
    <x v="0"/>
  </r>
  <r>
    <n v="146"/>
    <x v="6"/>
    <n v="1"/>
    <n v="0"/>
    <n v="1"/>
    <x v="8"/>
    <b v="0"/>
    <n v="5"/>
    <n v="1"/>
    <n v="0.2"/>
    <n v="0.19700000000000001"/>
    <n v="0.51"/>
    <n v="0.25369999999999998"/>
    <n v="20"/>
    <n v="190"/>
    <n v="210"/>
    <s v="Complete"/>
    <n v="0.19700000000000001"/>
    <n v="2011"/>
    <s v="January"/>
    <x v="2"/>
    <x v="1"/>
    <s v="Spring"/>
    <x v="0"/>
  </r>
  <r>
    <n v="147"/>
    <x v="6"/>
    <n v="1"/>
    <n v="0"/>
    <n v="1"/>
    <x v="9"/>
    <b v="0"/>
    <n v="5"/>
    <n v="1"/>
    <n v="0.2"/>
    <n v="0.18179999999999999"/>
    <n v="0.47"/>
    <n v="0.29849999999999999"/>
    <n v="9"/>
    <n v="125"/>
    <n v="134"/>
    <s v="Complete"/>
    <n v="0.18179999999999999"/>
    <n v="2011"/>
    <s v="January"/>
    <x v="2"/>
    <x v="1"/>
    <s v="Spring"/>
    <x v="0"/>
  </r>
  <r>
    <n v="148"/>
    <x v="6"/>
    <n v="1"/>
    <n v="0"/>
    <n v="1"/>
    <x v="10"/>
    <b v="0"/>
    <n v="5"/>
    <n v="1"/>
    <n v="0.22"/>
    <n v="0.19700000000000001"/>
    <n v="0.37"/>
    <n v="0.32840000000000003"/>
    <n v="16"/>
    <n v="47"/>
    <n v="63"/>
    <s v="Complete"/>
    <n v="0.19700000000000001"/>
    <n v="2011"/>
    <s v="January"/>
    <x v="2"/>
    <x v="1"/>
    <s v="Spring"/>
    <x v="0"/>
  </r>
  <r>
    <n v="149"/>
    <x v="6"/>
    <n v="1"/>
    <n v="0"/>
    <n v="1"/>
    <x v="11"/>
    <b v="0"/>
    <n v="5"/>
    <n v="2"/>
    <n v="0.2"/>
    <n v="0.19700000000000001"/>
    <n v="0.4"/>
    <n v="0.22389999999999999"/>
    <n v="19"/>
    <n v="48"/>
    <n v="67"/>
    <s v="Complete"/>
    <n v="0.19700000000000001"/>
    <n v="2011"/>
    <s v="January"/>
    <x v="2"/>
    <x v="1"/>
    <s v="Spring"/>
    <x v="1"/>
  </r>
  <r>
    <n v="150"/>
    <x v="6"/>
    <n v="1"/>
    <n v="0"/>
    <n v="1"/>
    <x v="12"/>
    <b v="0"/>
    <n v="5"/>
    <n v="2"/>
    <n v="0.2"/>
    <n v="0.19700000000000001"/>
    <n v="0.37"/>
    <n v="0.25369999999999998"/>
    <n v="9"/>
    <n v="50"/>
    <n v="59"/>
    <s v="Complete"/>
    <n v="0.19700000000000001"/>
    <n v="2011"/>
    <s v="January"/>
    <x v="2"/>
    <x v="2"/>
    <s v="Spring"/>
    <x v="1"/>
  </r>
  <r>
    <n v="151"/>
    <x v="6"/>
    <n v="1"/>
    <n v="0"/>
    <n v="1"/>
    <x v="13"/>
    <b v="0"/>
    <n v="5"/>
    <n v="2"/>
    <n v="0.2"/>
    <n v="0.18179999999999999"/>
    <n v="0.37"/>
    <n v="0.28360000000000002"/>
    <n v="9"/>
    <n v="64"/>
    <n v="73"/>
    <s v="Complete"/>
    <n v="0.18179999999999999"/>
    <n v="2011"/>
    <s v="January"/>
    <x v="2"/>
    <x v="2"/>
    <s v="Spring"/>
    <x v="1"/>
  </r>
  <r>
    <n v="152"/>
    <x v="6"/>
    <n v="1"/>
    <n v="0"/>
    <n v="1"/>
    <x v="14"/>
    <b v="0"/>
    <n v="5"/>
    <n v="2"/>
    <n v="0.2"/>
    <n v="0.19700000000000001"/>
    <n v="0.4"/>
    <n v="0.25369999999999998"/>
    <n v="7"/>
    <n v="43"/>
    <n v="50"/>
    <s v="Complete"/>
    <n v="0.19700000000000001"/>
    <n v="2011"/>
    <s v="January"/>
    <x v="2"/>
    <x v="2"/>
    <s v="Spring"/>
    <x v="1"/>
  </r>
  <r>
    <n v="153"/>
    <x v="6"/>
    <n v="1"/>
    <n v="0"/>
    <n v="1"/>
    <x v="15"/>
    <b v="0"/>
    <n v="5"/>
    <n v="2"/>
    <n v="0.2"/>
    <n v="0.21210000000000001"/>
    <n v="0.37"/>
    <n v="0.16420000000000001"/>
    <n v="9"/>
    <n v="63"/>
    <n v="72"/>
    <s v="Complete"/>
    <n v="0.21210000000000001"/>
    <n v="2011"/>
    <s v="January"/>
    <x v="2"/>
    <x v="2"/>
    <s v="Spring"/>
    <x v="1"/>
  </r>
  <r>
    <n v="154"/>
    <x v="6"/>
    <n v="1"/>
    <n v="0"/>
    <n v="1"/>
    <x v="16"/>
    <b v="0"/>
    <n v="5"/>
    <n v="2"/>
    <n v="0.2"/>
    <n v="0.21210000000000001"/>
    <n v="0.37"/>
    <n v="0.16420000000000001"/>
    <n v="5"/>
    <n v="82"/>
    <n v="87"/>
    <s v="Complete"/>
    <n v="0.21210000000000001"/>
    <n v="2011"/>
    <s v="January"/>
    <x v="2"/>
    <x v="2"/>
    <s v="Spring"/>
    <x v="1"/>
  </r>
  <r>
    <n v="155"/>
    <x v="6"/>
    <n v="1"/>
    <n v="0"/>
    <n v="1"/>
    <x v="17"/>
    <b v="0"/>
    <n v="5"/>
    <n v="2"/>
    <n v="0.2"/>
    <n v="0.2576"/>
    <n v="0.37"/>
    <n v="0"/>
    <n v="9"/>
    <n v="178"/>
    <n v="187"/>
    <s v="Complete"/>
    <n v="0.2576"/>
    <n v="2011"/>
    <s v="January"/>
    <x v="2"/>
    <x v="2"/>
    <s v="Spring"/>
    <x v="1"/>
  </r>
  <r>
    <n v="156"/>
    <x v="6"/>
    <n v="1"/>
    <n v="0"/>
    <n v="1"/>
    <x v="18"/>
    <b v="0"/>
    <n v="5"/>
    <n v="1"/>
    <n v="0.2"/>
    <n v="0.2273"/>
    <n v="0.4"/>
    <n v="8.9599999999999999E-2"/>
    <n v="7"/>
    <n v="116"/>
    <n v="123"/>
    <s v="Complete"/>
    <n v="0.2273"/>
    <n v="2011"/>
    <s v="January"/>
    <x v="2"/>
    <x v="3"/>
    <s v="Spring"/>
    <x v="0"/>
  </r>
  <r>
    <n v="157"/>
    <x v="6"/>
    <n v="1"/>
    <n v="0"/>
    <n v="1"/>
    <x v="19"/>
    <b v="0"/>
    <n v="5"/>
    <n v="1"/>
    <n v="0.16"/>
    <n v="0.19700000000000001"/>
    <n v="0.55000000000000004"/>
    <n v="8.9599999999999999E-2"/>
    <n v="3"/>
    <n v="92"/>
    <n v="95"/>
    <s v="Complete"/>
    <n v="0.19700000000000001"/>
    <n v="2011"/>
    <s v="January"/>
    <x v="2"/>
    <x v="3"/>
    <s v="Spring"/>
    <x v="0"/>
  </r>
  <r>
    <n v="158"/>
    <x v="6"/>
    <n v="1"/>
    <n v="0"/>
    <n v="1"/>
    <x v="20"/>
    <b v="0"/>
    <n v="5"/>
    <n v="1"/>
    <n v="0.18"/>
    <n v="0.21210000000000001"/>
    <n v="0.47"/>
    <n v="0.1045"/>
    <n v="1"/>
    <n v="50"/>
    <n v="51"/>
    <s v="Complete"/>
    <n v="0.21210000000000001"/>
    <n v="2011"/>
    <s v="January"/>
    <x v="2"/>
    <x v="3"/>
    <s v="Spring"/>
    <x v="0"/>
  </r>
  <r>
    <n v="159"/>
    <x v="6"/>
    <n v="1"/>
    <n v="0"/>
    <n v="1"/>
    <x v="21"/>
    <b v="0"/>
    <n v="5"/>
    <n v="1"/>
    <n v="0.18"/>
    <n v="0.19700000000000001"/>
    <n v="0.47"/>
    <n v="0.1343"/>
    <n v="0"/>
    <n v="39"/>
    <n v="39"/>
    <s v="Complete"/>
    <n v="0.19700000000000001"/>
    <n v="2011"/>
    <s v="January"/>
    <x v="2"/>
    <x v="3"/>
    <s v="Spring"/>
    <x v="0"/>
  </r>
  <r>
    <n v="160"/>
    <x v="6"/>
    <n v="1"/>
    <n v="0"/>
    <n v="1"/>
    <x v="22"/>
    <b v="0"/>
    <n v="5"/>
    <n v="2"/>
    <n v="0.18"/>
    <n v="0.19700000000000001"/>
    <n v="0.43"/>
    <n v="0.16420000000000001"/>
    <n v="2"/>
    <n v="34"/>
    <n v="36"/>
    <s v="Complete"/>
    <n v="0.19700000000000001"/>
    <n v="2011"/>
    <s v="January"/>
    <x v="2"/>
    <x v="3"/>
    <s v="Spring"/>
    <x v="1"/>
  </r>
  <r>
    <n v="161"/>
    <x v="6"/>
    <n v="1"/>
    <n v="0"/>
    <n v="1"/>
    <x v="23"/>
    <b v="0"/>
    <n v="5"/>
    <n v="2"/>
    <n v="0.18"/>
    <n v="0.19700000000000001"/>
    <n v="0.51"/>
    <n v="0.16420000000000001"/>
    <n v="1"/>
    <n v="14"/>
    <n v="15"/>
    <s v="Complete"/>
    <n v="0.19700000000000001"/>
    <n v="2011"/>
    <s v="January"/>
    <x v="2"/>
    <x v="3"/>
    <s v="Spring"/>
    <x v="1"/>
  </r>
  <r>
    <n v="162"/>
    <x v="7"/>
    <n v="1"/>
    <n v="0"/>
    <n v="1"/>
    <x v="0"/>
    <b v="0"/>
    <n v="6"/>
    <n v="2"/>
    <n v="0.18"/>
    <n v="0.19700000000000001"/>
    <n v="0.51"/>
    <n v="0.16420000000000001"/>
    <n v="1"/>
    <n v="24"/>
    <n v="25"/>
    <s v="Complete"/>
    <n v="0.19700000000000001"/>
    <n v="2011"/>
    <s v="January"/>
    <x v="0"/>
    <x v="0"/>
    <s v="Spring"/>
    <x v="1"/>
  </r>
  <r>
    <n v="163"/>
    <x v="7"/>
    <n v="1"/>
    <n v="0"/>
    <n v="1"/>
    <x v="1"/>
    <b v="0"/>
    <n v="6"/>
    <n v="2"/>
    <n v="0.18"/>
    <n v="0.21210000000000001"/>
    <n v="0.55000000000000004"/>
    <n v="8.9599999999999999E-2"/>
    <n v="1"/>
    <n v="15"/>
    <n v="16"/>
    <s v="Complete"/>
    <n v="0.21210000000000001"/>
    <n v="2011"/>
    <s v="January"/>
    <x v="0"/>
    <x v="0"/>
    <s v="Spring"/>
    <x v="1"/>
  </r>
  <r>
    <n v="164"/>
    <x v="7"/>
    <n v="1"/>
    <n v="0"/>
    <n v="1"/>
    <x v="2"/>
    <b v="0"/>
    <n v="6"/>
    <n v="2"/>
    <n v="0.18"/>
    <n v="0.2424"/>
    <n v="0.55000000000000004"/>
    <n v="0"/>
    <n v="3"/>
    <n v="13"/>
    <n v="16"/>
    <s v="Complete"/>
    <n v="0.2424"/>
    <n v="2011"/>
    <s v="January"/>
    <x v="0"/>
    <x v="0"/>
    <s v="Spring"/>
    <x v="1"/>
  </r>
  <r>
    <n v="165"/>
    <x v="7"/>
    <n v="1"/>
    <n v="0"/>
    <n v="1"/>
    <x v="3"/>
    <b v="0"/>
    <n v="6"/>
    <n v="3"/>
    <n v="0.18"/>
    <n v="0.19700000000000001"/>
    <n v="0.55000000000000004"/>
    <n v="0.16420000000000001"/>
    <n v="0"/>
    <n v="7"/>
    <n v="7"/>
    <s v="Complete"/>
    <n v="0.19700000000000001"/>
    <n v="2011"/>
    <s v="January"/>
    <x v="0"/>
    <x v="0"/>
    <s v="Spring"/>
    <x v="2"/>
  </r>
  <r>
    <n v="166"/>
    <x v="7"/>
    <n v="1"/>
    <n v="0"/>
    <n v="1"/>
    <x v="4"/>
    <b v="0"/>
    <n v="6"/>
    <n v="3"/>
    <n v="0.18"/>
    <n v="0.19700000000000001"/>
    <n v="0.55000000000000004"/>
    <n v="0.16420000000000001"/>
    <n v="0"/>
    <n v="1"/>
    <n v="1"/>
    <s v="Complete"/>
    <n v="0.19700000000000001"/>
    <n v="2011"/>
    <s v="January"/>
    <x v="0"/>
    <x v="0"/>
    <s v="Spring"/>
    <x v="2"/>
  </r>
  <r>
    <n v="167"/>
    <x v="7"/>
    <n v="1"/>
    <n v="0"/>
    <n v="1"/>
    <x v="5"/>
    <b v="0"/>
    <n v="6"/>
    <n v="2"/>
    <n v="0.16"/>
    <n v="0.16669999999999999"/>
    <n v="0.74"/>
    <n v="0.16420000000000001"/>
    <n v="0"/>
    <n v="5"/>
    <n v="5"/>
    <s v="Complete"/>
    <n v="0.16669999999999999"/>
    <n v="2011"/>
    <s v="January"/>
    <x v="0"/>
    <x v="0"/>
    <s v="Spring"/>
    <x v="1"/>
  </r>
  <r>
    <n v="168"/>
    <x v="7"/>
    <n v="1"/>
    <n v="0"/>
    <n v="1"/>
    <x v="6"/>
    <b v="0"/>
    <n v="6"/>
    <n v="2"/>
    <n v="0.16"/>
    <n v="0.16669999999999999"/>
    <n v="0.74"/>
    <n v="0.16420000000000001"/>
    <n v="0"/>
    <n v="2"/>
    <n v="2"/>
    <s v="Complete"/>
    <n v="0.16669999999999999"/>
    <n v="2011"/>
    <s v="January"/>
    <x v="0"/>
    <x v="1"/>
    <s v="Spring"/>
    <x v="1"/>
  </r>
  <r>
    <n v="169"/>
    <x v="7"/>
    <n v="1"/>
    <n v="0"/>
    <n v="1"/>
    <x v="7"/>
    <b v="0"/>
    <n v="6"/>
    <n v="2"/>
    <n v="0.16"/>
    <n v="0.18179999999999999"/>
    <n v="0.74"/>
    <n v="0.1045"/>
    <n v="1"/>
    <n v="8"/>
    <n v="9"/>
    <s v="Complete"/>
    <n v="0.18179999999999999"/>
    <n v="2011"/>
    <s v="January"/>
    <x v="0"/>
    <x v="1"/>
    <s v="Spring"/>
    <x v="1"/>
  </r>
  <r>
    <n v="170"/>
    <x v="7"/>
    <n v="1"/>
    <n v="0"/>
    <n v="1"/>
    <x v="8"/>
    <b v="0"/>
    <n v="6"/>
    <n v="3"/>
    <n v="0.16"/>
    <n v="0.18179999999999999"/>
    <n v="0.93"/>
    <n v="0.1045"/>
    <n v="0"/>
    <n v="15"/>
    <n v="15"/>
    <s v="Complete"/>
    <n v="0.18179999999999999"/>
    <n v="2011"/>
    <s v="January"/>
    <x v="0"/>
    <x v="1"/>
    <s v="Spring"/>
    <x v="2"/>
  </r>
  <r>
    <n v="171"/>
    <x v="7"/>
    <n v="1"/>
    <n v="0"/>
    <n v="1"/>
    <x v="9"/>
    <b v="0"/>
    <n v="6"/>
    <n v="3"/>
    <n v="0.16"/>
    <n v="0.18179999999999999"/>
    <n v="0.93"/>
    <n v="0.1045"/>
    <n v="0"/>
    <n v="20"/>
    <n v="20"/>
    <s v="Complete"/>
    <n v="0.18179999999999999"/>
    <n v="2011"/>
    <s v="January"/>
    <x v="0"/>
    <x v="1"/>
    <s v="Spring"/>
    <x v="2"/>
  </r>
  <r>
    <n v="172"/>
    <x v="7"/>
    <n v="1"/>
    <n v="0"/>
    <n v="1"/>
    <x v="10"/>
    <b v="0"/>
    <n v="6"/>
    <n v="2"/>
    <n v="0.18"/>
    <n v="0.19700000000000001"/>
    <n v="0.8"/>
    <n v="0.16420000000000001"/>
    <n v="5"/>
    <n v="56"/>
    <n v="61"/>
    <s v="Complete"/>
    <n v="0.19700000000000001"/>
    <n v="2011"/>
    <s v="January"/>
    <x v="0"/>
    <x v="1"/>
    <s v="Spring"/>
    <x v="1"/>
  </r>
  <r>
    <n v="173"/>
    <x v="7"/>
    <n v="1"/>
    <n v="0"/>
    <n v="1"/>
    <x v="11"/>
    <b v="0"/>
    <n v="6"/>
    <n v="2"/>
    <n v="0.2"/>
    <n v="0.18179999999999999"/>
    <n v="0.69"/>
    <n v="0.3881"/>
    <n v="2"/>
    <n v="60"/>
    <n v="62"/>
    <s v="Complete"/>
    <n v="0.18179999999999999"/>
    <n v="2011"/>
    <s v="January"/>
    <x v="0"/>
    <x v="1"/>
    <s v="Spring"/>
    <x v="1"/>
  </r>
  <r>
    <n v="174"/>
    <x v="7"/>
    <n v="1"/>
    <n v="0"/>
    <n v="1"/>
    <x v="12"/>
    <b v="0"/>
    <n v="6"/>
    <n v="2"/>
    <n v="0.2"/>
    <n v="0.18179999999999999"/>
    <n v="0.59"/>
    <n v="0.35820000000000002"/>
    <n v="8"/>
    <n v="90"/>
    <n v="98"/>
    <s v="Complete"/>
    <n v="0.18179999999999999"/>
    <n v="2011"/>
    <s v="January"/>
    <x v="0"/>
    <x v="2"/>
    <s v="Spring"/>
    <x v="1"/>
  </r>
  <r>
    <n v="175"/>
    <x v="7"/>
    <n v="1"/>
    <n v="0"/>
    <n v="1"/>
    <x v="13"/>
    <b v="0"/>
    <n v="6"/>
    <n v="1"/>
    <n v="0.2"/>
    <n v="0.18179999999999999"/>
    <n v="0.44"/>
    <n v="0.32840000000000003"/>
    <n v="7"/>
    <n v="95"/>
    <n v="102"/>
    <s v="Complete"/>
    <n v="0.18179999999999999"/>
    <n v="2011"/>
    <s v="January"/>
    <x v="0"/>
    <x v="2"/>
    <s v="Spring"/>
    <x v="0"/>
  </r>
  <r>
    <n v="176"/>
    <x v="7"/>
    <n v="1"/>
    <n v="0"/>
    <n v="1"/>
    <x v="14"/>
    <b v="0"/>
    <n v="6"/>
    <n v="1"/>
    <n v="0.2"/>
    <n v="0.16669999999999999"/>
    <n v="0.32"/>
    <n v="0.49249999999999999"/>
    <n v="12"/>
    <n v="83"/>
    <n v="95"/>
    <s v="Complete"/>
    <n v="0.16669999999999999"/>
    <n v="2011"/>
    <s v="January"/>
    <x v="0"/>
    <x v="2"/>
    <s v="Spring"/>
    <x v="0"/>
  </r>
  <r>
    <n v="177"/>
    <x v="7"/>
    <n v="1"/>
    <n v="0"/>
    <n v="1"/>
    <x v="15"/>
    <b v="0"/>
    <n v="6"/>
    <n v="1"/>
    <n v="0.2"/>
    <n v="0.16669999999999999"/>
    <n v="0.32"/>
    <n v="0.44779999999999998"/>
    <n v="5"/>
    <n v="69"/>
    <n v="74"/>
    <s v="Complete"/>
    <n v="0.16669999999999999"/>
    <n v="2011"/>
    <s v="January"/>
    <x v="0"/>
    <x v="2"/>
    <s v="Spring"/>
    <x v="0"/>
  </r>
  <r>
    <n v="178"/>
    <x v="7"/>
    <n v="1"/>
    <n v="0"/>
    <n v="1"/>
    <x v="16"/>
    <b v="0"/>
    <n v="6"/>
    <n v="1"/>
    <n v="0.18"/>
    <n v="0.13639999999999999"/>
    <n v="0.28999999999999998"/>
    <n v="0.44779999999999998"/>
    <n v="8"/>
    <n v="68"/>
    <n v="76"/>
    <s v="Complete"/>
    <n v="0.13639999999999999"/>
    <n v="2011"/>
    <s v="January"/>
    <x v="0"/>
    <x v="2"/>
    <s v="Spring"/>
    <x v="0"/>
  </r>
  <r>
    <n v="179"/>
    <x v="7"/>
    <n v="1"/>
    <n v="0"/>
    <n v="1"/>
    <x v="17"/>
    <b v="0"/>
    <n v="6"/>
    <n v="1"/>
    <n v="0.16"/>
    <n v="0.1212"/>
    <n v="0.37"/>
    <n v="0.55220000000000002"/>
    <n v="5"/>
    <n v="64"/>
    <n v="69"/>
    <s v="Complete"/>
    <n v="0.1212"/>
    <n v="2011"/>
    <s v="January"/>
    <x v="0"/>
    <x v="2"/>
    <s v="Spring"/>
    <x v="0"/>
  </r>
  <r>
    <n v="180"/>
    <x v="7"/>
    <n v="1"/>
    <n v="0"/>
    <n v="1"/>
    <x v="18"/>
    <b v="0"/>
    <n v="6"/>
    <n v="1"/>
    <n v="0.14000000000000001"/>
    <n v="0.1212"/>
    <n v="0.39"/>
    <n v="0.29849999999999999"/>
    <n v="3"/>
    <n v="52"/>
    <n v="55"/>
    <s v="Complete"/>
    <n v="0.1212"/>
    <n v="2011"/>
    <s v="January"/>
    <x v="0"/>
    <x v="3"/>
    <s v="Spring"/>
    <x v="0"/>
  </r>
  <r>
    <n v="181"/>
    <x v="7"/>
    <n v="1"/>
    <n v="0"/>
    <n v="1"/>
    <x v="19"/>
    <b v="0"/>
    <n v="6"/>
    <n v="1"/>
    <n v="0.14000000000000001"/>
    <n v="0.1212"/>
    <n v="0.36"/>
    <n v="0.25369999999999998"/>
    <n v="4"/>
    <n v="26"/>
    <n v="30"/>
    <s v="Complete"/>
    <n v="0.1212"/>
    <n v="2011"/>
    <s v="January"/>
    <x v="0"/>
    <x v="3"/>
    <s v="Spring"/>
    <x v="0"/>
  </r>
  <r>
    <n v="182"/>
    <x v="7"/>
    <n v="1"/>
    <n v="0"/>
    <n v="1"/>
    <x v="20"/>
    <b v="0"/>
    <n v="6"/>
    <n v="1"/>
    <n v="0.12"/>
    <n v="0.1212"/>
    <n v="0.36"/>
    <n v="0.25369999999999998"/>
    <n v="0"/>
    <n v="28"/>
    <n v="28"/>
    <s v="Complete"/>
    <n v="0.1212"/>
    <n v="2011"/>
    <s v="January"/>
    <x v="0"/>
    <x v="3"/>
    <s v="Spring"/>
    <x v="0"/>
  </r>
  <r>
    <n v="183"/>
    <x v="7"/>
    <n v="1"/>
    <n v="0"/>
    <n v="1"/>
    <x v="21"/>
    <b v="0"/>
    <n v="6"/>
    <n v="1"/>
    <n v="0.12"/>
    <n v="0.1061"/>
    <n v="0.39"/>
    <n v="0.35820000000000002"/>
    <n v="2"/>
    <n v="35"/>
    <n v="37"/>
    <s v="Complete"/>
    <n v="0.1061"/>
    <n v="2011"/>
    <s v="January"/>
    <x v="0"/>
    <x v="3"/>
    <s v="Spring"/>
    <x v="0"/>
  </r>
  <r>
    <n v="184"/>
    <x v="7"/>
    <n v="1"/>
    <n v="0"/>
    <n v="1"/>
    <x v="22"/>
    <b v="0"/>
    <n v="6"/>
    <n v="1"/>
    <n v="0.12"/>
    <n v="0.1061"/>
    <n v="0.36"/>
    <n v="0.3881"/>
    <n v="1"/>
    <n v="33"/>
    <n v="34"/>
    <s v="Complete"/>
    <n v="0.1061"/>
    <n v="2011"/>
    <s v="January"/>
    <x v="0"/>
    <x v="3"/>
    <s v="Spring"/>
    <x v="0"/>
  </r>
  <r>
    <n v="185"/>
    <x v="7"/>
    <n v="1"/>
    <n v="0"/>
    <n v="1"/>
    <x v="23"/>
    <b v="0"/>
    <n v="6"/>
    <n v="1"/>
    <n v="0.1"/>
    <n v="6.0600000000000001E-2"/>
    <n v="0.39"/>
    <n v="0.44779999999999998"/>
    <n v="0"/>
    <n v="22"/>
    <n v="22"/>
    <s v="Complete"/>
    <n v="6.0600000000000001E-2"/>
    <n v="2011"/>
    <s v="January"/>
    <x v="0"/>
    <x v="3"/>
    <s v="Spring"/>
    <x v="0"/>
  </r>
  <r>
    <n v="186"/>
    <x v="8"/>
    <n v="1"/>
    <n v="0"/>
    <n v="1"/>
    <x v="0"/>
    <b v="0"/>
    <n v="0"/>
    <n v="1"/>
    <n v="0.1"/>
    <n v="7.5800000000000006E-2"/>
    <n v="0.42"/>
    <n v="0.3881"/>
    <n v="1"/>
    <n v="24"/>
    <n v="25"/>
    <s v="Complete"/>
    <n v="7.5800000000000006E-2"/>
    <n v="2011"/>
    <s v="January"/>
    <x v="1"/>
    <x v="0"/>
    <s v="Spring"/>
    <x v="0"/>
  </r>
  <r>
    <n v="187"/>
    <x v="8"/>
    <n v="1"/>
    <n v="0"/>
    <n v="1"/>
    <x v="1"/>
    <b v="0"/>
    <n v="0"/>
    <n v="1"/>
    <n v="0.1"/>
    <n v="6.0600000000000001E-2"/>
    <n v="0.42"/>
    <n v="0.4627"/>
    <n v="0"/>
    <n v="12"/>
    <n v="12"/>
    <s v="Complete"/>
    <n v="6.0600000000000001E-2"/>
    <n v="2011"/>
    <s v="January"/>
    <x v="1"/>
    <x v="0"/>
    <s v="Spring"/>
    <x v="0"/>
  </r>
  <r>
    <n v="188"/>
    <x v="8"/>
    <n v="1"/>
    <n v="0"/>
    <n v="1"/>
    <x v="2"/>
    <b v="0"/>
    <n v="0"/>
    <n v="1"/>
    <n v="0.1"/>
    <n v="6.0600000000000001E-2"/>
    <n v="0.46"/>
    <n v="0.4627"/>
    <n v="0"/>
    <n v="11"/>
    <n v="11"/>
    <s v="Complete"/>
    <n v="6.0600000000000001E-2"/>
    <n v="2011"/>
    <s v="January"/>
    <x v="1"/>
    <x v="0"/>
    <s v="Spring"/>
    <x v="0"/>
  </r>
  <r>
    <n v="189"/>
    <x v="8"/>
    <n v="1"/>
    <n v="0"/>
    <n v="1"/>
    <x v="3"/>
    <b v="0"/>
    <n v="0"/>
    <n v="1"/>
    <n v="0.1"/>
    <n v="7.5800000000000006E-2"/>
    <n v="0.46"/>
    <n v="0.41789999999999999"/>
    <n v="0"/>
    <n v="4"/>
    <n v="4"/>
    <s v="Complete"/>
    <n v="7.5800000000000006E-2"/>
    <n v="2011"/>
    <s v="January"/>
    <x v="1"/>
    <x v="0"/>
    <s v="Spring"/>
    <x v="0"/>
  </r>
  <r>
    <n v="190"/>
    <x v="8"/>
    <n v="1"/>
    <n v="0"/>
    <n v="1"/>
    <x v="4"/>
    <b v="0"/>
    <n v="0"/>
    <n v="1"/>
    <n v="0.08"/>
    <n v="9.0899999999999995E-2"/>
    <n v="0.53"/>
    <n v="0.19400000000000001"/>
    <n v="0"/>
    <n v="1"/>
    <n v="1"/>
    <s v="Complete"/>
    <n v="9.0899999999999995E-2"/>
    <n v="2011"/>
    <s v="January"/>
    <x v="1"/>
    <x v="0"/>
    <s v="Spring"/>
    <x v="0"/>
  </r>
  <r>
    <n v="191"/>
    <x v="8"/>
    <n v="1"/>
    <n v="0"/>
    <n v="1"/>
    <x v="5"/>
    <b v="0"/>
    <n v="0"/>
    <n v="1"/>
    <n v="0.08"/>
    <n v="9.0899999999999995E-2"/>
    <n v="0.53"/>
    <n v="0.19400000000000001"/>
    <n v="0"/>
    <n v="1"/>
    <n v="1"/>
    <s v="Complete"/>
    <n v="9.0899999999999995E-2"/>
    <n v="2011"/>
    <s v="January"/>
    <x v="1"/>
    <x v="0"/>
    <s v="Spring"/>
    <x v="0"/>
  </r>
  <r>
    <n v="192"/>
    <x v="8"/>
    <n v="1"/>
    <n v="0"/>
    <n v="1"/>
    <x v="6"/>
    <b v="0"/>
    <n v="0"/>
    <n v="1"/>
    <n v="0.1"/>
    <n v="9.0899999999999995E-2"/>
    <n v="0.49"/>
    <n v="0.28360000000000002"/>
    <n v="0"/>
    <n v="1"/>
    <n v="1"/>
    <s v="Complete"/>
    <n v="9.0899999999999995E-2"/>
    <n v="2011"/>
    <s v="January"/>
    <x v="1"/>
    <x v="1"/>
    <s v="Spring"/>
    <x v="0"/>
  </r>
  <r>
    <n v="193"/>
    <x v="8"/>
    <n v="1"/>
    <n v="0"/>
    <n v="1"/>
    <x v="7"/>
    <b v="0"/>
    <n v="0"/>
    <n v="1"/>
    <n v="0.08"/>
    <n v="9.0899999999999995E-2"/>
    <n v="0.53"/>
    <n v="0.19400000000000001"/>
    <n v="1"/>
    <n v="5"/>
    <n v="6"/>
    <s v="Complete"/>
    <n v="9.0899999999999995E-2"/>
    <n v="2011"/>
    <s v="January"/>
    <x v="1"/>
    <x v="1"/>
    <s v="Spring"/>
    <x v="0"/>
  </r>
  <r>
    <n v="194"/>
    <x v="8"/>
    <n v="1"/>
    <n v="0"/>
    <n v="1"/>
    <x v="8"/>
    <b v="0"/>
    <n v="0"/>
    <n v="1"/>
    <n v="0.1"/>
    <n v="9.0899999999999995E-2"/>
    <n v="0.49"/>
    <n v="0.28360000000000002"/>
    <n v="0"/>
    <n v="10"/>
    <n v="10"/>
    <s v="Complete"/>
    <n v="9.0899999999999995E-2"/>
    <n v="2011"/>
    <s v="January"/>
    <x v="1"/>
    <x v="1"/>
    <s v="Spring"/>
    <x v="0"/>
  </r>
  <r>
    <n v="195"/>
    <x v="8"/>
    <n v="1"/>
    <n v="0"/>
    <n v="1"/>
    <x v="9"/>
    <b v="0"/>
    <n v="0"/>
    <n v="1"/>
    <n v="0.12"/>
    <n v="7.5800000000000006E-2"/>
    <n v="0.46"/>
    <n v="0.52239999999999998"/>
    <n v="0"/>
    <n v="19"/>
    <n v="19"/>
    <s v="Complete"/>
    <n v="7.5800000000000006E-2"/>
    <n v="2011"/>
    <s v="January"/>
    <x v="1"/>
    <x v="1"/>
    <s v="Spring"/>
    <x v="0"/>
  </r>
  <r>
    <n v="196"/>
    <x v="8"/>
    <n v="1"/>
    <n v="0"/>
    <n v="1"/>
    <x v="10"/>
    <b v="0"/>
    <n v="0"/>
    <n v="1"/>
    <n v="0.14000000000000001"/>
    <n v="0.1061"/>
    <n v="0.43"/>
    <n v="0.3881"/>
    <n v="0"/>
    <n v="49"/>
    <n v="49"/>
    <s v="Complete"/>
    <n v="0.1061"/>
    <n v="2011"/>
    <s v="January"/>
    <x v="1"/>
    <x v="1"/>
    <s v="Spring"/>
    <x v="0"/>
  </r>
  <r>
    <n v="197"/>
    <x v="8"/>
    <n v="1"/>
    <n v="0"/>
    <n v="1"/>
    <x v="11"/>
    <b v="0"/>
    <n v="0"/>
    <n v="1"/>
    <n v="0.16"/>
    <n v="0.1212"/>
    <n v="0.4"/>
    <n v="0.52239999999999998"/>
    <n v="2"/>
    <n v="47"/>
    <n v="49"/>
    <s v="Complete"/>
    <n v="0.1212"/>
    <n v="2011"/>
    <s v="January"/>
    <x v="1"/>
    <x v="1"/>
    <s v="Spring"/>
    <x v="0"/>
  </r>
  <r>
    <n v="198"/>
    <x v="8"/>
    <n v="1"/>
    <n v="0"/>
    <n v="1"/>
    <x v="12"/>
    <b v="0"/>
    <n v="0"/>
    <n v="1"/>
    <n v="0.18"/>
    <n v="0.13639999999999999"/>
    <n v="0.37"/>
    <n v="0.44779999999999998"/>
    <n v="4"/>
    <n v="79"/>
    <n v="83"/>
    <s v="Complete"/>
    <n v="0.13639999999999999"/>
    <n v="2011"/>
    <s v="January"/>
    <x v="1"/>
    <x v="2"/>
    <s v="Spring"/>
    <x v="0"/>
  </r>
  <r>
    <n v="199"/>
    <x v="8"/>
    <n v="1"/>
    <n v="0"/>
    <n v="1"/>
    <x v="13"/>
    <b v="0"/>
    <n v="0"/>
    <n v="1"/>
    <n v="0.2"/>
    <n v="0.16669999999999999"/>
    <n v="0.34"/>
    <n v="0.44779999999999998"/>
    <n v="6"/>
    <n v="69"/>
    <n v="75"/>
    <s v="Complete"/>
    <n v="0.16669999999999999"/>
    <n v="2011"/>
    <s v="January"/>
    <x v="1"/>
    <x v="2"/>
    <s v="Spring"/>
    <x v="0"/>
  </r>
  <r>
    <n v="200"/>
    <x v="8"/>
    <n v="1"/>
    <n v="0"/>
    <n v="1"/>
    <x v="14"/>
    <b v="0"/>
    <n v="0"/>
    <n v="1"/>
    <n v="0.22"/>
    <n v="0.18179999999999999"/>
    <n v="0.32"/>
    <n v="0.4627"/>
    <n v="8"/>
    <n v="64"/>
    <n v="72"/>
    <s v="Complete"/>
    <n v="0.18179999999999999"/>
    <n v="2011"/>
    <s v="January"/>
    <x v="1"/>
    <x v="2"/>
    <s v="Spring"/>
    <x v="0"/>
  </r>
  <r>
    <n v="201"/>
    <x v="8"/>
    <n v="1"/>
    <n v="0"/>
    <n v="1"/>
    <x v="15"/>
    <b v="0"/>
    <n v="0"/>
    <n v="1"/>
    <n v="0.22"/>
    <n v="0.19700000000000001"/>
    <n v="0.35"/>
    <n v="0.35820000000000002"/>
    <n v="5"/>
    <n v="77"/>
    <n v="82"/>
    <s v="Complete"/>
    <n v="0.19700000000000001"/>
    <n v="2011"/>
    <s v="January"/>
    <x v="1"/>
    <x v="2"/>
    <s v="Spring"/>
    <x v="0"/>
  </r>
  <r>
    <n v="202"/>
    <x v="8"/>
    <n v="1"/>
    <n v="0"/>
    <n v="1"/>
    <x v="16"/>
    <b v="0"/>
    <n v="0"/>
    <n v="1"/>
    <n v="0.2"/>
    <n v="0.16669999999999999"/>
    <n v="0.34"/>
    <n v="0.44779999999999998"/>
    <n v="13"/>
    <n v="79"/>
    <n v="92"/>
    <s v="Complete"/>
    <n v="0.16669999999999999"/>
    <n v="2011"/>
    <s v="January"/>
    <x v="1"/>
    <x v="2"/>
    <s v="Spring"/>
    <x v="0"/>
  </r>
  <r>
    <n v="203"/>
    <x v="8"/>
    <n v="1"/>
    <n v="0"/>
    <n v="1"/>
    <x v="17"/>
    <b v="0"/>
    <n v="0"/>
    <n v="1"/>
    <n v="0.18"/>
    <n v="0.1515"/>
    <n v="0.37"/>
    <n v="0.3881"/>
    <n v="3"/>
    <n v="59"/>
    <n v="62"/>
    <s v="Complete"/>
    <n v="0.1515"/>
    <n v="2011"/>
    <s v="January"/>
    <x v="1"/>
    <x v="2"/>
    <s v="Spring"/>
    <x v="0"/>
  </r>
  <r>
    <n v="204"/>
    <x v="8"/>
    <n v="1"/>
    <n v="0"/>
    <n v="1"/>
    <x v="18"/>
    <b v="0"/>
    <n v="0"/>
    <n v="1"/>
    <n v="0.16"/>
    <n v="0.13639999999999999"/>
    <n v="0.4"/>
    <n v="0.32840000000000003"/>
    <n v="4"/>
    <n v="44"/>
    <n v="48"/>
    <s v="Complete"/>
    <n v="0.13639999999999999"/>
    <n v="2011"/>
    <s v="January"/>
    <x v="1"/>
    <x v="3"/>
    <s v="Spring"/>
    <x v="0"/>
  </r>
  <r>
    <n v="205"/>
    <x v="8"/>
    <n v="1"/>
    <n v="0"/>
    <n v="1"/>
    <x v="19"/>
    <b v="0"/>
    <n v="0"/>
    <n v="1"/>
    <n v="0.16"/>
    <n v="0.13639999999999999"/>
    <n v="0.43"/>
    <n v="0.32840000000000003"/>
    <n v="1"/>
    <n v="40"/>
    <n v="41"/>
    <s v="Complete"/>
    <n v="0.13639999999999999"/>
    <n v="2011"/>
    <s v="January"/>
    <x v="1"/>
    <x v="3"/>
    <s v="Spring"/>
    <x v="0"/>
  </r>
  <r>
    <n v="206"/>
    <x v="8"/>
    <n v="1"/>
    <n v="0"/>
    <n v="1"/>
    <x v="20"/>
    <b v="0"/>
    <n v="0"/>
    <n v="1"/>
    <n v="0.14000000000000001"/>
    <n v="0.1212"/>
    <n v="0.46"/>
    <n v="0.25369999999999998"/>
    <n v="0"/>
    <n v="38"/>
    <n v="38"/>
    <s v="Complete"/>
    <n v="0.1212"/>
    <n v="2011"/>
    <s v="January"/>
    <x v="1"/>
    <x v="3"/>
    <s v="Spring"/>
    <x v="0"/>
  </r>
  <r>
    <n v="207"/>
    <x v="8"/>
    <n v="1"/>
    <n v="0"/>
    <n v="1"/>
    <x v="21"/>
    <b v="0"/>
    <n v="0"/>
    <n v="1"/>
    <n v="0.14000000000000001"/>
    <n v="0.1061"/>
    <n v="0.46"/>
    <n v="0.41789999999999999"/>
    <n v="1"/>
    <n v="19"/>
    <n v="20"/>
    <s v="Complete"/>
    <n v="0.1061"/>
    <n v="2011"/>
    <s v="January"/>
    <x v="1"/>
    <x v="3"/>
    <s v="Spring"/>
    <x v="0"/>
  </r>
  <r>
    <n v="208"/>
    <x v="8"/>
    <n v="1"/>
    <n v="0"/>
    <n v="1"/>
    <x v="22"/>
    <b v="0"/>
    <n v="0"/>
    <n v="1"/>
    <n v="0.14000000000000001"/>
    <n v="0.1212"/>
    <n v="0.46"/>
    <n v="0.29849999999999999"/>
    <n v="5"/>
    <n v="10"/>
    <n v="15"/>
    <s v="Complete"/>
    <n v="0.1212"/>
    <n v="2011"/>
    <s v="January"/>
    <x v="1"/>
    <x v="3"/>
    <s v="Spring"/>
    <x v="0"/>
  </r>
  <r>
    <n v="209"/>
    <x v="8"/>
    <n v="1"/>
    <n v="0"/>
    <n v="1"/>
    <x v="23"/>
    <b v="0"/>
    <n v="0"/>
    <n v="1"/>
    <n v="0.12"/>
    <n v="0.13639999999999999"/>
    <n v="0.5"/>
    <n v="0.19400000000000001"/>
    <n v="0"/>
    <n v="6"/>
    <n v="6"/>
    <s v="Complete"/>
    <n v="0.13639999999999999"/>
    <n v="2011"/>
    <s v="January"/>
    <x v="1"/>
    <x v="3"/>
    <s v="Spring"/>
    <x v="0"/>
  </r>
  <r>
    <n v="210"/>
    <x v="9"/>
    <n v="1"/>
    <n v="0"/>
    <n v="1"/>
    <x v="0"/>
    <b v="0"/>
    <n v="1"/>
    <n v="1"/>
    <n v="0.12"/>
    <n v="0.1212"/>
    <n v="0.5"/>
    <n v="0.28360000000000002"/>
    <n v="2"/>
    <n v="3"/>
    <n v="5"/>
    <s v="Complete"/>
    <n v="0.1212"/>
    <n v="2011"/>
    <s v="January"/>
    <x v="2"/>
    <x v="0"/>
    <s v="Spring"/>
    <x v="0"/>
  </r>
  <r>
    <n v="211"/>
    <x v="9"/>
    <n v="1"/>
    <n v="0"/>
    <n v="1"/>
    <x v="1"/>
    <b v="0"/>
    <n v="1"/>
    <n v="1"/>
    <n v="0.12"/>
    <n v="0.1212"/>
    <n v="0.5"/>
    <n v="0.28360000000000002"/>
    <n v="1"/>
    <n v="0"/>
    <n v="1"/>
    <s v="Complete"/>
    <n v="0.1212"/>
    <n v="2011"/>
    <s v="January"/>
    <x v="2"/>
    <x v="0"/>
    <s v="Spring"/>
    <x v="0"/>
  </r>
  <r>
    <n v="212"/>
    <x v="9"/>
    <n v="1"/>
    <n v="0"/>
    <n v="1"/>
    <x v="2"/>
    <b v="0"/>
    <n v="1"/>
    <n v="1"/>
    <n v="0.12"/>
    <n v="0.1212"/>
    <n v="0.5"/>
    <n v="0.22389999999999999"/>
    <n v="0"/>
    <n v="3"/>
    <n v="3"/>
    <s v="Complete"/>
    <n v="0.1212"/>
    <n v="2011"/>
    <s v="January"/>
    <x v="2"/>
    <x v="0"/>
    <s v="Spring"/>
    <x v="0"/>
  </r>
  <r>
    <n v="213"/>
    <x v="9"/>
    <n v="1"/>
    <n v="0"/>
    <n v="1"/>
    <x v="3"/>
    <b v="0"/>
    <n v="1"/>
    <n v="1"/>
    <n v="0.12"/>
    <n v="0.1212"/>
    <n v="0.5"/>
    <n v="0.22389999999999999"/>
    <n v="0"/>
    <n v="1"/>
    <n v="1"/>
    <s v="Complete"/>
    <n v="0.1212"/>
    <n v="2011"/>
    <s v="January"/>
    <x v="2"/>
    <x v="0"/>
    <s v="Spring"/>
    <x v="0"/>
  </r>
  <r>
    <n v="214"/>
    <x v="9"/>
    <n v="1"/>
    <n v="0"/>
    <n v="1"/>
    <x v="4"/>
    <b v="0"/>
    <n v="1"/>
    <n v="1"/>
    <n v="0.1"/>
    <n v="0.1212"/>
    <n v="0.54"/>
    <n v="0.1343"/>
    <n v="1"/>
    <n v="2"/>
    <n v="3"/>
    <s v="Complete"/>
    <n v="0.1212"/>
    <n v="2011"/>
    <s v="January"/>
    <x v="2"/>
    <x v="0"/>
    <s v="Spring"/>
    <x v="0"/>
  </r>
  <r>
    <n v="215"/>
    <x v="9"/>
    <n v="1"/>
    <n v="0"/>
    <n v="1"/>
    <x v="5"/>
    <b v="0"/>
    <n v="1"/>
    <n v="1"/>
    <n v="0.1"/>
    <n v="0.1061"/>
    <n v="0.54"/>
    <n v="0.25369999999999998"/>
    <n v="0"/>
    <n v="3"/>
    <n v="3"/>
    <s v="Complete"/>
    <n v="0.1061"/>
    <n v="2011"/>
    <s v="January"/>
    <x v="2"/>
    <x v="0"/>
    <s v="Spring"/>
    <x v="0"/>
  </r>
  <r>
    <n v="216"/>
    <x v="9"/>
    <n v="1"/>
    <n v="0"/>
    <n v="1"/>
    <x v="6"/>
    <b v="0"/>
    <n v="1"/>
    <n v="1"/>
    <n v="0.12"/>
    <n v="0.1212"/>
    <n v="0.5"/>
    <n v="0.28360000000000002"/>
    <n v="0"/>
    <n v="31"/>
    <n v="31"/>
    <s v="Complete"/>
    <n v="0.1212"/>
    <n v="2011"/>
    <s v="January"/>
    <x v="2"/>
    <x v="1"/>
    <s v="Spring"/>
    <x v="0"/>
  </r>
  <r>
    <n v="217"/>
    <x v="9"/>
    <n v="1"/>
    <n v="0"/>
    <n v="1"/>
    <x v="7"/>
    <b v="0"/>
    <n v="1"/>
    <n v="1"/>
    <n v="0.12"/>
    <n v="0.1212"/>
    <n v="0.5"/>
    <n v="0.22389999999999999"/>
    <n v="2"/>
    <n v="75"/>
    <n v="77"/>
    <s v="Complete"/>
    <n v="0.1212"/>
    <n v="2011"/>
    <s v="January"/>
    <x v="2"/>
    <x v="1"/>
    <s v="Spring"/>
    <x v="0"/>
  </r>
  <r>
    <n v="218"/>
    <x v="9"/>
    <n v="1"/>
    <n v="0"/>
    <n v="1"/>
    <x v="8"/>
    <b v="0"/>
    <n v="1"/>
    <n v="2"/>
    <n v="0.12"/>
    <n v="0.1212"/>
    <n v="0.5"/>
    <n v="0.28360000000000002"/>
    <n v="4"/>
    <n v="184"/>
    <n v="188"/>
    <s v="Complete"/>
    <n v="0.1212"/>
    <n v="2011"/>
    <s v="January"/>
    <x v="2"/>
    <x v="1"/>
    <s v="Spring"/>
    <x v="1"/>
  </r>
  <r>
    <n v="219"/>
    <x v="9"/>
    <n v="1"/>
    <n v="0"/>
    <n v="1"/>
    <x v="9"/>
    <b v="0"/>
    <n v="1"/>
    <n v="2"/>
    <n v="0.14000000000000001"/>
    <n v="0.1212"/>
    <n v="0.5"/>
    <n v="0.25369999999999998"/>
    <n v="2"/>
    <n v="92"/>
    <n v="94"/>
    <s v="Complete"/>
    <n v="0.1212"/>
    <n v="2011"/>
    <s v="January"/>
    <x v="2"/>
    <x v="1"/>
    <s v="Spring"/>
    <x v="1"/>
  </r>
  <r>
    <n v="220"/>
    <x v="9"/>
    <n v="1"/>
    <n v="0"/>
    <n v="1"/>
    <x v="10"/>
    <b v="0"/>
    <n v="1"/>
    <n v="2"/>
    <n v="0.14000000000000001"/>
    <n v="0.1212"/>
    <n v="0.5"/>
    <n v="0.29849999999999999"/>
    <n v="0"/>
    <n v="31"/>
    <n v="31"/>
    <s v="Complete"/>
    <n v="0.1212"/>
    <n v="2011"/>
    <s v="January"/>
    <x v="2"/>
    <x v="1"/>
    <s v="Spring"/>
    <x v="1"/>
  </r>
  <r>
    <n v="221"/>
    <x v="9"/>
    <n v="1"/>
    <n v="0"/>
    <n v="1"/>
    <x v="11"/>
    <b v="0"/>
    <n v="1"/>
    <n v="2"/>
    <n v="0.16"/>
    <n v="0.13639999999999999"/>
    <n v="0.47"/>
    <n v="0.28360000000000002"/>
    <n v="2"/>
    <n v="28"/>
    <n v="30"/>
    <s v="Complete"/>
    <n v="0.13639999999999999"/>
    <n v="2011"/>
    <s v="January"/>
    <x v="2"/>
    <x v="1"/>
    <s v="Spring"/>
    <x v="1"/>
  </r>
  <r>
    <n v="222"/>
    <x v="9"/>
    <n v="1"/>
    <n v="0"/>
    <n v="1"/>
    <x v="12"/>
    <b v="0"/>
    <n v="1"/>
    <n v="2"/>
    <n v="0.2"/>
    <n v="0.18179999999999999"/>
    <n v="0.4"/>
    <n v="0.28360000000000002"/>
    <n v="5"/>
    <n v="47"/>
    <n v="52"/>
    <s v="Complete"/>
    <n v="0.18179999999999999"/>
    <n v="2011"/>
    <s v="January"/>
    <x v="2"/>
    <x v="2"/>
    <s v="Spring"/>
    <x v="1"/>
  </r>
  <r>
    <n v="223"/>
    <x v="9"/>
    <n v="1"/>
    <n v="0"/>
    <n v="1"/>
    <x v="13"/>
    <b v="0"/>
    <n v="1"/>
    <n v="2"/>
    <n v="0.2"/>
    <n v="0.18179999999999999"/>
    <n v="0.4"/>
    <n v="0.28360000000000002"/>
    <n v="4"/>
    <n v="50"/>
    <n v="54"/>
    <s v="Complete"/>
    <n v="0.18179999999999999"/>
    <n v="2011"/>
    <s v="January"/>
    <x v="2"/>
    <x v="2"/>
    <s v="Spring"/>
    <x v="1"/>
  </r>
  <r>
    <n v="224"/>
    <x v="9"/>
    <n v="1"/>
    <n v="0"/>
    <n v="1"/>
    <x v="14"/>
    <b v="0"/>
    <n v="1"/>
    <n v="2"/>
    <n v="0.2"/>
    <n v="0.19700000000000001"/>
    <n v="0.4"/>
    <n v="0.22389999999999999"/>
    <n v="0"/>
    <n v="47"/>
    <n v="47"/>
    <s v="Complete"/>
    <n v="0.19700000000000001"/>
    <n v="2011"/>
    <s v="January"/>
    <x v="2"/>
    <x v="2"/>
    <s v="Spring"/>
    <x v="1"/>
  </r>
  <r>
    <n v="225"/>
    <x v="9"/>
    <n v="1"/>
    <n v="0"/>
    <n v="1"/>
    <x v="15"/>
    <b v="0"/>
    <n v="1"/>
    <n v="2"/>
    <n v="0.2"/>
    <n v="0.19700000000000001"/>
    <n v="0.4"/>
    <n v="0.22389999999999999"/>
    <n v="2"/>
    <n v="43"/>
    <n v="45"/>
    <s v="Complete"/>
    <n v="0.19700000000000001"/>
    <n v="2011"/>
    <s v="January"/>
    <x v="2"/>
    <x v="2"/>
    <s v="Spring"/>
    <x v="1"/>
  </r>
  <r>
    <n v="226"/>
    <x v="9"/>
    <n v="1"/>
    <n v="0"/>
    <n v="1"/>
    <x v="16"/>
    <b v="0"/>
    <n v="1"/>
    <n v="1"/>
    <n v="0.2"/>
    <n v="0.21210000000000001"/>
    <n v="0.4"/>
    <n v="0.1343"/>
    <n v="4"/>
    <n v="70"/>
    <n v="74"/>
    <s v="Complete"/>
    <n v="0.21210000000000001"/>
    <n v="2011"/>
    <s v="January"/>
    <x v="2"/>
    <x v="2"/>
    <s v="Spring"/>
    <x v="0"/>
  </r>
  <r>
    <n v="227"/>
    <x v="9"/>
    <n v="1"/>
    <n v="0"/>
    <n v="1"/>
    <x v="17"/>
    <b v="0"/>
    <n v="1"/>
    <n v="1"/>
    <n v="0.2"/>
    <n v="0.2273"/>
    <n v="0.4"/>
    <n v="0.1045"/>
    <n v="4"/>
    <n v="174"/>
    <n v="178"/>
    <s v="Complete"/>
    <n v="0.2273"/>
    <n v="2011"/>
    <s v="January"/>
    <x v="2"/>
    <x v="2"/>
    <s v="Spring"/>
    <x v="0"/>
  </r>
  <r>
    <n v="228"/>
    <x v="9"/>
    <n v="1"/>
    <n v="0"/>
    <n v="1"/>
    <x v="18"/>
    <b v="0"/>
    <n v="1"/>
    <n v="1"/>
    <n v="0.2"/>
    <n v="0.19700000000000001"/>
    <n v="0.4"/>
    <n v="0.22389999999999999"/>
    <n v="1"/>
    <n v="154"/>
    <n v="155"/>
    <s v="Complete"/>
    <n v="0.19700000000000001"/>
    <n v="2011"/>
    <s v="January"/>
    <x v="2"/>
    <x v="3"/>
    <s v="Spring"/>
    <x v="0"/>
  </r>
  <r>
    <n v="229"/>
    <x v="9"/>
    <n v="1"/>
    <n v="0"/>
    <n v="1"/>
    <x v="19"/>
    <b v="0"/>
    <n v="1"/>
    <n v="1"/>
    <n v="0.16"/>
    <n v="0.16669999999999999"/>
    <n v="0.47"/>
    <n v="0.16420000000000001"/>
    <n v="3"/>
    <n v="92"/>
    <n v="95"/>
    <s v="Complete"/>
    <n v="0.16669999999999999"/>
    <n v="2011"/>
    <s v="January"/>
    <x v="2"/>
    <x v="3"/>
    <s v="Spring"/>
    <x v="0"/>
  </r>
  <r>
    <n v="230"/>
    <x v="9"/>
    <n v="1"/>
    <n v="0"/>
    <n v="1"/>
    <x v="20"/>
    <b v="0"/>
    <n v="1"/>
    <n v="1"/>
    <n v="0.16"/>
    <n v="0.16669999999999999"/>
    <n v="0.5"/>
    <n v="0.16420000000000001"/>
    <n v="1"/>
    <n v="73"/>
    <n v="74"/>
    <s v="Complete"/>
    <n v="0.16669999999999999"/>
    <n v="2011"/>
    <s v="January"/>
    <x v="2"/>
    <x v="3"/>
    <s v="Spring"/>
    <x v="0"/>
  </r>
  <r>
    <n v="231"/>
    <x v="9"/>
    <n v="1"/>
    <n v="0"/>
    <n v="1"/>
    <x v="21"/>
    <b v="0"/>
    <n v="1"/>
    <n v="1"/>
    <n v="0.14000000000000001"/>
    <n v="0.13639999999999999"/>
    <n v="0.59"/>
    <n v="0.19400000000000001"/>
    <n v="1"/>
    <n v="37"/>
    <n v="38"/>
    <s v="Complete"/>
    <n v="0.13639999999999999"/>
    <n v="2011"/>
    <s v="January"/>
    <x v="2"/>
    <x v="3"/>
    <s v="Spring"/>
    <x v="0"/>
  </r>
  <r>
    <n v="232"/>
    <x v="9"/>
    <n v="1"/>
    <n v="0"/>
    <n v="1"/>
    <x v="22"/>
    <b v="0"/>
    <n v="1"/>
    <n v="1"/>
    <n v="0.14000000000000001"/>
    <n v="0.1515"/>
    <n v="0.59"/>
    <n v="0.16420000000000001"/>
    <n v="2"/>
    <n v="22"/>
    <n v="24"/>
    <s v="Complete"/>
    <n v="0.1515"/>
    <n v="2011"/>
    <s v="January"/>
    <x v="2"/>
    <x v="3"/>
    <s v="Spring"/>
    <x v="0"/>
  </r>
  <r>
    <n v="233"/>
    <x v="9"/>
    <n v="1"/>
    <n v="0"/>
    <n v="1"/>
    <x v="23"/>
    <b v="0"/>
    <n v="1"/>
    <n v="1"/>
    <n v="0.14000000000000001"/>
    <n v="0.1515"/>
    <n v="0.59"/>
    <n v="0.16420000000000001"/>
    <n v="0"/>
    <n v="18"/>
    <n v="18"/>
    <s v="Complete"/>
    <n v="0.1515"/>
    <n v="2011"/>
    <s v="January"/>
    <x v="2"/>
    <x v="3"/>
    <s v="Spring"/>
    <x v="0"/>
  </r>
  <r>
    <n v="234"/>
    <x v="10"/>
    <n v="1"/>
    <n v="0"/>
    <n v="1"/>
    <x v="0"/>
    <b v="0"/>
    <n v="2"/>
    <n v="1"/>
    <n v="0.14000000000000001"/>
    <n v="0.16669999999999999"/>
    <n v="0.59"/>
    <n v="0.1045"/>
    <n v="2"/>
    <n v="10"/>
    <n v="12"/>
    <s v="Complete"/>
    <n v="0.16669999999999999"/>
    <n v="2011"/>
    <s v="January"/>
    <x v="2"/>
    <x v="0"/>
    <s v="Spring"/>
    <x v="0"/>
  </r>
  <r>
    <n v="235"/>
    <x v="10"/>
    <n v="1"/>
    <n v="0"/>
    <n v="1"/>
    <x v="1"/>
    <b v="0"/>
    <n v="2"/>
    <n v="1"/>
    <n v="0.14000000000000001"/>
    <n v="0.1515"/>
    <n v="0.59"/>
    <n v="0.16420000000000001"/>
    <n v="0"/>
    <n v="3"/>
    <n v="3"/>
    <s v="Complete"/>
    <n v="0.1515"/>
    <n v="2011"/>
    <s v="January"/>
    <x v="2"/>
    <x v="0"/>
    <s v="Spring"/>
    <x v="0"/>
  </r>
  <r>
    <n v="236"/>
    <x v="10"/>
    <n v="1"/>
    <n v="0"/>
    <n v="1"/>
    <x v="2"/>
    <b v="0"/>
    <n v="2"/>
    <n v="2"/>
    <n v="0.16"/>
    <n v="0.1515"/>
    <n v="0.55000000000000004"/>
    <n v="0.19400000000000001"/>
    <n v="0"/>
    <n v="3"/>
    <n v="3"/>
    <s v="Complete"/>
    <n v="0.1515"/>
    <n v="2011"/>
    <s v="January"/>
    <x v="2"/>
    <x v="0"/>
    <s v="Spring"/>
    <x v="1"/>
  </r>
  <r>
    <n v="237"/>
    <x v="10"/>
    <n v="1"/>
    <n v="0"/>
    <n v="1"/>
    <x v="5"/>
    <b v="0"/>
    <n v="2"/>
    <n v="2"/>
    <n v="0.16"/>
    <n v="0.18179999999999999"/>
    <n v="0.55000000000000004"/>
    <n v="0.1343"/>
    <n v="0"/>
    <n v="6"/>
    <n v="6"/>
    <s v="Complete"/>
    <n v="0.18179999999999999"/>
    <n v="2011"/>
    <s v="January"/>
    <x v="2"/>
    <x v="0"/>
    <s v="Spring"/>
    <x v="1"/>
  </r>
  <r>
    <n v="238"/>
    <x v="10"/>
    <n v="1"/>
    <n v="0"/>
    <n v="1"/>
    <x v="6"/>
    <b v="0"/>
    <n v="2"/>
    <n v="2"/>
    <n v="0.16"/>
    <n v="0.18179999999999999"/>
    <n v="0.55000000000000004"/>
    <n v="0.1343"/>
    <n v="0"/>
    <n v="27"/>
    <n v="27"/>
    <s v="Complete"/>
    <n v="0.18179999999999999"/>
    <n v="2011"/>
    <s v="January"/>
    <x v="2"/>
    <x v="1"/>
    <s v="Spring"/>
    <x v="1"/>
  </r>
  <r>
    <n v="239"/>
    <x v="10"/>
    <n v="1"/>
    <n v="0"/>
    <n v="1"/>
    <x v="7"/>
    <b v="0"/>
    <n v="2"/>
    <n v="2"/>
    <n v="0.16"/>
    <n v="0.2273"/>
    <n v="0.55000000000000004"/>
    <n v="0"/>
    <n v="2"/>
    <n v="97"/>
    <n v="99"/>
    <s v="Complete"/>
    <n v="0.2273"/>
    <n v="2011"/>
    <s v="January"/>
    <x v="2"/>
    <x v="1"/>
    <s v="Spring"/>
    <x v="1"/>
  </r>
  <r>
    <n v="240"/>
    <x v="10"/>
    <n v="1"/>
    <n v="0"/>
    <n v="1"/>
    <x v="8"/>
    <b v="0"/>
    <n v="2"/>
    <n v="2"/>
    <n v="0.18"/>
    <n v="0.21210000000000001"/>
    <n v="0.51"/>
    <n v="8.9599999999999999E-2"/>
    <n v="3"/>
    <n v="214"/>
    <n v="217"/>
    <s v="Complete"/>
    <n v="0.21210000000000001"/>
    <n v="2011"/>
    <s v="January"/>
    <x v="2"/>
    <x v="1"/>
    <s v="Spring"/>
    <x v="1"/>
  </r>
  <r>
    <n v="241"/>
    <x v="10"/>
    <n v="1"/>
    <n v="0"/>
    <n v="1"/>
    <x v="9"/>
    <b v="0"/>
    <n v="2"/>
    <n v="2"/>
    <n v="0.18"/>
    <n v="0.19700000000000001"/>
    <n v="0.51"/>
    <n v="0.16420000000000001"/>
    <n v="3"/>
    <n v="127"/>
    <n v="130"/>
    <s v="Complete"/>
    <n v="0.19700000000000001"/>
    <n v="2011"/>
    <s v="January"/>
    <x v="2"/>
    <x v="1"/>
    <s v="Spring"/>
    <x v="1"/>
  </r>
  <r>
    <n v="242"/>
    <x v="10"/>
    <n v="1"/>
    <n v="0"/>
    <n v="1"/>
    <x v="10"/>
    <b v="0"/>
    <n v="2"/>
    <n v="2"/>
    <n v="0.2"/>
    <n v="0.21210000000000001"/>
    <n v="0.51"/>
    <n v="0.16420000000000001"/>
    <n v="3"/>
    <n v="51"/>
    <n v="54"/>
    <s v="Complete"/>
    <n v="0.21210000000000001"/>
    <n v="2011"/>
    <s v="January"/>
    <x v="2"/>
    <x v="1"/>
    <s v="Spring"/>
    <x v="1"/>
  </r>
  <r>
    <n v="243"/>
    <x v="10"/>
    <n v="1"/>
    <n v="0"/>
    <n v="1"/>
    <x v="11"/>
    <b v="0"/>
    <n v="2"/>
    <n v="2"/>
    <n v="0.2"/>
    <n v="0.21210000000000001"/>
    <n v="0.47"/>
    <n v="0.1343"/>
    <n v="4"/>
    <n v="31"/>
    <n v="35"/>
    <s v="Complete"/>
    <n v="0.21210000000000001"/>
    <n v="2011"/>
    <s v="January"/>
    <x v="2"/>
    <x v="1"/>
    <s v="Spring"/>
    <x v="1"/>
  </r>
  <r>
    <n v="244"/>
    <x v="10"/>
    <n v="1"/>
    <n v="0"/>
    <n v="1"/>
    <x v="12"/>
    <b v="0"/>
    <n v="2"/>
    <n v="2"/>
    <n v="0.2"/>
    <n v="0.2273"/>
    <n v="0.51"/>
    <n v="0.1045"/>
    <n v="2"/>
    <n v="55"/>
    <n v="57"/>
    <s v="Complete"/>
    <n v="0.2273"/>
    <n v="2011"/>
    <s v="January"/>
    <x v="2"/>
    <x v="2"/>
    <s v="Spring"/>
    <x v="1"/>
  </r>
  <r>
    <n v="245"/>
    <x v="10"/>
    <n v="1"/>
    <n v="0"/>
    <n v="1"/>
    <x v="13"/>
    <b v="0"/>
    <n v="2"/>
    <n v="2"/>
    <n v="0.2"/>
    <n v="0.2273"/>
    <n v="0.59"/>
    <n v="8.9599999999999999E-2"/>
    <n v="6"/>
    <n v="46"/>
    <n v="52"/>
    <s v="Complete"/>
    <n v="0.2273"/>
    <n v="2011"/>
    <s v="January"/>
    <x v="2"/>
    <x v="2"/>
    <s v="Spring"/>
    <x v="1"/>
  </r>
  <r>
    <n v="246"/>
    <x v="10"/>
    <n v="1"/>
    <n v="0"/>
    <n v="1"/>
    <x v="14"/>
    <b v="0"/>
    <n v="2"/>
    <n v="2"/>
    <n v="0.2"/>
    <n v="0.2273"/>
    <n v="0.59"/>
    <n v="8.9599999999999999E-2"/>
    <n v="3"/>
    <n v="60"/>
    <n v="63"/>
    <s v="Complete"/>
    <n v="0.2273"/>
    <n v="2011"/>
    <s v="January"/>
    <x v="2"/>
    <x v="2"/>
    <s v="Spring"/>
    <x v="1"/>
  </r>
  <r>
    <n v="247"/>
    <x v="10"/>
    <n v="1"/>
    <n v="0"/>
    <n v="1"/>
    <x v="15"/>
    <b v="0"/>
    <n v="2"/>
    <n v="2"/>
    <n v="0.16"/>
    <n v="0.19700000000000001"/>
    <n v="0.8"/>
    <n v="8.9599999999999999E-2"/>
    <n v="2"/>
    <n v="45"/>
    <n v="47"/>
    <s v="Complete"/>
    <n v="0.19700000000000001"/>
    <n v="2011"/>
    <s v="January"/>
    <x v="2"/>
    <x v="2"/>
    <s v="Spring"/>
    <x v="1"/>
  </r>
  <r>
    <n v="248"/>
    <x v="10"/>
    <n v="1"/>
    <n v="0"/>
    <n v="1"/>
    <x v="16"/>
    <b v="0"/>
    <n v="2"/>
    <n v="2"/>
    <n v="0.16"/>
    <n v="0.1515"/>
    <n v="0.86"/>
    <n v="0.22389999999999999"/>
    <n v="4"/>
    <n v="72"/>
    <n v="76"/>
    <s v="Complete"/>
    <n v="0.1515"/>
    <n v="2011"/>
    <s v="January"/>
    <x v="2"/>
    <x v="2"/>
    <s v="Spring"/>
    <x v="1"/>
  </r>
  <r>
    <n v="249"/>
    <x v="10"/>
    <n v="1"/>
    <n v="0"/>
    <n v="1"/>
    <x v="17"/>
    <b v="0"/>
    <n v="2"/>
    <n v="2"/>
    <n v="0.16"/>
    <n v="0.1515"/>
    <n v="0.86"/>
    <n v="0.22389999999999999"/>
    <n v="6"/>
    <n v="130"/>
    <n v="136"/>
    <s v="Complete"/>
    <n v="0.1515"/>
    <n v="2011"/>
    <s v="January"/>
    <x v="2"/>
    <x v="2"/>
    <s v="Spring"/>
    <x v="1"/>
  </r>
  <r>
    <n v="250"/>
    <x v="10"/>
    <n v="1"/>
    <n v="0"/>
    <n v="1"/>
    <x v="18"/>
    <b v="0"/>
    <n v="2"/>
    <n v="3"/>
    <n v="0.16"/>
    <n v="0.18179999999999999"/>
    <n v="0.93"/>
    <n v="0.1045"/>
    <n v="1"/>
    <n v="94"/>
    <n v="95"/>
    <s v="Complete"/>
    <n v="0.18179999999999999"/>
    <n v="2011"/>
    <s v="January"/>
    <x v="2"/>
    <x v="3"/>
    <s v="Spring"/>
    <x v="2"/>
  </r>
  <r>
    <n v="251"/>
    <x v="10"/>
    <n v="1"/>
    <n v="0"/>
    <n v="1"/>
    <x v="19"/>
    <b v="0"/>
    <n v="2"/>
    <n v="3"/>
    <n v="0.16"/>
    <n v="0.2273"/>
    <n v="0.93"/>
    <n v="0"/>
    <n v="0"/>
    <n v="51"/>
    <n v="51"/>
    <s v="Complete"/>
    <n v="0.2273"/>
    <n v="2011"/>
    <s v="January"/>
    <x v="2"/>
    <x v="3"/>
    <s v="Spring"/>
    <x v="2"/>
  </r>
  <r>
    <n v="252"/>
    <x v="10"/>
    <n v="1"/>
    <n v="0"/>
    <n v="1"/>
    <x v="20"/>
    <b v="0"/>
    <n v="2"/>
    <n v="3"/>
    <n v="0.16"/>
    <n v="0.1515"/>
    <n v="0.93"/>
    <n v="0.19400000000000001"/>
    <n v="0"/>
    <n v="32"/>
    <n v="32"/>
    <s v="Complete"/>
    <n v="0.1515"/>
    <n v="2011"/>
    <s v="January"/>
    <x v="2"/>
    <x v="3"/>
    <s v="Spring"/>
    <x v="2"/>
  </r>
  <r>
    <n v="253"/>
    <x v="10"/>
    <n v="1"/>
    <n v="0"/>
    <n v="1"/>
    <x v="21"/>
    <b v="0"/>
    <n v="2"/>
    <n v="3"/>
    <n v="0.16"/>
    <n v="0.19700000000000001"/>
    <n v="0.86"/>
    <n v="8.9599999999999999E-2"/>
    <n v="0"/>
    <n v="20"/>
    <n v="20"/>
    <s v="Complete"/>
    <n v="0.19700000000000001"/>
    <n v="2011"/>
    <s v="January"/>
    <x v="2"/>
    <x v="3"/>
    <s v="Spring"/>
    <x v="2"/>
  </r>
  <r>
    <n v="254"/>
    <x v="10"/>
    <n v="1"/>
    <n v="0"/>
    <n v="1"/>
    <x v="22"/>
    <b v="0"/>
    <n v="2"/>
    <n v="3"/>
    <n v="0.16"/>
    <n v="0.18179999999999999"/>
    <n v="0.93"/>
    <n v="0.1045"/>
    <n v="1"/>
    <n v="28"/>
    <n v="29"/>
    <s v="Complete"/>
    <n v="0.18179999999999999"/>
    <n v="2011"/>
    <s v="January"/>
    <x v="2"/>
    <x v="3"/>
    <s v="Spring"/>
    <x v="2"/>
  </r>
  <r>
    <n v="255"/>
    <x v="10"/>
    <n v="1"/>
    <n v="0"/>
    <n v="1"/>
    <x v="23"/>
    <b v="0"/>
    <n v="2"/>
    <n v="3"/>
    <n v="0.16"/>
    <n v="0.19700000000000001"/>
    <n v="0.93"/>
    <n v="8.9599999999999999E-2"/>
    <n v="1"/>
    <n v="18"/>
    <n v="19"/>
    <s v="Complete"/>
    <n v="0.19700000000000001"/>
    <n v="2011"/>
    <s v="January"/>
    <x v="2"/>
    <x v="3"/>
    <s v="Spring"/>
    <x v="2"/>
  </r>
  <r>
    <n v="256"/>
    <x v="11"/>
    <n v="1"/>
    <n v="0"/>
    <n v="1"/>
    <x v="0"/>
    <b v="0"/>
    <n v="3"/>
    <n v="2"/>
    <n v="0.16"/>
    <n v="0.19700000000000001"/>
    <n v="0.86"/>
    <n v="8.9599999999999999E-2"/>
    <n v="0"/>
    <n v="7"/>
    <n v="7"/>
    <s v="Complete"/>
    <n v="0.19700000000000001"/>
    <n v="2011"/>
    <s v="January"/>
    <x v="2"/>
    <x v="0"/>
    <s v="Spring"/>
    <x v="1"/>
  </r>
  <r>
    <n v="257"/>
    <x v="11"/>
    <n v="1"/>
    <n v="0"/>
    <n v="1"/>
    <x v="1"/>
    <b v="0"/>
    <n v="3"/>
    <n v="2"/>
    <n v="0.16"/>
    <n v="0.18179999999999999"/>
    <n v="0.86"/>
    <n v="0.1045"/>
    <n v="0"/>
    <n v="6"/>
    <n v="6"/>
    <s v="Complete"/>
    <n v="0.18179999999999999"/>
    <n v="2011"/>
    <s v="January"/>
    <x v="2"/>
    <x v="0"/>
    <s v="Spring"/>
    <x v="1"/>
  </r>
  <r>
    <n v="258"/>
    <x v="11"/>
    <n v="1"/>
    <n v="0"/>
    <n v="1"/>
    <x v="2"/>
    <b v="0"/>
    <n v="3"/>
    <n v="1"/>
    <n v="0.14000000000000001"/>
    <n v="0.1515"/>
    <n v="0.86"/>
    <n v="0.1343"/>
    <n v="0"/>
    <n v="1"/>
    <n v="1"/>
    <s v="Complete"/>
    <n v="0.1515"/>
    <n v="2011"/>
    <s v="January"/>
    <x v="2"/>
    <x v="0"/>
    <s v="Spring"/>
    <x v="0"/>
  </r>
  <r>
    <n v="259"/>
    <x v="11"/>
    <n v="1"/>
    <n v="0"/>
    <n v="1"/>
    <x v="5"/>
    <b v="0"/>
    <n v="3"/>
    <n v="1"/>
    <n v="0.14000000000000001"/>
    <n v="0.1515"/>
    <n v="0.86"/>
    <n v="0.16420000000000001"/>
    <n v="0"/>
    <n v="5"/>
    <n v="5"/>
    <s v="Complete"/>
    <n v="0.1515"/>
    <n v="2011"/>
    <s v="January"/>
    <x v="2"/>
    <x v="0"/>
    <s v="Spring"/>
    <x v="0"/>
  </r>
  <r>
    <n v="260"/>
    <x v="11"/>
    <n v="1"/>
    <n v="0"/>
    <n v="1"/>
    <x v="6"/>
    <b v="0"/>
    <n v="3"/>
    <n v="1"/>
    <n v="0.12"/>
    <n v="0.1515"/>
    <n v="0.93"/>
    <n v="0.1343"/>
    <n v="0"/>
    <n v="16"/>
    <n v="16"/>
    <s v="Complete"/>
    <n v="0.1515"/>
    <n v="2011"/>
    <s v="January"/>
    <x v="2"/>
    <x v="1"/>
    <s v="Spring"/>
    <x v="0"/>
  </r>
  <r>
    <n v="261"/>
    <x v="11"/>
    <n v="1"/>
    <n v="0"/>
    <n v="1"/>
    <x v="7"/>
    <b v="0"/>
    <n v="3"/>
    <n v="1"/>
    <n v="0.14000000000000001"/>
    <n v="0.1515"/>
    <n v="0.69"/>
    <n v="0.1343"/>
    <n v="0"/>
    <n v="54"/>
    <n v="54"/>
    <s v="Complete"/>
    <n v="0.1515"/>
    <n v="2011"/>
    <s v="January"/>
    <x v="2"/>
    <x v="1"/>
    <s v="Spring"/>
    <x v="0"/>
  </r>
  <r>
    <n v="262"/>
    <x v="11"/>
    <n v="1"/>
    <n v="0"/>
    <n v="1"/>
    <x v="8"/>
    <b v="0"/>
    <n v="3"/>
    <n v="1"/>
    <n v="0.16"/>
    <n v="0.16669999999999999"/>
    <n v="0.59"/>
    <n v="0.16420000000000001"/>
    <n v="3"/>
    <n v="125"/>
    <n v="128"/>
    <s v="Complete"/>
    <n v="0.16669999999999999"/>
    <n v="2011"/>
    <s v="January"/>
    <x v="2"/>
    <x v="1"/>
    <s v="Spring"/>
    <x v="0"/>
  </r>
  <r>
    <n v="263"/>
    <x v="11"/>
    <n v="1"/>
    <n v="0"/>
    <n v="1"/>
    <x v="9"/>
    <b v="0"/>
    <n v="3"/>
    <n v="1"/>
    <n v="0.16"/>
    <n v="0.13639999999999999"/>
    <n v="0.59"/>
    <n v="0.32840000000000003"/>
    <n v="3"/>
    <n v="78"/>
    <n v="81"/>
    <s v="Complete"/>
    <n v="0.13639999999999999"/>
    <n v="2011"/>
    <s v="January"/>
    <x v="2"/>
    <x v="1"/>
    <s v="Spring"/>
    <x v="0"/>
  </r>
  <r>
    <n v="264"/>
    <x v="11"/>
    <n v="1"/>
    <n v="0"/>
    <n v="1"/>
    <x v="10"/>
    <b v="0"/>
    <n v="3"/>
    <n v="1"/>
    <n v="0.18"/>
    <n v="0.18179999999999999"/>
    <n v="0.55000000000000004"/>
    <n v="0.22389999999999999"/>
    <n v="0"/>
    <n v="39"/>
    <n v="39"/>
    <s v="Complete"/>
    <n v="0.18179999999999999"/>
    <n v="2011"/>
    <s v="January"/>
    <x v="2"/>
    <x v="1"/>
    <s v="Spring"/>
    <x v="0"/>
  </r>
  <r>
    <n v="265"/>
    <x v="11"/>
    <n v="1"/>
    <n v="0"/>
    <n v="1"/>
    <x v="11"/>
    <b v="0"/>
    <n v="3"/>
    <n v="1"/>
    <n v="0.2"/>
    <n v="0.18179999999999999"/>
    <n v="0.51"/>
    <n v="0.3881"/>
    <n v="3"/>
    <n v="32"/>
    <n v="35"/>
    <s v="Complete"/>
    <n v="0.18179999999999999"/>
    <n v="2011"/>
    <s v="January"/>
    <x v="2"/>
    <x v="1"/>
    <s v="Spring"/>
    <x v="0"/>
  </r>
  <r>
    <n v="266"/>
    <x v="11"/>
    <n v="1"/>
    <n v="0"/>
    <n v="1"/>
    <x v="12"/>
    <b v="0"/>
    <n v="3"/>
    <n v="1"/>
    <n v="0.2"/>
    <n v="0.1515"/>
    <n v="0.47"/>
    <n v="0.58209999999999995"/>
    <n v="3"/>
    <n v="52"/>
    <n v="55"/>
    <s v="Complete"/>
    <n v="0.1515"/>
    <n v="2011"/>
    <s v="January"/>
    <x v="2"/>
    <x v="2"/>
    <s v="Spring"/>
    <x v="0"/>
  </r>
  <r>
    <n v="267"/>
    <x v="11"/>
    <n v="1"/>
    <n v="0"/>
    <n v="1"/>
    <x v="13"/>
    <b v="0"/>
    <n v="3"/>
    <n v="1"/>
    <n v="0.22"/>
    <n v="0.19700000000000001"/>
    <n v="0.44"/>
    <n v="0.35820000000000002"/>
    <n v="0"/>
    <n v="49"/>
    <n v="49"/>
    <s v="Complete"/>
    <n v="0.19700000000000001"/>
    <n v="2011"/>
    <s v="January"/>
    <x v="2"/>
    <x v="2"/>
    <s v="Spring"/>
    <x v="0"/>
  </r>
  <r>
    <n v="268"/>
    <x v="11"/>
    <n v="1"/>
    <n v="0"/>
    <n v="1"/>
    <x v="14"/>
    <b v="0"/>
    <n v="3"/>
    <n v="1"/>
    <n v="0.2"/>
    <n v="0.18179999999999999"/>
    <n v="0.47"/>
    <n v="0.32840000000000003"/>
    <n v="0"/>
    <n v="44"/>
    <n v="44"/>
    <s v="Complete"/>
    <n v="0.18179999999999999"/>
    <n v="2011"/>
    <s v="January"/>
    <x v="2"/>
    <x v="2"/>
    <s v="Spring"/>
    <x v="0"/>
  </r>
  <r>
    <n v="269"/>
    <x v="11"/>
    <n v="1"/>
    <n v="0"/>
    <n v="1"/>
    <x v="15"/>
    <b v="0"/>
    <n v="3"/>
    <n v="1"/>
    <n v="0.2"/>
    <n v="0.16669999999999999"/>
    <n v="0.47"/>
    <n v="0.41789999999999999"/>
    <n v="1"/>
    <n v="48"/>
    <n v="49"/>
    <s v="Complete"/>
    <n v="0.16669999999999999"/>
    <n v="2011"/>
    <s v="January"/>
    <x v="2"/>
    <x v="2"/>
    <s v="Spring"/>
    <x v="0"/>
  </r>
  <r>
    <n v="270"/>
    <x v="11"/>
    <n v="1"/>
    <n v="0"/>
    <n v="1"/>
    <x v="16"/>
    <b v="0"/>
    <n v="3"/>
    <n v="1"/>
    <n v="0.22"/>
    <n v="0.19700000000000001"/>
    <n v="0.44"/>
    <n v="0.32840000000000003"/>
    <n v="5"/>
    <n v="63"/>
    <n v="68"/>
    <s v="Complete"/>
    <n v="0.19700000000000001"/>
    <n v="2011"/>
    <s v="January"/>
    <x v="2"/>
    <x v="2"/>
    <s v="Spring"/>
    <x v="0"/>
  </r>
  <r>
    <n v="271"/>
    <x v="11"/>
    <n v="1"/>
    <n v="0"/>
    <n v="1"/>
    <x v="17"/>
    <b v="0"/>
    <n v="3"/>
    <n v="1"/>
    <n v="0.2"/>
    <n v="0.18179999999999999"/>
    <n v="0.47"/>
    <n v="0.35820000000000002"/>
    <n v="0"/>
    <n v="139"/>
    <n v="139"/>
    <s v="Complete"/>
    <n v="0.18179999999999999"/>
    <n v="2011"/>
    <s v="January"/>
    <x v="2"/>
    <x v="2"/>
    <s v="Spring"/>
    <x v="0"/>
  </r>
  <r>
    <n v="272"/>
    <x v="11"/>
    <n v="1"/>
    <n v="0"/>
    <n v="1"/>
    <x v="18"/>
    <b v="0"/>
    <n v="3"/>
    <n v="1"/>
    <n v="0.2"/>
    <n v="0.1515"/>
    <n v="0.47"/>
    <n v="0.52239999999999998"/>
    <n v="2"/>
    <n v="135"/>
    <n v="137"/>
    <s v="Complete"/>
    <n v="0.1515"/>
    <n v="2011"/>
    <s v="January"/>
    <x v="2"/>
    <x v="3"/>
    <s v="Spring"/>
    <x v="0"/>
  </r>
  <r>
    <n v="273"/>
    <x v="11"/>
    <n v="1"/>
    <n v="0"/>
    <n v="1"/>
    <x v="19"/>
    <b v="0"/>
    <n v="3"/>
    <n v="1"/>
    <n v="0.18"/>
    <n v="0.1515"/>
    <n v="0.47"/>
    <n v="0.41789999999999999"/>
    <n v="1"/>
    <n v="82"/>
    <n v="83"/>
    <s v="Complete"/>
    <n v="0.1515"/>
    <n v="2011"/>
    <s v="January"/>
    <x v="2"/>
    <x v="3"/>
    <s v="Spring"/>
    <x v="0"/>
  </r>
  <r>
    <n v="274"/>
    <x v="11"/>
    <n v="1"/>
    <n v="0"/>
    <n v="1"/>
    <x v="20"/>
    <b v="0"/>
    <n v="3"/>
    <n v="1"/>
    <n v="0.16"/>
    <n v="0.13639999999999999"/>
    <n v="0.5"/>
    <n v="0.32840000000000003"/>
    <n v="2"/>
    <n v="54"/>
    <n v="56"/>
    <s v="Complete"/>
    <n v="0.13639999999999999"/>
    <n v="2011"/>
    <s v="January"/>
    <x v="2"/>
    <x v="3"/>
    <s v="Spring"/>
    <x v="0"/>
  </r>
  <r>
    <n v="275"/>
    <x v="11"/>
    <n v="1"/>
    <n v="0"/>
    <n v="1"/>
    <x v="21"/>
    <b v="0"/>
    <n v="3"/>
    <n v="1"/>
    <n v="0.16"/>
    <n v="0.13639999999999999"/>
    <n v="0.55000000000000004"/>
    <n v="0.32840000000000003"/>
    <n v="0"/>
    <n v="57"/>
    <n v="57"/>
    <s v="Complete"/>
    <n v="0.13639999999999999"/>
    <n v="2011"/>
    <s v="January"/>
    <x v="2"/>
    <x v="3"/>
    <s v="Spring"/>
    <x v="0"/>
  </r>
  <r>
    <n v="276"/>
    <x v="11"/>
    <n v="1"/>
    <n v="0"/>
    <n v="1"/>
    <x v="22"/>
    <b v="0"/>
    <n v="3"/>
    <n v="1"/>
    <n v="0.16"/>
    <n v="0.1212"/>
    <n v="0.55000000000000004"/>
    <n v="0.44779999999999998"/>
    <n v="1"/>
    <n v="32"/>
    <n v="33"/>
    <s v="Complete"/>
    <n v="0.1212"/>
    <n v="2011"/>
    <s v="January"/>
    <x v="2"/>
    <x v="3"/>
    <s v="Spring"/>
    <x v="0"/>
  </r>
  <r>
    <n v="277"/>
    <x v="11"/>
    <n v="1"/>
    <n v="0"/>
    <n v="1"/>
    <x v="23"/>
    <b v="0"/>
    <n v="3"/>
    <n v="1"/>
    <n v="0.14000000000000001"/>
    <n v="0.1061"/>
    <n v="0.59"/>
    <n v="0.41789999999999999"/>
    <n v="1"/>
    <n v="19"/>
    <n v="20"/>
    <s v="Complete"/>
    <n v="0.1061"/>
    <n v="2011"/>
    <s v="January"/>
    <x v="2"/>
    <x v="3"/>
    <s v="Spring"/>
    <x v="0"/>
  </r>
  <r>
    <n v="278"/>
    <x v="12"/>
    <n v="1"/>
    <n v="0"/>
    <n v="1"/>
    <x v="0"/>
    <b v="0"/>
    <n v="4"/>
    <n v="1"/>
    <n v="0.14000000000000001"/>
    <n v="0.1212"/>
    <n v="0.59"/>
    <n v="0.28360000000000002"/>
    <n v="1"/>
    <n v="6"/>
    <n v="7"/>
    <s v="Complete"/>
    <n v="0.1212"/>
    <n v="2011"/>
    <s v="January"/>
    <x v="2"/>
    <x v="0"/>
    <s v="Spring"/>
    <x v="0"/>
  </r>
  <r>
    <n v="279"/>
    <x v="12"/>
    <n v="1"/>
    <n v="0"/>
    <n v="1"/>
    <x v="1"/>
    <b v="0"/>
    <n v="4"/>
    <n v="1"/>
    <n v="0.14000000000000001"/>
    <n v="0.1212"/>
    <n v="0.5"/>
    <n v="0.28360000000000002"/>
    <n v="0"/>
    <n v="2"/>
    <n v="2"/>
    <s v="Complete"/>
    <n v="0.1212"/>
    <n v="2011"/>
    <s v="January"/>
    <x v="2"/>
    <x v="0"/>
    <s v="Spring"/>
    <x v="0"/>
  </r>
  <r>
    <n v="280"/>
    <x v="12"/>
    <n v="1"/>
    <n v="0"/>
    <n v="1"/>
    <x v="2"/>
    <b v="0"/>
    <n v="4"/>
    <n v="1"/>
    <n v="0.14000000000000001"/>
    <n v="0.1212"/>
    <n v="0.5"/>
    <n v="0.35820000000000002"/>
    <n v="0"/>
    <n v="2"/>
    <n v="2"/>
    <s v="Complete"/>
    <n v="0.1212"/>
    <n v="2011"/>
    <s v="January"/>
    <x v="2"/>
    <x v="0"/>
    <s v="Spring"/>
    <x v="0"/>
  </r>
  <r>
    <n v="281"/>
    <x v="12"/>
    <n v="1"/>
    <n v="0"/>
    <n v="1"/>
    <x v="3"/>
    <b v="0"/>
    <n v="4"/>
    <n v="1"/>
    <n v="0.14000000000000001"/>
    <n v="0.1212"/>
    <n v="0.5"/>
    <n v="0.32840000000000003"/>
    <n v="0"/>
    <n v="3"/>
    <n v="3"/>
    <s v="Complete"/>
    <n v="0.1212"/>
    <n v="2011"/>
    <s v="January"/>
    <x v="2"/>
    <x v="0"/>
    <s v="Spring"/>
    <x v="0"/>
  </r>
  <r>
    <n v="282"/>
    <x v="12"/>
    <n v="1"/>
    <n v="0"/>
    <n v="1"/>
    <x v="4"/>
    <b v="0"/>
    <n v="4"/>
    <n v="1"/>
    <n v="0.14000000000000001"/>
    <n v="0.1212"/>
    <n v="0.5"/>
    <n v="0.25369999999999998"/>
    <n v="0"/>
    <n v="4"/>
    <n v="4"/>
    <s v="Complete"/>
    <n v="0.1212"/>
    <n v="2011"/>
    <s v="January"/>
    <x v="2"/>
    <x v="0"/>
    <s v="Spring"/>
    <x v="0"/>
  </r>
  <r>
    <n v="283"/>
    <x v="12"/>
    <n v="1"/>
    <n v="0"/>
    <n v="1"/>
    <x v="5"/>
    <b v="0"/>
    <n v="4"/>
    <n v="1"/>
    <n v="0.14000000000000001"/>
    <n v="0.1212"/>
    <n v="0.5"/>
    <n v="0.29849999999999999"/>
    <n v="0"/>
    <n v="3"/>
    <n v="3"/>
    <s v="Complete"/>
    <n v="0.1212"/>
    <n v="2011"/>
    <s v="January"/>
    <x v="2"/>
    <x v="0"/>
    <s v="Spring"/>
    <x v="0"/>
  </r>
  <r>
    <n v="284"/>
    <x v="12"/>
    <n v="1"/>
    <n v="0"/>
    <n v="1"/>
    <x v="6"/>
    <b v="0"/>
    <n v="4"/>
    <n v="1"/>
    <n v="0.12"/>
    <n v="0.1515"/>
    <n v="0.54"/>
    <n v="0.1343"/>
    <n v="0"/>
    <n v="28"/>
    <n v="28"/>
    <s v="Complete"/>
    <n v="0.1515"/>
    <n v="2011"/>
    <s v="January"/>
    <x v="2"/>
    <x v="1"/>
    <s v="Spring"/>
    <x v="0"/>
  </r>
  <r>
    <n v="285"/>
    <x v="12"/>
    <n v="1"/>
    <n v="0"/>
    <n v="1"/>
    <x v="7"/>
    <b v="0"/>
    <n v="4"/>
    <n v="1"/>
    <n v="0.12"/>
    <n v="0.1515"/>
    <n v="0.54"/>
    <n v="0.1343"/>
    <n v="0"/>
    <n v="72"/>
    <n v="72"/>
    <s v="Complete"/>
    <n v="0.1515"/>
    <n v="2011"/>
    <s v="January"/>
    <x v="2"/>
    <x v="1"/>
    <s v="Spring"/>
    <x v="0"/>
  </r>
  <r>
    <n v="286"/>
    <x v="12"/>
    <n v="1"/>
    <n v="0"/>
    <n v="1"/>
    <x v="8"/>
    <b v="0"/>
    <n v="4"/>
    <n v="1"/>
    <n v="0.14000000000000001"/>
    <n v="0.13639999999999999"/>
    <n v="0.5"/>
    <n v="0.19400000000000001"/>
    <n v="5"/>
    <n v="197"/>
    <n v="202"/>
    <s v="Complete"/>
    <n v="0.13639999999999999"/>
    <n v="2011"/>
    <s v="January"/>
    <x v="2"/>
    <x v="1"/>
    <s v="Spring"/>
    <x v="0"/>
  </r>
  <r>
    <n v="287"/>
    <x v="12"/>
    <n v="1"/>
    <n v="0"/>
    <n v="1"/>
    <x v="9"/>
    <b v="0"/>
    <n v="4"/>
    <n v="1"/>
    <n v="0.14000000000000001"/>
    <n v="0.1212"/>
    <n v="0.5"/>
    <n v="0.32840000000000003"/>
    <n v="2"/>
    <n v="137"/>
    <n v="139"/>
    <s v="Complete"/>
    <n v="0.1212"/>
    <n v="2011"/>
    <s v="January"/>
    <x v="2"/>
    <x v="1"/>
    <s v="Spring"/>
    <x v="0"/>
  </r>
  <r>
    <n v="288"/>
    <x v="12"/>
    <n v="1"/>
    <n v="0"/>
    <n v="1"/>
    <x v="10"/>
    <b v="0"/>
    <n v="4"/>
    <n v="2"/>
    <n v="0.16"/>
    <n v="0.13639999999999999"/>
    <n v="0.5"/>
    <n v="0.35820000000000002"/>
    <n v="2"/>
    <n v="36"/>
    <n v="38"/>
    <s v="Complete"/>
    <n v="0.13639999999999999"/>
    <n v="2011"/>
    <s v="January"/>
    <x v="2"/>
    <x v="1"/>
    <s v="Spring"/>
    <x v="1"/>
  </r>
  <r>
    <n v="289"/>
    <x v="12"/>
    <n v="1"/>
    <n v="0"/>
    <n v="1"/>
    <x v="11"/>
    <b v="0"/>
    <n v="4"/>
    <n v="2"/>
    <n v="0.2"/>
    <n v="0.16669999999999999"/>
    <n v="0.44"/>
    <n v="0.44779999999999998"/>
    <n v="4"/>
    <n v="33"/>
    <n v="37"/>
    <s v="Complete"/>
    <n v="0.16669999999999999"/>
    <n v="2011"/>
    <s v="January"/>
    <x v="2"/>
    <x v="1"/>
    <s v="Spring"/>
    <x v="1"/>
  </r>
  <r>
    <n v="290"/>
    <x v="12"/>
    <n v="1"/>
    <n v="0"/>
    <n v="1"/>
    <x v="12"/>
    <b v="0"/>
    <n v="4"/>
    <n v="1"/>
    <n v="0.2"/>
    <n v="0.16669999999999999"/>
    <n v="0.44"/>
    <n v="0.41789999999999999"/>
    <n v="3"/>
    <n v="49"/>
    <n v="52"/>
    <s v="Complete"/>
    <n v="0.16669999999999999"/>
    <n v="2011"/>
    <s v="January"/>
    <x v="2"/>
    <x v="2"/>
    <s v="Spring"/>
    <x v="0"/>
  </r>
  <r>
    <n v="291"/>
    <x v="12"/>
    <n v="1"/>
    <n v="0"/>
    <n v="1"/>
    <x v="13"/>
    <b v="0"/>
    <n v="4"/>
    <n v="1"/>
    <n v="0.22"/>
    <n v="0.19700000000000001"/>
    <n v="0.41"/>
    <n v="0.44779999999999998"/>
    <n v="2"/>
    <n v="81"/>
    <n v="83"/>
    <s v="Complete"/>
    <n v="0.19700000000000001"/>
    <n v="2011"/>
    <s v="January"/>
    <x v="2"/>
    <x v="2"/>
    <s v="Spring"/>
    <x v="0"/>
  </r>
  <r>
    <n v="292"/>
    <x v="12"/>
    <n v="1"/>
    <n v="0"/>
    <n v="1"/>
    <x v="14"/>
    <b v="0"/>
    <n v="4"/>
    <n v="1"/>
    <n v="0.22"/>
    <n v="0.19700000000000001"/>
    <n v="0.41"/>
    <n v="0.3881"/>
    <n v="3"/>
    <n v="39"/>
    <n v="42"/>
    <s v="Complete"/>
    <n v="0.19700000000000001"/>
    <n v="2011"/>
    <s v="January"/>
    <x v="2"/>
    <x v="2"/>
    <s v="Spring"/>
    <x v="0"/>
  </r>
  <r>
    <n v="293"/>
    <x v="12"/>
    <n v="1"/>
    <n v="0"/>
    <n v="1"/>
    <x v="15"/>
    <b v="0"/>
    <n v="4"/>
    <n v="1"/>
    <n v="0.24"/>
    <n v="0.21210000000000001"/>
    <n v="0.38"/>
    <n v="0.29849999999999999"/>
    <n v="5"/>
    <n v="55"/>
    <n v="60"/>
    <s v="Complete"/>
    <n v="0.21210000000000001"/>
    <n v="2011"/>
    <s v="January"/>
    <x v="2"/>
    <x v="2"/>
    <s v="Spring"/>
    <x v="0"/>
  </r>
  <r>
    <n v="294"/>
    <x v="12"/>
    <n v="1"/>
    <n v="0"/>
    <n v="1"/>
    <x v="16"/>
    <b v="0"/>
    <n v="4"/>
    <n v="1"/>
    <n v="0.24"/>
    <n v="0.21210000000000001"/>
    <n v="0.38"/>
    <n v="0.35820000000000002"/>
    <n v="2"/>
    <n v="76"/>
    <n v="78"/>
    <s v="Complete"/>
    <n v="0.21210000000000001"/>
    <n v="2011"/>
    <s v="January"/>
    <x v="2"/>
    <x v="2"/>
    <s v="Spring"/>
    <x v="0"/>
  </r>
  <r>
    <n v="295"/>
    <x v="12"/>
    <n v="1"/>
    <n v="0"/>
    <n v="1"/>
    <x v="17"/>
    <b v="0"/>
    <n v="4"/>
    <n v="1"/>
    <n v="0.2"/>
    <n v="0.18179999999999999"/>
    <n v="0.4"/>
    <n v="0.28360000000000002"/>
    <n v="4"/>
    <n v="158"/>
    <n v="162"/>
    <s v="Complete"/>
    <n v="0.18179999999999999"/>
    <n v="2011"/>
    <s v="January"/>
    <x v="2"/>
    <x v="2"/>
    <s v="Spring"/>
    <x v="0"/>
  </r>
  <r>
    <n v="296"/>
    <x v="12"/>
    <n v="1"/>
    <n v="0"/>
    <n v="1"/>
    <x v="18"/>
    <b v="0"/>
    <n v="4"/>
    <n v="1"/>
    <n v="0.2"/>
    <n v="0.18179999999999999"/>
    <n v="0.4"/>
    <n v="0.32840000000000003"/>
    <n v="3"/>
    <n v="141"/>
    <n v="144"/>
    <s v="Complete"/>
    <n v="0.18179999999999999"/>
    <n v="2011"/>
    <s v="January"/>
    <x v="2"/>
    <x v="3"/>
    <s v="Spring"/>
    <x v="0"/>
  </r>
  <r>
    <n v="297"/>
    <x v="12"/>
    <n v="1"/>
    <n v="0"/>
    <n v="1"/>
    <x v="19"/>
    <b v="0"/>
    <n v="4"/>
    <n v="1"/>
    <n v="0.16"/>
    <n v="0.1515"/>
    <n v="0.47"/>
    <n v="0.25369999999999998"/>
    <n v="1"/>
    <n v="98"/>
    <n v="99"/>
    <s v="Complete"/>
    <n v="0.1515"/>
    <n v="2011"/>
    <s v="January"/>
    <x v="2"/>
    <x v="3"/>
    <s v="Spring"/>
    <x v="0"/>
  </r>
  <r>
    <n v="298"/>
    <x v="12"/>
    <n v="1"/>
    <n v="0"/>
    <n v="1"/>
    <x v="20"/>
    <b v="0"/>
    <n v="4"/>
    <n v="1"/>
    <n v="0.16"/>
    <n v="0.1515"/>
    <n v="0.47"/>
    <n v="0.22389999999999999"/>
    <n v="0"/>
    <n v="64"/>
    <n v="64"/>
    <s v="Complete"/>
    <n v="0.1515"/>
    <n v="2011"/>
    <s v="January"/>
    <x v="2"/>
    <x v="3"/>
    <s v="Spring"/>
    <x v="0"/>
  </r>
  <r>
    <n v="299"/>
    <x v="12"/>
    <n v="1"/>
    <n v="0"/>
    <n v="1"/>
    <x v="21"/>
    <b v="0"/>
    <n v="4"/>
    <n v="1"/>
    <n v="0.14000000000000001"/>
    <n v="0.1212"/>
    <n v="0.46"/>
    <n v="0.29849999999999999"/>
    <n v="0"/>
    <n v="40"/>
    <n v="40"/>
    <s v="Complete"/>
    <n v="0.1212"/>
    <n v="2011"/>
    <s v="January"/>
    <x v="2"/>
    <x v="3"/>
    <s v="Spring"/>
    <x v="0"/>
  </r>
  <r>
    <n v="300"/>
    <x v="12"/>
    <n v="1"/>
    <n v="0"/>
    <n v="1"/>
    <x v="22"/>
    <b v="0"/>
    <n v="4"/>
    <n v="1"/>
    <n v="0.14000000000000001"/>
    <n v="0.1212"/>
    <n v="0.46"/>
    <n v="0.32840000000000003"/>
    <n v="0"/>
    <n v="30"/>
    <n v="30"/>
    <s v="Complete"/>
    <n v="0.1212"/>
    <n v="2011"/>
    <s v="January"/>
    <x v="2"/>
    <x v="3"/>
    <s v="Spring"/>
    <x v="0"/>
  </r>
  <r>
    <n v="301"/>
    <x v="12"/>
    <n v="1"/>
    <n v="0"/>
    <n v="1"/>
    <x v="23"/>
    <b v="0"/>
    <n v="4"/>
    <n v="1"/>
    <n v="0.12"/>
    <n v="0.13639999999999999"/>
    <n v="0.5"/>
    <n v="0.19400000000000001"/>
    <n v="1"/>
    <n v="14"/>
    <n v="15"/>
    <s v="Complete"/>
    <n v="0.13639999999999999"/>
    <n v="2011"/>
    <s v="January"/>
    <x v="2"/>
    <x v="3"/>
    <s v="Spring"/>
    <x v="0"/>
  </r>
  <r>
    <n v="302"/>
    <x v="13"/>
    <n v="1"/>
    <n v="0"/>
    <n v="1"/>
    <x v="0"/>
    <b v="0"/>
    <n v="5"/>
    <n v="1"/>
    <n v="0.12"/>
    <n v="0.13639999999999999"/>
    <n v="0.5"/>
    <n v="0.19400000000000001"/>
    <n v="0"/>
    <n v="14"/>
    <n v="14"/>
    <s v="Complete"/>
    <n v="0.13639999999999999"/>
    <n v="2011"/>
    <s v="January"/>
    <x v="2"/>
    <x v="0"/>
    <s v="Spring"/>
    <x v="0"/>
  </r>
  <r>
    <n v="303"/>
    <x v="13"/>
    <n v="1"/>
    <n v="0"/>
    <n v="1"/>
    <x v="1"/>
    <b v="0"/>
    <n v="5"/>
    <n v="1"/>
    <n v="0.1"/>
    <n v="0.1212"/>
    <n v="0.54"/>
    <n v="0.16420000000000001"/>
    <n v="0"/>
    <n v="5"/>
    <n v="5"/>
    <s v="Complete"/>
    <n v="0.1212"/>
    <n v="2011"/>
    <s v="January"/>
    <x v="2"/>
    <x v="0"/>
    <s v="Spring"/>
    <x v="0"/>
  </r>
  <r>
    <n v="304"/>
    <x v="13"/>
    <n v="1"/>
    <n v="0"/>
    <n v="1"/>
    <x v="2"/>
    <b v="0"/>
    <n v="5"/>
    <n v="1"/>
    <n v="0.1"/>
    <n v="0.1212"/>
    <n v="0.54"/>
    <n v="0.1343"/>
    <n v="0"/>
    <n v="1"/>
    <n v="1"/>
    <s v="Complete"/>
    <n v="0.1212"/>
    <n v="2011"/>
    <s v="January"/>
    <x v="2"/>
    <x v="0"/>
    <s v="Spring"/>
    <x v="0"/>
  </r>
  <r>
    <n v="305"/>
    <x v="13"/>
    <n v="1"/>
    <n v="0"/>
    <n v="1"/>
    <x v="3"/>
    <b v="0"/>
    <n v="5"/>
    <n v="1"/>
    <n v="0.1"/>
    <n v="0.13639999999999999"/>
    <n v="0.54"/>
    <n v="0.1045"/>
    <n v="0"/>
    <n v="1"/>
    <n v="1"/>
    <s v="Complete"/>
    <n v="0.13639999999999999"/>
    <n v="2011"/>
    <s v="January"/>
    <x v="2"/>
    <x v="0"/>
    <s v="Spring"/>
    <x v="0"/>
  </r>
  <r>
    <n v="306"/>
    <x v="13"/>
    <n v="1"/>
    <n v="0"/>
    <n v="1"/>
    <x v="5"/>
    <b v="0"/>
    <n v="5"/>
    <n v="1"/>
    <n v="0.1"/>
    <n v="0.13639999999999999"/>
    <n v="0.54"/>
    <n v="8.9599999999999999E-2"/>
    <n v="0"/>
    <n v="8"/>
    <n v="8"/>
    <s v="Complete"/>
    <n v="0.13639999999999999"/>
    <n v="2011"/>
    <s v="January"/>
    <x v="2"/>
    <x v="0"/>
    <s v="Spring"/>
    <x v="0"/>
  </r>
  <r>
    <n v="307"/>
    <x v="13"/>
    <n v="1"/>
    <n v="0"/>
    <n v="1"/>
    <x v="6"/>
    <b v="0"/>
    <n v="5"/>
    <n v="1"/>
    <n v="0.1"/>
    <n v="0.18179999999999999"/>
    <n v="0.54"/>
    <n v="0"/>
    <n v="0"/>
    <n v="17"/>
    <n v="17"/>
    <s v="Complete"/>
    <n v="0.18179999999999999"/>
    <n v="2011"/>
    <s v="January"/>
    <x v="2"/>
    <x v="1"/>
    <s v="Spring"/>
    <x v="0"/>
  </r>
  <r>
    <n v="308"/>
    <x v="13"/>
    <n v="1"/>
    <n v="0"/>
    <n v="1"/>
    <x v="7"/>
    <b v="0"/>
    <n v="5"/>
    <n v="1"/>
    <n v="0.1"/>
    <n v="0.1212"/>
    <n v="0.74"/>
    <n v="0.16420000000000001"/>
    <n v="0"/>
    <n v="70"/>
    <n v="70"/>
    <s v="Complete"/>
    <n v="0.1212"/>
    <n v="2011"/>
    <s v="January"/>
    <x v="2"/>
    <x v="1"/>
    <s v="Spring"/>
    <x v="0"/>
  </r>
  <r>
    <n v="309"/>
    <x v="13"/>
    <n v="1"/>
    <n v="0"/>
    <n v="1"/>
    <x v="8"/>
    <b v="0"/>
    <n v="5"/>
    <n v="1"/>
    <n v="0.12"/>
    <n v="0.16669999999999999"/>
    <n v="0.68"/>
    <n v="0"/>
    <n v="2"/>
    <n v="156"/>
    <n v="158"/>
    <s v="Complete"/>
    <n v="0.16669999999999999"/>
    <n v="2011"/>
    <s v="January"/>
    <x v="2"/>
    <x v="1"/>
    <s v="Spring"/>
    <x v="0"/>
  </r>
  <r>
    <n v="310"/>
    <x v="13"/>
    <n v="1"/>
    <n v="0"/>
    <n v="1"/>
    <x v="9"/>
    <b v="0"/>
    <n v="5"/>
    <n v="1"/>
    <n v="0.14000000000000001"/>
    <n v="0.1515"/>
    <n v="0.69"/>
    <n v="0.1343"/>
    <n v="0"/>
    <n v="117"/>
    <n v="117"/>
    <s v="Complete"/>
    <n v="0.1515"/>
    <n v="2011"/>
    <s v="January"/>
    <x v="2"/>
    <x v="1"/>
    <s v="Spring"/>
    <x v="0"/>
  </r>
  <r>
    <n v="311"/>
    <x v="13"/>
    <n v="1"/>
    <n v="0"/>
    <n v="1"/>
    <x v="10"/>
    <b v="0"/>
    <n v="5"/>
    <n v="1"/>
    <n v="0.18"/>
    <n v="0.18179999999999999"/>
    <n v="0.55000000000000004"/>
    <n v="0.19400000000000001"/>
    <n v="4"/>
    <n v="40"/>
    <n v="44"/>
    <s v="Complete"/>
    <n v="0.18179999999999999"/>
    <n v="2011"/>
    <s v="January"/>
    <x v="2"/>
    <x v="1"/>
    <s v="Spring"/>
    <x v="0"/>
  </r>
  <r>
    <n v="312"/>
    <x v="13"/>
    <n v="1"/>
    <n v="0"/>
    <n v="1"/>
    <x v="11"/>
    <b v="0"/>
    <n v="5"/>
    <n v="1"/>
    <n v="0.18"/>
    <n v="0.16669999999999999"/>
    <n v="0.51"/>
    <n v="0.28360000000000002"/>
    <n v="6"/>
    <n v="47"/>
    <n v="53"/>
    <s v="Complete"/>
    <n v="0.16669999999999999"/>
    <n v="2011"/>
    <s v="January"/>
    <x v="2"/>
    <x v="1"/>
    <s v="Spring"/>
    <x v="0"/>
  </r>
  <r>
    <n v="313"/>
    <x v="13"/>
    <n v="1"/>
    <n v="0"/>
    <n v="1"/>
    <x v="12"/>
    <b v="0"/>
    <n v="5"/>
    <n v="1"/>
    <n v="0.2"/>
    <n v="0.19700000000000001"/>
    <n v="0.44"/>
    <n v="0.25369999999999998"/>
    <n v="2"/>
    <n v="59"/>
    <n v="61"/>
    <s v="Complete"/>
    <n v="0.19700000000000001"/>
    <n v="2011"/>
    <s v="January"/>
    <x v="2"/>
    <x v="2"/>
    <s v="Spring"/>
    <x v="0"/>
  </r>
  <r>
    <n v="314"/>
    <x v="13"/>
    <n v="1"/>
    <n v="0"/>
    <n v="1"/>
    <x v="13"/>
    <b v="0"/>
    <n v="5"/>
    <n v="1"/>
    <n v="0.22"/>
    <n v="0.19700000000000001"/>
    <n v="0.37"/>
    <n v="0.3881"/>
    <n v="4"/>
    <n v="73"/>
    <n v="77"/>
    <s v="Complete"/>
    <n v="0.19700000000000001"/>
    <n v="2011"/>
    <s v="January"/>
    <x v="2"/>
    <x v="2"/>
    <s v="Spring"/>
    <x v="0"/>
  </r>
  <r>
    <n v="315"/>
    <x v="13"/>
    <n v="1"/>
    <n v="0"/>
    <n v="1"/>
    <x v="14"/>
    <b v="0"/>
    <n v="5"/>
    <n v="1"/>
    <n v="0.22"/>
    <n v="0.21210000000000001"/>
    <n v="0.41"/>
    <n v="0.28360000000000002"/>
    <n v="5"/>
    <n v="59"/>
    <n v="64"/>
    <s v="Complete"/>
    <n v="0.21210000000000001"/>
    <n v="2011"/>
    <s v="January"/>
    <x v="2"/>
    <x v="2"/>
    <s v="Spring"/>
    <x v="0"/>
  </r>
  <r>
    <n v="316"/>
    <x v="13"/>
    <n v="1"/>
    <n v="0"/>
    <n v="1"/>
    <x v="15"/>
    <b v="0"/>
    <n v="5"/>
    <n v="1"/>
    <n v="0.24"/>
    <n v="0.2424"/>
    <n v="0.38"/>
    <n v="0.16420000000000001"/>
    <n v="9"/>
    <n v="59"/>
    <n v="68"/>
    <s v="Complete"/>
    <n v="0.2424"/>
    <n v="2011"/>
    <s v="January"/>
    <x v="2"/>
    <x v="2"/>
    <s v="Spring"/>
    <x v="0"/>
  </r>
  <r>
    <n v="317"/>
    <x v="13"/>
    <n v="1"/>
    <n v="0"/>
    <n v="1"/>
    <x v="16"/>
    <b v="0"/>
    <n v="5"/>
    <n v="1"/>
    <n v="0.22"/>
    <n v="0.2424"/>
    <n v="0.41"/>
    <n v="0.1045"/>
    <n v="3"/>
    <n v="87"/>
    <n v="90"/>
    <s v="Complete"/>
    <n v="0.2424"/>
    <n v="2011"/>
    <s v="January"/>
    <x v="2"/>
    <x v="2"/>
    <s v="Spring"/>
    <x v="0"/>
  </r>
  <r>
    <n v="318"/>
    <x v="13"/>
    <n v="1"/>
    <n v="0"/>
    <n v="1"/>
    <x v="17"/>
    <b v="0"/>
    <n v="5"/>
    <n v="1"/>
    <n v="0.22"/>
    <n v="0.2273"/>
    <n v="0.41"/>
    <n v="0.16420000000000001"/>
    <n v="4"/>
    <n v="155"/>
    <n v="159"/>
    <s v="Complete"/>
    <n v="0.2273"/>
    <n v="2011"/>
    <s v="January"/>
    <x v="2"/>
    <x v="2"/>
    <s v="Spring"/>
    <x v="0"/>
  </r>
  <r>
    <n v="319"/>
    <x v="13"/>
    <n v="1"/>
    <n v="0"/>
    <n v="1"/>
    <x v="18"/>
    <b v="0"/>
    <n v="5"/>
    <n v="1"/>
    <n v="0.2"/>
    <n v="0.2576"/>
    <n v="0.47"/>
    <n v="0"/>
    <n v="5"/>
    <n v="134"/>
    <n v="139"/>
    <s v="Complete"/>
    <n v="0.2576"/>
    <n v="2011"/>
    <s v="January"/>
    <x v="2"/>
    <x v="3"/>
    <s v="Spring"/>
    <x v="0"/>
  </r>
  <r>
    <n v="320"/>
    <x v="13"/>
    <n v="1"/>
    <n v="0"/>
    <n v="1"/>
    <x v="19"/>
    <b v="0"/>
    <n v="5"/>
    <n v="1"/>
    <n v="0.16"/>
    <n v="0.19700000000000001"/>
    <n v="0.59"/>
    <n v="8.9599999999999999E-2"/>
    <n v="3"/>
    <n v="89"/>
    <n v="92"/>
    <s v="Complete"/>
    <n v="0.19700000000000001"/>
    <n v="2011"/>
    <s v="January"/>
    <x v="2"/>
    <x v="3"/>
    <s v="Spring"/>
    <x v="0"/>
  </r>
  <r>
    <n v="321"/>
    <x v="13"/>
    <n v="1"/>
    <n v="0"/>
    <n v="1"/>
    <x v="20"/>
    <b v="0"/>
    <n v="5"/>
    <n v="1"/>
    <n v="0.18"/>
    <n v="0.2424"/>
    <n v="0.59"/>
    <n v="0"/>
    <n v="0"/>
    <n v="68"/>
    <n v="68"/>
    <s v="Complete"/>
    <n v="0.2424"/>
    <n v="2011"/>
    <s v="January"/>
    <x v="2"/>
    <x v="3"/>
    <s v="Spring"/>
    <x v="0"/>
  </r>
  <r>
    <n v="322"/>
    <x v="13"/>
    <n v="1"/>
    <n v="0"/>
    <n v="1"/>
    <x v="21"/>
    <b v="0"/>
    <n v="5"/>
    <n v="1"/>
    <n v="0.16"/>
    <n v="0.2273"/>
    <n v="0.69"/>
    <n v="0"/>
    <n v="4"/>
    <n v="48"/>
    <n v="52"/>
    <s v="Complete"/>
    <n v="0.2273"/>
    <n v="2011"/>
    <s v="January"/>
    <x v="2"/>
    <x v="3"/>
    <s v="Spring"/>
    <x v="0"/>
  </r>
  <r>
    <n v="323"/>
    <x v="13"/>
    <n v="1"/>
    <n v="0"/>
    <n v="1"/>
    <x v="22"/>
    <b v="0"/>
    <n v="5"/>
    <n v="2"/>
    <n v="0.16"/>
    <n v="0.2273"/>
    <n v="0.69"/>
    <n v="0"/>
    <n v="2"/>
    <n v="34"/>
    <n v="36"/>
    <s v="Complete"/>
    <n v="0.2273"/>
    <n v="2011"/>
    <s v="January"/>
    <x v="2"/>
    <x v="3"/>
    <s v="Spring"/>
    <x v="1"/>
  </r>
  <r>
    <n v="324"/>
    <x v="13"/>
    <n v="1"/>
    <n v="0"/>
    <n v="1"/>
    <x v="23"/>
    <b v="0"/>
    <n v="5"/>
    <n v="2"/>
    <n v="0.18"/>
    <n v="0.2424"/>
    <n v="0.55000000000000004"/>
    <n v="0"/>
    <n v="1"/>
    <n v="26"/>
    <n v="27"/>
    <s v="Complete"/>
    <n v="0.2424"/>
    <n v="2011"/>
    <s v="January"/>
    <x v="2"/>
    <x v="3"/>
    <s v="Spring"/>
    <x v="1"/>
  </r>
  <r>
    <n v="325"/>
    <x v="14"/>
    <n v="1"/>
    <n v="0"/>
    <n v="1"/>
    <x v="0"/>
    <b v="0"/>
    <n v="6"/>
    <n v="1"/>
    <n v="0.18"/>
    <n v="0.2424"/>
    <n v="0.55000000000000004"/>
    <n v="0"/>
    <n v="3"/>
    <n v="25"/>
    <n v="28"/>
    <s v="Complete"/>
    <n v="0.2424"/>
    <n v="2011"/>
    <s v="January"/>
    <x v="0"/>
    <x v="0"/>
    <s v="Spring"/>
    <x v="0"/>
  </r>
  <r>
    <n v="326"/>
    <x v="14"/>
    <n v="1"/>
    <n v="0"/>
    <n v="1"/>
    <x v="1"/>
    <b v="0"/>
    <n v="6"/>
    <n v="2"/>
    <n v="0.16"/>
    <n v="0.19700000000000001"/>
    <n v="0.59"/>
    <n v="8.9599999999999999E-2"/>
    <n v="2"/>
    <n v="18"/>
    <n v="20"/>
    <s v="Complete"/>
    <n v="0.19700000000000001"/>
    <n v="2011"/>
    <s v="January"/>
    <x v="0"/>
    <x v="0"/>
    <s v="Spring"/>
    <x v="1"/>
  </r>
  <r>
    <n v="327"/>
    <x v="14"/>
    <n v="1"/>
    <n v="0"/>
    <n v="1"/>
    <x v="2"/>
    <b v="0"/>
    <n v="6"/>
    <n v="2"/>
    <n v="0.16"/>
    <n v="0.19700000000000001"/>
    <n v="0.59"/>
    <n v="8.9599999999999999E-2"/>
    <n v="0"/>
    <n v="12"/>
    <n v="12"/>
    <s v="Complete"/>
    <n v="0.19700000000000001"/>
    <n v="2011"/>
    <s v="January"/>
    <x v="0"/>
    <x v="0"/>
    <s v="Spring"/>
    <x v="1"/>
  </r>
  <r>
    <n v="328"/>
    <x v="14"/>
    <n v="1"/>
    <n v="0"/>
    <n v="1"/>
    <x v="3"/>
    <b v="0"/>
    <n v="6"/>
    <n v="2"/>
    <n v="0.16"/>
    <n v="0.2273"/>
    <n v="0.59"/>
    <n v="0"/>
    <n v="1"/>
    <n v="7"/>
    <n v="8"/>
    <s v="Complete"/>
    <n v="0.2273"/>
    <n v="2011"/>
    <s v="January"/>
    <x v="0"/>
    <x v="0"/>
    <s v="Spring"/>
    <x v="1"/>
  </r>
  <r>
    <n v="329"/>
    <x v="14"/>
    <n v="1"/>
    <n v="0"/>
    <n v="1"/>
    <x v="4"/>
    <b v="0"/>
    <n v="6"/>
    <n v="2"/>
    <n v="0.16"/>
    <n v="0.2273"/>
    <n v="0.59"/>
    <n v="0"/>
    <n v="0"/>
    <n v="5"/>
    <n v="5"/>
    <s v="Complete"/>
    <n v="0.2273"/>
    <n v="2011"/>
    <s v="January"/>
    <x v="0"/>
    <x v="0"/>
    <s v="Spring"/>
    <x v="1"/>
  </r>
  <r>
    <n v="330"/>
    <x v="14"/>
    <n v="1"/>
    <n v="0"/>
    <n v="1"/>
    <x v="5"/>
    <b v="0"/>
    <n v="6"/>
    <n v="1"/>
    <n v="0.16"/>
    <n v="0.2273"/>
    <n v="0.59"/>
    <n v="0"/>
    <n v="0"/>
    <n v="1"/>
    <n v="1"/>
    <s v="Complete"/>
    <n v="0.2273"/>
    <n v="2011"/>
    <s v="January"/>
    <x v="0"/>
    <x v="0"/>
    <s v="Spring"/>
    <x v="0"/>
  </r>
  <r>
    <n v="331"/>
    <x v="14"/>
    <n v="1"/>
    <n v="0"/>
    <n v="1"/>
    <x v="6"/>
    <b v="0"/>
    <n v="6"/>
    <n v="1"/>
    <n v="0.14000000000000001"/>
    <n v="0.16669999999999999"/>
    <n v="0.63"/>
    <n v="0.1045"/>
    <n v="1"/>
    <n v="2"/>
    <n v="3"/>
    <s v="Complete"/>
    <n v="0.16669999999999999"/>
    <n v="2011"/>
    <s v="January"/>
    <x v="0"/>
    <x v="1"/>
    <s v="Spring"/>
    <x v="0"/>
  </r>
  <r>
    <n v="332"/>
    <x v="14"/>
    <n v="1"/>
    <n v="0"/>
    <n v="1"/>
    <x v="7"/>
    <b v="0"/>
    <n v="6"/>
    <n v="1"/>
    <n v="0.14000000000000001"/>
    <n v="0.21210000000000001"/>
    <n v="0.63"/>
    <n v="0"/>
    <n v="1"/>
    <n v="9"/>
    <n v="10"/>
    <s v="Complete"/>
    <n v="0.21210000000000001"/>
    <n v="2011"/>
    <s v="January"/>
    <x v="0"/>
    <x v="1"/>
    <s v="Spring"/>
    <x v="0"/>
  </r>
  <r>
    <n v="333"/>
    <x v="14"/>
    <n v="1"/>
    <n v="0"/>
    <n v="1"/>
    <x v="8"/>
    <b v="0"/>
    <n v="6"/>
    <n v="1"/>
    <n v="0.14000000000000001"/>
    <n v="0.1515"/>
    <n v="0.63"/>
    <n v="0.1343"/>
    <n v="1"/>
    <n v="22"/>
    <n v="23"/>
    <s v="Complete"/>
    <n v="0.1515"/>
    <n v="2011"/>
    <s v="January"/>
    <x v="0"/>
    <x v="1"/>
    <s v="Spring"/>
    <x v="0"/>
  </r>
  <r>
    <n v="334"/>
    <x v="14"/>
    <n v="1"/>
    <n v="0"/>
    <n v="1"/>
    <x v="9"/>
    <b v="0"/>
    <n v="6"/>
    <n v="1"/>
    <n v="0.16"/>
    <n v="0.18179999999999999"/>
    <n v="0.64"/>
    <n v="0.1343"/>
    <n v="2"/>
    <n v="31"/>
    <n v="33"/>
    <s v="Complete"/>
    <n v="0.18179999999999999"/>
    <n v="2011"/>
    <s v="January"/>
    <x v="0"/>
    <x v="1"/>
    <s v="Spring"/>
    <x v="0"/>
  </r>
  <r>
    <n v="335"/>
    <x v="14"/>
    <n v="1"/>
    <n v="0"/>
    <n v="1"/>
    <x v="10"/>
    <b v="0"/>
    <n v="6"/>
    <n v="1"/>
    <n v="0.18"/>
    <n v="0.19700000000000001"/>
    <n v="0.59"/>
    <n v="0.16420000000000001"/>
    <n v="2"/>
    <n v="57"/>
    <n v="59"/>
    <s v="Complete"/>
    <n v="0.19700000000000001"/>
    <n v="2011"/>
    <s v="January"/>
    <x v="0"/>
    <x v="1"/>
    <s v="Spring"/>
    <x v="0"/>
  </r>
  <r>
    <n v="336"/>
    <x v="14"/>
    <n v="1"/>
    <n v="0"/>
    <n v="1"/>
    <x v="11"/>
    <b v="0"/>
    <n v="6"/>
    <n v="1"/>
    <n v="0.2"/>
    <n v="0.19700000000000001"/>
    <n v="0.55000000000000004"/>
    <n v="0.22389999999999999"/>
    <n v="18"/>
    <n v="54"/>
    <n v="72"/>
    <s v="Complete"/>
    <n v="0.19700000000000001"/>
    <n v="2011"/>
    <s v="January"/>
    <x v="0"/>
    <x v="1"/>
    <s v="Spring"/>
    <x v="0"/>
  </r>
  <r>
    <n v="337"/>
    <x v="14"/>
    <n v="1"/>
    <n v="0"/>
    <n v="1"/>
    <x v="12"/>
    <b v="0"/>
    <n v="6"/>
    <n v="1"/>
    <n v="0.24"/>
    <n v="0.2273"/>
    <n v="0.48"/>
    <n v="0.22389999999999999"/>
    <n v="15"/>
    <n v="74"/>
    <n v="89"/>
    <s v="Complete"/>
    <n v="0.2273"/>
    <n v="2011"/>
    <s v="January"/>
    <x v="0"/>
    <x v="2"/>
    <s v="Spring"/>
    <x v="0"/>
  </r>
  <r>
    <n v="338"/>
    <x v="14"/>
    <n v="1"/>
    <n v="0"/>
    <n v="1"/>
    <x v="13"/>
    <b v="0"/>
    <n v="6"/>
    <n v="1"/>
    <n v="0.28000000000000003"/>
    <n v="0.2576"/>
    <n v="0.38"/>
    <n v="0.29849999999999999"/>
    <n v="21"/>
    <n v="80"/>
    <n v="101"/>
    <s v="Complete"/>
    <n v="0.2576"/>
    <n v="2011"/>
    <s v="January"/>
    <x v="0"/>
    <x v="2"/>
    <s v="Spring"/>
    <x v="0"/>
  </r>
  <r>
    <n v="339"/>
    <x v="14"/>
    <n v="1"/>
    <n v="0"/>
    <n v="1"/>
    <x v="14"/>
    <b v="0"/>
    <n v="6"/>
    <n v="1"/>
    <n v="0.3"/>
    <n v="0.28789999999999999"/>
    <n v="0.39"/>
    <n v="0.28360000000000002"/>
    <n v="26"/>
    <n v="92"/>
    <n v="118"/>
    <s v="Complete"/>
    <n v="0.28789999999999999"/>
    <n v="2011"/>
    <s v="January"/>
    <x v="0"/>
    <x v="2"/>
    <s v="Spring"/>
    <x v="0"/>
  </r>
  <r>
    <n v="340"/>
    <x v="14"/>
    <n v="1"/>
    <n v="0"/>
    <n v="1"/>
    <x v="15"/>
    <b v="0"/>
    <n v="6"/>
    <n v="2"/>
    <n v="0.32"/>
    <n v="0.31819999999999998"/>
    <n v="0.36"/>
    <n v="0.19400000000000001"/>
    <n v="21"/>
    <n v="108"/>
    <n v="129"/>
    <s v="Complete"/>
    <n v="0.31819999999999998"/>
    <n v="2011"/>
    <s v="January"/>
    <x v="0"/>
    <x v="2"/>
    <s v="Spring"/>
    <x v="1"/>
  </r>
  <r>
    <n v="341"/>
    <x v="14"/>
    <n v="1"/>
    <n v="0"/>
    <n v="1"/>
    <x v="16"/>
    <b v="0"/>
    <n v="6"/>
    <n v="2"/>
    <n v="0.34"/>
    <n v="0.33329999999999999"/>
    <n v="0.34"/>
    <n v="0.19400000000000001"/>
    <n v="33"/>
    <n v="95"/>
    <n v="128"/>
    <s v="Complete"/>
    <n v="0.33329999999999999"/>
    <n v="2011"/>
    <s v="January"/>
    <x v="0"/>
    <x v="2"/>
    <s v="Spring"/>
    <x v="1"/>
  </r>
  <r>
    <n v="342"/>
    <x v="14"/>
    <n v="1"/>
    <n v="0"/>
    <n v="1"/>
    <x v="17"/>
    <b v="0"/>
    <n v="6"/>
    <n v="2"/>
    <n v="0.32"/>
    <n v="0.30299999999999999"/>
    <n v="0.36"/>
    <n v="0.28360000000000002"/>
    <n v="29"/>
    <n v="54"/>
    <n v="83"/>
    <s v="Complete"/>
    <n v="0.30299999999999999"/>
    <n v="2011"/>
    <s v="January"/>
    <x v="0"/>
    <x v="2"/>
    <s v="Spring"/>
    <x v="1"/>
  </r>
  <r>
    <n v="343"/>
    <x v="14"/>
    <n v="1"/>
    <n v="0"/>
    <n v="1"/>
    <x v="18"/>
    <b v="0"/>
    <n v="6"/>
    <n v="2"/>
    <n v="0.3"/>
    <n v="0.28789999999999999"/>
    <n v="0.45"/>
    <n v="0.25369999999999998"/>
    <n v="15"/>
    <n v="69"/>
    <n v="84"/>
    <s v="Complete"/>
    <n v="0.28789999999999999"/>
    <n v="2011"/>
    <s v="January"/>
    <x v="0"/>
    <x v="3"/>
    <s v="Spring"/>
    <x v="1"/>
  </r>
  <r>
    <n v="344"/>
    <x v="14"/>
    <n v="1"/>
    <n v="0"/>
    <n v="1"/>
    <x v="19"/>
    <b v="0"/>
    <n v="6"/>
    <n v="2"/>
    <n v="0.32"/>
    <n v="0.30299999999999999"/>
    <n v="0.39"/>
    <n v="0.25369999999999998"/>
    <n v="14"/>
    <n v="60"/>
    <n v="74"/>
    <s v="Complete"/>
    <n v="0.30299999999999999"/>
    <n v="2011"/>
    <s v="January"/>
    <x v="0"/>
    <x v="3"/>
    <s v="Spring"/>
    <x v="1"/>
  </r>
  <r>
    <n v="345"/>
    <x v="14"/>
    <n v="1"/>
    <n v="0"/>
    <n v="1"/>
    <x v="20"/>
    <b v="0"/>
    <n v="6"/>
    <n v="2"/>
    <n v="0.32"/>
    <n v="0.30299999999999999"/>
    <n v="0.39"/>
    <n v="0.25369999999999998"/>
    <n v="6"/>
    <n v="35"/>
    <n v="41"/>
    <s v="Complete"/>
    <n v="0.30299999999999999"/>
    <n v="2011"/>
    <s v="January"/>
    <x v="0"/>
    <x v="3"/>
    <s v="Spring"/>
    <x v="1"/>
  </r>
  <r>
    <n v="346"/>
    <x v="14"/>
    <n v="1"/>
    <n v="0"/>
    <n v="1"/>
    <x v="21"/>
    <b v="0"/>
    <n v="6"/>
    <n v="2"/>
    <n v="0.32"/>
    <n v="0.30299999999999999"/>
    <n v="0.39"/>
    <n v="0.22389999999999999"/>
    <n v="6"/>
    <n v="51"/>
    <n v="57"/>
    <s v="Complete"/>
    <n v="0.30299999999999999"/>
    <n v="2011"/>
    <s v="January"/>
    <x v="0"/>
    <x v="3"/>
    <s v="Spring"/>
    <x v="1"/>
  </r>
  <r>
    <n v="347"/>
    <x v="14"/>
    <n v="1"/>
    <n v="0"/>
    <n v="1"/>
    <x v="22"/>
    <b v="0"/>
    <n v="6"/>
    <n v="2"/>
    <n v="0.3"/>
    <n v="0.31819999999999998"/>
    <n v="0.42"/>
    <n v="0.1045"/>
    <n v="0"/>
    <n v="26"/>
    <n v="26"/>
    <s v="Complete"/>
    <n v="0.31819999999999998"/>
    <n v="2011"/>
    <s v="January"/>
    <x v="0"/>
    <x v="3"/>
    <s v="Spring"/>
    <x v="1"/>
  </r>
  <r>
    <n v="348"/>
    <x v="14"/>
    <n v="1"/>
    <n v="0"/>
    <n v="1"/>
    <x v="23"/>
    <b v="0"/>
    <n v="6"/>
    <n v="1"/>
    <n v="0.3"/>
    <n v="0.28789999999999999"/>
    <n v="0.45"/>
    <n v="0.28360000000000002"/>
    <n v="5"/>
    <n v="39"/>
    <n v="44"/>
    <s v="Complete"/>
    <n v="0.28789999999999999"/>
    <n v="2011"/>
    <s v="January"/>
    <x v="0"/>
    <x v="3"/>
    <s v="Spring"/>
    <x v="0"/>
  </r>
  <r>
    <n v="349"/>
    <x v="15"/>
    <n v="1"/>
    <n v="0"/>
    <n v="1"/>
    <x v="0"/>
    <b v="0"/>
    <n v="0"/>
    <n v="1"/>
    <n v="0.26"/>
    <n v="0.30299999999999999"/>
    <n v="0.56000000000000005"/>
    <n v="0"/>
    <n v="6"/>
    <n v="33"/>
    <n v="39"/>
    <s v="Complete"/>
    <n v="0.30299999999999999"/>
    <n v="2011"/>
    <s v="January"/>
    <x v="1"/>
    <x v="0"/>
    <s v="Spring"/>
    <x v="0"/>
  </r>
  <r>
    <n v="350"/>
    <x v="15"/>
    <n v="1"/>
    <n v="0"/>
    <n v="1"/>
    <x v="1"/>
    <b v="0"/>
    <n v="0"/>
    <n v="1"/>
    <n v="0.26"/>
    <n v="0.2727"/>
    <n v="0.56000000000000005"/>
    <n v="0.1343"/>
    <n v="4"/>
    <n v="19"/>
    <n v="23"/>
    <s v="Complete"/>
    <n v="0.2727"/>
    <n v="2011"/>
    <s v="January"/>
    <x v="1"/>
    <x v="0"/>
    <s v="Spring"/>
    <x v="0"/>
  </r>
  <r>
    <n v="351"/>
    <x v="15"/>
    <n v="1"/>
    <n v="0"/>
    <n v="1"/>
    <x v="2"/>
    <b v="0"/>
    <n v="0"/>
    <n v="1"/>
    <n v="0.26"/>
    <n v="0.28789999999999999"/>
    <n v="0.56000000000000005"/>
    <n v="8.9599999999999999E-2"/>
    <n v="3"/>
    <n v="13"/>
    <n v="16"/>
    <s v="Complete"/>
    <n v="0.28789999999999999"/>
    <n v="2011"/>
    <s v="January"/>
    <x v="1"/>
    <x v="0"/>
    <s v="Spring"/>
    <x v="0"/>
  </r>
  <r>
    <n v="352"/>
    <x v="15"/>
    <n v="1"/>
    <n v="0"/>
    <n v="1"/>
    <x v="3"/>
    <b v="0"/>
    <n v="0"/>
    <n v="1"/>
    <n v="0.22"/>
    <n v="0.2727"/>
    <n v="0.69"/>
    <n v="0"/>
    <n v="9"/>
    <n v="6"/>
    <n v="15"/>
    <s v="Complete"/>
    <n v="0.2727"/>
    <n v="2011"/>
    <s v="January"/>
    <x v="1"/>
    <x v="0"/>
    <s v="Spring"/>
    <x v="0"/>
  </r>
  <r>
    <n v="353"/>
    <x v="15"/>
    <n v="1"/>
    <n v="0"/>
    <n v="1"/>
    <x v="4"/>
    <b v="0"/>
    <n v="0"/>
    <n v="1"/>
    <n v="0.26"/>
    <n v="0.2576"/>
    <n v="0.56000000000000005"/>
    <n v="0.16420000000000001"/>
    <n v="0"/>
    <n v="1"/>
    <n v="1"/>
    <s v="Complete"/>
    <n v="0.2576"/>
    <n v="2011"/>
    <s v="January"/>
    <x v="1"/>
    <x v="0"/>
    <s v="Spring"/>
    <x v="0"/>
  </r>
  <r>
    <n v="354"/>
    <x v="15"/>
    <n v="1"/>
    <n v="0"/>
    <n v="1"/>
    <x v="5"/>
    <b v="0"/>
    <n v="0"/>
    <n v="2"/>
    <n v="0.26"/>
    <n v="0.2576"/>
    <n v="0.56000000000000005"/>
    <n v="0.16420000000000001"/>
    <n v="1"/>
    <n v="1"/>
    <n v="2"/>
    <s v="Complete"/>
    <n v="0.2576"/>
    <n v="2011"/>
    <s v="January"/>
    <x v="1"/>
    <x v="0"/>
    <s v="Spring"/>
    <x v="1"/>
  </r>
  <r>
    <n v="355"/>
    <x v="15"/>
    <n v="1"/>
    <n v="0"/>
    <n v="1"/>
    <x v="6"/>
    <b v="0"/>
    <n v="0"/>
    <n v="2"/>
    <n v="0.26"/>
    <n v="0.2576"/>
    <n v="0.56000000000000005"/>
    <n v="0.16420000000000001"/>
    <n v="0"/>
    <n v="1"/>
    <n v="1"/>
    <s v="Complete"/>
    <n v="0.2576"/>
    <n v="2011"/>
    <s v="January"/>
    <x v="1"/>
    <x v="1"/>
    <s v="Spring"/>
    <x v="1"/>
  </r>
  <r>
    <n v="356"/>
    <x v="15"/>
    <n v="1"/>
    <n v="0"/>
    <n v="1"/>
    <x v="7"/>
    <b v="0"/>
    <n v="0"/>
    <n v="2"/>
    <n v="0.24"/>
    <n v="0.21210000000000001"/>
    <n v="0.56000000000000005"/>
    <n v="0.29849999999999999"/>
    <n v="0"/>
    <n v="3"/>
    <n v="3"/>
    <s v="Complete"/>
    <n v="0.21210000000000001"/>
    <n v="2011"/>
    <s v="January"/>
    <x v="1"/>
    <x v="1"/>
    <s v="Spring"/>
    <x v="1"/>
  </r>
  <r>
    <n v="357"/>
    <x v="15"/>
    <n v="1"/>
    <n v="0"/>
    <n v="1"/>
    <x v="8"/>
    <b v="0"/>
    <n v="0"/>
    <n v="1"/>
    <n v="0.22"/>
    <n v="0.21210000000000001"/>
    <n v="0.55000000000000004"/>
    <n v="0.28360000000000002"/>
    <n v="0"/>
    <n v="18"/>
    <n v="18"/>
    <s v="Complete"/>
    <n v="0.21210000000000001"/>
    <n v="2011"/>
    <s v="January"/>
    <x v="1"/>
    <x v="1"/>
    <s v="Spring"/>
    <x v="0"/>
  </r>
  <r>
    <n v="358"/>
    <x v="15"/>
    <n v="1"/>
    <n v="0"/>
    <n v="1"/>
    <x v="9"/>
    <b v="0"/>
    <n v="0"/>
    <n v="1"/>
    <n v="0.22"/>
    <n v="0.21210000000000001"/>
    <n v="0.51"/>
    <n v="0.25369999999999998"/>
    <n v="3"/>
    <n v="29"/>
    <n v="32"/>
    <s v="Complete"/>
    <n v="0.21210000000000001"/>
    <n v="2011"/>
    <s v="January"/>
    <x v="1"/>
    <x v="1"/>
    <s v="Spring"/>
    <x v="0"/>
  </r>
  <r>
    <n v="359"/>
    <x v="15"/>
    <n v="1"/>
    <n v="0"/>
    <n v="1"/>
    <x v="10"/>
    <b v="0"/>
    <n v="0"/>
    <n v="1"/>
    <n v="0.22"/>
    <n v="0.21210000000000001"/>
    <n v="0.51"/>
    <n v="0.28360000000000002"/>
    <n v="8"/>
    <n v="71"/>
    <n v="79"/>
    <s v="Complete"/>
    <n v="0.21210000000000001"/>
    <n v="2011"/>
    <s v="January"/>
    <x v="1"/>
    <x v="1"/>
    <s v="Spring"/>
    <x v="0"/>
  </r>
  <r>
    <n v="360"/>
    <x v="15"/>
    <n v="1"/>
    <n v="0"/>
    <n v="1"/>
    <x v="11"/>
    <b v="0"/>
    <n v="0"/>
    <n v="1"/>
    <n v="0.24"/>
    <n v="0.2273"/>
    <n v="0.44"/>
    <n v="0.25369999999999998"/>
    <n v="23"/>
    <n v="70"/>
    <n v="93"/>
    <s v="Complete"/>
    <n v="0.2273"/>
    <n v="2011"/>
    <s v="January"/>
    <x v="1"/>
    <x v="1"/>
    <s v="Spring"/>
    <x v="0"/>
  </r>
  <r>
    <n v="361"/>
    <x v="15"/>
    <n v="1"/>
    <n v="0"/>
    <n v="1"/>
    <x v="12"/>
    <b v="0"/>
    <n v="0"/>
    <n v="1"/>
    <n v="0.24"/>
    <n v="0.21210000000000001"/>
    <n v="0.41"/>
    <n v="0.28360000000000002"/>
    <n v="29"/>
    <n v="75"/>
    <n v="104"/>
    <s v="Complete"/>
    <n v="0.21210000000000001"/>
    <n v="2011"/>
    <s v="January"/>
    <x v="1"/>
    <x v="2"/>
    <s v="Spring"/>
    <x v="0"/>
  </r>
  <r>
    <n v="362"/>
    <x v="15"/>
    <n v="1"/>
    <n v="0"/>
    <n v="1"/>
    <x v="13"/>
    <b v="0"/>
    <n v="0"/>
    <n v="1"/>
    <n v="0.26"/>
    <n v="0.2273"/>
    <n v="0.35"/>
    <n v="0.29849999999999999"/>
    <n v="23"/>
    <n v="95"/>
    <n v="118"/>
    <s v="Complete"/>
    <n v="0.2273"/>
    <n v="2011"/>
    <s v="January"/>
    <x v="1"/>
    <x v="2"/>
    <s v="Spring"/>
    <x v="0"/>
  </r>
  <r>
    <n v="363"/>
    <x v="15"/>
    <n v="1"/>
    <n v="0"/>
    <n v="1"/>
    <x v="14"/>
    <b v="0"/>
    <n v="0"/>
    <n v="1"/>
    <n v="0.28000000000000003"/>
    <n v="0.2727"/>
    <n v="0.36"/>
    <n v="0.25369999999999998"/>
    <n v="22"/>
    <n v="69"/>
    <n v="91"/>
    <s v="Complete"/>
    <n v="0.2727"/>
    <n v="2011"/>
    <s v="January"/>
    <x v="1"/>
    <x v="2"/>
    <s v="Spring"/>
    <x v="0"/>
  </r>
  <r>
    <n v="364"/>
    <x v="15"/>
    <n v="1"/>
    <n v="0"/>
    <n v="1"/>
    <x v="15"/>
    <b v="0"/>
    <n v="0"/>
    <n v="1"/>
    <n v="0.26"/>
    <n v="0.2424"/>
    <n v="0.38"/>
    <n v="0.25369999999999998"/>
    <n v="35"/>
    <n v="78"/>
    <n v="113"/>
    <s v="Complete"/>
    <n v="0.2424"/>
    <n v="2011"/>
    <s v="January"/>
    <x v="1"/>
    <x v="2"/>
    <s v="Spring"/>
    <x v="0"/>
  </r>
  <r>
    <n v="365"/>
    <x v="15"/>
    <n v="1"/>
    <n v="0"/>
    <n v="1"/>
    <x v="16"/>
    <b v="0"/>
    <n v="0"/>
    <n v="1"/>
    <n v="0.24"/>
    <n v="0.2273"/>
    <n v="0.38"/>
    <n v="0.22389999999999999"/>
    <n v="22"/>
    <n v="77"/>
    <n v="99"/>
    <s v="Complete"/>
    <n v="0.2273"/>
    <n v="2011"/>
    <s v="January"/>
    <x v="1"/>
    <x v="2"/>
    <s v="Spring"/>
    <x v="0"/>
  </r>
  <r>
    <n v="366"/>
    <x v="15"/>
    <n v="1"/>
    <n v="0"/>
    <n v="1"/>
    <x v="17"/>
    <b v="0"/>
    <n v="0"/>
    <n v="1"/>
    <n v="0.22"/>
    <n v="0.21210000000000001"/>
    <n v="0.37"/>
    <n v="0.25369999999999998"/>
    <n v="23"/>
    <n v="82"/>
    <n v="105"/>
    <s v="Complete"/>
    <n v="0.21210000000000001"/>
    <n v="2011"/>
    <s v="January"/>
    <x v="1"/>
    <x v="2"/>
    <s v="Spring"/>
    <x v="0"/>
  </r>
  <r>
    <n v="367"/>
    <x v="15"/>
    <n v="1"/>
    <n v="0"/>
    <n v="1"/>
    <x v="18"/>
    <b v="0"/>
    <n v="0"/>
    <n v="1"/>
    <n v="0.2"/>
    <n v="0.21210000000000001"/>
    <n v="0.4"/>
    <n v="0.16420000000000001"/>
    <n v="11"/>
    <n v="56"/>
    <n v="67"/>
    <s v="Complete"/>
    <n v="0.21210000000000001"/>
    <n v="2011"/>
    <s v="January"/>
    <x v="1"/>
    <x v="3"/>
    <s v="Spring"/>
    <x v="0"/>
  </r>
  <r>
    <n v="368"/>
    <x v="15"/>
    <n v="1"/>
    <n v="0"/>
    <n v="1"/>
    <x v="19"/>
    <b v="0"/>
    <n v="0"/>
    <n v="1"/>
    <n v="0.18"/>
    <n v="0.19700000000000001"/>
    <n v="0.47"/>
    <n v="0.1343"/>
    <n v="14"/>
    <n v="47"/>
    <n v="61"/>
    <s v="Complete"/>
    <n v="0.19700000000000001"/>
    <n v="2011"/>
    <s v="January"/>
    <x v="1"/>
    <x v="3"/>
    <s v="Spring"/>
    <x v="0"/>
  </r>
  <r>
    <n v="369"/>
    <x v="15"/>
    <n v="1"/>
    <n v="0"/>
    <n v="1"/>
    <x v="20"/>
    <b v="0"/>
    <n v="0"/>
    <n v="1"/>
    <n v="0.18"/>
    <n v="0.19700000000000001"/>
    <n v="0.47"/>
    <n v="0.16420000000000001"/>
    <n v="7"/>
    <n v="50"/>
    <n v="57"/>
    <s v="Complete"/>
    <n v="0.19700000000000001"/>
    <n v="2011"/>
    <s v="January"/>
    <x v="1"/>
    <x v="3"/>
    <s v="Spring"/>
    <x v="0"/>
  </r>
  <r>
    <n v="370"/>
    <x v="15"/>
    <n v="1"/>
    <n v="0"/>
    <n v="1"/>
    <x v="21"/>
    <b v="0"/>
    <n v="0"/>
    <n v="1"/>
    <n v="0.18"/>
    <n v="0.19700000000000001"/>
    <n v="0.51"/>
    <n v="0.16420000000000001"/>
    <n v="6"/>
    <n v="22"/>
    <n v="28"/>
    <s v="Complete"/>
    <n v="0.19700000000000001"/>
    <n v="2011"/>
    <s v="January"/>
    <x v="1"/>
    <x v="3"/>
    <s v="Spring"/>
    <x v="0"/>
  </r>
  <r>
    <n v="371"/>
    <x v="15"/>
    <n v="1"/>
    <n v="0"/>
    <n v="1"/>
    <x v="22"/>
    <b v="0"/>
    <n v="0"/>
    <n v="2"/>
    <n v="0.2"/>
    <n v="0.21210000000000001"/>
    <n v="0.49"/>
    <n v="0.1343"/>
    <n v="2"/>
    <n v="19"/>
    <n v="21"/>
    <s v="Complete"/>
    <n v="0.21210000000000001"/>
    <n v="2011"/>
    <s v="January"/>
    <x v="1"/>
    <x v="3"/>
    <s v="Spring"/>
    <x v="1"/>
  </r>
  <r>
    <n v="372"/>
    <x v="15"/>
    <n v="1"/>
    <n v="0"/>
    <n v="1"/>
    <x v="23"/>
    <b v="0"/>
    <n v="0"/>
    <n v="2"/>
    <n v="0.2"/>
    <n v="0.2273"/>
    <n v="0.4"/>
    <n v="0.1045"/>
    <n v="0"/>
    <n v="18"/>
    <n v="18"/>
    <s v="Complete"/>
    <n v="0.2273"/>
    <n v="2011"/>
    <s v="January"/>
    <x v="1"/>
    <x v="3"/>
    <s v="Spring"/>
    <x v="1"/>
  </r>
  <r>
    <n v="373"/>
    <x v="16"/>
    <n v="1"/>
    <n v="0"/>
    <n v="1"/>
    <x v="0"/>
    <b v="1"/>
    <n v="1"/>
    <n v="2"/>
    <n v="0.2"/>
    <n v="0.19700000000000001"/>
    <n v="0.47"/>
    <n v="0.22389999999999999"/>
    <n v="1"/>
    <n v="16"/>
    <n v="17"/>
    <s v="Complete"/>
    <n v="0.19700000000000001"/>
    <n v="2011"/>
    <s v="January"/>
    <x v="3"/>
    <x v="0"/>
    <s v="Spring"/>
    <x v="1"/>
  </r>
  <r>
    <n v="374"/>
    <x v="16"/>
    <n v="1"/>
    <n v="0"/>
    <n v="1"/>
    <x v="1"/>
    <b v="1"/>
    <n v="1"/>
    <n v="2"/>
    <n v="0.2"/>
    <n v="0.19700000000000001"/>
    <n v="0.44"/>
    <n v="0.19400000000000001"/>
    <n v="1"/>
    <n v="15"/>
    <n v="16"/>
    <s v="Complete"/>
    <n v="0.19700000000000001"/>
    <n v="2011"/>
    <s v="January"/>
    <x v="3"/>
    <x v="0"/>
    <s v="Spring"/>
    <x v="1"/>
  </r>
  <r>
    <n v="375"/>
    <x v="16"/>
    <n v="1"/>
    <n v="0"/>
    <n v="1"/>
    <x v="2"/>
    <b v="1"/>
    <n v="1"/>
    <n v="2"/>
    <n v="0.18"/>
    <n v="0.16669999999999999"/>
    <n v="0.43"/>
    <n v="0.25369999999999998"/>
    <n v="0"/>
    <n v="8"/>
    <n v="8"/>
    <s v="Complete"/>
    <n v="0.16669999999999999"/>
    <n v="2011"/>
    <s v="January"/>
    <x v="3"/>
    <x v="0"/>
    <s v="Spring"/>
    <x v="1"/>
  </r>
  <r>
    <n v="376"/>
    <x v="16"/>
    <n v="1"/>
    <n v="0"/>
    <n v="1"/>
    <x v="3"/>
    <b v="1"/>
    <n v="1"/>
    <n v="2"/>
    <n v="0.18"/>
    <n v="0.18179999999999999"/>
    <n v="0.43"/>
    <n v="0.19400000000000001"/>
    <n v="0"/>
    <n v="2"/>
    <n v="2"/>
    <s v="Complete"/>
    <n v="0.18179999999999999"/>
    <n v="2011"/>
    <s v="January"/>
    <x v="3"/>
    <x v="0"/>
    <s v="Spring"/>
    <x v="1"/>
  </r>
  <r>
    <n v="377"/>
    <x v="16"/>
    <n v="1"/>
    <n v="0"/>
    <n v="1"/>
    <x v="4"/>
    <b v="1"/>
    <n v="1"/>
    <n v="2"/>
    <n v="0.18"/>
    <n v="0.19700000000000001"/>
    <n v="0.43"/>
    <n v="0.1343"/>
    <n v="1"/>
    <n v="2"/>
    <n v="3"/>
    <s v="Complete"/>
    <n v="0.19700000000000001"/>
    <n v="2011"/>
    <s v="January"/>
    <x v="3"/>
    <x v="0"/>
    <s v="Spring"/>
    <x v="1"/>
  </r>
  <r>
    <n v="378"/>
    <x v="16"/>
    <n v="1"/>
    <n v="0"/>
    <n v="1"/>
    <x v="5"/>
    <b v="1"/>
    <n v="1"/>
    <n v="2"/>
    <n v="0.18"/>
    <n v="0.19700000000000001"/>
    <n v="0.43"/>
    <n v="0.16420000000000001"/>
    <n v="0"/>
    <n v="1"/>
    <n v="1"/>
    <s v="Complete"/>
    <n v="0.19700000000000001"/>
    <n v="2011"/>
    <s v="January"/>
    <x v="3"/>
    <x v="0"/>
    <s v="Spring"/>
    <x v="1"/>
  </r>
  <r>
    <n v="379"/>
    <x v="16"/>
    <n v="1"/>
    <n v="0"/>
    <n v="1"/>
    <x v="6"/>
    <b v="1"/>
    <n v="1"/>
    <n v="2"/>
    <n v="0.18"/>
    <n v="0.18179999999999999"/>
    <n v="0.43"/>
    <n v="0.19400000000000001"/>
    <n v="0"/>
    <n v="5"/>
    <n v="5"/>
    <s v="Complete"/>
    <n v="0.18179999999999999"/>
    <n v="2011"/>
    <s v="January"/>
    <x v="3"/>
    <x v="1"/>
    <s v="Spring"/>
    <x v="1"/>
  </r>
  <r>
    <n v="380"/>
    <x v="16"/>
    <n v="1"/>
    <n v="0"/>
    <n v="1"/>
    <x v="7"/>
    <b v="1"/>
    <n v="1"/>
    <n v="2"/>
    <n v="0.16"/>
    <n v="0.18179999999999999"/>
    <n v="0.5"/>
    <n v="0.1343"/>
    <n v="4"/>
    <n v="9"/>
    <n v="13"/>
    <s v="Complete"/>
    <n v="0.18179999999999999"/>
    <n v="2011"/>
    <s v="January"/>
    <x v="3"/>
    <x v="1"/>
    <s v="Spring"/>
    <x v="1"/>
  </r>
  <r>
    <n v="381"/>
    <x v="16"/>
    <n v="1"/>
    <n v="0"/>
    <n v="1"/>
    <x v="8"/>
    <b v="1"/>
    <n v="1"/>
    <n v="2"/>
    <n v="0.16"/>
    <n v="0.1515"/>
    <n v="0.47"/>
    <n v="0.22389999999999999"/>
    <n v="3"/>
    <n v="30"/>
    <n v="33"/>
    <s v="Complete"/>
    <n v="0.1515"/>
    <n v="2011"/>
    <s v="January"/>
    <x v="3"/>
    <x v="1"/>
    <s v="Spring"/>
    <x v="1"/>
  </r>
  <r>
    <n v="382"/>
    <x v="16"/>
    <n v="1"/>
    <n v="0"/>
    <n v="1"/>
    <x v="9"/>
    <b v="1"/>
    <n v="1"/>
    <n v="2"/>
    <n v="0.16"/>
    <n v="0.1515"/>
    <n v="0.47"/>
    <n v="0.22389999999999999"/>
    <n v="8"/>
    <n v="39"/>
    <n v="47"/>
    <s v="Complete"/>
    <n v="0.1515"/>
    <n v="2011"/>
    <s v="January"/>
    <x v="3"/>
    <x v="1"/>
    <s v="Spring"/>
    <x v="1"/>
  </r>
  <r>
    <n v="383"/>
    <x v="16"/>
    <n v="1"/>
    <n v="0"/>
    <n v="1"/>
    <x v="10"/>
    <b v="1"/>
    <n v="1"/>
    <n v="2"/>
    <n v="0.16"/>
    <n v="0.1515"/>
    <n v="0.5"/>
    <n v="0.25369999999999998"/>
    <n v="7"/>
    <n v="50"/>
    <n v="57"/>
    <s v="Complete"/>
    <n v="0.1515"/>
    <n v="2011"/>
    <s v="January"/>
    <x v="3"/>
    <x v="1"/>
    <s v="Spring"/>
    <x v="1"/>
  </r>
  <r>
    <n v="384"/>
    <x v="16"/>
    <n v="1"/>
    <n v="0"/>
    <n v="1"/>
    <x v="11"/>
    <b v="1"/>
    <n v="1"/>
    <n v="2"/>
    <n v="0.16"/>
    <n v="0.1515"/>
    <n v="0.55000000000000004"/>
    <n v="0.19400000000000001"/>
    <n v="9"/>
    <n v="55"/>
    <n v="64"/>
    <s v="Complete"/>
    <n v="0.1515"/>
    <n v="2011"/>
    <s v="January"/>
    <x v="3"/>
    <x v="1"/>
    <s v="Spring"/>
    <x v="1"/>
  </r>
  <r>
    <n v="385"/>
    <x v="16"/>
    <n v="1"/>
    <n v="0"/>
    <n v="1"/>
    <x v="12"/>
    <b v="1"/>
    <n v="1"/>
    <n v="2"/>
    <n v="0.18"/>
    <n v="0.19700000000000001"/>
    <n v="0.47"/>
    <n v="0.1343"/>
    <n v="10"/>
    <n v="70"/>
    <n v="80"/>
    <s v="Complete"/>
    <n v="0.19700000000000001"/>
    <n v="2011"/>
    <s v="January"/>
    <x v="3"/>
    <x v="2"/>
    <s v="Spring"/>
    <x v="1"/>
  </r>
  <r>
    <n v="386"/>
    <x v="16"/>
    <n v="1"/>
    <n v="0"/>
    <n v="1"/>
    <x v="13"/>
    <b v="1"/>
    <n v="1"/>
    <n v="2"/>
    <n v="0.18"/>
    <n v="0.19700000000000001"/>
    <n v="0.47"/>
    <n v="0.1343"/>
    <n v="13"/>
    <n v="80"/>
    <n v="93"/>
    <s v="Complete"/>
    <n v="0.19700000000000001"/>
    <n v="2011"/>
    <s v="January"/>
    <x v="3"/>
    <x v="2"/>
    <s v="Spring"/>
    <x v="1"/>
  </r>
  <r>
    <n v="387"/>
    <x v="16"/>
    <n v="1"/>
    <n v="0"/>
    <n v="1"/>
    <x v="14"/>
    <b v="1"/>
    <n v="1"/>
    <n v="2"/>
    <n v="0.18"/>
    <n v="0.21210000000000001"/>
    <n v="0.43"/>
    <n v="0.1045"/>
    <n v="12"/>
    <n v="74"/>
    <n v="86"/>
    <s v="Complete"/>
    <n v="0.21210000000000001"/>
    <n v="2011"/>
    <s v="January"/>
    <x v="3"/>
    <x v="2"/>
    <s v="Spring"/>
    <x v="1"/>
  </r>
  <r>
    <n v="388"/>
    <x v="16"/>
    <n v="1"/>
    <n v="0"/>
    <n v="1"/>
    <x v="15"/>
    <b v="1"/>
    <n v="1"/>
    <n v="2"/>
    <n v="0.2"/>
    <n v="0.21210000000000001"/>
    <n v="0.47"/>
    <n v="0.16420000000000001"/>
    <n v="21"/>
    <n v="72"/>
    <n v="93"/>
    <s v="Complete"/>
    <n v="0.21210000000000001"/>
    <n v="2011"/>
    <s v="January"/>
    <x v="3"/>
    <x v="2"/>
    <s v="Spring"/>
    <x v="1"/>
  </r>
  <r>
    <n v="389"/>
    <x v="16"/>
    <n v="1"/>
    <n v="0"/>
    <n v="1"/>
    <x v="16"/>
    <b v="1"/>
    <n v="1"/>
    <n v="2"/>
    <n v="0.2"/>
    <n v="0.21210000000000001"/>
    <n v="0.47"/>
    <n v="0.16420000000000001"/>
    <n v="6"/>
    <n v="76"/>
    <n v="82"/>
    <s v="Complete"/>
    <n v="0.21210000000000001"/>
    <n v="2011"/>
    <s v="January"/>
    <x v="3"/>
    <x v="2"/>
    <s v="Spring"/>
    <x v="1"/>
  </r>
  <r>
    <n v="390"/>
    <x v="16"/>
    <n v="1"/>
    <n v="0"/>
    <n v="1"/>
    <x v="17"/>
    <b v="1"/>
    <n v="1"/>
    <n v="1"/>
    <n v="0.2"/>
    <n v="0.19700000000000001"/>
    <n v="0.51"/>
    <n v="0.19400000000000001"/>
    <n v="4"/>
    <n v="67"/>
    <n v="71"/>
    <s v="Complete"/>
    <n v="0.19700000000000001"/>
    <n v="2011"/>
    <s v="January"/>
    <x v="3"/>
    <x v="2"/>
    <s v="Spring"/>
    <x v="0"/>
  </r>
  <r>
    <n v="391"/>
    <x v="16"/>
    <n v="1"/>
    <n v="0"/>
    <n v="1"/>
    <x v="18"/>
    <b v="1"/>
    <n v="1"/>
    <n v="2"/>
    <n v="0.18"/>
    <n v="0.16669999999999999"/>
    <n v="0.55000000000000004"/>
    <n v="0.25369999999999998"/>
    <n v="7"/>
    <n v="85"/>
    <n v="92"/>
    <s v="Complete"/>
    <n v="0.16669999999999999"/>
    <n v="2011"/>
    <s v="January"/>
    <x v="3"/>
    <x v="3"/>
    <s v="Spring"/>
    <x v="1"/>
  </r>
  <r>
    <n v="392"/>
    <x v="16"/>
    <n v="1"/>
    <n v="0"/>
    <n v="1"/>
    <x v="19"/>
    <b v="1"/>
    <n v="1"/>
    <n v="3"/>
    <n v="0.18"/>
    <n v="0.18179999999999999"/>
    <n v="0.59"/>
    <n v="0.19400000000000001"/>
    <n v="2"/>
    <n v="58"/>
    <n v="60"/>
    <s v="Complete"/>
    <n v="0.18179999999999999"/>
    <n v="2011"/>
    <s v="January"/>
    <x v="3"/>
    <x v="3"/>
    <s v="Spring"/>
    <x v="2"/>
  </r>
  <r>
    <n v="393"/>
    <x v="16"/>
    <n v="1"/>
    <n v="0"/>
    <n v="1"/>
    <x v="20"/>
    <b v="1"/>
    <n v="1"/>
    <n v="3"/>
    <n v="0.16"/>
    <n v="0.1515"/>
    <n v="0.8"/>
    <n v="0.19400000000000001"/>
    <n v="4"/>
    <n v="29"/>
    <n v="33"/>
    <s v="Complete"/>
    <n v="0.1515"/>
    <n v="2011"/>
    <s v="January"/>
    <x v="3"/>
    <x v="3"/>
    <s v="Spring"/>
    <x v="2"/>
  </r>
  <r>
    <n v="394"/>
    <x v="16"/>
    <n v="1"/>
    <n v="0"/>
    <n v="1"/>
    <x v="21"/>
    <b v="1"/>
    <n v="1"/>
    <n v="3"/>
    <n v="0.16"/>
    <n v="0.1515"/>
    <n v="0.8"/>
    <n v="0.19400000000000001"/>
    <n v="3"/>
    <n v="24"/>
    <n v="27"/>
    <s v="Complete"/>
    <n v="0.1515"/>
    <n v="2011"/>
    <s v="January"/>
    <x v="3"/>
    <x v="3"/>
    <s v="Spring"/>
    <x v="2"/>
  </r>
  <r>
    <n v="395"/>
    <x v="16"/>
    <n v="1"/>
    <n v="0"/>
    <n v="1"/>
    <x v="22"/>
    <b v="1"/>
    <n v="1"/>
    <n v="3"/>
    <n v="0.14000000000000001"/>
    <n v="0.1212"/>
    <n v="0.93"/>
    <n v="0.25369999999999998"/>
    <n v="0"/>
    <n v="13"/>
    <n v="13"/>
    <s v="Complete"/>
    <n v="0.1212"/>
    <n v="2011"/>
    <s v="January"/>
    <x v="3"/>
    <x v="3"/>
    <s v="Spring"/>
    <x v="2"/>
  </r>
  <r>
    <n v="396"/>
    <x v="16"/>
    <n v="1"/>
    <n v="0"/>
    <n v="1"/>
    <x v="23"/>
    <b v="1"/>
    <n v="1"/>
    <n v="3"/>
    <n v="0.16"/>
    <n v="0.13639999999999999"/>
    <n v="0.86"/>
    <n v="0.28360000000000002"/>
    <n v="1"/>
    <n v="3"/>
    <n v="4"/>
    <s v="Complete"/>
    <n v="0.13639999999999999"/>
    <n v="2011"/>
    <s v="January"/>
    <x v="3"/>
    <x v="3"/>
    <s v="Spring"/>
    <x v="2"/>
  </r>
  <r>
    <n v="397"/>
    <x v="17"/>
    <n v="1"/>
    <n v="0"/>
    <n v="1"/>
    <x v="12"/>
    <b v="0"/>
    <n v="2"/>
    <n v="2"/>
    <n v="0.2"/>
    <n v="0.18179999999999999"/>
    <n v="0.86"/>
    <n v="0.32840000000000003"/>
    <n v="0"/>
    <n v="3"/>
    <n v="3"/>
    <s v="Complete"/>
    <n v="0.18179999999999999"/>
    <n v="2011"/>
    <s v="January"/>
    <x v="2"/>
    <x v="2"/>
    <s v="Spring"/>
    <x v="1"/>
  </r>
  <r>
    <n v="398"/>
    <x v="17"/>
    <n v="1"/>
    <n v="0"/>
    <n v="1"/>
    <x v="13"/>
    <b v="0"/>
    <n v="2"/>
    <n v="2"/>
    <n v="0.2"/>
    <n v="0.19700000000000001"/>
    <n v="0.86"/>
    <n v="0.22389999999999999"/>
    <n v="0"/>
    <n v="22"/>
    <n v="22"/>
    <s v="Complete"/>
    <n v="0.19700000000000001"/>
    <n v="2011"/>
    <s v="January"/>
    <x v="2"/>
    <x v="2"/>
    <s v="Spring"/>
    <x v="1"/>
  </r>
  <r>
    <n v="399"/>
    <x v="17"/>
    <n v="1"/>
    <n v="0"/>
    <n v="1"/>
    <x v="14"/>
    <b v="0"/>
    <n v="2"/>
    <n v="2"/>
    <n v="0.22"/>
    <n v="0.2273"/>
    <n v="0.8"/>
    <n v="0.16420000000000001"/>
    <n v="2"/>
    <n v="26"/>
    <n v="28"/>
    <s v="Complete"/>
    <n v="0.2273"/>
    <n v="2011"/>
    <s v="January"/>
    <x v="2"/>
    <x v="2"/>
    <s v="Spring"/>
    <x v="1"/>
  </r>
  <r>
    <n v="400"/>
    <x v="17"/>
    <n v="1"/>
    <n v="0"/>
    <n v="1"/>
    <x v="15"/>
    <b v="0"/>
    <n v="2"/>
    <n v="2"/>
    <n v="0.22"/>
    <n v="0.2273"/>
    <n v="0.87"/>
    <n v="0.16420000000000001"/>
    <n v="3"/>
    <n v="32"/>
    <n v="35"/>
    <s v="Complete"/>
    <n v="0.2273"/>
    <n v="2011"/>
    <s v="January"/>
    <x v="2"/>
    <x v="2"/>
    <s v="Spring"/>
    <x v="1"/>
  </r>
  <r>
    <n v="401"/>
    <x v="17"/>
    <n v="1"/>
    <n v="0"/>
    <n v="1"/>
    <x v="16"/>
    <b v="0"/>
    <n v="2"/>
    <n v="2"/>
    <n v="0.22"/>
    <n v="0.2273"/>
    <n v="0.87"/>
    <n v="0.19400000000000001"/>
    <n v="0"/>
    <n v="61"/>
    <n v="61"/>
    <s v="Complete"/>
    <n v="0.2273"/>
    <n v="2011"/>
    <s v="January"/>
    <x v="2"/>
    <x v="2"/>
    <s v="Spring"/>
    <x v="1"/>
  </r>
  <r>
    <n v="402"/>
    <x v="17"/>
    <n v="1"/>
    <n v="0"/>
    <n v="1"/>
    <x v="17"/>
    <b v="0"/>
    <n v="2"/>
    <n v="2"/>
    <n v="0.22"/>
    <n v="0.2273"/>
    <n v="0.82"/>
    <n v="0.19400000000000001"/>
    <n v="1"/>
    <n v="124"/>
    <n v="125"/>
    <s v="Complete"/>
    <n v="0.2273"/>
    <n v="2011"/>
    <s v="January"/>
    <x v="2"/>
    <x v="2"/>
    <s v="Spring"/>
    <x v="1"/>
  </r>
  <r>
    <n v="403"/>
    <x v="17"/>
    <n v="1"/>
    <n v="0"/>
    <n v="1"/>
    <x v="18"/>
    <b v="0"/>
    <n v="2"/>
    <n v="2"/>
    <n v="0.22"/>
    <n v="0.2273"/>
    <n v="0.8"/>
    <n v="0.16420000000000001"/>
    <n v="1"/>
    <n v="132"/>
    <n v="133"/>
    <s v="Complete"/>
    <n v="0.2273"/>
    <n v="2011"/>
    <s v="January"/>
    <x v="2"/>
    <x v="3"/>
    <s v="Spring"/>
    <x v="1"/>
  </r>
  <r>
    <n v="404"/>
    <x v="17"/>
    <n v="1"/>
    <n v="0"/>
    <n v="1"/>
    <x v="19"/>
    <b v="0"/>
    <n v="2"/>
    <n v="2"/>
    <n v="0.22"/>
    <n v="0.2273"/>
    <n v="0.8"/>
    <n v="0.1343"/>
    <n v="1"/>
    <n v="98"/>
    <n v="99"/>
    <s v="Complete"/>
    <n v="0.2273"/>
    <n v="2011"/>
    <s v="January"/>
    <x v="2"/>
    <x v="3"/>
    <s v="Spring"/>
    <x v="1"/>
  </r>
  <r>
    <n v="405"/>
    <x v="17"/>
    <n v="1"/>
    <n v="0"/>
    <n v="1"/>
    <x v="20"/>
    <b v="0"/>
    <n v="2"/>
    <n v="2"/>
    <n v="0.22"/>
    <n v="0.2727"/>
    <n v="0.87"/>
    <n v="0"/>
    <n v="0"/>
    <n v="83"/>
    <n v="83"/>
    <s v="Complete"/>
    <n v="0.2727"/>
    <n v="2011"/>
    <s v="January"/>
    <x v="2"/>
    <x v="3"/>
    <s v="Spring"/>
    <x v="1"/>
  </r>
  <r>
    <n v="406"/>
    <x v="17"/>
    <n v="1"/>
    <n v="0"/>
    <n v="1"/>
    <x v="21"/>
    <b v="0"/>
    <n v="2"/>
    <n v="2"/>
    <n v="0.22"/>
    <n v="0.2424"/>
    <n v="0.93"/>
    <n v="0.1045"/>
    <n v="0"/>
    <n v="41"/>
    <n v="41"/>
    <s v="Complete"/>
    <n v="0.2424"/>
    <n v="2011"/>
    <s v="January"/>
    <x v="2"/>
    <x v="3"/>
    <s v="Spring"/>
    <x v="1"/>
  </r>
  <r>
    <n v="407"/>
    <x v="17"/>
    <n v="1"/>
    <n v="0"/>
    <n v="1"/>
    <x v="22"/>
    <b v="0"/>
    <n v="2"/>
    <n v="2"/>
    <n v="0.22"/>
    <n v="0.2576"/>
    <n v="0.93"/>
    <n v="8.9599999999999999E-2"/>
    <n v="0"/>
    <n v="33"/>
    <n v="33"/>
    <s v="Complete"/>
    <n v="0.2576"/>
    <n v="2011"/>
    <s v="January"/>
    <x v="2"/>
    <x v="3"/>
    <s v="Spring"/>
    <x v="1"/>
  </r>
  <r>
    <n v="408"/>
    <x v="17"/>
    <n v="1"/>
    <n v="0"/>
    <n v="1"/>
    <x v="23"/>
    <b v="0"/>
    <n v="2"/>
    <n v="2"/>
    <n v="0.22"/>
    <n v="0.2727"/>
    <n v="0.93"/>
    <n v="0"/>
    <n v="1"/>
    <n v="19"/>
    <n v="20"/>
    <s v="Complete"/>
    <n v="0.2727"/>
    <n v="2011"/>
    <s v="January"/>
    <x v="2"/>
    <x v="3"/>
    <s v="Spring"/>
    <x v="1"/>
  </r>
  <r>
    <n v="409"/>
    <x v="18"/>
    <n v="1"/>
    <n v="0"/>
    <n v="1"/>
    <x v="0"/>
    <b v="0"/>
    <n v="3"/>
    <n v="2"/>
    <n v="0.22"/>
    <n v="0.2727"/>
    <n v="0.93"/>
    <n v="0"/>
    <n v="0"/>
    <n v="3"/>
    <n v="3"/>
    <s v="Complete"/>
    <n v="0.2727"/>
    <n v="2011"/>
    <s v="January"/>
    <x v="2"/>
    <x v="0"/>
    <s v="Spring"/>
    <x v="1"/>
  </r>
  <r>
    <n v="410"/>
    <x v="18"/>
    <n v="1"/>
    <n v="0"/>
    <n v="1"/>
    <x v="1"/>
    <b v="0"/>
    <n v="3"/>
    <n v="3"/>
    <n v="0.22"/>
    <n v="0.2273"/>
    <n v="0.93"/>
    <n v="0.1343"/>
    <n v="1"/>
    <n v="6"/>
    <n v="7"/>
    <s v="Complete"/>
    <n v="0.2273"/>
    <n v="2011"/>
    <s v="January"/>
    <x v="2"/>
    <x v="0"/>
    <s v="Spring"/>
    <x v="2"/>
  </r>
  <r>
    <n v="411"/>
    <x v="18"/>
    <n v="1"/>
    <n v="0"/>
    <n v="1"/>
    <x v="2"/>
    <b v="0"/>
    <n v="3"/>
    <n v="3"/>
    <n v="0.22"/>
    <n v="0.2273"/>
    <n v="0.93"/>
    <n v="0.1343"/>
    <n v="0"/>
    <n v="3"/>
    <n v="3"/>
    <s v="Complete"/>
    <n v="0.2273"/>
    <n v="2011"/>
    <s v="January"/>
    <x v="2"/>
    <x v="0"/>
    <s v="Spring"/>
    <x v="2"/>
  </r>
  <r>
    <n v="412"/>
    <x v="18"/>
    <n v="1"/>
    <n v="0"/>
    <n v="1"/>
    <x v="4"/>
    <b v="0"/>
    <n v="3"/>
    <n v="3"/>
    <n v="0.22"/>
    <n v="0.2273"/>
    <n v="0.93"/>
    <n v="0.1343"/>
    <n v="1"/>
    <n v="1"/>
    <n v="2"/>
    <s v="Complete"/>
    <n v="0.2273"/>
    <n v="2011"/>
    <s v="January"/>
    <x v="2"/>
    <x v="0"/>
    <s v="Spring"/>
    <x v="2"/>
  </r>
  <r>
    <n v="413"/>
    <x v="18"/>
    <n v="1"/>
    <n v="0"/>
    <n v="1"/>
    <x v="5"/>
    <b v="0"/>
    <n v="3"/>
    <n v="2"/>
    <n v="0.22"/>
    <n v="0.2576"/>
    <n v="0.93"/>
    <n v="8.9599999999999999E-2"/>
    <n v="0"/>
    <n v="7"/>
    <n v="7"/>
    <s v="Complete"/>
    <n v="0.2576"/>
    <n v="2011"/>
    <s v="January"/>
    <x v="2"/>
    <x v="0"/>
    <s v="Spring"/>
    <x v="1"/>
  </r>
  <r>
    <n v="414"/>
    <x v="18"/>
    <n v="1"/>
    <n v="0"/>
    <n v="1"/>
    <x v="6"/>
    <b v="0"/>
    <n v="3"/>
    <n v="2"/>
    <n v="0.22"/>
    <n v="0.2576"/>
    <n v="0.93"/>
    <n v="8.9599999999999999E-2"/>
    <n v="0"/>
    <n v="32"/>
    <n v="32"/>
    <s v="Complete"/>
    <n v="0.2576"/>
    <n v="2011"/>
    <s v="January"/>
    <x v="2"/>
    <x v="1"/>
    <s v="Spring"/>
    <x v="1"/>
  </r>
  <r>
    <n v="415"/>
    <x v="18"/>
    <n v="1"/>
    <n v="0"/>
    <n v="1"/>
    <x v="7"/>
    <b v="0"/>
    <n v="3"/>
    <n v="2"/>
    <n v="0.24"/>
    <n v="0.2576"/>
    <n v="0.92"/>
    <n v="0.1045"/>
    <n v="1"/>
    <n v="89"/>
    <n v="90"/>
    <s v="Complete"/>
    <n v="0.2576"/>
    <n v="2011"/>
    <s v="January"/>
    <x v="2"/>
    <x v="1"/>
    <s v="Spring"/>
    <x v="1"/>
  </r>
  <r>
    <n v="416"/>
    <x v="18"/>
    <n v="1"/>
    <n v="0"/>
    <n v="1"/>
    <x v="8"/>
    <b v="0"/>
    <n v="3"/>
    <n v="2"/>
    <n v="0.24"/>
    <n v="0.2576"/>
    <n v="0.93"/>
    <n v="0.1045"/>
    <n v="1"/>
    <n v="196"/>
    <n v="197"/>
    <s v="Complete"/>
    <n v="0.2576"/>
    <n v="2011"/>
    <s v="January"/>
    <x v="2"/>
    <x v="1"/>
    <s v="Spring"/>
    <x v="1"/>
  </r>
  <r>
    <n v="417"/>
    <x v="18"/>
    <n v="1"/>
    <n v="0"/>
    <n v="1"/>
    <x v="9"/>
    <b v="0"/>
    <n v="3"/>
    <n v="2"/>
    <n v="0.24"/>
    <n v="0.2576"/>
    <n v="0.93"/>
    <n v="0.1045"/>
    <n v="2"/>
    <n v="107"/>
    <n v="109"/>
    <s v="Complete"/>
    <n v="0.2576"/>
    <n v="2011"/>
    <s v="January"/>
    <x v="2"/>
    <x v="1"/>
    <s v="Spring"/>
    <x v="1"/>
  </r>
  <r>
    <n v="418"/>
    <x v="18"/>
    <n v="1"/>
    <n v="0"/>
    <n v="1"/>
    <x v="10"/>
    <b v="0"/>
    <n v="3"/>
    <n v="2"/>
    <n v="0.26"/>
    <n v="0.2727"/>
    <n v="0.93"/>
    <n v="0.1343"/>
    <n v="1"/>
    <n v="46"/>
    <n v="47"/>
    <s v="Complete"/>
    <n v="0.2727"/>
    <n v="2011"/>
    <s v="January"/>
    <x v="2"/>
    <x v="1"/>
    <s v="Spring"/>
    <x v="1"/>
  </r>
  <r>
    <n v="419"/>
    <x v="18"/>
    <n v="1"/>
    <n v="0"/>
    <n v="1"/>
    <x v="11"/>
    <b v="0"/>
    <n v="3"/>
    <n v="2"/>
    <n v="0.28000000000000003"/>
    <n v="0.30299999999999999"/>
    <n v="0.87"/>
    <n v="8.9599999999999999E-2"/>
    <n v="5"/>
    <n v="47"/>
    <n v="52"/>
    <s v="Complete"/>
    <n v="0.30299999999999999"/>
    <n v="2011"/>
    <s v="January"/>
    <x v="2"/>
    <x v="1"/>
    <s v="Spring"/>
    <x v="1"/>
  </r>
  <r>
    <n v="420"/>
    <x v="18"/>
    <n v="1"/>
    <n v="0"/>
    <n v="1"/>
    <x v="12"/>
    <b v="0"/>
    <n v="3"/>
    <n v="2"/>
    <n v="0.3"/>
    <n v="0.31819999999999998"/>
    <n v="0.81"/>
    <n v="8.9599999999999999E-2"/>
    <n v="5"/>
    <n v="65"/>
    <n v="70"/>
    <s v="Complete"/>
    <n v="0.31819999999999998"/>
    <n v="2011"/>
    <s v="January"/>
    <x v="2"/>
    <x v="2"/>
    <s v="Spring"/>
    <x v="1"/>
  </r>
  <r>
    <n v="421"/>
    <x v="18"/>
    <n v="1"/>
    <n v="0"/>
    <n v="1"/>
    <x v="13"/>
    <b v="0"/>
    <n v="3"/>
    <n v="1"/>
    <n v="0.4"/>
    <n v="0.40910000000000002"/>
    <n v="0.62"/>
    <n v="0.28360000000000002"/>
    <n v="11"/>
    <n v="67"/>
    <n v="78"/>
    <s v="Complete"/>
    <n v="0.40910000000000002"/>
    <n v="2011"/>
    <s v="January"/>
    <x v="2"/>
    <x v="2"/>
    <s v="Spring"/>
    <x v="0"/>
  </r>
  <r>
    <n v="422"/>
    <x v="18"/>
    <n v="1"/>
    <n v="0"/>
    <n v="1"/>
    <x v="14"/>
    <b v="0"/>
    <n v="3"/>
    <n v="1"/>
    <n v="0.4"/>
    <n v="0.40910000000000002"/>
    <n v="0.57999999999999996"/>
    <n v="0.25369999999999998"/>
    <n v="7"/>
    <n v="68"/>
    <n v="75"/>
    <s v="Complete"/>
    <n v="0.40910000000000002"/>
    <n v="2011"/>
    <s v="January"/>
    <x v="2"/>
    <x v="2"/>
    <s v="Spring"/>
    <x v="0"/>
  </r>
  <r>
    <n v="423"/>
    <x v="18"/>
    <n v="1"/>
    <n v="0"/>
    <n v="1"/>
    <x v="15"/>
    <b v="0"/>
    <n v="3"/>
    <n v="1"/>
    <n v="0.4"/>
    <n v="0.40910000000000002"/>
    <n v="0.54"/>
    <n v="0.28360000000000002"/>
    <n v="4"/>
    <n v="78"/>
    <n v="82"/>
    <s v="Complete"/>
    <n v="0.40910000000000002"/>
    <n v="2011"/>
    <s v="January"/>
    <x v="2"/>
    <x v="2"/>
    <s v="Spring"/>
    <x v="0"/>
  </r>
  <r>
    <n v="424"/>
    <x v="18"/>
    <n v="1"/>
    <n v="0"/>
    <n v="1"/>
    <x v="16"/>
    <b v="0"/>
    <n v="3"/>
    <n v="1"/>
    <n v="0.38"/>
    <n v="0.39389999999999997"/>
    <n v="0.57999999999999996"/>
    <n v="0.3881"/>
    <n v="10"/>
    <n v="94"/>
    <n v="104"/>
    <s v="Complete"/>
    <n v="0.39389999999999997"/>
    <n v="2011"/>
    <s v="January"/>
    <x v="2"/>
    <x v="2"/>
    <s v="Spring"/>
    <x v="0"/>
  </r>
  <r>
    <n v="425"/>
    <x v="18"/>
    <n v="1"/>
    <n v="0"/>
    <n v="1"/>
    <x v="17"/>
    <b v="0"/>
    <n v="3"/>
    <n v="1"/>
    <n v="0.36"/>
    <n v="0.33329999999999999"/>
    <n v="0.56999999999999995"/>
    <n v="0.32840000000000003"/>
    <n v="7"/>
    <n v="190"/>
    <n v="197"/>
    <s v="Complete"/>
    <n v="0.33329999999999999"/>
    <n v="2011"/>
    <s v="January"/>
    <x v="2"/>
    <x v="2"/>
    <s v="Spring"/>
    <x v="0"/>
  </r>
  <r>
    <n v="426"/>
    <x v="18"/>
    <n v="1"/>
    <n v="0"/>
    <n v="1"/>
    <x v="18"/>
    <b v="0"/>
    <n v="3"/>
    <n v="1"/>
    <n v="0.34"/>
    <n v="0.31819999999999998"/>
    <n v="0.61"/>
    <n v="0.28360000000000002"/>
    <n v="5"/>
    <n v="156"/>
    <n v="161"/>
    <s v="Complete"/>
    <n v="0.31819999999999998"/>
    <n v="2011"/>
    <s v="January"/>
    <x v="2"/>
    <x v="3"/>
    <s v="Spring"/>
    <x v="0"/>
  </r>
  <r>
    <n v="427"/>
    <x v="18"/>
    <n v="1"/>
    <n v="0"/>
    <n v="1"/>
    <x v="19"/>
    <b v="0"/>
    <n v="3"/>
    <n v="1"/>
    <n v="0.32"/>
    <n v="0.28789999999999999"/>
    <n v="0.56999999999999995"/>
    <n v="0.41789999999999999"/>
    <n v="4"/>
    <n v="108"/>
    <n v="112"/>
    <s v="Complete"/>
    <n v="0.28789999999999999"/>
    <n v="2011"/>
    <s v="January"/>
    <x v="2"/>
    <x v="3"/>
    <s v="Spring"/>
    <x v="0"/>
  </r>
  <r>
    <n v="428"/>
    <x v="18"/>
    <n v="1"/>
    <n v="0"/>
    <n v="1"/>
    <x v="20"/>
    <b v="0"/>
    <n v="3"/>
    <n v="1"/>
    <n v="0.32"/>
    <n v="0.30299999999999999"/>
    <n v="0.49"/>
    <n v="0.29849999999999999"/>
    <n v="2"/>
    <n v="74"/>
    <n v="76"/>
    <s v="Complete"/>
    <n v="0.30299999999999999"/>
    <n v="2011"/>
    <s v="January"/>
    <x v="2"/>
    <x v="3"/>
    <s v="Spring"/>
    <x v="0"/>
  </r>
  <r>
    <n v="429"/>
    <x v="18"/>
    <n v="1"/>
    <n v="0"/>
    <n v="1"/>
    <x v="21"/>
    <b v="0"/>
    <n v="3"/>
    <n v="1"/>
    <n v="0.32"/>
    <n v="0.28789999999999999"/>
    <n v="0.49"/>
    <n v="0.41789999999999999"/>
    <n v="4"/>
    <n v="55"/>
    <n v="59"/>
    <s v="Complete"/>
    <n v="0.28789999999999999"/>
    <n v="2011"/>
    <s v="January"/>
    <x v="2"/>
    <x v="3"/>
    <s v="Spring"/>
    <x v="0"/>
  </r>
  <r>
    <n v="430"/>
    <x v="18"/>
    <n v="1"/>
    <n v="0"/>
    <n v="1"/>
    <x v="22"/>
    <b v="0"/>
    <n v="3"/>
    <n v="1"/>
    <n v="0.3"/>
    <n v="0.30299999999999999"/>
    <n v="0.52"/>
    <n v="0.16420000000000001"/>
    <n v="6"/>
    <n v="53"/>
    <n v="59"/>
    <s v="Complete"/>
    <n v="0.30299999999999999"/>
    <n v="2011"/>
    <s v="January"/>
    <x v="2"/>
    <x v="3"/>
    <s v="Spring"/>
    <x v="0"/>
  </r>
  <r>
    <n v="431"/>
    <x v="18"/>
    <n v="1"/>
    <n v="0"/>
    <n v="1"/>
    <x v="23"/>
    <b v="0"/>
    <n v="3"/>
    <n v="1"/>
    <n v="0.3"/>
    <n v="0.2727"/>
    <n v="0.52"/>
    <n v="0.4627"/>
    <n v="1"/>
    <n v="27"/>
    <n v="28"/>
    <s v="Complete"/>
    <n v="0.2727"/>
    <n v="2011"/>
    <s v="January"/>
    <x v="2"/>
    <x v="3"/>
    <s v="Spring"/>
    <x v="0"/>
  </r>
  <r>
    <n v="432"/>
    <x v="19"/>
    <n v="1"/>
    <n v="0"/>
    <n v="1"/>
    <x v="0"/>
    <b v="0"/>
    <n v="4"/>
    <n v="1"/>
    <n v="0.26"/>
    <n v="0.2273"/>
    <n v="0.56000000000000005"/>
    <n v="0.3881"/>
    <n v="5"/>
    <n v="8"/>
    <n v="13"/>
    <s v="Complete"/>
    <n v="0.2273"/>
    <n v="2011"/>
    <s v="January"/>
    <x v="2"/>
    <x v="0"/>
    <s v="Spring"/>
    <x v="0"/>
  </r>
  <r>
    <n v="433"/>
    <x v="19"/>
    <n v="1"/>
    <n v="0"/>
    <n v="1"/>
    <x v="1"/>
    <b v="0"/>
    <n v="4"/>
    <n v="1"/>
    <n v="0.26"/>
    <n v="0.2727"/>
    <n v="0.56000000000000005"/>
    <n v="0"/>
    <n v="2"/>
    <n v="3"/>
    <n v="5"/>
    <s v="Complete"/>
    <n v="0.2727"/>
    <n v="2011"/>
    <s v="January"/>
    <x v="2"/>
    <x v="0"/>
    <s v="Spring"/>
    <x v="0"/>
  </r>
  <r>
    <n v="434"/>
    <x v="19"/>
    <n v="1"/>
    <n v="0"/>
    <n v="1"/>
    <x v="2"/>
    <b v="0"/>
    <n v="4"/>
    <n v="1"/>
    <n v="0.26"/>
    <n v="0.2727"/>
    <n v="0.56000000000000005"/>
    <n v="0"/>
    <n v="0"/>
    <n v="2"/>
    <n v="2"/>
    <s v="Complete"/>
    <n v="0.2727"/>
    <n v="2011"/>
    <s v="January"/>
    <x v="2"/>
    <x v="0"/>
    <s v="Spring"/>
    <x v="0"/>
  </r>
  <r>
    <n v="435"/>
    <x v="19"/>
    <n v="1"/>
    <n v="0"/>
    <n v="1"/>
    <x v="3"/>
    <b v="0"/>
    <n v="4"/>
    <n v="1"/>
    <n v="0.26"/>
    <n v="0.2576"/>
    <n v="0.56000000000000005"/>
    <n v="0.16420000000000001"/>
    <n v="0"/>
    <n v="1"/>
    <n v="1"/>
    <s v="Complete"/>
    <n v="0.2576"/>
    <n v="2011"/>
    <s v="January"/>
    <x v="2"/>
    <x v="0"/>
    <s v="Spring"/>
    <x v="0"/>
  </r>
  <r>
    <n v="436"/>
    <x v="19"/>
    <n v="1"/>
    <n v="0"/>
    <n v="1"/>
    <x v="4"/>
    <b v="0"/>
    <n v="4"/>
    <n v="1"/>
    <n v="0.26"/>
    <n v="0.2576"/>
    <n v="0.56000000000000005"/>
    <n v="0.16420000000000001"/>
    <n v="0"/>
    <n v="1"/>
    <n v="1"/>
    <s v="Complete"/>
    <n v="0.2576"/>
    <n v="2011"/>
    <s v="January"/>
    <x v="2"/>
    <x v="0"/>
    <s v="Spring"/>
    <x v="0"/>
  </r>
  <r>
    <n v="437"/>
    <x v="19"/>
    <n v="1"/>
    <n v="0"/>
    <n v="1"/>
    <x v="5"/>
    <b v="0"/>
    <n v="4"/>
    <n v="1"/>
    <n v="0.24"/>
    <n v="0.2273"/>
    <n v="0.6"/>
    <n v="0.22389999999999999"/>
    <n v="0"/>
    <n v="6"/>
    <n v="6"/>
    <s v="Complete"/>
    <n v="0.2273"/>
    <n v="2011"/>
    <s v="January"/>
    <x v="2"/>
    <x v="0"/>
    <s v="Spring"/>
    <x v="0"/>
  </r>
  <r>
    <n v="438"/>
    <x v="19"/>
    <n v="1"/>
    <n v="0"/>
    <n v="1"/>
    <x v="6"/>
    <b v="0"/>
    <n v="4"/>
    <n v="1"/>
    <n v="0.22"/>
    <n v="0.21210000000000001"/>
    <n v="0.6"/>
    <n v="0.22389999999999999"/>
    <n v="0"/>
    <n v="35"/>
    <n v="35"/>
    <s v="Complete"/>
    <n v="0.21210000000000001"/>
    <n v="2011"/>
    <s v="January"/>
    <x v="2"/>
    <x v="1"/>
    <s v="Spring"/>
    <x v="0"/>
  </r>
  <r>
    <n v="439"/>
    <x v="19"/>
    <n v="1"/>
    <n v="0"/>
    <n v="1"/>
    <x v="7"/>
    <b v="0"/>
    <n v="4"/>
    <n v="1"/>
    <n v="0.22"/>
    <n v="0.21210000000000001"/>
    <n v="0.55000000000000004"/>
    <n v="0.22389999999999999"/>
    <n v="1"/>
    <n v="100"/>
    <n v="101"/>
    <s v="Complete"/>
    <n v="0.21210000000000001"/>
    <n v="2011"/>
    <s v="January"/>
    <x v="2"/>
    <x v="1"/>
    <s v="Spring"/>
    <x v="0"/>
  </r>
  <r>
    <n v="440"/>
    <x v="19"/>
    <n v="1"/>
    <n v="0"/>
    <n v="1"/>
    <x v="8"/>
    <b v="0"/>
    <n v="4"/>
    <n v="1"/>
    <n v="0.22"/>
    <n v="0.21210000000000001"/>
    <n v="0.55000000000000004"/>
    <n v="0.28360000000000002"/>
    <n v="2"/>
    <n v="247"/>
    <n v="249"/>
    <s v="Complete"/>
    <n v="0.21210000000000001"/>
    <n v="2011"/>
    <s v="January"/>
    <x v="2"/>
    <x v="1"/>
    <s v="Spring"/>
    <x v="0"/>
  </r>
  <r>
    <n v="441"/>
    <x v="19"/>
    <n v="1"/>
    <n v="0"/>
    <n v="1"/>
    <x v="9"/>
    <b v="0"/>
    <n v="4"/>
    <n v="2"/>
    <n v="0.24"/>
    <n v="0.2273"/>
    <n v="0.52"/>
    <n v="0.22389999999999999"/>
    <n v="3"/>
    <n v="140"/>
    <n v="143"/>
    <s v="Complete"/>
    <n v="0.2273"/>
    <n v="2011"/>
    <s v="January"/>
    <x v="2"/>
    <x v="1"/>
    <s v="Spring"/>
    <x v="1"/>
  </r>
  <r>
    <n v="442"/>
    <x v="19"/>
    <n v="1"/>
    <n v="0"/>
    <n v="1"/>
    <x v="10"/>
    <b v="0"/>
    <n v="4"/>
    <n v="1"/>
    <n v="0.26"/>
    <n v="0.2273"/>
    <n v="0.48"/>
    <n v="0.29849999999999999"/>
    <n v="1"/>
    <n v="56"/>
    <n v="57"/>
    <s v="Complete"/>
    <n v="0.2273"/>
    <n v="2011"/>
    <s v="January"/>
    <x v="2"/>
    <x v="1"/>
    <s v="Spring"/>
    <x v="0"/>
  </r>
  <r>
    <n v="443"/>
    <x v="19"/>
    <n v="1"/>
    <n v="0"/>
    <n v="1"/>
    <x v="11"/>
    <b v="0"/>
    <n v="4"/>
    <n v="2"/>
    <n v="0.28000000000000003"/>
    <n v="0.2727"/>
    <n v="0.45"/>
    <n v="0.16420000000000001"/>
    <n v="5"/>
    <n v="63"/>
    <n v="68"/>
    <s v="Complete"/>
    <n v="0.2727"/>
    <n v="2011"/>
    <s v="January"/>
    <x v="2"/>
    <x v="1"/>
    <s v="Spring"/>
    <x v="1"/>
  </r>
  <r>
    <n v="444"/>
    <x v="19"/>
    <n v="1"/>
    <n v="0"/>
    <n v="1"/>
    <x v="12"/>
    <b v="0"/>
    <n v="4"/>
    <n v="2"/>
    <n v="0.3"/>
    <n v="0.33329999999999999"/>
    <n v="0.42"/>
    <n v="0"/>
    <n v="7"/>
    <n v="77"/>
    <n v="84"/>
    <s v="Complete"/>
    <n v="0.33329999999999999"/>
    <n v="2011"/>
    <s v="January"/>
    <x v="2"/>
    <x v="2"/>
    <s v="Spring"/>
    <x v="1"/>
  </r>
  <r>
    <n v="445"/>
    <x v="19"/>
    <n v="1"/>
    <n v="0"/>
    <n v="1"/>
    <x v="13"/>
    <b v="0"/>
    <n v="4"/>
    <n v="2"/>
    <n v="0.28000000000000003"/>
    <n v="0.28789999999999999"/>
    <n v="0.45"/>
    <n v="0.1045"/>
    <n v="12"/>
    <n v="86"/>
    <n v="98"/>
    <s v="Complete"/>
    <n v="0.28789999999999999"/>
    <n v="2011"/>
    <s v="January"/>
    <x v="2"/>
    <x v="2"/>
    <s v="Spring"/>
    <x v="1"/>
  </r>
  <r>
    <n v="446"/>
    <x v="19"/>
    <n v="1"/>
    <n v="0"/>
    <n v="1"/>
    <x v="14"/>
    <b v="0"/>
    <n v="4"/>
    <n v="2"/>
    <n v="0.3"/>
    <n v="0.30299999999999999"/>
    <n v="0.45"/>
    <n v="0.1343"/>
    <n v="6"/>
    <n v="75"/>
    <n v="81"/>
    <s v="Complete"/>
    <n v="0.30299999999999999"/>
    <n v="2011"/>
    <s v="January"/>
    <x v="2"/>
    <x v="2"/>
    <s v="Spring"/>
    <x v="1"/>
  </r>
  <r>
    <n v="447"/>
    <x v="19"/>
    <n v="1"/>
    <n v="0"/>
    <n v="1"/>
    <x v="15"/>
    <b v="0"/>
    <n v="4"/>
    <n v="2"/>
    <n v="0.32"/>
    <n v="0.31819999999999998"/>
    <n v="0.45"/>
    <n v="0.19400000000000001"/>
    <n v="8"/>
    <n v="62"/>
    <n v="70"/>
    <s v="Complete"/>
    <n v="0.31819999999999998"/>
    <n v="2011"/>
    <s v="January"/>
    <x v="2"/>
    <x v="2"/>
    <s v="Spring"/>
    <x v="1"/>
  </r>
  <r>
    <n v="448"/>
    <x v="19"/>
    <n v="1"/>
    <n v="0"/>
    <n v="1"/>
    <x v="16"/>
    <b v="0"/>
    <n v="4"/>
    <n v="2"/>
    <n v="0.3"/>
    <n v="0.30299999999999999"/>
    <n v="0.49"/>
    <n v="0.1343"/>
    <n v="8"/>
    <n v="83"/>
    <n v="91"/>
    <s v="Complete"/>
    <n v="0.30299999999999999"/>
    <n v="2011"/>
    <s v="January"/>
    <x v="2"/>
    <x v="2"/>
    <s v="Spring"/>
    <x v="1"/>
  </r>
  <r>
    <n v="449"/>
    <x v="19"/>
    <n v="1"/>
    <n v="0"/>
    <n v="1"/>
    <x v="17"/>
    <b v="0"/>
    <n v="4"/>
    <n v="2"/>
    <n v="0.3"/>
    <n v="0.31819999999999998"/>
    <n v="0.49"/>
    <n v="0.1045"/>
    <n v="8"/>
    <n v="207"/>
    <n v="215"/>
    <s v="Complete"/>
    <n v="0.31819999999999998"/>
    <n v="2011"/>
    <s v="January"/>
    <x v="2"/>
    <x v="2"/>
    <s v="Spring"/>
    <x v="1"/>
  </r>
  <r>
    <n v="450"/>
    <x v="19"/>
    <n v="1"/>
    <n v="0"/>
    <n v="1"/>
    <x v="18"/>
    <b v="0"/>
    <n v="4"/>
    <n v="2"/>
    <n v="0.26"/>
    <n v="0.2576"/>
    <n v="0.56000000000000005"/>
    <n v="0.19400000000000001"/>
    <n v="1"/>
    <n v="184"/>
    <n v="185"/>
    <s v="Complete"/>
    <n v="0.2576"/>
    <n v="2011"/>
    <s v="January"/>
    <x v="2"/>
    <x v="3"/>
    <s v="Spring"/>
    <x v="1"/>
  </r>
  <r>
    <n v="451"/>
    <x v="19"/>
    <n v="1"/>
    <n v="0"/>
    <n v="1"/>
    <x v="19"/>
    <b v="0"/>
    <n v="4"/>
    <n v="1"/>
    <n v="0.26"/>
    <n v="0.2273"/>
    <n v="0.56000000000000005"/>
    <n v="0.32840000000000003"/>
    <n v="6"/>
    <n v="146"/>
    <n v="152"/>
    <s v="Complete"/>
    <n v="0.2273"/>
    <n v="2011"/>
    <s v="January"/>
    <x v="2"/>
    <x v="3"/>
    <s v="Spring"/>
    <x v="0"/>
  </r>
  <r>
    <n v="452"/>
    <x v="19"/>
    <n v="1"/>
    <n v="0"/>
    <n v="1"/>
    <x v="20"/>
    <b v="0"/>
    <n v="4"/>
    <n v="2"/>
    <n v="0.26"/>
    <n v="0.2424"/>
    <n v="0.6"/>
    <n v="0.28360000000000002"/>
    <n v="2"/>
    <n v="124"/>
    <n v="126"/>
    <s v="Complete"/>
    <n v="0.2424"/>
    <n v="2011"/>
    <s v="January"/>
    <x v="2"/>
    <x v="3"/>
    <s v="Spring"/>
    <x v="1"/>
  </r>
  <r>
    <n v="453"/>
    <x v="19"/>
    <n v="1"/>
    <n v="0"/>
    <n v="1"/>
    <x v="21"/>
    <b v="0"/>
    <n v="4"/>
    <n v="2"/>
    <n v="0.24"/>
    <n v="0.2273"/>
    <n v="0.6"/>
    <n v="0.25369999999999998"/>
    <n v="3"/>
    <n v="54"/>
    <n v="57"/>
    <s v="Complete"/>
    <n v="0.2273"/>
    <n v="2011"/>
    <s v="January"/>
    <x v="2"/>
    <x v="3"/>
    <s v="Spring"/>
    <x v="1"/>
  </r>
  <r>
    <n v="454"/>
    <x v="19"/>
    <n v="1"/>
    <n v="0"/>
    <n v="1"/>
    <x v="22"/>
    <b v="0"/>
    <n v="4"/>
    <n v="2"/>
    <n v="0.24"/>
    <n v="0.21210000000000001"/>
    <n v="0.65"/>
    <n v="0.28360000000000002"/>
    <n v="0"/>
    <n v="56"/>
    <n v="56"/>
    <s v="Complete"/>
    <n v="0.21210000000000001"/>
    <n v="2011"/>
    <s v="January"/>
    <x v="2"/>
    <x v="3"/>
    <s v="Spring"/>
    <x v="1"/>
  </r>
  <r>
    <n v="455"/>
    <x v="19"/>
    <n v="1"/>
    <n v="0"/>
    <n v="1"/>
    <x v="23"/>
    <b v="0"/>
    <n v="4"/>
    <n v="2"/>
    <n v="0.24"/>
    <n v="0.21210000000000001"/>
    <n v="0.65"/>
    <n v="0.32840000000000003"/>
    <n v="3"/>
    <n v="28"/>
    <n v="31"/>
    <s v="Complete"/>
    <n v="0.21210000000000001"/>
    <n v="2011"/>
    <s v="January"/>
    <x v="2"/>
    <x v="3"/>
    <s v="Spring"/>
    <x v="1"/>
  </r>
  <r>
    <n v="456"/>
    <x v="20"/>
    <n v="1"/>
    <n v="0"/>
    <n v="1"/>
    <x v="0"/>
    <b v="0"/>
    <n v="5"/>
    <n v="2"/>
    <n v="0.24"/>
    <n v="0.2273"/>
    <n v="0.7"/>
    <n v="0.25369999999999998"/>
    <n v="1"/>
    <n v="20"/>
    <n v="21"/>
    <s v="Complete"/>
    <n v="0.2273"/>
    <n v="2011"/>
    <s v="January"/>
    <x v="2"/>
    <x v="0"/>
    <s v="Spring"/>
    <x v="1"/>
  </r>
  <r>
    <n v="457"/>
    <x v="20"/>
    <n v="1"/>
    <n v="0"/>
    <n v="1"/>
    <x v="1"/>
    <b v="0"/>
    <n v="5"/>
    <n v="2"/>
    <n v="0.24"/>
    <n v="0.2273"/>
    <n v="0.7"/>
    <n v="0.25369999999999998"/>
    <n v="0"/>
    <n v="6"/>
    <n v="6"/>
    <s v="Complete"/>
    <n v="0.2273"/>
    <n v="2011"/>
    <s v="January"/>
    <x v="2"/>
    <x v="0"/>
    <s v="Spring"/>
    <x v="1"/>
  </r>
  <r>
    <n v="458"/>
    <x v="20"/>
    <n v="1"/>
    <n v="0"/>
    <n v="1"/>
    <x v="2"/>
    <b v="0"/>
    <n v="5"/>
    <n v="3"/>
    <n v="0.24"/>
    <n v="0.2424"/>
    <n v="0.75"/>
    <n v="0.16420000000000001"/>
    <n v="0"/>
    <n v="2"/>
    <n v="2"/>
    <s v="Complete"/>
    <n v="0.2424"/>
    <n v="2011"/>
    <s v="January"/>
    <x v="2"/>
    <x v="0"/>
    <s v="Spring"/>
    <x v="2"/>
  </r>
  <r>
    <n v="459"/>
    <x v="20"/>
    <n v="1"/>
    <n v="0"/>
    <n v="1"/>
    <x v="3"/>
    <b v="0"/>
    <n v="5"/>
    <n v="3"/>
    <n v="0.22"/>
    <n v="0.21210000000000001"/>
    <n v="0.8"/>
    <n v="0.29849999999999999"/>
    <n v="0"/>
    <n v="1"/>
    <n v="1"/>
    <s v="Complete"/>
    <n v="0.21210000000000001"/>
    <n v="2011"/>
    <s v="January"/>
    <x v="2"/>
    <x v="0"/>
    <s v="Spring"/>
    <x v="2"/>
  </r>
  <r>
    <n v="460"/>
    <x v="20"/>
    <n v="1"/>
    <n v="0"/>
    <n v="1"/>
    <x v="4"/>
    <b v="0"/>
    <n v="5"/>
    <n v="2"/>
    <n v="0.22"/>
    <n v="0.2576"/>
    <n v="0.87"/>
    <n v="8.9599999999999999E-2"/>
    <n v="0"/>
    <n v="1"/>
    <n v="1"/>
    <s v="Complete"/>
    <n v="0.2576"/>
    <n v="2011"/>
    <s v="January"/>
    <x v="2"/>
    <x v="0"/>
    <s v="Spring"/>
    <x v="1"/>
  </r>
  <r>
    <n v="461"/>
    <x v="20"/>
    <n v="1"/>
    <n v="0"/>
    <n v="1"/>
    <x v="5"/>
    <b v="0"/>
    <n v="5"/>
    <n v="1"/>
    <n v="0.24"/>
    <n v="0.19700000000000001"/>
    <n v="0.6"/>
    <n v="0.41789999999999999"/>
    <n v="1"/>
    <n v="4"/>
    <n v="5"/>
    <s v="Complete"/>
    <n v="0.19700000000000001"/>
    <n v="2011"/>
    <s v="January"/>
    <x v="2"/>
    <x v="0"/>
    <s v="Spring"/>
    <x v="0"/>
  </r>
  <r>
    <n v="462"/>
    <x v="20"/>
    <n v="1"/>
    <n v="0"/>
    <n v="1"/>
    <x v="6"/>
    <b v="0"/>
    <n v="5"/>
    <n v="1"/>
    <n v="0.22"/>
    <n v="0.21210000000000001"/>
    <n v="0.55000000000000004"/>
    <n v="0.25369999999999998"/>
    <n v="0"/>
    <n v="27"/>
    <n v="27"/>
    <s v="Complete"/>
    <n v="0.21210000000000001"/>
    <n v="2011"/>
    <s v="January"/>
    <x v="2"/>
    <x v="1"/>
    <s v="Spring"/>
    <x v="0"/>
  </r>
  <r>
    <n v="463"/>
    <x v="20"/>
    <n v="1"/>
    <n v="0"/>
    <n v="1"/>
    <x v="7"/>
    <b v="0"/>
    <n v="5"/>
    <n v="1"/>
    <n v="0.2"/>
    <n v="0.18179999999999999"/>
    <n v="0.51"/>
    <n v="0.28360000000000002"/>
    <n v="2"/>
    <n v="66"/>
    <n v="68"/>
    <s v="Complete"/>
    <n v="0.18179999999999999"/>
    <n v="2011"/>
    <s v="January"/>
    <x v="2"/>
    <x v="1"/>
    <s v="Spring"/>
    <x v="0"/>
  </r>
  <r>
    <n v="464"/>
    <x v="20"/>
    <n v="1"/>
    <n v="0"/>
    <n v="1"/>
    <x v="8"/>
    <b v="0"/>
    <n v="5"/>
    <n v="1"/>
    <n v="0.2"/>
    <n v="0.18179999999999999"/>
    <n v="0.47"/>
    <n v="0.32840000000000003"/>
    <n v="7"/>
    <n v="210"/>
    <n v="217"/>
    <s v="Complete"/>
    <n v="0.18179999999999999"/>
    <n v="2011"/>
    <s v="January"/>
    <x v="2"/>
    <x v="1"/>
    <s v="Spring"/>
    <x v="0"/>
  </r>
  <r>
    <n v="465"/>
    <x v="20"/>
    <n v="1"/>
    <n v="0"/>
    <n v="1"/>
    <x v="9"/>
    <b v="0"/>
    <n v="5"/>
    <n v="1"/>
    <n v="0.2"/>
    <n v="0.18179999999999999"/>
    <n v="0.51"/>
    <n v="0.35820000000000002"/>
    <n v="7"/>
    <n v="159"/>
    <n v="166"/>
    <s v="Complete"/>
    <n v="0.18179999999999999"/>
    <n v="2011"/>
    <s v="January"/>
    <x v="2"/>
    <x v="1"/>
    <s v="Spring"/>
    <x v="0"/>
  </r>
  <r>
    <n v="466"/>
    <x v="20"/>
    <n v="1"/>
    <n v="0"/>
    <n v="1"/>
    <x v="10"/>
    <b v="0"/>
    <n v="5"/>
    <n v="1"/>
    <n v="0.2"/>
    <n v="0.16669999999999999"/>
    <n v="0.47"/>
    <n v="0.4627"/>
    <n v="6"/>
    <n v="57"/>
    <n v="63"/>
    <s v="Complete"/>
    <n v="0.16669999999999999"/>
    <n v="2011"/>
    <s v="January"/>
    <x v="2"/>
    <x v="1"/>
    <s v="Spring"/>
    <x v="0"/>
  </r>
  <r>
    <n v="467"/>
    <x v="20"/>
    <n v="1"/>
    <n v="0"/>
    <n v="1"/>
    <x v="11"/>
    <b v="0"/>
    <n v="5"/>
    <n v="1"/>
    <n v="0.22"/>
    <n v="0.18179999999999999"/>
    <n v="0.41"/>
    <n v="0.4627"/>
    <n v="6"/>
    <n v="53"/>
    <n v="59"/>
    <s v="Complete"/>
    <n v="0.18179999999999999"/>
    <n v="2011"/>
    <s v="January"/>
    <x v="2"/>
    <x v="1"/>
    <s v="Spring"/>
    <x v="0"/>
  </r>
  <r>
    <n v="468"/>
    <x v="20"/>
    <n v="1"/>
    <n v="0"/>
    <n v="1"/>
    <x v="12"/>
    <b v="0"/>
    <n v="5"/>
    <n v="1"/>
    <n v="0.22"/>
    <n v="0.18179999999999999"/>
    <n v="0.27"/>
    <n v="0.58209999999999995"/>
    <n v="11"/>
    <n v="67"/>
    <n v="78"/>
    <s v="Complete"/>
    <n v="0.18179999999999999"/>
    <n v="2011"/>
    <s v="January"/>
    <x v="2"/>
    <x v="2"/>
    <s v="Spring"/>
    <x v="0"/>
  </r>
  <r>
    <n v="469"/>
    <x v="20"/>
    <n v="1"/>
    <n v="0"/>
    <n v="1"/>
    <x v="13"/>
    <b v="0"/>
    <n v="5"/>
    <n v="1"/>
    <n v="0.2"/>
    <n v="0.1515"/>
    <n v="0.21"/>
    <n v="0.58209999999999995"/>
    <n v="8"/>
    <n v="65"/>
    <n v="73"/>
    <s v="Complete"/>
    <n v="0.1515"/>
    <n v="2011"/>
    <s v="January"/>
    <x v="2"/>
    <x v="2"/>
    <s v="Spring"/>
    <x v="0"/>
  </r>
  <r>
    <n v="470"/>
    <x v="20"/>
    <n v="1"/>
    <n v="0"/>
    <n v="1"/>
    <x v="14"/>
    <b v="0"/>
    <n v="5"/>
    <n v="1"/>
    <n v="0.2"/>
    <n v="0.1515"/>
    <n v="0.25"/>
    <n v="0.52239999999999998"/>
    <n v="6"/>
    <n v="56"/>
    <n v="62"/>
    <s v="Complete"/>
    <n v="0.1515"/>
    <n v="2011"/>
    <s v="January"/>
    <x v="2"/>
    <x v="2"/>
    <s v="Spring"/>
    <x v="0"/>
  </r>
  <r>
    <n v="471"/>
    <x v="20"/>
    <n v="1"/>
    <n v="0"/>
    <n v="1"/>
    <x v="15"/>
    <b v="0"/>
    <n v="5"/>
    <n v="1"/>
    <n v="0.16"/>
    <n v="0.1212"/>
    <n v="0.26"/>
    <n v="0.44779999999999998"/>
    <n v="4"/>
    <n v="61"/>
    <n v="65"/>
    <s v="Complete"/>
    <n v="0.1212"/>
    <n v="2011"/>
    <s v="January"/>
    <x v="2"/>
    <x v="2"/>
    <s v="Spring"/>
    <x v="0"/>
  </r>
  <r>
    <n v="472"/>
    <x v="20"/>
    <n v="1"/>
    <n v="0"/>
    <n v="1"/>
    <x v="16"/>
    <b v="0"/>
    <n v="5"/>
    <n v="1"/>
    <n v="0.16"/>
    <n v="0.13639999999999999"/>
    <n v="0.26"/>
    <n v="0.35820000000000002"/>
    <n v="0"/>
    <n v="97"/>
    <n v="97"/>
    <s v="Complete"/>
    <n v="0.13639999999999999"/>
    <n v="2011"/>
    <s v="January"/>
    <x v="2"/>
    <x v="2"/>
    <s v="Spring"/>
    <x v="0"/>
  </r>
  <r>
    <n v="473"/>
    <x v="20"/>
    <n v="1"/>
    <n v="0"/>
    <n v="1"/>
    <x v="17"/>
    <b v="0"/>
    <n v="5"/>
    <n v="1"/>
    <n v="0.14000000000000001"/>
    <n v="0.1212"/>
    <n v="0.28000000000000003"/>
    <n v="0.35820000000000002"/>
    <n v="10"/>
    <n v="151"/>
    <n v="161"/>
    <s v="Complete"/>
    <n v="0.1212"/>
    <n v="2011"/>
    <s v="January"/>
    <x v="2"/>
    <x v="2"/>
    <s v="Spring"/>
    <x v="0"/>
  </r>
  <r>
    <n v="474"/>
    <x v="20"/>
    <n v="1"/>
    <n v="0"/>
    <n v="1"/>
    <x v="18"/>
    <b v="0"/>
    <n v="5"/>
    <n v="1"/>
    <n v="0.12"/>
    <n v="0.1212"/>
    <n v="0.3"/>
    <n v="0.25369999999999998"/>
    <n v="1"/>
    <n v="119"/>
    <n v="120"/>
    <s v="Complete"/>
    <n v="0.1212"/>
    <n v="2011"/>
    <s v="January"/>
    <x v="2"/>
    <x v="3"/>
    <s v="Spring"/>
    <x v="0"/>
  </r>
  <r>
    <n v="475"/>
    <x v="20"/>
    <n v="1"/>
    <n v="0"/>
    <n v="1"/>
    <x v="19"/>
    <b v="0"/>
    <n v="5"/>
    <n v="1"/>
    <n v="0.12"/>
    <n v="0.1061"/>
    <n v="0.3"/>
    <n v="0.32840000000000003"/>
    <n v="3"/>
    <n v="93"/>
    <n v="96"/>
    <s v="Complete"/>
    <n v="0.1061"/>
    <n v="2011"/>
    <s v="January"/>
    <x v="2"/>
    <x v="3"/>
    <s v="Spring"/>
    <x v="0"/>
  </r>
  <r>
    <n v="476"/>
    <x v="20"/>
    <n v="1"/>
    <n v="0"/>
    <n v="1"/>
    <x v="20"/>
    <b v="0"/>
    <n v="5"/>
    <n v="1"/>
    <n v="0.1"/>
    <n v="7.5800000000000006E-2"/>
    <n v="0.33"/>
    <n v="0.41789999999999999"/>
    <n v="1"/>
    <n v="52"/>
    <n v="53"/>
    <s v="Complete"/>
    <n v="7.5800000000000006E-2"/>
    <n v="2011"/>
    <s v="January"/>
    <x v="2"/>
    <x v="3"/>
    <s v="Spring"/>
    <x v="0"/>
  </r>
  <r>
    <n v="477"/>
    <x v="20"/>
    <n v="1"/>
    <n v="0"/>
    <n v="1"/>
    <x v="21"/>
    <b v="0"/>
    <n v="5"/>
    <n v="1"/>
    <n v="0.08"/>
    <n v="7.5800000000000006E-2"/>
    <n v="0.38"/>
    <n v="0.28360000000000002"/>
    <n v="0"/>
    <n v="41"/>
    <n v="41"/>
    <s v="Complete"/>
    <n v="7.5800000000000006E-2"/>
    <n v="2011"/>
    <s v="January"/>
    <x v="2"/>
    <x v="3"/>
    <s v="Spring"/>
    <x v="0"/>
  </r>
  <r>
    <n v="478"/>
    <x v="20"/>
    <n v="1"/>
    <n v="0"/>
    <n v="1"/>
    <x v="22"/>
    <b v="0"/>
    <n v="5"/>
    <n v="1"/>
    <n v="0.06"/>
    <n v="3.0300000000000001E-2"/>
    <n v="0.41"/>
    <n v="0.3881"/>
    <n v="1"/>
    <n v="33"/>
    <n v="34"/>
    <s v="Complete"/>
    <n v="3.0300000000000001E-2"/>
    <n v="2011"/>
    <s v="January"/>
    <x v="2"/>
    <x v="3"/>
    <s v="Spring"/>
    <x v="0"/>
  </r>
  <r>
    <n v="479"/>
    <x v="20"/>
    <n v="1"/>
    <n v="0"/>
    <n v="1"/>
    <x v="23"/>
    <b v="0"/>
    <n v="5"/>
    <n v="1"/>
    <n v="0.06"/>
    <n v="4.5499999999999999E-2"/>
    <n v="0.38"/>
    <n v="0.32840000000000003"/>
    <n v="0"/>
    <n v="27"/>
    <n v="27"/>
    <s v="Complete"/>
    <n v="4.5499999999999999E-2"/>
    <n v="2011"/>
    <s v="January"/>
    <x v="2"/>
    <x v="3"/>
    <s v="Spring"/>
    <x v="0"/>
  </r>
  <r>
    <n v="480"/>
    <x v="21"/>
    <n v="1"/>
    <n v="0"/>
    <n v="1"/>
    <x v="0"/>
    <b v="0"/>
    <n v="6"/>
    <n v="1"/>
    <n v="0.04"/>
    <n v="3.0300000000000001E-2"/>
    <n v="0.45"/>
    <n v="0.25369999999999998"/>
    <n v="0"/>
    <n v="13"/>
    <n v="13"/>
    <s v="Complete"/>
    <n v="3.0300000000000001E-2"/>
    <n v="2011"/>
    <s v="January"/>
    <x v="0"/>
    <x v="0"/>
    <s v="Spring"/>
    <x v="0"/>
  </r>
  <r>
    <n v="481"/>
    <x v="21"/>
    <n v="1"/>
    <n v="0"/>
    <n v="1"/>
    <x v="1"/>
    <b v="0"/>
    <n v="6"/>
    <n v="2"/>
    <n v="0.04"/>
    <n v="0"/>
    <n v="0.41"/>
    <n v="0.3881"/>
    <n v="3"/>
    <n v="9"/>
    <n v="12"/>
    <s v="Complete"/>
    <n v="0"/>
    <n v="2011"/>
    <s v="January"/>
    <x v="0"/>
    <x v="0"/>
    <s v="Spring"/>
    <x v="1"/>
  </r>
  <r>
    <n v="482"/>
    <x v="21"/>
    <n v="1"/>
    <n v="0"/>
    <n v="1"/>
    <x v="2"/>
    <b v="0"/>
    <n v="6"/>
    <n v="2"/>
    <n v="0.04"/>
    <n v="3.0300000000000001E-2"/>
    <n v="0.41"/>
    <n v="0.25369999999999998"/>
    <n v="0"/>
    <n v="11"/>
    <n v="11"/>
    <s v="Complete"/>
    <n v="3.0300000000000001E-2"/>
    <n v="2011"/>
    <s v="January"/>
    <x v="0"/>
    <x v="0"/>
    <s v="Spring"/>
    <x v="1"/>
  </r>
  <r>
    <n v="483"/>
    <x v="21"/>
    <n v="1"/>
    <n v="0"/>
    <n v="1"/>
    <x v="3"/>
    <b v="0"/>
    <n v="6"/>
    <n v="2"/>
    <n v="0.04"/>
    <n v="3.0300000000000001E-2"/>
    <n v="0.41"/>
    <n v="0.28360000000000002"/>
    <n v="1"/>
    <n v="6"/>
    <n v="7"/>
    <s v="Complete"/>
    <n v="3.0300000000000001E-2"/>
    <n v="2011"/>
    <s v="January"/>
    <x v="0"/>
    <x v="0"/>
    <s v="Spring"/>
    <x v="1"/>
  </r>
  <r>
    <n v="484"/>
    <x v="21"/>
    <n v="1"/>
    <n v="0"/>
    <n v="1"/>
    <x v="4"/>
    <b v="0"/>
    <n v="6"/>
    <n v="2"/>
    <n v="0.02"/>
    <n v="1.52E-2"/>
    <n v="0.48"/>
    <n v="0.29849999999999999"/>
    <n v="0"/>
    <n v="3"/>
    <n v="3"/>
    <s v="Complete"/>
    <n v="1.52E-2"/>
    <n v="2011"/>
    <s v="January"/>
    <x v="0"/>
    <x v="0"/>
    <s v="Spring"/>
    <x v="1"/>
  </r>
  <r>
    <n v="485"/>
    <x v="21"/>
    <n v="1"/>
    <n v="0"/>
    <n v="1"/>
    <x v="6"/>
    <b v="0"/>
    <n v="6"/>
    <n v="2"/>
    <n v="0.02"/>
    <n v="3.0300000000000001E-2"/>
    <n v="0.44"/>
    <n v="0.22389999999999999"/>
    <n v="0"/>
    <n v="2"/>
    <n v="2"/>
    <s v="Complete"/>
    <n v="3.0300000000000001E-2"/>
    <n v="2011"/>
    <s v="January"/>
    <x v="0"/>
    <x v="1"/>
    <s v="Spring"/>
    <x v="1"/>
  </r>
  <r>
    <n v="486"/>
    <x v="21"/>
    <n v="1"/>
    <n v="0"/>
    <n v="1"/>
    <x v="7"/>
    <b v="0"/>
    <n v="6"/>
    <n v="1"/>
    <n v="0.02"/>
    <n v="1.52E-2"/>
    <n v="0.44"/>
    <n v="0.28360000000000002"/>
    <n v="0"/>
    <n v="8"/>
    <n v="8"/>
    <s v="Complete"/>
    <n v="1.52E-2"/>
    <n v="2011"/>
    <s v="January"/>
    <x v="0"/>
    <x v="1"/>
    <s v="Spring"/>
    <x v="0"/>
  </r>
  <r>
    <n v="487"/>
    <x v="21"/>
    <n v="1"/>
    <n v="0"/>
    <n v="1"/>
    <x v="8"/>
    <b v="0"/>
    <n v="6"/>
    <n v="1"/>
    <n v="0.02"/>
    <n v="0"/>
    <n v="0.44"/>
    <n v="0.32840000000000003"/>
    <n v="1"/>
    <n v="26"/>
    <n v="27"/>
    <s v="Complete"/>
    <n v="0"/>
    <n v="2011"/>
    <s v="January"/>
    <x v="0"/>
    <x v="1"/>
    <s v="Spring"/>
    <x v="0"/>
  </r>
  <r>
    <n v="488"/>
    <x v="21"/>
    <n v="1"/>
    <n v="0"/>
    <n v="1"/>
    <x v="9"/>
    <b v="0"/>
    <n v="6"/>
    <n v="1"/>
    <n v="0.04"/>
    <n v="3.0300000000000001E-2"/>
    <n v="0.41"/>
    <n v="0.25369999999999998"/>
    <n v="3"/>
    <n v="37"/>
    <n v="40"/>
    <s v="Complete"/>
    <n v="3.0300000000000001E-2"/>
    <n v="2011"/>
    <s v="January"/>
    <x v="0"/>
    <x v="1"/>
    <s v="Spring"/>
    <x v="0"/>
  </r>
  <r>
    <n v="489"/>
    <x v="21"/>
    <n v="1"/>
    <n v="0"/>
    <n v="1"/>
    <x v="10"/>
    <b v="0"/>
    <n v="6"/>
    <n v="2"/>
    <n v="0.04"/>
    <n v="6.0600000000000001E-2"/>
    <n v="0.41"/>
    <n v="0.16420000000000001"/>
    <n v="3"/>
    <n v="50"/>
    <n v="53"/>
    <s v="Complete"/>
    <n v="6.0600000000000001E-2"/>
    <n v="2011"/>
    <s v="January"/>
    <x v="0"/>
    <x v="1"/>
    <s v="Spring"/>
    <x v="1"/>
  </r>
  <r>
    <n v="490"/>
    <x v="21"/>
    <n v="1"/>
    <n v="0"/>
    <n v="1"/>
    <x v="11"/>
    <b v="0"/>
    <n v="6"/>
    <n v="2"/>
    <n v="0.06"/>
    <n v="7.5800000000000006E-2"/>
    <n v="0.38"/>
    <n v="0.1343"/>
    <n v="4"/>
    <n v="59"/>
    <n v="63"/>
    <s v="Complete"/>
    <n v="7.5800000000000006E-2"/>
    <n v="2011"/>
    <s v="January"/>
    <x v="0"/>
    <x v="1"/>
    <s v="Spring"/>
    <x v="1"/>
  </r>
  <r>
    <n v="491"/>
    <x v="21"/>
    <n v="1"/>
    <n v="0"/>
    <n v="1"/>
    <x v="12"/>
    <b v="0"/>
    <n v="6"/>
    <n v="2"/>
    <n v="0.06"/>
    <n v="0.1061"/>
    <n v="0.38"/>
    <n v="0.1045"/>
    <n v="10"/>
    <n v="60"/>
    <n v="70"/>
    <s v="Complete"/>
    <n v="0.1061"/>
    <n v="2011"/>
    <s v="January"/>
    <x v="0"/>
    <x v="2"/>
    <s v="Spring"/>
    <x v="1"/>
  </r>
  <r>
    <n v="492"/>
    <x v="21"/>
    <n v="1"/>
    <n v="0"/>
    <n v="1"/>
    <x v="13"/>
    <b v="0"/>
    <n v="6"/>
    <n v="1"/>
    <n v="0.08"/>
    <n v="0.16669999999999999"/>
    <n v="0.35"/>
    <n v="0"/>
    <n v="12"/>
    <n v="72"/>
    <n v="84"/>
    <s v="Complete"/>
    <n v="0.16669999999999999"/>
    <n v="2011"/>
    <s v="January"/>
    <x v="0"/>
    <x v="2"/>
    <s v="Spring"/>
    <x v="0"/>
  </r>
  <r>
    <n v="493"/>
    <x v="21"/>
    <n v="1"/>
    <n v="0"/>
    <n v="1"/>
    <x v="14"/>
    <b v="0"/>
    <n v="6"/>
    <n v="1"/>
    <n v="0.1"/>
    <n v="0.13639999999999999"/>
    <n v="0.33"/>
    <n v="0.1045"/>
    <n v="11"/>
    <n v="64"/>
    <n v="75"/>
    <s v="Complete"/>
    <n v="0.13639999999999999"/>
    <n v="2011"/>
    <s v="January"/>
    <x v="0"/>
    <x v="2"/>
    <s v="Spring"/>
    <x v="0"/>
  </r>
  <r>
    <n v="494"/>
    <x v="21"/>
    <n v="1"/>
    <n v="0"/>
    <n v="1"/>
    <x v="15"/>
    <b v="0"/>
    <n v="6"/>
    <n v="1"/>
    <n v="0.12"/>
    <n v="0.1515"/>
    <n v="0.28000000000000003"/>
    <n v="0"/>
    <n v="10"/>
    <n v="93"/>
    <n v="103"/>
    <s v="Complete"/>
    <n v="0.1515"/>
    <n v="2011"/>
    <s v="January"/>
    <x v="0"/>
    <x v="2"/>
    <s v="Spring"/>
    <x v="0"/>
  </r>
  <r>
    <n v="495"/>
    <x v="21"/>
    <n v="1"/>
    <n v="0"/>
    <n v="1"/>
    <x v="16"/>
    <b v="0"/>
    <n v="6"/>
    <n v="1"/>
    <n v="0.12"/>
    <n v="0.13639999999999999"/>
    <n v="0.28000000000000003"/>
    <n v="0.19400000000000001"/>
    <n v="11"/>
    <n v="72"/>
    <n v="83"/>
    <s v="Complete"/>
    <n v="0.13639999999999999"/>
    <n v="2011"/>
    <s v="January"/>
    <x v="0"/>
    <x v="2"/>
    <s v="Spring"/>
    <x v="0"/>
  </r>
  <r>
    <n v="496"/>
    <x v="21"/>
    <n v="1"/>
    <n v="0"/>
    <n v="1"/>
    <x v="17"/>
    <b v="0"/>
    <n v="6"/>
    <n v="1"/>
    <n v="0.12"/>
    <n v="0.19700000000000001"/>
    <n v="0.28000000000000003"/>
    <n v="0"/>
    <n v="8"/>
    <n v="59"/>
    <n v="67"/>
    <s v="Complete"/>
    <n v="0.19700000000000001"/>
    <n v="2011"/>
    <s v="January"/>
    <x v="0"/>
    <x v="2"/>
    <s v="Spring"/>
    <x v="0"/>
  </r>
  <r>
    <n v="497"/>
    <x v="21"/>
    <n v="1"/>
    <n v="0"/>
    <n v="1"/>
    <x v="18"/>
    <b v="0"/>
    <n v="6"/>
    <n v="1"/>
    <n v="0.08"/>
    <n v="9.0899999999999995E-2"/>
    <n v="0.35"/>
    <n v="0.19400000000000001"/>
    <n v="0"/>
    <n v="54"/>
    <n v="54"/>
    <s v="Complete"/>
    <n v="9.0899999999999995E-2"/>
    <n v="2011"/>
    <s v="January"/>
    <x v="0"/>
    <x v="3"/>
    <s v="Spring"/>
    <x v="0"/>
  </r>
  <r>
    <n v="498"/>
    <x v="21"/>
    <n v="1"/>
    <n v="0"/>
    <n v="1"/>
    <x v="19"/>
    <b v="0"/>
    <n v="6"/>
    <n v="1"/>
    <n v="0.08"/>
    <n v="0.1061"/>
    <n v="0.35"/>
    <n v="0.1343"/>
    <n v="6"/>
    <n v="53"/>
    <n v="59"/>
    <s v="Complete"/>
    <n v="0.1061"/>
    <n v="2011"/>
    <s v="January"/>
    <x v="0"/>
    <x v="3"/>
    <s v="Spring"/>
    <x v="0"/>
  </r>
  <r>
    <n v="499"/>
    <x v="21"/>
    <n v="1"/>
    <n v="0"/>
    <n v="1"/>
    <x v="20"/>
    <b v="0"/>
    <n v="6"/>
    <n v="1"/>
    <n v="0.06"/>
    <n v="7.5800000000000006E-2"/>
    <n v="0.45"/>
    <n v="0.16420000000000001"/>
    <n v="1"/>
    <n v="44"/>
    <n v="45"/>
    <s v="Complete"/>
    <n v="7.5800000000000006E-2"/>
    <n v="2011"/>
    <s v="January"/>
    <x v="0"/>
    <x v="3"/>
    <s v="Spring"/>
    <x v="0"/>
  </r>
  <r>
    <n v="500"/>
    <x v="21"/>
    <n v="1"/>
    <n v="0"/>
    <n v="1"/>
    <x v="21"/>
    <b v="0"/>
    <n v="6"/>
    <n v="1"/>
    <n v="0.06"/>
    <n v="0.1061"/>
    <n v="0.41"/>
    <n v="8.9599999999999999E-2"/>
    <n v="0"/>
    <n v="39"/>
    <n v="39"/>
    <s v="Complete"/>
    <n v="0.1061"/>
    <n v="2011"/>
    <s v="January"/>
    <x v="0"/>
    <x v="3"/>
    <s v="Spring"/>
    <x v="0"/>
  </r>
  <r>
    <n v="501"/>
    <x v="21"/>
    <n v="1"/>
    <n v="0"/>
    <n v="1"/>
    <x v="22"/>
    <b v="0"/>
    <n v="6"/>
    <n v="1"/>
    <n v="0.06"/>
    <n v="0.1515"/>
    <n v="0.49"/>
    <n v="0"/>
    <n v="7"/>
    <n v="23"/>
    <n v="30"/>
    <s v="Complete"/>
    <n v="0.1515"/>
    <n v="2011"/>
    <s v="January"/>
    <x v="0"/>
    <x v="3"/>
    <s v="Spring"/>
    <x v="0"/>
  </r>
  <r>
    <n v="502"/>
    <x v="21"/>
    <n v="1"/>
    <n v="0"/>
    <n v="1"/>
    <x v="23"/>
    <b v="0"/>
    <n v="6"/>
    <n v="1"/>
    <n v="0.04"/>
    <n v="7.5800000000000006E-2"/>
    <n v="0.56999999999999995"/>
    <n v="0.1045"/>
    <n v="2"/>
    <n v="31"/>
    <n v="33"/>
    <s v="Complete"/>
    <n v="7.5800000000000006E-2"/>
    <n v="2011"/>
    <s v="January"/>
    <x v="0"/>
    <x v="3"/>
    <s v="Spring"/>
    <x v="0"/>
  </r>
  <r>
    <n v="503"/>
    <x v="22"/>
    <n v="1"/>
    <n v="0"/>
    <n v="1"/>
    <x v="0"/>
    <b v="0"/>
    <n v="0"/>
    <n v="1"/>
    <n v="0.04"/>
    <n v="7.5800000000000006E-2"/>
    <n v="0.56999999999999995"/>
    <n v="0.1045"/>
    <n v="2"/>
    <n v="20"/>
    <n v="22"/>
    <s v="Complete"/>
    <n v="7.5800000000000006E-2"/>
    <n v="2011"/>
    <s v="January"/>
    <x v="1"/>
    <x v="0"/>
    <s v="Spring"/>
    <x v="0"/>
  </r>
  <r>
    <n v="504"/>
    <x v="22"/>
    <n v="1"/>
    <n v="0"/>
    <n v="1"/>
    <x v="1"/>
    <b v="0"/>
    <n v="0"/>
    <n v="1"/>
    <n v="0.04"/>
    <n v="7.5800000000000006E-2"/>
    <n v="0.56999999999999995"/>
    <n v="0.1045"/>
    <n v="1"/>
    <n v="12"/>
    <n v="13"/>
    <s v="Complete"/>
    <n v="7.5800000000000006E-2"/>
    <n v="2011"/>
    <s v="January"/>
    <x v="1"/>
    <x v="0"/>
    <s v="Spring"/>
    <x v="0"/>
  </r>
  <r>
    <n v="505"/>
    <x v="22"/>
    <n v="1"/>
    <n v="0"/>
    <n v="1"/>
    <x v="2"/>
    <b v="0"/>
    <n v="0"/>
    <n v="1"/>
    <n v="0.02"/>
    <n v="6.0600000000000001E-2"/>
    <n v="0.62"/>
    <n v="0.1343"/>
    <n v="3"/>
    <n v="15"/>
    <n v="18"/>
    <s v="Complete"/>
    <n v="6.0600000000000001E-2"/>
    <n v="2011"/>
    <s v="January"/>
    <x v="1"/>
    <x v="0"/>
    <s v="Spring"/>
    <x v="0"/>
  </r>
  <r>
    <n v="506"/>
    <x v="22"/>
    <n v="1"/>
    <n v="0"/>
    <n v="1"/>
    <x v="3"/>
    <b v="0"/>
    <n v="0"/>
    <n v="1"/>
    <n v="0.02"/>
    <n v="6.0600000000000001E-2"/>
    <n v="0.62"/>
    <n v="0.1343"/>
    <n v="1"/>
    <n v="4"/>
    <n v="5"/>
    <s v="Complete"/>
    <n v="6.0600000000000001E-2"/>
    <n v="2011"/>
    <s v="January"/>
    <x v="1"/>
    <x v="0"/>
    <s v="Spring"/>
    <x v="0"/>
  </r>
  <r>
    <n v="507"/>
    <x v="22"/>
    <n v="1"/>
    <n v="0"/>
    <n v="1"/>
    <x v="5"/>
    <b v="0"/>
    <n v="0"/>
    <n v="2"/>
    <n v="0.04"/>
    <n v="7.5800000000000006E-2"/>
    <n v="0.56999999999999995"/>
    <n v="0.1045"/>
    <n v="0"/>
    <n v="3"/>
    <n v="3"/>
    <s v="Complete"/>
    <n v="7.5800000000000006E-2"/>
    <n v="2011"/>
    <s v="January"/>
    <x v="1"/>
    <x v="0"/>
    <s v="Spring"/>
    <x v="1"/>
  </r>
  <r>
    <n v="508"/>
    <x v="22"/>
    <n v="1"/>
    <n v="0"/>
    <n v="1"/>
    <x v="6"/>
    <b v="0"/>
    <n v="0"/>
    <n v="2"/>
    <n v="0.04"/>
    <n v="7.5800000000000006E-2"/>
    <n v="0.56999999999999995"/>
    <n v="0.1045"/>
    <n v="0"/>
    <n v="1"/>
    <n v="1"/>
    <s v="Complete"/>
    <n v="7.5800000000000006E-2"/>
    <n v="2011"/>
    <s v="January"/>
    <x v="1"/>
    <x v="1"/>
    <s v="Spring"/>
    <x v="1"/>
  </r>
  <r>
    <n v="509"/>
    <x v="22"/>
    <n v="1"/>
    <n v="0"/>
    <n v="1"/>
    <x v="7"/>
    <b v="0"/>
    <n v="0"/>
    <n v="1"/>
    <n v="0.08"/>
    <n v="0.1061"/>
    <n v="0.57999999999999996"/>
    <n v="0.16420000000000001"/>
    <n v="1"/>
    <n v="1"/>
    <n v="2"/>
    <s v="Complete"/>
    <n v="0.1061"/>
    <n v="2011"/>
    <s v="January"/>
    <x v="1"/>
    <x v="1"/>
    <s v="Spring"/>
    <x v="0"/>
  </r>
  <r>
    <n v="510"/>
    <x v="22"/>
    <n v="1"/>
    <n v="0"/>
    <n v="1"/>
    <x v="8"/>
    <b v="0"/>
    <n v="0"/>
    <n v="1"/>
    <n v="0.06"/>
    <n v="7.5800000000000006E-2"/>
    <n v="0.62"/>
    <n v="0.16420000000000001"/>
    <n v="2"/>
    <n v="17"/>
    <n v="19"/>
    <s v="Complete"/>
    <n v="7.5800000000000006E-2"/>
    <n v="2011"/>
    <s v="January"/>
    <x v="1"/>
    <x v="1"/>
    <s v="Spring"/>
    <x v="0"/>
  </r>
  <r>
    <n v="511"/>
    <x v="22"/>
    <n v="1"/>
    <n v="0"/>
    <n v="1"/>
    <x v="9"/>
    <b v="0"/>
    <n v="0"/>
    <n v="1"/>
    <n v="0.1"/>
    <n v="7.5800000000000006E-2"/>
    <n v="0.54"/>
    <n v="0.35820000000000002"/>
    <n v="3"/>
    <n v="25"/>
    <n v="28"/>
    <s v="Complete"/>
    <n v="7.5800000000000006E-2"/>
    <n v="2011"/>
    <s v="January"/>
    <x v="1"/>
    <x v="1"/>
    <s v="Spring"/>
    <x v="0"/>
  </r>
  <r>
    <n v="512"/>
    <x v="22"/>
    <n v="1"/>
    <n v="0"/>
    <n v="1"/>
    <x v="10"/>
    <b v="0"/>
    <n v="0"/>
    <n v="1"/>
    <n v="0.14000000000000001"/>
    <n v="0.1061"/>
    <n v="0.46"/>
    <n v="0.3881"/>
    <n v="7"/>
    <n v="51"/>
    <n v="58"/>
    <s v="Complete"/>
    <n v="0.1061"/>
    <n v="2011"/>
    <s v="January"/>
    <x v="1"/>
    <x v="1"/>
    <s v="Spring"/>
    <x v="0"/>
  </r>
  <r>
    <n v="513"/>
    <x v="22"/>
    <n v="1"/>
    <n v="0"/>
    <n v="1"/>
    <x v="11"/>
    <b v="0"/>
    <n v="0"/>
    <n v="1"/>
    <n v="0.14000000000000001"/>
    <n v="0.13639999999999999"/>
    <n v="0.43"/>
    <n v="0.22389999999999999"/>
    <n v="22"/>
    <n v="77"/>
    <n v="99"/>
    <s v="Complete"/>
    <n v="0.13639999999999999"/>
    <n v="2011"/>
    <s v="January"/>
    <x v="1"/>
    <x v="1"/>
    <s v="Spring"/>
    <x v="0"/>
  </r>
  <r>
    <n v="514"/>
    <x v="22"/>
    <n v="1"/>
    <n v="0"/>
    <n v="1"/>
    <x v="12"/>
    <b v="0"/>
    <n v="0"/>
    <n v="1"/>
    <n v="0.16"/>
    <n v="0.1212"/>
    <n v="0.37"/>
    <n v="0.4627"/>
    <n v="24"/>
    <n v="92"/>
    <n v="116"/>
    <s v="Complete"/>
    <n v="0.1212"/>
    <n v="2011"/>
    <s v="January"/>
    <x v="1"/>
    <x v="2"/>
    <s v="Spring"/>
    <x v="0"/>
  </r>
  <r>
    <n v="515"/>
    <x v="22"/>
    <n v="1"/>
    <n v="0"/>
    <n v="1"/>
    <x v="13"/>
    <b v="0"/>
    <n v="0"/>
    <n v="1"/>
    <n v="0.14000000000000001"/>
    <n v="0.1061"/>
    <n v="0.33"/>
    <n v="0.3881"/>
    <n v="12"/>
    <n v="75"/>
    <n v="87"/>
    <s v="Complete"/>
    <n v="0.1061"/>
    <n v="2011"/>
    <s v="January"/>
    <x v="1"/>
    <x v="2"/>
    <s v="Spring"/>
    <x v="0"/>
  </r>
  <r>
    <n v="516"/>
    <x v="22"/>
    <n v="1"/>
    <n v="0"/>
    <n v="1"/>
    <x v="14"/>
    <b v="0"/>
    <n v="0"/>
    <n v="1"/>
    <n v="0.16"/>
    <n v="0.13639999999999999"/>
    <n v="0.28000000000000003"/>
    <n v="0.35820000000000002"/>
    <n v="17"/>
    <n v="93"/>
    <n v="110"/>
    <s v="Complete"/>
    <n v="0.13639999999999999"/>
    <n v="2011"/>
    <s v="January"/>
    <x v="1"/>
    <x v="2"/>
    <s v="Spring"/>
    <x v="0"/>
  </r>
  <r>
    <n v="517"/>
    <x v="22"/>
    <n v="1"/>
    <n v="0"/>
    <n v="1"/>
    <x v="15"/>
    <b v="0"/>
    <n v="0"/>
    <n v="1"/>
    <n v="0.16"/>
    <n v="0.13639999999999999"/>
    <n v="0.28000000000000003"/>
    <n v="0.35820000000000002"/>
    <n v="13"/>
    <n v="64"/>
    <n v="77"/>
    <s v="Complete"/>
    <n v="0.13639999999999999"/>
    <n v="2011"/>
    <s v="January"/>
    <x v="1"/>
    <x v="2"/>
    <s v="Spring"/>
    <x v="0"/>
  </r>
  <r>
    <n v="518"/>
    <x v="22"/>
    <n v="1"/>
    <n v="0"/>
    <n v="1"/>
    <x v="16"/>
    <b v="0"/>
    <n v="0"/>
    <n v="1"/>
    <n v="0.16"/>
    <n v="0.13639999999999999"/>
    <n v="0.26"/>
    <n v="0.32840000000000003"/>
    <n v="9"/>
    <n v="56"/>
    <n v="65"/>
    <s v="Complete"/>
    <n v="0.13639999999999999"/>
    <n v="2011"/>
    <s v="January"/>
    <x v="1"/>
    <x v="2"/>
    <s v="Spring"/>
    <x v="0"/>
  </r>
  <r>
    <n v="519"/>
    <x v="22"/>
    <n v="1"/>
    <n v="0"/>
    <n v="1"/>
    <x v="17"/>
    <b v="0"/>
    <n v="0"/>
    <n v="1"/>
    <n v="0.14000000000000001"/>
    <n v="0.1061"/>
    <n v="0.26"/>
    <n v="0.3881"/>
    <n v="5"/>
    <n v="50"/>
    <n v="55"/>
    <s v="Complete"/>
    <n v="0.1061"/>
    <n v="2011"/>
    <s v="January"/>
    <x v="1"/>
    <x v="2"/>
    <s v="Spring"/>
    <x v="0"/>
  </r>
  <r>
    <n v="520"/>
    <x v="22"/>
    <n v="1"/>
    <n v="0"/>
    <n v="1"/>
    <x v="18"/>
    <b v="0"/>
    <n v="0"/>
    <n v="1"/>
    <n v="0.12"/>
    <n v="0.1212"/>
    <n v="0.3"/>
    <n v="0.25369999999999998"/>
    <n v="5"/>
    <n v="44"/>
    <n v="49"/>
    <s v="Complete"/>
    <n v="0.1212"/>
    <n v="2011"/>
    <s v="January"/>
    <x v="1"/>
    <x v="3"/>
    <s v="Spring"/>
    <x v="0"/>
  </r>
  <r>
    <n v="521"/>
    <x v="22"/>
    <n v="1"/>
    <n v="0"/>
    <n v="1"/>
    <x v="19"/>
    <b v="0"/>
    <n v="0"/>
    <n v="1"/>
    <n v="0.12"/>
    <n v="0.1212"/>
    <n v="0.3"/>
    <n v="0.28360000000000002"/>
    <n v="5"/>
    <n v="45"/>
    <n v="50"/>
    <s v="Complete"/>
    <n v="0.1212"/>
    <n v="2011"/>
    <s v="January"/>
    <x v="1"/>
    <x v="3"/>
    <s v="Spring"/>
    <x v="0"/>
  </r>
  <r>
    <n v="522"/>
    <x v="22"/>
    <n v="1"/>
    <n v="0"/>
    <n v="1"/>
    <x v="20"/>
    <b v="0"/>
    <n v="0"/>
    <n v="1"/>
    <n v="0.1"/>
    <n v="0.1061"/>
    <n v="0.36"/>
    <n v="0.25369999999999998"/>
    <n v="4"/>
    <n v="31"/>
    <n v="35"/>
    <s v="Complete"/>
    <n v="0.1061"/>
    <n v="2011"/>
    <s v="January"/>
    <x v="1"/>
    <x v="3"/>
    <s v="Spring"/>
    <x v="0"/>
  </r>
  <r>
    <n v="523"/>
    <x v="22"/>
    <n v="1"/>
    <n v="0"/>
    <n v="1"/>
    <x v="21"/>
    <b v="0"/>
    <n v="0"/>
    <n v="1"/>
    <n v="0.1"/>
    <n v="0.1061"/>
    <n v="0.36"/>
    <n v="0.19400000000000001"/>
    <n v="5"/>
    <n v="20"/>
    <n v="25"/>
    <s v="Complete"/>
    <n v="0.1061"/>
    <n v="2011"/>
    <s v="January"/>
    <x v="1"/>
    <x v="3"/>
    <s v="Spring"/>
    <x v="0"/>
  </r>
  <r>
    <n v="524"/>
    <x v="22"/>
    <n v="1"/>
    <n v="0"/>
    <n v="1"/>
    <x v="22"/>
    <b v="0"/>
    <n v="0"/>
    <n v="1"/>
    <n v="0.08"/>
    <n v="9.0899999999999995E-2"/>
    <n v="0.38"/>
    <n v="0.19400000000000001"/>
    <n v="5"/>
    <n v="23"/>
    <n v="28"/>
    <s v="Complete"/>
    <n v="9.0899999999999995E-2"/>
    <n v="2011"/>
    <s v="January"/>
    <x v="1"/>
    <x v="3"/>
    <s v="Spring"/>
    <x v="0"/>
  </r>
  <r>
    <n v="525"/>
    <x v="22"/>
    <n v="1"/>
    <n v="0"/>
    <n v="1"/>
    <x v="23"/>
    <b v="0"/>
    <n v="0"/>
    <n v="1"/>
    <n v="0.06"/>
    <n v="6.0600000000000001E-2"/>
    <n v="0.41"/>
    <n v="0.22389999999999999"/>
    <n v="4"/>
    <n v="17"/>
    <n v="21"/>
    <s v="Complete"/>
    <n v="6.0600000000000001E-2"/>
    <n v="2011"/>
    <s v="January"/>
    <x v="1"/>
    <x v="3"/>
    <s v="Spring"/>
    <x v="0"/>
  </r>
  <r>
    <n v="526"/>
    <x v="23"/>
    <n v="1"/>
    <n v="0"/>
    <n v="1"/>
    <x v="0"/>
    <b v="0"/>
    <n v="1"/>
    <n v="1"/>
    <n v="0.06"/>
    <n v="6.0600000000000001E-2"/>
    <n v="0.41"/>
    <n v="0.19400000000000001"/>
    <n v="0"/>
    <n v="7"/>
    <n v="7"/>
    <s v="Complete"/>
    <n v="6.0600000000000001E-2"/>
    <n v="2011"/>
    <s v="January"/>
    <x v="2"/>
    <x v="0"/>
    <s v="Spring"/>
    <x v="0"/>
  </r>
  <r>
    <n v="527"/>
    <x v="23"/>
    <n v="1"/>
    <n v="0"/>
    <n v="1"/>
    <x v="1"/>
    <b v="0"/>
    <n v="1"/>
    <n v="1"/>
    <n v="0.04"/>
    <n v="4.5499999999999999E-2"/>
    <n v="0.45"/>
    <n v="0.19400000000000001"/>
    <n v="0"/>
    <n v="1"/>
    <n v="1"/>
    <s v="Complete"/>
    <n v="4.5499999999999999E-2"/>
    <n v="2011"/>
    <s v="January"/>
    <x v="2"/>
    <x v="0"/>
    <s v="Spring"/>
    <x v="0"/>
  </r>
  <r>
    <n v="528"/>
    <x v="23"/>
    <n v="1"/>
    <n v="0"/>
    <n v="1"/>
    <x v="3"/>
    <b v="0"/>
    <n v="1"/>
    <n v="1"/>
    <n v="0.04"/>
    <n v="3.0300000000000001E-2"/>
    <n v="0.45"/>
    <n v="0.25369999999999998"/>
    <n v="0"/>
    <n v="1"/>
    <n v="1"/>
    <s v="Complete"/>
    <n v="3.0300000000000001E-2"/>
    <n v="2011"/>
    <s v="January"/>
    <x v="2"/>
    <x v="0"/>
    <s v="Spring"/>
    <x v="0"/>
  </r>
  <r>
    <n v="529"/>
    <x v="23"/>
    <n v="1"/>
    <n v="0"/>
    <n v="1"/>
    <x v="4"/>
    <b v="0"/>
    <n v="1"/>
    <n v="1"/>
    <n v="0.02"/>
    <n v="6.0600000000000001E-2"/>
    <n v="0.48"/>
    <n v="0.1343"/>
    <n v="0"/>
    <n v="1"/>
    <n v="1"/>
    <s v="Complete"/>
    <n v="6.0600000000000001E-2"/>
    <n v="2011"/>
    <s v="January"/>
    <x v="2"/>
    <x v="0"/>
    <s v="Spring"/>
    <x v="0"/>
  </r>
  <r>
    <n v="530"/>
    <x v="23"/>
    <n v="1"/>
    <n v="0"/>
    <n v="1"/>
    <x v="5"/>
    <b v="0"/>
    <n v="1"/>
    <n v="1"/>
    <n v="0.02"/>
    <n v="6.0600000000000001E-2"/>
    <n v="0.48"/>
    <n v="0.1343"/>
    <n v="0"/>
    <n v="5"/>
    <n v="5"/>
    <s v="Complete"/>
    <n v="6.0600000000000001E-2"/>
    <n v="2011"/>
    <s v="January"/>
    <x v="2"/>
    <x v="0"/>
    <s v="Spring"/>
    <x v="0"/>
  </r>
  <r>
    <n v="531"/>
    <x v="23"/>
    <n v="1"/>
    <n v="0"/>
    <n v="1"/>
    <x v="6"/>
    <b v="0"/>
    <n v="1"/>
    <n v="1"/>
    <n v="0.02"/>
    <n v="7.5800000000000006E-2"/>
    <n v="0.48"/>
    <n v="8.9599999999999999E-2"/>
    <n v="0"/>
    <n v="15"/>
    <n v="15"/>
    <s v="Complete"/>
    <n v="7.5800000000000006E-2"/>
    <n v="2011"/>
    <s v="January"/>
    <x v="2"/>
    <x v="1"/>
    <s v="Spring"/>
    <x v="0"/>
  </r>
  <r>
    <n v="532"/>
    <x v="23"/>
    <n v="1"/>
    <n v="0"/>
    <n v="1"/>
    <x v="7"/>
    <b v="0"/>
    <n v="1"/>
    <n v="1"/>
    <n v="0.02"/>
    <n v="0.1212"/>
    <n v="0.48"/>
    <n v="0"/>
    <n v="5"/>
    <n v="79"/>
    <n v="84"/>
    <s v="Complete"/>
    <n v="0.1212"/>
    <n v="2011"/>
    <s v="January"/>
    <x v="2"/>
    <x v="1"/>
    <s v="Spring"/>
    <x v="0"/>
  </r>
  <r>
    <n v="533"/>
    <x v="23"/>
    <n v="1"/>
    <n v="0"/>
    <n v="1"/>
    <x v="8"/>
    <b v="0"/>
    <n v="1"/>
    <n v="1"/>
    <n v="0.04"/>
    <n v="0.13639999999999999"/>
    <n v="0.49"/>
    <n v="0"/>
    <n v="6"/>
    <n v="171"/>
    <n v="177"/>
    <s v="Complete"/>
    <n v="0.13639999999999999"/>
    <n v="2011"/>
    <s v="January"/>
    <x v="2"/>
    <x v="1"/>
    <s v="Spring"/>
    <x v="0"/>
  </r>
  <r>
    <n v="534"/>
    <x v="23"/>
    <n v="1"/>
    <n v="0"/>
    <n v="1"/>
    <x v="9"/>
    <b v="0"/>
    <n v="1"/>
    <n v="1"/>
    <n v="0.06"/>
    <n v="0.1515"/>
    <n v="0.41"/>
    <n v="0"/>
    <n v="4"/>
    <n v="98"/>
    <n v="102"/>
    <s v="Complete"/>
    <n v="0.1515"/>
    <n v="2011"/>
    <s v="January"/>
    <x v="2"/>
    <x v="1"/>
    <s v="Spring"/>
    <x v="0"/>
  </r>
  <r>
    <n v="535"/>
    <x v="23"/>
    <n v="1"/>
    <n v="0"/>
    <n v="1"/>
    <x v="10"/>
    <b v="0"/>
    <n v="1"/>
    <n v="1"/>
    <n v="0.1"/>
    <n v="0.13639999999999999"/>
    <n v="0.42"/>
    <n v="0"/>
    <n v="6"/>
    <n v="34"/>
    <n v="40"/>
    <s v="Complete"/>
    <n v="0.13639999999999999"/>
    <n v="2011"/>
    <s v="January"/>
    <x v="2"/>
    <x v="1"/>
    <s v="Spring"/>
    <x v="0"/>
  </r>
  <r>
    <n v="536"/>
    <x v="23"/>
    <n v="1"/>
    <n v="0"/>
    <n v="1"/>
    <x v="11"/>
    <b v="0"/>
    <n v="1"/>
    <n v="1"/>
    <n v="0.1"/>
    <n v="0.1212"/>
    <n v="0.46"/>
    <n v="0.1343"/>
    <n v="3"/>
    <n v="43"/>
    <n v="46"/>
    <s v="Complete"/>
    <n v="0.1212"/>
    <n v="2011"/>
    <s v="January"/>
    <x v="2"/>
    <x v="1"/>
    <s v="Spring"/>
    <x v="0"/>
  </r>
  <r>
    <n v="537"/>
    <x v="23"/>
    <n v="1"/>
    <n v="0"/>
    <n v="1"/>
    <x v="12"/>
    <b v="0"/>
    <n v="1"/>
    <n v="2"/>
    <n v="0.12"/>
    <n v="0.13639999999999999"/>
    <n v="0.42"/>
    <n v="0.19400000000000001"/>
    <n v="11"/>
    <n v="52"/>
    <n v="63"/>
    <s v="Complete"/>
    <n v="0.13639999999999999"/>
    <n v="2011"/>
    <s v="January"/>
    <x v="2"/>
    <x v="2"/>
    <s v="Spring"/>
    <x v="1"/>
  </r>
  <r>
    <n v="538"/>
    <x v="23"/>
    <n v="1"/>
    <n v="0"/>
    <n v="1"/>
    <x v="13"/>
    <b v="0"/>
    <n v="1"/>
    <n v="2"/>
    <n v="0.14000000000000001"/>
    <n v="0.13639999999999999"/>
    <n v="0.43"/>
    <n v="0.22389999999999999"/>
    <n v="6"/>
    <n v="54"/>
    <n v="60"/>
    <s v="Complete"/>
    <n v="0.13639999999999999"/>
    <n v="2011"/>
    <s v="January"/>
    <x v="2"/>
    <x v="2"/>
    <s v="Spring"/>
    <x v="1"/>
  </r>
  <r>
    <n v="539"/>
    <x v="23"/>
    <n v="1"/>
    <n v="0"/>
    <n v="1"/>
    <x v="14"/>
    <b v="0"/>
    <n v="1"/>
    <n v="2"/>
    <n v="0.14000000000000001"/>
    <n v="0.13639999999999999"/>
    <n v="0.46"/>
    <n v="0.22389999999999999"/>
    <n v="2"/>
    <n v="43"/>
    <n v="45"/>
    <s v="Complete"/>
    <n v="0.13639999999999999"/>
    <n v="2011"/>
    <s v="January"/>
    <x v="2"/>
    <x v="2"/>
    <s v="Spring"/>
    <x v="1"/>
  </r>
  <r>
    <n v="540"/>
    <x v="23"/>
    <n v="1"/>
    <n v="0"/>
    <n v="1"/>
    <x v="15"/>
    <b v="0"/>
    <n v="1"/>
    <n v="1"/>
    <n v="0.16"/>
    <n v="0.16669999999999999"/>
    <n v="0.4"/>
    <n v="0.16420000000000001"/>
    <n v="7"/>
    <n v="50"/>
    <n v="57"/>
    <s v="Complete"/>
    <n v="0.16669999999999999"/>
    <n v="2011"/>
    <s v="January"/>
    <x v="2"/>
    <x v="2"/>
    <s v="Spring"/>
    <x v="0"/>
  </r>
  <r>
    <n v="541"/>
    <x v="23"/>
    <n v="1"/>
    <n v="0"/>
    <n v="1"/>
    <x v="16"/>
    <b v="0"/>
    <n v="1"/>
    <n v="1"/>
    <n v="0.16"/>
    <n v="0.1515"/>
    <n v="0.47"/>
    <n v="0.25369999999999998"/>
    <n v="4"/>
    <n v="66"/>
    <n v="70"/>
    <s v="Complete"/>
    <n v="0.1515"/>
    <n v="2011"/>
    <s v="January"/>
    <x v="2"/>
    <x v="2"/>
    <s v="Spring"/>
    <x v="0"/>
  </r>
  <r>
    <n v="542"/>
    <x v="23"/>
    <n v="1"/>
    <n v="0"/>
    <n v="1"/>
    <x v="17"/>
    <b v="0"/>
    <n v="1"/>
    <n v="1"/>
    <n v="0.14000000000000001"/>
    <n v="0.1212"/>
    <n v="0.5"/>
    <n v="0.25369999999999998"/>
    <n v="6"/>
    <n v="178"/>
    <n v="184"/>
    <s v="Complete"/>
    <n v="0.1212"/>
    <n v="2011"/>
    <s v="January"/>
    <x v="2"/>
    <x v="2"/>
    <s v="Spring"/>
    <x v="0"/>
  </r>
  <r>
    <n v="543"/>
    <x v="23"/>
    <n v="1"/>
    <n v="0"/>
    <n v="1"/>
    <x v="18"/>
    <b v="0"/>
    <n v="1"/>
    <n v="1"/>
    <n v="0.14000000000000001"/>
    <n v="0.13639999999999999"/>
    <n v="0.59"/>
    <n v="0.19400000000000001"/>
    <n v="8"/>
    <n v="145"/>
    <n v="153"/>
    <s v="Complete"/>
    <n v="0.13639999999999999"/>
    <n v="2011"/>
    <s v="January"/>
    <x v="2"/>
    <x v="3"/>
    <s v="Spring"/>
    <x v="0"/>
  </r>
  <r>
    <n v="544"/>
    <x v="23"/>
    <n v="1"/>
    <n v="0"/>
    <n v="1"/>
    <x v="19"/>
    <b v="0"/>
    <n v="1"/>
    <n v="1"/>
    <n v="0.14000000000000001"/>
    <n v="0.1515"/>
    <n v="0.54"/>
    <n v="0.16420000000000001"/>
    <n v="5"/>
    <n v="101"/>
    <n v="106"/>
    <s v="Complete"/>
    <n v="0.1515"/>
    <n v="2011"/>
    <s v="January"/>
    <x v="2"/>
    <x v="3"/>
    <s v="Spring"/>
    <x v="0"/>
  </r>
  <r>
    <n v="545"/>
    <x v="23"/>
    <n v="1"/>
    <n v="0"/>
    <n v="1"/>
    <x v="20"/>
    <b v="0"/>
    <n v="1"/>
    <n v="1"/>
    <n v="0.14000000000000001"/>
    <n v="0.13639999999999999"/>
    <n v="0.59"/>
    <n v="0.19400000000000001"/>
    <n v="1"/>
    <n v="80"/>
    <n v="81"/>
    <s v="Complete"/>
    <n v="0.13639999999999999"/>
    <n v="2011"/>
    <s v="January"/>
    <x v="2"/>
    <x v="3"/>
    <s v="Spring"/>
    <x v="0"/>
  </r>
  <r>
    <n v="546"/>
    <x v="23"/>
    <n v="1"/>
    <n v="0"/>
    <n v="1"/>
    <x v="21"/>
    <b v="0"/>
    <n v="1"/>
    <n v="1"/>
    <n v="0.14000000000000001"/>
    <n v="0.1515"/>
    <n v="0.63"/>
    <n v="0.16420000000000001"/>
    <n v="6"/>
    <n v="53"/>
    <n v="59"/>
    <s v="Complete"/>
    <n v="0.1515"/>
    <n v="2011"/>
    <s v="January"/>
    <x v="2"/>
    <x v="3"/>
    <s v="Spring"/>
    <x v="0"/>
  </r>
  <r>
    <n v="547"/>
    <x v="23"/>
    <n v="1"/>
    <n v="0"/>
    <n v="1"/>
    <x v="22"/>
    <b v="0"/>
    <n v="1"/>
    <n v="2"/>
    <n v="0.14000000000000001"/>
    <n v="0.13639999999999999"/>
    <n v="0.63"/>
    <n v="0.22389999999999999"/>
    <n v="3"/>
    <n v="32"/>
    <n v="35"/>
    <s v="Complete"/>
    <n v="0.13639999999999999"/>
    <n v="2011"/>
    <s v="January"/>
    <x v="2"/>
    <x v="3"/>
    <s v="Spring"/>
    <x v="1"/>
  </r>
  <r>
    <n v="548"/>
    <x v="23"/>
    <n v="1"/>
    <n v="0"/>
    <n v="1"/>
    <x v="23"/>
    <b v="0"/>
    <n v="1"/>
    <n v="2"/>
    <n v="0.16"/>
    <n v="0.1515"/>
    <n v="0.64"/>
    <n v="0.25369999999999998"/>
    <n v="3"/>
    <n v="21"/>
    <n v="24"/>
    <s v="Complete"/>
    <n v="0.1515"/>
    <n v="2011"/>
    <s v="January"/>
    <x v="2"/>
    <x v="3"/>
    <s v="Spring"/>
    <x v="1"/>
  </r>
  <r>
    <n v="549"/>
    <x v="24"/>
    <n v="1"/>
    <n v="0"/>
    <n v="1"/>
    <x v="0"/>
    <b v="0"/>
    <n v="2"/>
    <n v="2"/>
    <n v="0.16"/>
    <n v="0.13639999999999999"/>
    <n v="0.69"/>
    <n v="0.28360000000000002"/>
    <n v="3"/>
    <n v="6"/>
    <n v="9"/>
    <s v="Complete"/>
    <n v="0.13639999999999999"/>
    <n v="2011"/>
    <s v="January"/>
    <x v="2"/>
    <x v="0"/>
    <s v="Spring"/>
    <x v="1"/>
  </r>
  <r>
    <n v="550"/>
    <x v="24"/>
    <n v="1"/>
    <n v="0"/>
    <n v="1"/>
    <x v="1"/>
    <b v="0"/>
    <n v="2"/>
    <n v="2"/>
    <n v="0.16"/>
    <n v="0.16669999999999999"/>
    <n v="0.69"/>
    <n v="0.16420000000000001"/>
    <n v="0"/>
    <n v="5"/>
    <n v="5"/>
    <s v="Complete"/>
    <n v="0.16669999999999999"/>
    <n v="2011"/>
    <s v="January"/>
    <x v="2"/>
    <x v="0"/>
    <s v="Spring"/>
    <x v="1"/>
  </r>
  <r>
    <n v="551"/>
    <x v="24"/>
    <n v="1"/>
    <n v="0"/>
    <n v="1"/>
    <x v="2"/>
    <b v="0"/>
    <n v="2"/>
    <n v="1"/>
    <n v="0.16"/>
    <n v="0.1515"/>
    <n v="0.69"/>
    <n v="0.22389999999999999"/>
    <n v="0"/>
    <n v="2"/>
    <n v="2"/>
    <s v="Complete"/>
    <n v="0.1515"/>
    <n v="2011"/>
    <s v="January"/>
    <x v="2"/>
    <x v="0"/>
    <s v="Spring"/>
    <x v="0"/>
  </r>
  <r>
    <n v="552"/>
    <x v="24"/>
    <n v="1"/>
    <n v="0"/>
    <n v="1"/>
    <x v="4"/>
    <b v="0"/>
    <n v="2"/>
    <n v="1"/>
    <n v="0.14000000000000001"/>
    <n v="0.16669999999999999"/>
    <n v="0.74"/>
    <n v="0.1045"/>
    <n v="0"/>
    <n v="1"/>
    <n v="1"/>
    <s v="Complete"/>
    <n v="0.16669999999999999"/>
    <n v="2011"/>
    <s v="January"/>
    <x v="2"/>
    <x v="0"/>
    <s v="Spring"/>
    <x v="0"/>
  </r>
  <r>
    <n v="553"/>
    <x v="24"/>
    <n v="1"/>
    <n v="0"/>
    <n v="1"/>
    <x v="5"/>
    <b v="0"/>
    <n v="2"/>
    <n v="1"/>
    <n v="0.14000000000000001"/>
    <n v="0.13639999999999999"/>
    <n v="0.74"/>
    <n v="0.22389999999999999"/>
    <n v="0"/>
    <n v="9"/>
    <n v="9"/>
    <s v="Complete"/>
    <n v="0.13639999999999999"/>
    <n v="2011"/>
    <s v="January"/>
    <x v="2"/>
    <x v="0"/>
    <s v="Spring"/>
    <x v="0"/>
  </r>
  <r>
    <n v="554"/>
    <x v="24"/>
    <n v="1"/>
    <n v="0"/>
    <n v="1"/>
    <x v="6"/>
    <b v="0"/>
    <n v="2"/>
    <n v="1"/>
    <n v="0.16"/>
    <n v="0.18179999999999999"/>
    <n v="0.74"/>
    <n v="0.1045"/>
    <n v="1"/>
    <n v="35"/>
    <n v="36"/>
    <s v="Complete"/>
    <n v="0.18179999999999999"/>
    <n v="2011"/>
    <s v="January"/>
    <x v="2"/>
    <x v="1"/>
    <s v="Spring"/>
    <x v="0"/>
  </r>
  <r>
    <n v="555"/>
    <x v="24"/>
    <n v="1"/>
    <n v="0"/>
    <n v="1"/>
    <x v="7"/>
    <b v="0"/>
    <n v="2"/>
    <n v="1"/>
    <n v="0.16"/>
    <n v="0.1515"/>
    <n v="0.74"/>
    <n v="0.22389999999999999"/>
    <n v="5"/>
    <n v="103"/>
    <n v="108"/>
    <s v="Complete"/>
    <n v="0.1515"/>
    <n v="2011"/>
    <s v="January"/>
    <x v="2"/>
    <x v="1"/>
    <s v="Spring"/>
    <x v="0"/>
  </r>
  <r>
    <n v="556"/>
    <x v="24"/>
    <n v="1"/>
    <n v="0"/>
    <n v="1"/>
    <x v="8"/>
    <b v="0"/>
    <n v="2"/>
    <n v="2"/>
    <n v="0.16"/>
    <n v="0.18179999999999999"/>
    <n v="0.74"/>
    <n v="0.1343"/>
    <n v="5"/>
    <n v="233"/>
    <n v="238"/>
    <s v="Complete"/>
    <n v="0.18179999999999999"/>
    <n v="2011"/>
    <s v="January"/>
    <x v="2"/>
    <x v="1"/>
    <s v="Spring"/>
    <x v="1"/>
  </r>
  <r>
    <n v="557"/>
    <x v="24"/>
    <n v="1"/>
    <n v="0"/>
    <n v="1"/>
    <x v="9"/>
    <b v="0"/>
    <n v="2"/>
    <n v="2"/>
    <n v="0.2"/>
    <n v="0.2273"/>
    <n v="0.64"/>
    <n v="8.9599999999999999E-2"/>
    <n v="10"/>
    <n v="134"/>
    <n v="144"/>
    <s v="Complete"/>
    <n v="0.2273"/>
    <n v="2011"/>
    <s v="January"/>
    <x v="2"/>
    <x v="1"/>
    <s v="Spring"/>
    <x v="1"/>
  </r>
  <r>
    <n v="558"/>
    <x v="24"/>
    <n v="1"/>
    <n v="0"/>
    <n v="1"/>
    <x v="10"/>
    <b v="0"/>
    <n v="2"/>
    <n v="2"/>
    <n v="0.22"/>
    <n v="0.2424"/>
    <n v="0.6"/>
    <n v="0.1045"/>
    <n v="6"/>
    <n v="49"/>
    <n v="55"/>
    <s v="Complete"/>
    <n v="0.2424"/>
    <n v="2011"/>
    <s v="January"/>
    <x v="2"/>
    <x v="1"/>
    <s v="Spring"/>
    <x v="1"/>
  </r>
  <r>
    <n v="559"/>
    <x v="24"/>
    <n v="1"/>
    <n v="0"/>
    <n v="1"/>
    <x v="11"/>
    <b v="0"/>
    <n v="2"/>
    <n v="2"/>
    <n v="0.24"/>
    <n v="0.2424"/>
    <n v="0.6"/>
    <n v="0.1343"/>
    <n v="6"/>
    <n v="55"/>
    <n v="61"/>
    <s v="Complete"/>
    <n v="0.2424"/>
    <n v="2011"/>
    <s v="January"/>
    <x v="2"/>
    <x v="1"/>
    <s v="Spring"/>
    <x v="1"/>
  </r>
  <r>
    <n v="560"/>
    <x v="24"/>
    <n v="1"/>
    <n v="0"/>
    <n v="1"/>
    <x v="12"/>
    <b v="0"/>
    <n v="2"/>
    <n v="2"/>
    <n v="0.26"/>
    <n v="0.28789999999999999"/>
    <n v="0.56000000000000005"/>
    <n v="8.9599999999999999E-2"/>
    <n v="21"/>
    <n v="85"/>
    <n v="106"/>
    <s v="Complete"/>
    <n v="0.28789999999999999"/>
    <n v="2011"/>
    <s v="January"/>
    <x v="2"/>
    <x v="2"/>
    <s v="Spring"/>
    <x v="1"/>
  </r>
  <r>
    <n v="561"/>
    <x v="24"/>
    <n v="1"/>
    <n v="0"/>
    <n v="1"/>
    <x v="13"/>
    <b v="0"/>
    <n v="2"/>
    <n v="2"/>
    <n v="0.26"/>
    <n v="0.2727"/>
    <n v="0.56000000000000005"/>
    <n v="0.1343"/>
    <n v="21"/>
    <n v="72"/>
    <n v="93"/>
    <s v="Complete"/>
    <n v="0.2727"/>
    <n v="2011"/>
    <s v="January"/>
    <x v="2"/>
    <x v="2"/>
    <s v="Spring"/>
    <x v="1"/>
  </r>
  <r>
    <n v="562"/>
    <x v="24"/>
    <n v="1"/>
    <n v="0"/>
    <n v="1"/>
    <x v="14"/>
    <b v="0"/>
    <n v="2"/>
    <n v="2"/>
    <n v="0.3"/>
    <n v="0.33329999999999999"/>
    <n v="0.45"/>
    <n v="0"/>
    <n v="11"/>
    <n v="57"/>
    <n v="68"/>
    <s v="Complete"/>
    <n v="0.33329999999999999"/>
    <n v="2011"/>
    <s v="January"/>
    <x v="2"/>
    <x v="2"/>
    <s v="Spring"/>
    <x v="1"/>
  </r>
  <r>
    <n v="563"/>
    <x v="24"/>
    <n v="1"/>
    <n v="0"/>
    <n v="1"/>
    <x v="15"/>
    <b v="0"/>
    <n v="2"/>
    <n v="2"/>
    <n v="0.32"/>
    <n v="0.34849999999999998"/>
    <n v="0.42"/>
    <n v="0"/>
    <n v="21"/>
    <n v="63"/>
    <n v="84"/>
    <s v="Complete"/>
    <n v="0.34849999999999998"/>
    <n v="2011"/>
    <s v="January"/>
    <x v="2"/>
    <x v="2"/>
    <s v="Spring"/>
    <x v="1"/>
  </r>
  <r>
    <n v="564"/>
    <x v="24"/>
    <n v="1"/>
    <n v="0"/>
    <n v="1"/>
    <x v="16"/>
    <b v="0"/>
    <n v="2"/>
    <n v="2"/>
    <n v="0.32"/>
    <n v="0.34849999999999998"/>
    <n v="0.42"/>
    <n v="0"/>
    <n v="14"/>
    <n v="102"/>
    <n v="116"/>
    <s v="Complete"/>
    <n v="0.34849999999999998"/>
    <n v="2011"/>
    <s v="January"/>
    <x v="2"/>
    <x v="2"/>
    <s v="Spring"/>
    <x v="1"/>
  </r>
  <r>
    <n v="565"/>
    <x v="24"/>
    <n v="1"/>
    <n v="0"/>
    <n v="1"/>
    <x v="17"/>
    <b v="0"/>
    <n v="2"/>
    <n v="1"/>
    <n v="0.3"/>
    <n v="0.33329999999999999"/>
    <n v="0.45"/>
    <n v="0"/>
    <n v="14"/>
    <n v="208"/>
    <n v="222"/>
    <s v="Complete"/>
    <n v="0.33329999999999999"/>
    <n v="2011"/>
    <s v="January"/>
    <x v="2"/>
    <x v="2"/>
    <s v="Spring"/>
    <x v="0"/>
  </r>
  <r>
    <n v="566"/>
    <x v="24"/>
    <n v="1"/>
    <n v="0"/>
    <n v="1"/>
    <x v="18"/>
    <b v="0"/>
    <n v="2"/>
    <n v="2"/>
    <n v="0.3"/>
    <n v="0.31819999999999998"/>
    <n v="0.49"/>
    <n v="8.9599999999999999E-2"/>
    <n v="7"/>
    <n v="218"/>
    <n v="225"/>
    <s v="Complete"/>
    <n v="0.31819999999999998"/>
    <n v="2011"/>
    <s v="January"/>
    <x v="2"/>
    <x v="3"/>
    <s v="Spring"/>
    <x v="1"/>
  </r>
  <r>
    <n v="567"/>
    <x v="24"/>
    <n v="1"/>
    <n v="0"/>
    <n v="1"/>
    <x v="19"/>
    <b v="0"/>
    <n v="2"/>
    <n v="2"/>
    <n v="0.26"/>
    <n v="0.2576"/>
    <n v="0.65"/>
    <n v="0.16420000000000001"/>
    <n v="13"/>
    <n v="133"/>
    <n v="146"/>
    <s v="Complete"/>
    <n v="0.2576"/>
    <n v="2011"/>
    <s v="January"/>
    <x v="2"/>
    <x v="3"/>
    <s v="Spring"/>
    <x v="1"/>
  </r>
  <r>
    <n v="568"/>
    <x v="24"/>
    <n v="1"/>
    <n v="0"/>
    <n v="1"/>
    <x v="20"/>
    <b v="0"/>
    <n v="2"/>
    <n v="1"/>
    <n v="0.24"/>
    <n v="0.2273"/>
    <n v="0.65"/>
    <n v="0.19400000000000001"/>
    <n v="16"/>
    <n v="103"/>
    <n v="119"/>
    <s v="Complete"/>
    <n v="0.2273"/>
    <n v="2011"/>
    <s v="January"/>
    <x v="2"/>
    <x v="3"/>
    <s v="Spring"/>
    <x v="0"/>
  </r>
  <r>
    <n v="569"/>
    <x v="24"/>
    <n v="1"/>
    <n v="0"/>
    <n v="1"/>
    <x v="21"/>
    <b v="0"/>
    <n v="2"/>
    <n v="1"/>
    <n v="0.24"/>
    <n v="0.2273"/>
    <n v="0.65"/>
    <n v="0.19400000000000001"/>
    <n v="5"/>
    <n v="40"/>
    <n v="45"/>
    <s v="Complete"/>
    <n v="0.2273"/>
    <n v="2011"/>
    <s v="January"/>
    <x v="2"/>
    <x v="3"/>
    <s v="Spring"/>
    <x v="0"/>
  </r>
  <r>
    <n v="570"/>
    <x v="24"/>
    <n v="1"/>
    <n v="0"/>
    <n v="1"/>
    <x v="22"/>
    <b v="0"/>
    <n v="2"/>
    <n v="1"/>
    <n v="0.22"/>
    <n v="0.2273"/>
    <n v="0.64"/>
    <n v="0.16420000000000001"/>
    <n v="4"/>
    <n v="49"/>
    <n v="53"/>
    <s v="Complete"/>
    <n v="0.2273"/>
    <n v="2011"/>
    <s v="January"/>
    <x v="2"/>
    <x v="3"/>
    <s v="Spring"/>
    <x v="0"/>
  </r>
  <r>
    <n v="571"/>
    <x v="24"/>
    <n v="1"/>
    <n v="0"/>
    <n v="1"/>
    <x v="23"/>
    <b v="0"/>
    <n v="2"/>
    <n v="2"/>
    <n v="0.22"/>
    <n v="0.2273"/>
    <n v="0.64"/>
    <n v="0.16420000000000001"/>
    <n v="3"/>
    <n v="37"/>
    <n v="40"/>
    <s v="Complete"/>
    <n v="0.2273"/>
    <n v="2011"/>
    <s v="January"/>
    <x v="2"/>
    <x v="3"/>
    <s v="Spring"/>
    <x v="1"/>
  </r>
  <r>
    <n v="572"/>
    <x v="25"/>
    <n v="1"/>
    <n v="0"/>
    <n v="1"/>
    <x v="0"/>
    <b v="0"/>
    <n v="3"/>
    <n v="2"/>
    <n v="0.22"/>
    <n v="0.2273"/>
    <n v="0.69"/>
    <n v="0.1343"/>
    <n v="3"/>
    <n v="14"/>
    <n v="17"/>
    <s v="Complete"/>
    <n v="0.2273"/>
    <n v="2011"/>
    <s v="January"/>
    <x v="2"/>
    <x v="0"/>
    <s v="Spring"/>
    <x v="1"/>
  </r>
  <r>
    <n v="573"/>
    <x v="25"/>
    <n v="1"/>
    <n v="0"/>
    <n v="1"/>
    <x v="1"/>
    <b v="0"/>
    <n v="3"/>
    <n v="2"/>
    <n v="0.24"/>
    <n v="0.2424"/>
    <n v="0.65"/>
    <n v="0.1343"/>
    <n v="0"/>
    <n v="5"/>
    <n v="5"/>
    <s v="Complete"/>
    <n v="0.2424"/>
    <n v="2011"/>
    <s v="January"/>
    <x v="2"/>
    <x v="0"/>
    <s v="Spring"/>
    <x v="1"/>
  </r>
  <r>
    <n v="574"/>
    <x v="25"/>
    <n v="1"/>
    <n v="0"/>
    <n v="1"/>
    <x v="2"/>
    <b v="0"/>
    <n v="3"/>
    <n v="3"/>
    <n v="0.22"/>
    <n v="0.2273"/>
    <n v="0.69"/>
    <n v="0.19400000000000001"/>
    <n v="3"/>
    <n v="7"/>
    <n v="10"/>
    <s v="Complete"/>
    <n v="0.2273"/>
    <n v="2011"/>
    <s v="January"/>
    <x v="2"/>
    <x v="0"/>
    <s v="Spring"/>
    <x v="2"/>
  </r>
  <r>
    <n v="575"/>
    <x v="25"/>
    <n v="1"/>
    <n v="0"/>
    <n v="1"/>
    <x v="5"/>
    <b v="0"/>
    <n v="3"/>
    <n v="3"/>
    <n v="0.2"/>
    <n v="0.18179999999999999"/>
    <n v="0.86"/>
    <n v="0.28360000000000002"/>
    <n v="0"/>
    <n v="1"/>
    <n v="1"/>
    <s v="Complete"/>
    <n v="0.18179999999999999"/>
    <n v="2011"/>
    <s v="January"/>
    <x v="2"/>
    <x v="0"/>
    <s v="Spring"/>
    <x v="2"/>
  </r>
  <r>
    <n v="576"/>
    <x v="25"/>
    <n v="1"/>
    <n v="0"/>
    <n v="1"/>
    <x v="6"/>
    <b v="0"/>
    <n v="3"/>
    <n v="3"/>
    <n v="0.2"/>
    <n v="0.18179999999999999"/>
    <n v="0.86"/>
    <n v="0.28360000000000002"/>
    <n v="0"/>
    <n v="8"/>
    <n v="8"/>
    <s v="Complete"/>
    <n v="0.18179999999999999"/>
    <n v="2011"/>
    <s v="January"/>
    <x v="2"/>
    <x v="1"/>
    <s v="Spring"/>
    <x v="2"/>
  </r>
  <r>
    <n v="577"/>
    <x v="25"/>
    <n v="1"/>
    <n v="0"/>
    <n v="1"/>
    <x v="7"/>
    <b v="0"/>
    <n v="3"/>
    <n v="3"/>
    <n v="0.22"/>
    <n v="0.21210000000000001"/>
    <n v="0.87"/>
    <n v="0.29849999999999999"/>
    <n v="1"/>
    <n v="29"/>
    <n v="30"/>
    <s v="Complete"/>
    <n v="0.21210000000000001"/>
    <n v="2011"/>
    <s v="January"/>
    <x v="2"/>
    <x v="1"/>
    <s v="Spring"/>
    <x v="2"/>
  </r>
  <r>
    <n v="578"/>
    <x v="25"/>
    <n v="1"/>
    <n v="0"/>
    <n v="1"/>
    <x v="8"/>
    <b v="0"/>
    <n v="3"/>
    <n v="3"/>
    <n v="0.22"/>
    <n v="0.21210000000000001"/>
    <n v="0.87"/>
    <n v="0.29849999999999999"/>
    <n v="3"/>
    <n v="69"/>
    <n v="72"/>
    <s v="Complete"/>
    <n v="0.21210000000000001"/>
    <n v="2011"/>
    <s v="January"/>
    <x v="2"/>
    <x v="1"/>
    <s v="Spring"/>
    <x v="2"/>
  </r>
  <r>
    <n v="579"/>
    <x v="25"/>
    <n v="1"/>
    <n v="0"/>
    <n v="1"/>
    <x v="9"/>
    <b v="0"/>
    <n v="3"/>
    <n v="3"/>
    <n v="0.22"/>
    <n v="0.21210000000000001"/>
    <n v="0.87"/>
    <n v="0.29849999999999999"/>
    <n v="3"/>
    <n v="55"/>
    <n v="58"/>
    <s v="Complete"/>
    <n v="0.21210000000000001"/>
    <n v="2011"/>
    <s v="January"/>
    <x v="2"/>
    <x v="1"/>
    <s v="Spring"/>
    <x v="2"/>
  </r>
  <r>
    <n v="580"/>
    <x v="25"/>
    <n v="1"/>
    <n v="0"/>
    <n v="1"/>
    <x v="10"/>
    <b v="0"/>
    <n v="3"/>
    <n v="3"/>
    <n v="0.22"/>
    <n v="0.21210000000000001"/>
    <n v="0.93"/>
    <n v="0.28360000000000002"/>
    <n v="2"/>
    <n v="26"/>
    <n v="28"/>
    <s v="Complete"/>
    <n v="0.21210000000000001"/>
    <n v="2011"/>
    <s v="January"/>
    <x v="2"/>
    <x v="1"/>
    <s v="Spring"/>
    <x v="2"/>
  </r>
  <r>
    <n v="581"/>
    <x v="25"/>
    <n v="1"/>
    <n v="0"/>
    <n v="1"/>
    <x v="11"/>
    <b v="0"/>
    <n v="3"/>
    <n v="3"/>
    <n v="0.22"/>
    <n v="0.19700000000000001"/>
    <n v="0.93"/>
    <n v="0.32840000000000003"/>
    <n v="6"/>
    <n v="35"/>
    <n v="41"/>
    <s v="Complete"/>
    <n v="0.19700000000000001"/>
    <n v="2011"/>
    <s v="January"/>
    <x v="2"/>
    <x v="1"/>
    <s v="Spring"/>
    <x v="2"/>
  </r>
  <r>
    <n v="582"/>
    <x v="25"/>
    <n v="1"/>
    <n v="0"/>
    <n v="1"/>
    <x v="12"/>
    <b v="0"/>
    <n v="3"/>
    <n v="3"/>
    <n v="0.22"/>
    <n v="0.19700000000000001"/>
    <n v="0.93"/>
    <n v="0.32840000000000003"/>
    <n v="7"/>
    <n v="41"/>
    <n v="48"/>
    <s v="Complete"/>
    <n v="0.19700000000000001"/>
    <n v="2011"/>
    <s v="January"/>
    <x v="2"/>
    <x v="2"/>
    <s v="Spring"/>
    <x v="2"/>
  </r>
  <r>
    <n v="583"/>
    <x v="25"/>
    <n v="1"/>
    <n v="0"/>
    <n v="1"/>
    <x v="13"/>
    <b v="0"/>
    <n v="3"/>
    <n v="3"/>
    <n v="0.22"/>
    <n v="0.19700000000000001"/>
    <n v="0.93"/>
    <n v="0.32840000000000003"/>
    <n v="4"/>
    <n v="43"/>
    <n v="47"/>
    <s v="Complete"/>
    <n v="0.19700000000000001"/>
    <n v="2011"/>
    <s v="January"/>
    <x v="2"/>
    <x v="2"/>
    <s v="Spring"/>
    <x v="2"/>
  </r>
  <r>
    <n v="584"/>
    <x v="25"/>
    <n v="1"/>
    <n v="0"/>
    <n v="1"/>
    <x v="14"/>
    <b v="0"/>
    <n v="3"/>
    <n v="3"/>
    <n v="0.22"/>
    <n v="0.19700000000000001"/>
    <n v="0.93"/>
    <n v="0.35820000000000002"/>
    <n v="0"/>
    <n v="36"/>
    <n v="36"/>
    <s v="Complete"/>
    <n v="0.19700000000000001"/>
    <n v="2011"/>
    <s v="January"/>
    <x v="2"/>
    <x v="2"/>
    <s v="Spring"/>
    <x v="2"/>
  </r>
  <r>
    <n v="585"/>
    <x v="25"/>
    <n v="1"/>
    <n v="0"/>
    <n v="1"/>
    <x v="15"/>
    <b v="0"/>
    <n v="3"/>
    <n v="3"/>
    <n v="0.22"/>
    <n v="0.18179999999999999"/>
    <n v="0.93"/>
    <n v="0.4627"/>
    <n v="1"/>
    <n v="42"/>
    <n v="43"/>
    <s v="Complete"/>
    <n v="0.18179999999999999"/>
    <n v="2011"/>
    <s v="January"/>
    <x v="2"/>
    <x v="2"/>
    <s v="Spring"/>
    <x v="2"/>
  </r>
  <r>
    <n v="586"/>
    <x v="25"/>
    <n v="1"/>
    <n v="0"/>
    <n v="1"/>
    <x v="16"/>
    <b v="0"/>
    <n v="3"/>
    <n v="4"/>
    <n v="0.22"/>
    <n v="0.19700000000000001"/>
    <n v="0.93"/>
    <n v="0.32840000000000003"/>
    <n v="1"/>
    <n v="35"/>
    <n v="36"/>
    <s v="Complete"/>
    <n v="0.19700000000000001"/>
    <n v="2011"/>
    <s v="January"/>
    <x v="2"/>
    <x v="2"/>
    <s v="Spring"/>
    <x v="3"/>
  </r>
  <r>
    <n v="587"/>
    <x v="25"/>
    <n v="1"/>
    <n v="0"/>
    <n v="1"/>
    <x v="17"/>
    <b v="0"/>
    <n v="3"/>
    <n v="3"/>
    <n v="0.2"/>
    <n v="0.18179999999999999"/>
    <n v="0.93"/>
    <n v="0.35820000000000002"/>
    <n v="0"/>
    <n v="26"/>
    <n v="26"/>
    <s v="Complete"/>
    <n v="0.18179999999999999"/>
    <n v="2011"/>
    <s v="January"/>
    <x v="2"/>
    <x v="2"/>
    <s v="Spring"/>
    <x v="2"/>
  </r>
  <r>
    <n v="588"/>
    <x v="26"/>
    <n v="1"/>
    <n v="0"/>
    <n v="1"/>
    <x v="16"/>
    <b v="0"/>
    <n v="4"/>
    <n v="1"/>
    <n v="0.22"/>
    <n v="0.2273"/>
    <n v="0.55000000000000004"/>
    <n v="0.19400000000000001"/>
    <n v="1"/>
    <n v="23"/>
    <n v="24"/>
    <s v="Complete"/>
    <n v="0.2273"/>
    <n v="2011"/>
    <s v="January"/>
    <x v="2"/>
    <x v="2"/>
    <s v="Spring"/>
    <x v="0"/>
  </r>
  <r>
    <n v="589"/>
    <x v="26"/>
    <n v="1"/>
    <n v="0"/>
    <n v="1"/>
    <x v="17"/>
    <b v="0"/>
    <n v="4"/>
    <n v="1"/>
    <n v="0.22"/>
    <n v="0.2424"/>
    <n v="0.55000000000000004"/>
    <n v="0.1045"/>
    <n v="2"/>
    <n v="82"/>
    <n v="84"/>
    <s v="Complete"/>
    <n v="0.2424"/>
    <n v="2011"/>
    <s v="January"/>
    <x v="2"/>
    <x v="2"/>
    <s v="Spring"/>
    <x v="0"/>
  </r>
  <r>
    <n v="590"/>
    <x v="26"/>
    <n v="1"/>
    <n v="0"/>
    <n v="1"/>
    <x v="18"/>
    <b v="0"/>
    <n v="4"/>
    <n v="1"/>
    <n v="0.2"/>
    <n v="0.2273"/>
    <n v="0.69"/>
    <n v="8.9599999999999999E-2"/>
    <n v="3"/>
    <n v="101"/>
    <n v="104"/>
    <s v="Complete"/>
    <n v="0.2273"/>
    <n v="2011"/>
    <s v="January"/>
    <x v="2"/>
    <x v="3"/>
    <s v="Spring"/>
    <x v="0"/>
  </r>
  <r>
    <n v="591"/>
    <x v="26"/>
    <n v="1"/>
    <n v="0"/>
    <n v="1"/>
    <x v="19"/>
    <b v="0"/>
    <n v="4"/>
    <n v="1"/>
    <n v="0.2"/>
    <n v="0.2273"/>
    <n v="0.69"/>
    <n v="8.9599999999999999E-2"/>
    <n v="3"/>
    <n v="76"/>
    <n v="79"/>
    <s v="Complete"/>
    <n v="0.2273"/>
    <n v="2011"/>
    <s v="January"/>
    <x v="2"/>
    <x v="3"/>
    <s v="Spring"/>
    <x v="0"/>
  </r>
  <r>
    <n v="592"/>
    <x v="26"/>
    <n v="1"/>
    <n v="0"/>
    <n v="1"/>
    <x v="20"/>
    <b v="0"/>
    <n v="4"/>
    <n v="1"/>
    <n v="0.18"/>
    <n v="0.21210000000000001"/>
    <n v="0.74"/>
    <n v="8.9599999999999999E-2"/>
    <n v="4"/>
    <n v="55"/>
    <n v="59"/>
    <s v="Complete"/>
    <n v="0.21210000000000001"/>
    <n v="2011"/>
    <s v="January"/>
    <x v="2"/>
    <x v="3"/>
    <s v="Spring"/>
    <x v="0"/>
  </r>
  <r>
    <n v="593"/>
    <x v="26"/>
    <n v="1"/>
    <n v="0"/>
    <n v="1"/>
    <x v="21"/>
    <b v="0"/>
    <n v="4"/>
    <n v="1"/>
    <n v="0.18"/>
    <n v="0.21210000000000001"/>
    <n v="0.74"/>
    <n v="8.9599999999999999E-2"/>
    <n v="2"/>
    <n v="36"/>
    <n v="38"/>
    <s v="Complete"/>
    <n v="0.21210000000000001"/>
    <n v="2011"/>
    <s v="January"/>
    <x v="2"/>
    <x v="3"/>
    <s v="Spring"/>
    <x v="0"/>
  </r>
  <r>
    <n v="594"/>
    <x v="26"/>
    <n v="1"/>
    <n v="0"/>
    <n v="1"/>
    <x v="22"/>
    <b v="0"/>
    <n v="4"/>
    <n v="1"/>
    <n v="0.18"/>
    <n v="0.21210000000000001"/>
    <n v="0.74"/>
    <n v="8.9599999999999999E-2"/>
    <n v="0"/>
    <n v="27"/>
    <n v="27"/>
    <s v="Complete"/>
    <n v="0.21210000000000001"/>
    <n v="2011"/>
    <s v="January"/>
    <x v="2"/>
    <x v="3"/>
    <s v="Spring"/>
    <x v="0"/>
  </r>
  <r>
    <n v="595"/>
    <x v="26"/>
    <n v="1"/>
    <n v="0"/>
    <n v="1"/>
    <x v="23"/>
    <b v="0"/>
    <n v="4"/>
    <n v="1"/>
    <n v="0.18"/>
    <n v="0.19700000000000001"/>
    <n v="0.8"/>
    <n v="0.16420000000000001"/>
    <n v="0"/>
    <n v="16"/>
    <n v="16"/>
    <s v="Complete"/>
    <n v="0.19700000000000001"/>
    <n v="2011"/>
    <s v="January"/>
    <x v="2"/>
    <x v="3"/>
    <s v="Spring"/>
    <x v="0"/>
  </r>
  <r>
    <n v="596"/>
    <x v="27"/>
    <n v="1"/>
    <n v="0"/>
    <n v="1"/>
    <x v="0"/>
    <b v="0"/>
    <n v="5"/>
    <n v="2"/>
    <n v="0.2"/>
    <n v="0.21210000000000001"/>
    <n v="0.75"/>
    <n v="0.1343"/>
    <n v="0"/>
    <n v="9"/>
    <n v="9"/>
    <s v="Complete"/>
    <n v="0.21210000000000001"/>
    <n v="2011"/>
    <s v="January"/>
    <x v="2"/>
    <x v="0"/>
    <s v="Spring"/>
    <x v="1"/>
  </r>
  <r>
    <n v="597"/>
    <x v="27"/>
    <n v="1"/>
    <n v="0"/>
    <n v="1"/>
    <x v="1"/>
    <b v="0"/>
    <n v="5"/>
    <n v="2"/>
    <n v="0.2"/>
    <n v="0.21210000000000001"/>
    <n v="0.75"/>
    <n v="0.1343"/>
    <n v="1"/>
    <n v="2"/>
    <n v="3"/>
    <s v="Complete"/>
    <n v="0.21210000000000001"/>
    <n v="2011"/>
    <s v="January"/>
    <x v="2"/>
    <x v="0"/>
    <s v="Spring"/>
    <x v="1"/>
  </r>
  <r>
    <n v="598"/>
    <x v="27"/>
    <n v="1"/>
    <n v="0"/>
    <n v="1"/>
    <x v="2"/>
    <b v="0"/>
    <n v="5"/>
    <n v="2"/>
    <n v="0.2"/>
    <n v="0.21210000000000001"/>
    <n v="0.75"/>
    <n v="0.16420000000000001"/>
    <n v="0"/>
    <n v="2"/>
    <n v="2"/>
    <s v="Complete"/>
    <n v="0.21210000000000001"/>
    <n v="2011"/>
    <s v="January"/>
    <x v="2"/>
    <x v="0"/>
    <s v="Spring"/>
    <x v="1"/>
  </r>
  <r>
    <n v="599"/>
    <x v="27"/>
    <n v="1"/>
    <n v="0"/>
    <n v="1"/>
    <x v="3"/>
    <b v="0"/>
    <n v="5"/>
    <n v="2"/>
    <n v="0.2"/>
    <n v="0.2273"/>
    <n v="0.75"/>
    <n v="0.1045"/>
    <n v="1"/>
    <n v="0"/>
    <n v="1"/>
    <s v="Complete"/>
    <n v="0.2273"/>
    <n v="2011"/>
    <s v="January"/>
    <x v="2"/>
    <x v="0"/>
    <s v="Spring"/>
    <x v="1"/>
  </r>
  <r>
    <n v="600"/>
    <x v="27"/>
    <n v="1"/>
    <n v="0"/>
    <n v="1"/>
    <x v="5"/>
    <b v="0"/>
    <n v="5"/>
    <n v="2"/>
    <n v="0.18"/>
    <n v="0.21210000000000001"/>
    <n v="0.8"/>
    <n v="0.1045"/>
    <n v="0"/>
    <n v="4"/>
    <n v="4"/>
    <s v="Complete"/>
    <n v="0.21210000000000001"/>
    <n v="2011"/>
    <s v="January"/>
    <x v="2"/>
    <x v="0"/>
    <s v="Spring"/>
    <x v="1"/>
  </r>
  <r>
    <n v="601"/>
    <x v="27"/>
    <n v="1"/>
    <n v="0"/>
    <n v="1"/>
    <x v="6"/>
    <b v="0"/>
    <n v="5"/>
    <n v="2"/>
    <n v="0.18"/>
    <n v="0.19700000000000001"/>
    <n v="0.8"/>
    <n v="0.1343"/>
    <n v="0"/>
    <n v="16"/>
    <n v="16"/>
    <s v="Complete"/>
    <n v="0.19700000000000001"/>
    <n v="2011"/>
    <s v="January"/>
    <x v="2"/>
    <x v="1"/>
    <s v="Spring"/>
    <x v="1"/>
  </r>
  <r>
    <n v="602"/>
    <x v="27"/>
    <n v="1"/>
    <n v="0"/>
    <n v="1"/>
    <x v="7"/>
    <b v="0"/>
    <n v="5"/>
    <n v="2"/>
    <n v="0.16"/>
    <n v="0.19700000000000001"/>
    <n v="0.86"/>
    <n v="8.9599999999999999E-2"/>
    <n v="2"/>
    <n v="58"/>
    <n v="60"/>
    <s v="Complete"/>
    <n v="0.19700000000000001"/>
    <n v="2011"/>
    <s v="January"/>
    <x v="2"/>
    <x v="1"/>
    <s v="Spring"/>
    <x v="1"/>
  </r>
  <r>
    <n v="603"/>
    <x v="27"/>
    <n v="1"/>
    <n v="0"/>
    <n v="1"/>
    <x v="8"/>
    <b v="0"/>
    <n v="5"/>
    <n v="2"/>
    <n v="0.16"/>
    <n v="0.19700000000000001"/>
    <n v="0.86"/>
    <n v="8.9599999999999999E-2"/>
    <n v="2"/>
    <n v="155"/>
    <n v="157"/>
    <s v="Complete"/>
    <n v="0.19700000000000001"/>
    <n v="2011"/>
    <s v="January"/>
    <x v="2"/>
    <x v="1"/>
    <s v="Spring"/>
    <x v="1"/>
  </r>
  <r>
    <n v="604"/>
    <x v="27"/>
    <n v="1"/>
    <n v="0"/>
    <n v="1"/>
    <x v="9"/>
    <b v="0"/>
    <n v="5"/>
    <n v="3"/>
    <n v="0.18"/>
    <n v="0.21210000000000001"/>
    <n v="0.86"/>
    <n v="8.9599999999999999E-2"/>
    <n v="6"/>
    <n v="95"/>
    <n v="101"/>
    <s v="Complete"/>
    <n v="0.21210000000000001"/>
    <n v="2011"/>
    <s v="January"/>
    <x v="2"/>
    <x v="1"/>
    <s v="Spring"/>
    <x v="2"/>
  </r>
  <r>
    <n v="605"/>
    <x v="27"/>
    <n v="1"/>
    <n v="0"/>
    <n v="1"/>
    <x v="10"/>
    <b v="0"/>
    <n v="5"/>
    <n v="3"/>
    <n v="0.18"/>
    <n v="0.21210000000000001"/>
    <n v="0.86"/>
    <n v="0.1045"/>
    <n v="0"/>
    <n v="49"/>
    <n v="49"/>
    <s v="Complete"/>
    <n v="0.21210000000000001"/>
    <n v="2011"/>
    <s v="January"/>
    <x v="2"/>
    <x v="1"/>
    <s v="Spring"/>
    <x v="2"/>
  </r>
  <r>
    <n v="606"/>
    <x v="27"/>
    <n v="1"/>
    <n v="0"/>
    <n v="1"/>
    <x v="11"/>
    <b v="0"/>
    <n v="5"/>
    <n v="3"/>
    <n v="0.18"/>
    <n v="0.21210000000000001"/>
    <n v="0.93"/>
    <n v="0.1045"/>
    <n v="0"/>
    <n v="30"/>
    <n v="30"/>
    <s v="Complete"/>
    <n v="0.21210000000000001"/>
    <n v="2011"/>
    <s v="January"/>
    <x v="2"/>
    <x v="1"/>
    <s v="Spring"/>
    <x v="2"/>
  </r>
  <r>
    <n v="607"/>
    <x v="27"/>
    <n v="1"/>
    <n v="0"/>
    <n v="1"/>
    <x v="12"/>
    <b v="0"/>
    <n v="5"/>
    <n v="3"/>
    <n v="0.18"/>
    <n v="0.21210000000000001"/>
    <n v="0.93"/>
    <n v="0.1045"/>
    <n v="1"/>
    <n v="28"/>
    <n v="29"/>
    <s v="Complete"/>
    <n v="0.21210000000000001"/>
    <n v="2011"/>
    <s v="January"/>
    <x v="2"/>
    <x v="2"/>
    <s v="Spring"/>
    <x v="2"/>
  </r>
  <r>
    <n v="608"/>
    <x v="27"/>
    <n v="1"/>
    <n v="0"/>
    <n v="1"/>
    <x v="13"/>
    <b v="0"/>
    <n v="5"/>
    <n v="3"/>
    <n v="0.18"/>
    <n v="0.21210000000000001"/>
    <n v="0.93"/>
    <n v="0.1045"/>
    <n v="0"/>
    <n v="31"/>
    <n v="31"/>
    <s v="Complete"/>
    <n v="0.21210000000000001"/>
    <n v="2011"/>
    <s v="January"/>
    <x v="2"/>
    <x v="2"/>
    <s v="Spring"/>
    <x v="2"/>
  </r>
  <r>
    <n v="609"/>
    <x v="27"/>
    <n v="1"/>
    <n v="0"/>
    <n v="1"/>
    <x v="14"/>
    <b v="0"/>
    <n v="5"/>
    <n v="3"/>
    <n v="0.22"/>
    <n v="0.2727"/>
    <n v="0.8"/>
    <n v="0"/>
    <n v="2"/>
    <n v="36"/>
    <n v="38"/>
    <s v="Complete"/>
    <n v="0.2727"/>
    <n v="2011"/>
    <s v="January"/>
    <x v="2"/>
    <x v="2"/>
    <s v="Spring"/>
    <x v="2"/>
  </r>
  <r>
    <n v="610"/>
    <x v="27"/>
    <n v="1"/>
    <n v="0"/>
    <n v="1"/>
    <x v="15"/>
    <b v="0"/>
    <n v="5"/>
    <n v="2"/>
    <n v="0.2"/>
    <n v="0.2576"/>
    <n v="0.86"/>
    <n v="0"/>
    <n v="1"/>
    <n v="40"/>
    <n v="41"/>
    <s v="Complete"/>
    <n v="0.2576"/>
    <n v="2011"/>
    <s v="January"/>
    <x v="2"/>
    <x v="2"/>
    <s v="Spring"/>
    <x v="1"/>
  </r>
  <r>
    <n v="620"/>
    <x v="28"/>
    <n v="1"/>
    <n v="0"/>
    <n v="1"/>
    <x v="1"/>
    <b v="0"/>
    <n v="6"/>
    <n v="1"/>
    <n v="0.22"/>
    <n v="0.2273"/>
    <n v="0.64"/>
    <n v="0.19400000000000001"/>
    <n v="0"/>
    <n v="20"/>
    <n v="20"/>
    <s v="Complete"/>
    <n v="0.2273"/>
    <n v="2011"/>
    <s v="January"/>
    <x v="0"/>
    <x v="0"/>
    <s v="Spring"/>
    <x v="0"/>
  </r>
  <r>
    <n v="621"/>
    <x v="28"/>
    <n v="1"/>
    <n v="0"/>
    <n v="1"/>
    <x v="2"/>
    <b v="0"/>
    <n v="6"/>
    <n v="1"/>
    <n v="0.22"/>
    <n v="0.2273"/>
    <n v="0.64"/>
    <n v="0.16420000000000001"/>
    <n v="0"/>
    <n v="15"/>
    <n v="15"/>
    <s v="Complete"/>
    <n v="0.2273"/>
    <n v="2011"/>
    <s v="January"/>
    <x v="0"/>
    <x v="0"/>
    <s v="Spring"/>
    <x v="0"/>
  </r>
  <r>
    <n v="622"/>
    <x v="28"/>
    <n v="1"/>
    <n v="0"/>
    <n v="1"/>
    <x v="3"/>
    <b v="0"/>
    <n v="6"/>
    <n v="1"/>
    <n v="0.2"/>
    <n v="0.21210000000000001"/>
    <n v="0.64"/>
    <n v="0.1343"/>
    <n v="3"/>
    <n v="5"/>
    <n v="8"/>
    <s v="Complete"/>
    <n v="0.21210000000000001"/>
    <n v="2011"/>
    <s v="January"/>
    <x v="0"/>
    <x v="0"/>
    <s v="Spring"/>
    <x v="0"/>
  </r>
  <r>
    <n v="623"/>
    <x v="28"/>
    <n v="1"/>
    <n v="0"/>
    <n v="1"/>
    <x v="4"/>
    <b v="0"/>
    <n v="6"/>
    <n v="1"/>
    <n v="0.16"/>
    <n v="0.18179999999999999"/>
    <n v="0.69"/>
    <n v="0.1045"/>
    <n v="1"/>
    <n v="2"/>
    <n v="3"/>
    <s v="Complete"/>
    <n v="0.18179999999999999"/>
    <n v="2011"/>
    <s v="January"/>
    <x v="0"/>
    <x v="0"/>
    <s v="Spring"/>
    <x v="0"/>
  </r>
  <r>
    <n v="624"/>
    <x v="28"/>
    <n v="1"/>
    <n v="0"/>
    <n v="1"/>
    <x v="6"/>
    <b v="0"/>
    <n v="6"/>
    <n v="1"/>
    <n v="0.16"/>
    <n v="0.18179999999999999"/>
    <n v="0.64"/>
    <n v="0.1343"/>
    <n v="0"/>
    <n v="2"/>
    <n v="2"/>
    <s v="Complete"/>
    <n v="0.18179999999999999"/>
    <n v="2011"/>
    <s v="January"/>
    <x v="0"/>
    <x v="1"/>
    <s v="Spring"/>
    <x v="0"/>
  </r>
  <r>
    <n v="625"/>
    <x v="28"/>
    <n v="1"/>
    <n v="0"/>
    <n v="1"/>
    <x v="7"/>
    <b v="0"/>
    <n v="6"/>
    <n v="1"/>
    <n v="0.16"/>
    <n v="0.18179999999999999"/>
    <n v="0.59"/>
    <n v="0.1045"/>
    <n v="1"/>
    <n v="4"/>
    <n v="5"/>
    <s v="Complete"/>
    <n v="0.18179999999999999"/>
    <n v="2011"/>
    <s v="January"/>
    <x v="0"/>
    <x v="1"/>
    <s v="Spring"/>
    <x v="0"/>
  </r>
  <r>
    <n v="626"/>
    <x v="28"/>
    <n v="1"/>
    <n v="0"/>
    <n v="1"/>
    <x v="8"/>
    <b v="0"/>
    <n v="6"/>
    <n v="1"/>
    <n v="0.18"/>
    <n v="0.19700000000000001"/>
    <n v="0.55000000000000004"/>
    <n v="0.16420000000000001"/>
    <n v="3"/>
    <n v="31"/>
    <n v="34"/>
    <s v="Complete"/>
    <n v="0.19700000000000001"/>
    <n v="2011"/>
    <s v="January"/>
    <x v="0"/>
    <x v="1"/>
    <s v="Spring"/>
    <x v="0"/>
  </r>
  <r>
    <n v="627"/>
    <x v="28"/>
    <n v="1"/>
    <n v="0"/>
    <n v="1"/>
    <x v="9"/>
    <b v="0"/>
    <n v="6"/>
    <n v="1"/>
    <n v="0.18"/>
    <n v="0.21210000000000001"/>
    <n v="0.59"/>
    <n v="8.9599999999999999E-2"/>
    <n v="0"/>
    <n v="34"/>
    <n v="34"/>
    <s v="Complete"/>
    <n v="0.21210000000000001"/>
    <n v="2011"/>
    <s v="January"/>
    <x v="0"/>
    <x v="1"/>
    <s v="Spring"/>
    <x v="0"/>
  </r>
  <r>
    <n v="628"/>
    <x v="28"/>
    <n v="1"/>
    <n v="0"/>
    <n v="1"/>
    <x v="10"/>
    <b v="0"/>
    <n v="6"/>
    <n v="2"/>
    <n v="0.18"/>
    <n v="0.21210000000000001"/>
    <n v="0.64"/>
    <n v="0.1045"/>
    <n v="4"/>
    <n v="51"/>
    <n v="55"/>
    <s v="Complete"/>
    <n v="0.21210000000000001"/>
    <n v="2011"/>
    <s v="January"/>
    <x v="0"/>
    <x v="1"/>
    <s v="Spring"/>
    <x v="1"/>
  </r>
  <r>
    <n v="629"/>
    <x v="28"/>
    <n v="1"/>
    <n v="0"/>
    <n v="1"/>
    <x v="11"/>
    <b v="0"/>
    <n v="6"/>
    <n v="2"/>
    <n v="0.18"/>
    <n v="0.19700000000000001"/>
    <n v="0.64"/>
    <n v="0.1343"/>
    <n v="4"/>
    <n v="60"/>
    <n v="64"/>
    <s v="Complete"/>
    <n v="0.19700000000000001"/>
    <n v="2011"/>
    <s v="January"/>
    <x v="0"/>
    <x v="1"/>
    <s v="Spring"/>
    <x v="1"/>
  </r>
  <r>
    <n v="630"/>
    <x v="28"/>
    <n v="1"/>
    <n v="0"/>
    <n v="1"/>
    <x v="12"/>
    <b v="0"/>
    <n v="6"/>
    <n v="2"/>
    <n v="0.2"/>
    <n v="0.19700000000000001"/>
    <n v="0.59"/>
    <n v="0.19400000000000001"/>
    <n v="12"/>
    <n v="66"/>
    <n v="78"/>
    <s v="Complete"/>
    <n v="0.19700000000000001"/>
    <n v="2011"/>
    <s v="January"/>
    <x v="0"/>
    <x v="2"/>
    <s v="Spring"/>
    <x v="1"/>
  </r>
  <r>
    <n v="631"/>
    <x v="28"/>
    <n v="1"/>
    <n v="0"/>
    <n v="1"/>
    <x v="13"/>
    <b v="0"/>
    <n v="6"/>
    <n v="2"/>
    <n v="0.22"/>
    <n v="0.2273"/>
    <n v="0.55000000000000004"/>
    <n v="0.16420000000000001"/>
    <n v="9"/>
    <n v="56"/>
    <n v="65"/>
    <s v="Complete"/>
    <n v="0.2273"/>
    <n v="2011"/>
    <s v="January"/>
    <x v="0"/>
    <x v="2"/>
    <s v="Spring"/>
    <x v="1"/>
  </r>
  <r>
    <n v="632"/>
    <x v="28"/>
    <n v="1"/>
    <n v="0"/>
    <n v="1"/>
    <x v="14"/>
    <b v="0"/>
    <n v="6"/>
    <n v="2"/>
    <n v="0.22"/>
    <n v="0.2273"/>
    <n v="0.6"/>
    <n v="0.1343"/>
    <n v="10"/>
    <n v="89"/>
    <n v="99"/>
    <s v="Complete"/>
    <n v="0.2273"/>
    <n v="2011"/>
    <s v="January"/>
    <x v="0"/>
    <x v="2"/>
    <s v="Spring"/>
    <x v="1"/>
  </r>
  <r>
    <n v="633"/>
    <x v="28"/>
    <n v="1"/>
    <n v="0"/>
    <n v="1"/>
    <x v="15"/>
    <b v="0"/>
    <n v="6"/>
    <n v="1"/>
    <n v="0.22"/>
    <n v="0.21210000000000001"/>
    <n v="0.69"/>
    <n v="0.25369999999999998"/>
    <n v="22"/>
    <n v="98"/>
    <n v="120"/>
    <s v="Complete"/>
    <n v="0.21210000000000001"/>
    <n v="2011"/>
    <s v="January"/>
    <x v="0"/>
    <x v="2"/>
    <s v="Spring"/>
    <x v="0"/>
  </r>
  <r>
    <n v="634"/>
    <x v="28"/>
    <n v="1"/>
    <n v="0"/>
    <n v="1"/>
    <x v="16"/>
    <b v="0"/>
    <n v="6"/>
    <n v="1"/>
    <n v="0.24"/>
    <n v="0.2424"/>
    <n v="0.6"/>
    <n v="0.16420000000000001"/>
    <n v="19"/>
    <n v="88"/>
    <n v="107"/>
    <s v="Complete"/>
    <n v="0.2424"/>
    <n v="2011"/>
    <s v="January"/>
    <x v="0"/>
    <x v="2"/>
    <s v="Spring"/>
    <x v="0"/>
  </r>
  <r>
    <n v="635"/>
    <x v="28"/>
    <n v="1"/>
    <n v="0"/>
    <n v="1"/>
    <x v="17"/>
    <b v="0"/>
    <n v="6"/>
    <n v="1"/>
    <n v="0.24"/>
    <n v="0.28789999999999999"/>
    <n v="0.6"/>
    <n v="0"/>
    <n v="9"/>
    <n v="82"/>
    <n v="91"/>
    <s v="Complete"/>
    <n v="0.28789999999999999"/>
    <n v="2011"/>
    <s v="January"/>
    <x v="0"/>
    <x v="2"/>
    <s v="Spring"/>
    <x v="0"/>
  </r>
  <r>
    <n v="636"/>
    <x v="28"/>
    <n v="1"/>
    <n v="0"/>
    <n v="1"/>
    <x v="18"/>
    <b v="0"/>
    <n v="6"/>
    <n v="1"/>
    <n v="0.22"/>
    <n v="0.2273"/>
    <n v="0.69"/>
    <n v="0.1343"/>
    <n v="9"/>
    <n v="59"/>
    <n v="68"/>
    <s v="Complete"/>
    <n v="0.2273"/>
    <n v="2011"/>
    <s v="January"/>
    <x v="0"/>
    <x v="3"/>
    <s v="Spring"/>
    <x v="0"/>
  </r>
  <r>
    <n v="637"/>
    <x v="28"/>
    <n v="1"/>
    <n v="0"/>
    <n v="1"/>
    <x v="19"/>
    <b v="0"/>
    <n v="6"/>
    <n v="2"/>
    <n v="0.22"/>
    <n v="0.21210000000000001"/>
    <n v="0.69"/>
    <n v="0.25369999999999998"/>
    <n v="6"/>
    <n v="52"/>
    <n v="58"/>
    <s v="Complete"/>
    <n v="0.21210000000000001"/>
    <n v="2011"/>
    <s v="January"/>
    <x v="0"/>
    <x v="3"/>
    <s v="Spring"/>
    <x v="1"/>
  </r>
  <r>
    <n v="638"/>
    <x v="28"/>
    <n v="1"/>
    <n v="0"/>
    <n v="1"/>
    <x v="20"/>
    <b v="0"/>
    <n v="6"/>
    <n v="1"/>
    <n v="0.18"/>
    <n v="0.21210000000000001"/>
    <n v="0.74"/>
    <n v="8.9599999999999999E-2"/>
    <n v="1"/>
    <n v="42"/>
    <n v="43"/>
    <s v="Complete"/>
    <n v="0.21210000000000001"/>
    <n v="2011"/>
    <s v="January"/>
    <x v="0"/>
    <x v="3"/>
    <s v="Spring"/>
    <x v="0"/>
  </r>
  <r>
    <n v="639"/>
    <x v="28"/>
    <n v="1"/>
    <n v="0"/>
    <n v="1"/>
    <x v="21"/>
    <b v="0"/>
    <n v="6"/>
    <n v="1"/>
    <n v="0.18"/>
    <n v="0.21210000000000001"/>
    <n v="0.74"/>
    <n v="8.9599999999999999E-2"/>
    <n v="1"/>
    <n v="35"/>
    <n v="36"/>
    <s v="Complete"/>
    <n v="0.21210000000000001"/>
    <n v="2011"/>
    <s v="January"/>
    <x v="0"/>
    <x v="3"/>
    <s v="Spring"/>
    <x v="0"/>
  </r>
  <r>
    <n v="640"/>
    <x v="28"/>
    <n v="1"/>
    <n v="0"/>
    <n v="1"/>
    <x v="22"/>
    <b v="0"/>
    <n v="6"/>
    <n v="1"/>
    <n v="0.16"/>
    <n v="0.19700000000000001"/>
    <n v="0.8"/>
    <n v="8.9599999999999999E-2"/>
    <n v="4"/>
    <n v="28"/>
    <n v="32"/>
    <s v="Complete"/>
    <n v="0.19700000000000001"/>
    <n v="2011"/>
    <s v="January"/>
    <x v="0"/>
    <x v="3"/>
    <s v="Spring"/>
    <x v="0"/>
  </r>
  <r>
    <n v="641"/>
    <x v="28"/>
    <n v="1"/>
    <n v="0"/>
    <n v="1"/>
    <x v="23"/>
    <b v="0"/>
    <n v="6"/>
    <n v="1"/>
    <n v="0.16"/>
    <n v="0.19700000000000001"/>
    <n v="0.8"/>
    <n v="8.9599999999999999E-2"/>
    <n v="3"/>
    <n v="30"/>
    <n v="33"/>
    <s v="Complete"/>
    <n v="0.19700000000000001"/>
    <n v="2011"/>
    <s v="January"/>
    <x v="0"/>
    <x v="3"/>
    <s v="Spring"/>
    <x v="0"/>
  </r>
  <r>
    <n v="642"/>
    <x v="29"/>
    <n v="1"/>
    <n v="0"/>
    <n v="1"/>
    <x v="0"/>
    <b v="0"/>
    <n v="0"/>
    <n v="1"/>
    <n v="0.16"/>
    <n v="0.18179999999999999"/>
    <n v="0.8"/>
    <n v="0.1045"/>
    <n v="0"/>
    <n v="33"/>
    <n v="33"/>
    <s v="Complete"/>
    <n v="0.18179999999999999"/>
    <n v="2011"/>
    <s v="January"/>
    <x v="1"/>
    <x v="0"/>
    <s v="Spring"/>
    <x v="0"/>
  </r>
  <r>
    <n v="643"/>
    <x v="29"/>
    <n v="1"/>
    <n v="0"/>
    <n v="1"/>
    <x v="1"/>
    <b v="0"/>
    <n v="0"/>
    <n v="1"/>
    <n v="0.14000000000000001"/>
    <n v="0.21210000000000001"/>
    <n v="0.8"/>
    <n v="0"/>
    <n v="7"/>
    <n v="22"/>
    <n v="29"/>
    <s v="Complete"/>
    <n v="0.21210000000000001"/>
    <n v="2011"/>
    <s v="January"/>
    <x v="1"/>
    <x v="0"/>
    <s v="Spring"/>
    <x v="0"/>
  </r>
  <r>
    <n v="644"/>
    <x v="29"/>
    <n v="1"/>
    <n v="0"/>
    <n v="1"/>
    <x v="2"/>
    <b v="0"/>
    <n v="0"/>
    <n v="1"/>
    <n v="0.16"/>
    <n v="0.2273"/>
    <n v="0.8"/>
    <n v="0"/>
    <n v="1"/>
    <n v="10"/>
    <n v="11"/>
    <s v="Complete"/>
    <n v="0.2273"/>
    <n v="2011"/>
    <s v="January"/>
    <x v="1"/>
    <x v="0"/>
    <s v="Spring"/>
    <x v="0"/>
  </r>
  <r>
    <n v="645"/>
    <x v="29"/>
    <n v="1"/>
    <n v="0"/>
    <n v="1"/>
    <x v="3"/>
    <b v="0"/>
    <n v="0"/>
    <n v="1"/>
    <n v="0.14000000000000001"/>
    <n v="0.21210000000000001"/>
    <n v="0.93"/>
    <n v="0"/>
    <n v="1"/>
    <n v="7"/>
    <n v="8"/>
    <s v="Complete"/>
    <n v="0.21210000000000001"/>
    <n v="2011"/>
    <s v="January"/>
    <x v="1"/>
    <x v="0"/>
    <s v="Spring"/>
    <x v="0"/>
  </r>
  <r>
    <n v="646"/>
    <x v="29"/>
    <n v="1"/>
    <n v="0"/>
    <n v="1"/>
    <x v="4"/>
    <b v="0"/>
    <n v="0"/>
    <n v="1"/>
    <n v="0.14000000000000001"/>
    <n v="0.21210000000000001"/>
    <n v="0.93"/>
    <n v="0"/>
    <n v="0"/>
    <n v="1"/>
    <n v="1"/>
    <s v="Complete"/>
    <n v="0.21210000000000001"/>
    <n v="2011"/>
    <s v="January"/>
    <x v="1"/>
    <x v="0"/>
    <s v="Spring"/>
    <x v="0"/>
  </r>
  <r>
    <n v="647"/>
    <x v="29"/>
    <n v="1"/>
    <n v="0"/>
    <n v="1"/>
    <x v="5"/>
    <b v="0"/>
    <n v="0"/>
    <n v="1"/>
    <n v="0.14000000000000001"/>
    <n v="0.21210000000000001"/>
    <n v="0.86"/>
    <n v="0"/>
    <n v="0"/>
    <n v="3"/>
    <n v="3"/>
    <s v="Complete"/>
    <n v="0.21210000000000001"/>
    <n v="2011"/>
    <s v="January"/>
    <x v="1"/>
    <x v="0"/>
    <s v="Spring"/>
    <x v="0"/>
  </r>
  <r>
    <n v="648"/>
    <x v="29"/>
    <n v="1"/>
    <n v="0"/>
    <n v="1"/>
    <x v="7"/>
    <b v="0"/>
    <n v="0"/>
    <n v="1"/>
    <n v="0.14000000000000001"/>
    <n v="0.21210000000000001"/>
    <n v="0.86"/>
    <n v="0"/>
    <n v="0"/>
    <n v="3"/>
    <n v="3"/>
    <s v="Complete"/>
    <n v="0.21210000000000001"/>
    <n v="2011"/>
    <s v="January"/>
    <x v="1"/>
    <x v="1"/>
    <s v="Spring"/>
    <x v="0"/>
  </r>
  <r>
    <n v="649"/>
    <x v="29"/>
    <n v="1"/>
    <n v="0"/>
    <n v="1"/>
    <x v="8"/>
    <b v="0"/>
    <n v="0"/>
    <n v="2"/>
    <n v="0.14000000000000001"/>
    <n v="0.21210000000000001"/>
    <n v="0.86"/>
    <n v="0"/>
    <n v="1"/>
    <n v="11"/>
    <n v="12"/>
    <s v="Complete"/>
    <n v="0.21210000000000001"/>
    <n v="2011"/>
    <s v="January"/>
    <x v="1"/>
    <x v="1"/>
    <s v="Spring"/>
    <x v="1"/>
  </r>
  <r>
    <n v="650"/>
    <x v="29"/>
    <n v="1"/>
    <n v="0"/>
    <n v="1"/>
    <x v="9"/>
    <b v="0"/>
    <n v="0"/>
    <n v="2"/>
    <n v="0.16"/>
    <n v="0.2273"/>
    <n v="0.8"/>
    <n v="0"/>
    <n v="4"/>
    <n v="34"/>
    <n v="38"/>
    <s v="Complete"/>
    <n v="0.2273"/>
    <n v="2011"/>
    <s v="January"/>
    <x v="1"/>
    <x v="1"/>
    <s v="Spring"/>
    <x v="1"/>
  </r>
  <r>
    <n v="651"/>
    <x v="29"/>
    <n v="1"/>
    <n v="0"/>
    <n v="1"/>
    <x v="10"/>
    <b v="0"/>
    <n v="0"/>
    <n v="2"/>
    <n v="0.18"/>
    <n v="0.2424"/>
    <n v="0.8"/>
    <n v="0"/>
    <n v="7"/>
    <n v="57"/>
    <n v="64"/>
    <s v="Complete"/>
    <n v="0.2424"/>
    <n v="2011"/>
    <s v="January"/>
    <x v="1"/>
    <x v="1"/>
    <s v="Spring"/>
    <x v="1"/>
  </r>
  <r>
    <n v="652"/>
    <x v="29"/>
    <n v="1"/>
    <n v="0"/>
    <n v="1"/>
    <x v="11"/>
    <b v="0"/>
    <n v="0"/>
    <n v="1"/>
    <n v="0.22"/>
    <n v="0.2727"/>
    <n v="0.75"/>
    <n v="0"/>
    <n v="9"/>
    <n v="50"/>
    <n v="59"/>
    <s v="Complete"/>
    <n v="0.2727"/>
    <n v="2011"/>
    <s v="January"/>
    <x v="1"/>
    <x v="1"/>
    <s v="Spring"/>
    <x v="0"/>
  </r>
  <r>
    <n v="653"/>
    <x v="29"/>
    <n v="1"/>
    <n v="0"/>
    <n v="1"/>
    <x v="12"/>
    <b v="0"/>
    <n v="0"/>
    <n v="1"/>
    <n v="0.3"/>
    <n v="0.31819999999999998"/>
    <n v="0.52"/>
    <n v="0.1045"/>
    <n v="10"/>
    <n v="87"/>
    <n v="97"/>
    <s v="Complete"/>
    <n v="0.31819999999999998"/>
    <n v="2011"/>
    <s v="January"/>
    <x v="1"/>
    <x v="2"/>
    <s v="Spring"/>
    <x v="0"/>
  </r>
  <r>
    <n v="654"/>
    <x v="29"/>
    <n v="1"/>
    <n v="0"/>
    <n v="1"/>
    <x v="13"/>
    <b v="0"/>
    <n v="0"/>
    <n v="1"/>
    <n v="0.28000000000000003"/>
    <n v="0.28789999999999999"/>
    <n v="0.61"/>
    <n v="0.1045"/>
    <n v="13"/>
    <n v="71"/>
    <n v="84"/>
    <s v="Complete"/>
    <n v="0.28789999999999999"/>
    <n v="2011"/>
    <s v="January"/>
    <x v="1"/>
    <x v="2"/>
    <s v="Spring"/>
    <x v="0"/>
  </r>
  <r>
    <n v="655"/>
    <x v="29"/>
    <n v="1"/>
    <n v="0"/>
    <n v="1"/>
    <x v="14"/>
    <b v="0"/>
    <n v="0"/>
    <n v="1"/>
    <n v="0.28000000000000003"/>
    <n v="0.30299999999999999"/>
    <n v="0.61"/>
    <n v="8.9599999999999999E-2"/>
    <n v="18"/>
    <n v="104"/>
    <n v="122"/>
    <s v="Complete"/>
    <n v="0.30299999999999999"/>
    <n v="2011"/>
    <s v="January"/>
    <x v="1"/>
    <x v="2"/>
    <s v="Spring"/>
    <x v="0"/>
  </r>
  <r>
    <n v="656"/>
    <x v="29"/>
    <n v="1"/>
    <n v="0"/>
    <n v="1"/>
    <x v="15"/>
    <b v="0"/>
    <n v="0"/>
    <n v="1"/>
    <n v="0.3"/>
    <n v="0.33329999999999999"/>
    <n v="0.56000000000000005"/>
    <n v="0"/>
    <n v="14"/>
    <n v="95"/>
    <n v="109"/>
    <s v="Complete"/>
    <n v="0.33329999999999999"/>
    <n v="2011"/>
    <s v="January"/>
    <x v="1"/>
    <x v="2"/>
    <s v="Spring"/>
    <x v="0"/>
  </r>
  <r>
    <n v="657"/>
    <x v="29"/>
    <n v="1"/>
    <n v="0"/>
    <n v="1"/>
    <x v="16"/>
    <b v="0"/>
    <n v="0"/>
    <n v="1"/>
    <n v="0.3"/>
    <n v="0.33329999999999999"/>
    <n v="0.56000000000000005"/>
    <n v="0"/>
    <n v="19"/>
    <n v="104"/>
    <n v="123"/>
    <s v="Complete"/>
    <n v="0.33329999999999999"/>
    <n v="2011"/>
    <s v="January"/>
    <x v="1"/>
    <x v="2"/>
    <s v="Spring"/>
    <x v="0"/>
  </r>
  <r>
    <n v="658"/>
    <x v="29"/>
    <n v="1"/>
    <n v="0"/>
    <n v="1"/>
    <x v="17"/>
    <b v="0"/>
    <n v="0"/>
    <n v="1"/>
    <n v="0.3"/>
    <n v="0.28789999999999999"/>
    <n v="0.56000000000000005"/>
    <n v="0.19400000000000001"/>
    <n v="6"/>
    <n v="71"/>
    <n v="77"/>
    <s v="Complete"/>
    <n v="0.28789999999999999"/>
    <n v="2011"/>
    <s v="January"/>
    <x v="1"/>
    <x v="2"/>
    <s v="Spring"/>
    <x v="0"/>
  </r>
  <r>
    <n v="659"/>
    <x v="29"/>
    <n v="1"/>
    <n v="0"/>
    <n v="1"/>
    <x v="18"/>
    <b v="0"/>
    <n v="0"/>
    <n v="1"/>
    <n v="0.26"/>
    <n v="0.2576"/>
    <n v="0.65"/>
    <n v="0.16420000000000001"/>
    <n v="8"/>
    <n v="57"/>
    <n v="65"/>
    <s v="Complete"/>
    <n v="0.2576"/>
    <n v="2011"/>
    <s v="January"/>
    <x v="1"/>
    <x v="3"/>
    <s v="Spring"/>
    <x v="0"/>
  </r>
  <r>
    <n v="660"/>
    <x v="29"/>
    <n v="1"/>
    <n v="0"/>
    <n v="1"/>
    <x v="19"/>
    <b v="0"/>
    <n v="0"/>
    <n v="1"/>
    <n v="0.26"/>
    <n v="0.2576"/>
    <n v="0.65"/>
    <n v="0.19400000000000001"/>
    <n v="9"/>
    <n v="46"/>
    <n v="55"/>
    <s v="Complete"/>
    <n v="0.2576"/>
    <n v="2011"/>
    <s v="January"/>
    <x v="1"/>
    <x v="3"/>
    <s v="Spring"/>
    <x v="0"/>
  </r>
  <r>
    <n v="661"/>
    <x v="29"/>
    <n v="1"/>
    <n v="0"/>
    <n v="1"/>
    <x v="20"/>
    <b v="0"/>
    <n v="0"/>
    <n v="2"/>
    <n v="0.26"/>
    <n v="0.2727"/>
    <n v="0.65"/>
    <n v="0.1045"/>
    <n v="3"/>
    <n v="30"/>
    <n v="33"/>
    <s v="Complete"/>
    <n v="0.2727"/>
    <n v="2011"/>
    <s v="January"/>
    <x v="1"/>
    <x v="3"/>
    <s v="Spring"/>
    <x v="1"/>
  </r>
  <r>
    <n v="662"/>
    <x v="29"/>
    <n v="1"/>
    <n v="0"/>
    <n v="1"/>
    <x v="21"/>
    <b v="0"/>
    <n v="0"/>
    <n v="2"/>
    <n v="0.24"/>
    <n v="0.2424"/>
    <n v="0.7"/>
    <n v="0.16420000000000001"/>
    <n v="3"/>
    <n v="25"/>
    <n v="28"/>
    <s v="Complete"/>
    <n v="0.2424"/>
    <n v="2011"/>
    <s v="January"/>
    <x v="1"/>
    <x v="3"/>
    <s v="Spring"/>
    <x v="1"/>
  </r>
  <r>
    <n v="663"/>
    <x v="29"/>
    <n v="1"/>
    <n v="0"/>
    <n v="1"/>
    <x v="22"/>
    <b v="0"/>
    <n v="0"/>
    <n v="2"/>
    <n v="0.24"/>
    <n v="0.2273"/>
    <n v="0.7"/>
    <n v="0.19400000000000001"/>
    <n v="2"/>
    <n v="19"/>
    <n v="21"/>
    <s v="Complete"/>
    <n v="0.2273"/>
    <n v="2011"/>
    <s v="January"/>
    <x v="1"/>
    <x v="3"/>
    <s v="Spring"/>
    <x v="1"/>
  </r>
  <r>
    <n v="664"/>
    <x v="29"/>
    <n v="1"/>
    <n v="0"/>
    <n v="1"/>
    <x v="23"/>
    <b v="0"/>
    <n v="0"/>
    <n v="2"/>
    <n v="0.24"/>
    <n v="0.21210000000000001"/>
    <n v="0.65"/>
    <n v="0.28360000000000002"/>
    <n v="5"/>
    <n v="16"/>
    <n v="21"/>
    <s v="Complete"/>
    <n v="0.21210000000000001"/>
    <n v="2011"/>
    <s v="January"/>
    <x v="1"/>
    <x v="3"/>
    <s v="Spring"/>
    <x v="1"/>
  </r>
  <r>
    <n v="665"/>
    <x v="30"/>
    <n v="1"/>
    <n v="0"/>
    <n v="1"/>
    <x v="0"/>
    <b v="0"/>
    <n v="1"/>
    <n v="2"/>
    <n v="0.24"/>
    <n v="0.2273"/>
    <n v="0.65"/>
    <n v="0.22389999999999999"/>
    <n v="1"/>
    <n v="6"/>
    <n v="7"/>
    <s v="Complete"/>
    <n v="0.2273"/>
    <n v="2011"/>
    <s v="January"/>
    <x v="2"/>
    <x v="0"/>
    <s v="Spring"/>
    <x v="1"/>
  </r>
  <r>
    <n v="666"/>
    <x v="30"/>
    <n v="1"/>
    <n v="0"/>
    <n v="1"/>
    <x v="1"/>
    <b v="0"/>
    <n v="1"/>
    <n v="1"/>
    <n v="0.22"/>
    <n v="0.21210000000000001"/>
    <n v="0.64"/>
    <n v="0.25369999999999998"/>
    <n v="2"/>
    <n v="5"/>
    <n v="7"/>
    <s v="Complete"/>
    <n v="0.21210000000000001"/>
    <n v="2011"/>
    <s v="January"/>
    <x v="2"/>
    <x v="0"/>
    <s v="Spring"/>
    <x v="0"/>
  </r>
  <r>
    <n v="667"/>
    <x v="30"/>
    <n v="1"/>
    <n v="0"/>
    <n v="1"/>
    <x v="2"/>
    <b v="0"/>
    <n v="1"/>
    <n v="1"/>
    <n v="0.22"/>
    <n v="0.2273"/>
    <n v="0.64"/>
    <n v="0.19400000000000001"/>
    <n v="0"/>
    <n v="1"/>
    <n v="1"/>
    <s v="Complete"/>
    <n v="0.2273"/>
    <n v="2011"/>
    <s v="January"/>
    <x v="2"/>
    <x v="0"/>
    <s v="Spring"/>
    <x v="0"/>
  </r>
  <r>
    <n v="668"/>
    <x v="30"/>
    <n v="1"/>
    <n v="0"/>
    <n v="1"/>
    <x v="3"/>
    <b v="0"/>
    <n v="1"/>
    <n v="1"/>
    <n v="0.22"/>
    <n v="0.2273"/>
    <n v="0.64"/>
    <n v="0.19400000000000001"/>
    <n v="0"/>
    <n v="2"/>
    <n v="2"/>
    <s v="Complete"/>
    <n v="0.2273"/>
    <n v="2011"/>
    <s v="January"/>
    <x v="2"/>
    <x v="0"/>
    <s v="Spring"/>
    <x v="0"/>
  </r>
  <r>
    <n v="669"/>
    <x v="30"/>
    <n v="1"/>
    <n v="0"/>
    <n v="1"/>
    <x v="4"/>
    <b v="0"/>
    <n v="1"/>
    <n v="1"/>
    <n v="0.2"/>
    <n v="0.19700000000000001"/>
    <n v="0.59"/>
    <n v="0.22389999999999999"/>
    <n v="0"/>
    <n v="2"/>
    <n v="2"/>
    <s v="Complete"/>
    <n v="0.19700000000000001"/>
    <n v="2011"/>
    <s v="January"/>
    <x v="2"/>
    <x v="0"/>
    <s v="Spring"/>
    <x v="0"/>
  </r>
  <r>
    <n v="670"/>
    <x v="30"/>
    <n v="1"/>
    <n v="0"/>
    <n v="1"/>
    <x v="5"/>
    <b v="0"/>
    <n v="1"/>
    <n v="1"/>
    <n v="0.18"/>
    <n v="0.16669999999999999"/>
    <n v="0.64"/>
    <n v="0.28360000000000002"/>
    <n v="0"/>
    <n v="8"/>
    <n v="8"/>
    <s v="Complete"/>
    <n v="0.16669999999999999"/>
    <n v="2011"/>
    <s v="January"/>
    <x v="2"/>
    <x v="0"/>
    <s v="Spring"/>
    <x v="0"/>
  </r>
  <r>
    <n v="671"/>
    <x v="30"/>
    <n v="1"/>
    <n v="0"/>
    <n v="1"/>
    <x v="6"/>
    <b v="0"/>
    <n v="1"/>
    <n v="1"/>
    <n v="0.16"/>
    <n v="0.13639999999999999"/>
    <n v="0.69"/>
    <n v="0.32840000000000003"/>
    <n v="0"/>
    <n v="37"/>
    <n v="37"/>
    <s v="Complete"/>
    <n v="0.13639999999999999"/>
    <n v="2011"/>
    <s v="January"/>
    <x v="2"/>
    <x v="1"/>
    <s v="Spring"/>
    <x v="0"/>
  </r>
  <r>
    <n v="672"/>
    <x v="30"/>
    <n v="1"/>
    <n v="0"/>
    <n v="1"/>
    <x v="7"/>
    <b v="0"/>
    <n v="1"/>
    <n v="2"/>
    <n v="0.16"/>
    <n v="0.13639999999999999"/>
    <n v="0.64"/>
    <n v="0.28360000000000002"/>
    <n v="1"/>
    <n v="71"/>
    <n v="72"/>
    <s v="Complete"/>
    <n v="0.13639999999999999"/>
    <n v="2011"/>
    <s v="January"/>
    <x v="2"/>
    <x v="1"/>
    <s v="Spring"/>
    <x v="1"/>
  </r>
  <r>
    <n v="673"/>
    <x v="30"/>
    <n v="1"/>
    <n v="0"/>
    <n v="1"/>
    <x v="8"/>
    <b v="0"/>
    <n v="1"/>
    <n v="2"/>
    <n v="0.16"/>
    <n v="0.13639999999999999"/>
    <n v="0.59"/>
    <n v="0.28360000000000002"/>
    <n v="3"/>
    <n v="182"/>
    <n v="185"/>
    <s v="Complete"/>
    <n v="0.13639999999999999"/>
    <n v="2011"/>
    <s v="January"/>
    <x v="2"/>
    <x v="1"/>
    <s v="Spring"/>
    <x v="1"/>
  </r>
  <r>
    <n v="674"/>
    <x v="30"/>
    <n v="1"/>
    <n v="0"/>
    <n v="1"/>
    <x v="9"/>
    <b v="0"/>
    <n v="1"/>
    <n v="2"/>
    <n v="0.16"/>
    <n v="0.13639999999999999"/>
    <n v="0.59"/>
    <n v="0.29849999999999999"/>
    <n v="0"/>
    <n v="112"/>
    <n v="112"/>
    <s v="Complete"/>
    <n v="0.13639999999999999"/>
    <n v="2011"/>
    <s v="January"/>
    <x v="2"/>
    <x v="1"/>
    <s v="Spring"/>
    <x v="1"/>
  </r>
  <r>
    <n v="675"/>
    <x v="30"/>
    <n v="1"/>
    <n v="0"/>
    <n v="1"/>
    <x v="10"/>
    <b v="0"/>
    <n v="1"/>
    <n v="2"/>
    <n v="0.16"/>
    <n v="0.1515"/>
    <n v="0.59"/>
    <n v="0.19400000000000001"/>
    <n v="1"/>
    <n v="68"/>
    <n v="69"/>
    <s v="Complete"/>
    <n v="0.1515"/>
    <n v="2011"/>
    <s v="January"/>
    <x v="2"/>
    <x v="1"/>
    <s v="Spring"/>
    <x v="1"/>
  </r>
  <r>
    <n v="676"/>
    <x v="30"/>
    <n v="1"/>
    <n v="0"/>
    <n v="1"/>
    <x v="11"/>
    <b v="0"/>
    <n v="1"/>
    <n v="2"/>
    <n v="0.16"/>
    <n v="0.1515"/>
    <n v="0.59"/>
    <n v="0.19400000000000001"/>
    <n v="2"/>
    <n v="46"/>
    <n v="48"/>
    <s v="Complete"/>
    <n v="0.1515"/>
    <n v="2011"/>
    <s v="January"/>
    <x v="2"/>
    <x v="1"/>
    <s v="Spring"/>
    <x v="1"/>
  </r>
  <r>
    <n v="677"/>
    <x v="30"/>
    <n v="1"/>
    <n v="0"/>
    <n v="1"/>
    <x v="12"/>
    <b v="0"/>
    <n v="1"/>
    <n v="2"/>
    <n v="0.18"/>
    <n v="0.21210000000000001"/>
    <n v="0.55000000000000004"/>
    <n v="0.1045"/>
    <n v="6"/>
    <n v="62"/>
    <n v="68"/>
    <s v="Complete"/>
    <n v="0.21210000000000001"/>
    <n v="2011"/>
    <s v="January"/>
    <x v="2"/>
    <x v="2"/>
    <s v="Spring"/>
    <x v="1"/>
  </r>
  <r>
    <n v="678"/>
    <x v="30"/>
    <n v="1"/>
    <n v="0"/>
    <n v="1"/>
    <x v="13"/>
    <b v="0"/>
    <n v="1"/>
    <n v="2"/>
    <n v="0.16"/>
    <n v="0.2273"/>
    <n v="0.59"/>
    <n v="0"/>
    <n v="2"/>
    <n v="52"/>
    <n v="54"/>
    <s v="Complete"/>
    <n v="0.2273"/>
    <n v="2011"/>
    <s v="January"/>
    <x v="2"/>
    <x v="2"/>
    <s v="Spring"/>
    <x v="1"/>
  </r>
  <r>
    <n v="679"/>
    <x v="30"/>
    <n v="1"/>
    <n v="0"/>
    <n v="1"/>
    <x v="14"/>
    <b v="0"/>
    <n v="1"/>
    <n v="2"/>
    <n v="0.18"/>
    <n v="0.19700000000000001"/>
    <n v="0.55000000000000004"/>
    <n v="0.1343"/>
    <n v="1"/>
    <n v="85"/>
    <n v="86"/>
    <s v="Complete"/>
    <n v="0.19700000000000001"/>
    <n v="2011"/>
    <s v="January"/>
    <x v="2"/>
    <x v="2"/>
    <s v="Spring"/>
    <x v="1"/>
  </r>
  <r>
    <n v="680"/>
    <x v="30"/>
    <n v="1"/>
    <n v="0"/>
    <n v="1"/>
    <x v="15"/>
    <b v="0"/>
    <n v="1"/>
    <n v="2"/>
    <n v="0.16"/>
    <n v="0.18179999999999999"/>
    <n v="0.59"/>
    <n v="0.1343"/>
    <n v="3"/>
    <n v="41"/>
    <n v="44"/>
    <s v="Complete"/>
    <n v="0.18179999999999999"/>
    <n v="2011"/>
    <s v="January"/>
    <x v="2"/>
    <x v="2"/>
    <s v="Spring"/>
    <x v="1"/>
  </r>
  <r>
    <n v="681"/>
    <x v="30"/>
    <n v="1"/>
    <n v="0"/>
    <n v="1"/>
    <x v="16"/>
    <b v="0"/>
    <n v="1"/>
    <n v="2"/>
    <n v="0.16"/>
    <n v="0.18179999999999999"/>
    <n v="0.56000000000000005"/>
    <n v="0.19400000000000001"/>
    <n v="3"/>
    <n v="83"/>
    <n v="86"/>
    <s v="Complete"/>
    <n v="0.18179999999999999"/>
    <n v="2011"/>
    <s v="January"/>
    <x v="2"/>
    <x v="2"/>
    <s v="Spring"/>
    <x v="1"/>
  </r>
  <r>
    <n v="682"/>
    <x v="30"/>
    <n v="1"/>
    <n v="0"/>
    <n v="1"/>
    <x v="17"/>
    <b v="0"/>
    <n v="1"/>
    <n v="2"/>
    <n v="0.16"/>
    <n v="0.1515"/>
    <n v="0.59"/>
    <n v="0.19400000000000001"/>
    <n v="6"/>
    <n v="155"/>
    <n v="161"/>
    <s v="Complete"/>
    <n v="0.1515"/>
    <n v="2011"/>
    <s v="January"/>
    <x v="2"/>
    <x v="2"/>
    <s v="Spring"/>
    <x v="1"/>
  </r>
  <r>
    <n v="683"/>
    <x v="30"/>
    <n v="1"/>
    <n v="0"/>
    <n v="1"/>
    <x v="18"/>
    <b v="0"/>
    <n v="1"/>
    <n v="2"/>
    <n v="0.16"/>
    <n v="0.1515"/>
    <n v="0.55000000000000004"/>
    <n v="0.22389999999999999"/>
    <n v="3"/>
    <n v="153"/>
    <n v="156"/>
    <s v="Complete"/>
    <n v="0.1515"/>
    <n v="2011"/>
    <s v="January"/>
    <x v="2"/>
    <x v="3"/>
    <s v="Spring"/>
    <x v="1"/>
  </r>
  <r>
    <n v="684"/>
    <x v="30"/>
    <n v="1"/>
    <n v="0"/>
    <n v="1"/>
    <x v="19"/>
    <b v="0"/>
    <n v="1"/>
    <n v="1"/>
    <n v="0.3"/>
    <n v="0.31819999999999998"/>
    <n v="0.61"/>
    <n v="0.1045"/>
    <n v="3"/>
    <n v="108"/>
    <n v="111"/>
    <s v="Complete"/>
    <n v="0.31819999999999998"/>
    <n v="2011"/>
    <s v="January"/>
    <x v="2"/>
    <x v="3"/>
    <s v="Spring"/>
    <x v="0"/>
  </r>
  <r>
    <n v="685"/>
    <x v="30"/>
    <n v="1"/>
    <n v="0"/>
    <n v="1"/>
    <x v="20"/>
    <b v="0"/>
    <n v="1"/>
    <n v="3"/>
    <n v="0.16"/>
    <n v="0.16669999999999999"/>
    <n v="0.59"/>
    <n v="0.16420000000000001"/>
    <n v="0"/>
    <n v="78"/>
    <n v="78"/>
    <s v="Complete"/>
    <n v="0.16669999999999999"/>
    <n v="2011"/>
    <s v="January"/>
    <x v="2"/>
    <x v="3"/>
    <s v="Spring"/>
    <x v="2"/>
  </r>
  <r>
    <n v="686"/>
    <x v="30"/>
    <n v="1"/>
    <n v="0"/>
    <n v="1"/>
    <x v="21"/>
    <b v="0"/>
    <n v="1"/>
    <n v="3"/>
    <n v="0.16"/>
    <n v="0.19700000000000001"/>
    <n v="0.59"/>
    <n v="8.9599999999999999E-2"/>
    <n v="3"/>
    <n v="53"/>
    <n v="56"/>
    <s v="Complete"/>
    <n v="0.19700000000000001"/>
    <n v="2011"/>
    <s v="January"/>
    <x v="2"/>
    <x v="3"/>
    <s v="Spring"/>
    <x v="2"/>
  </r>
  <r>
    <n v="687"/>
    <x v="30"/>
    <n v="1"/>
    <n v="0"/>
    <n v="1"/>
    <x v="22"/>
    <b v="0"/>
    <n v="1"/>
    <n v="2"/>
    <n v="0.16"/>
    <n v="0.18179999999999999"/>
    <n v="0.59"/>
    <n v="0.1045"/>
    <n v="0"/>
    <n v="34"/>
    <n v="34"/>
    <s v="Complete"/>
    <n v="0.18179999999999999"/>
    <n v="2011"/>
    <s v="January"/>
    <x v="2"/>
    <x v="3"/>
    <s v="Spring"/>
    <x v="1"/>
  </r>
  <r>
    <n v="688"/>
    <x v="30"/>
    <n v="1"/>
    <n v="0"/>
    <n v="1"/>
    <x v="23"/>
    <b v="0"/>
    <n v="1"/>
    <n v="2"/>
    <n v="0.16"/>
    <n v="0.19700000000000001"/>
    <n v="0.64"/>
    <n v="8.9599999999999999E-2"/>
    <n v="2"/>
    <n v="15"/>
    <n v="17"/>
    <s v="Complete"/>
    <n v="0.19700000000000001"/>
    <n v="2011"/>
    <s v="January"/>
    <x v="2"/>
    <x v="3"/>
    <s v="Spring"/>
    <x v="1"/>
  </r>
  <r>
    <n v="689"/>
    <x v="31"/>
    <n v="1"/>
    <n v="0"/>
    <n v="2"/>
    <x v="0"/>
    <b v="0"/>
    <n v="2"/>
    <n v="2"/>
    <n v="0.16"/>
    <n v="0.18179999999999999"/>
    <n v="0.64"/>
    <n v="0.1045"/>
    <n v="2"/>
    <n v="6"/>
    <n v="8"/>
    <s v="Complete"/>
    <n v="0.18179999999999999"/>
    <n v="2011"/>
    <s v=""/>
    <x v="2"/>
    <x v="0"/>
    <s v="Spring"/>
    <x v="1"/>
  </r>
  <r>
    <n v="690"/>
    <x v="31"/>
    <n v="1"/>
    <n v="0"/>
    <n v="2"/>
    <x v="1"/>
    <b v="0"/>
    <n v="2"/>
    <n v="2"/>
    <n v="0.16"/>
    <n v="0.18179999999999999"/>
    <n v="0.69"/>
    <n v="0.1045"/>
    <n v="0"/>
    <n v="3"/>
    <n v="3"/>
    <s v="Complete"/>
    <n v="0.18179999999999999"/>
    <n v="2011"/>
    <s v=""/>
    <x v="2"/>
    <x v="0"/>
    <s v="Spring"/>
    <x v="1"/>
  </r>
  <r>
    <n v="691"/>
    <x v="31"/>
    <n v="1"/>
    <n v="0"/>
    <n v="2"/>
    <x v="2"/>
    <b v="0"/>
    <n v="2"/>
    <n v="2"/>
    <n v="0.16"/>
    <n v="0.2273"/>
    <n v="0.69"/>
    <n v="0"/>
    <n v="0"/>
    <n v="2"/>
    <n v="2"/>
    <s v="Complete"/>
    <n v="0.2273"/>
    <n v="2011"/>
    <s v=""/>
    <x v="2"/>
    <x v="0"/>
    <s v="Spring"/>
    <x v="1"/>
  </r>
  <r>
    <n v="692"/>
    <x v="31"/>
    <n v="1"/>
    <n v="0"/>
    <n v="2"/>
    <x v="3"/>
    <b v="0"/>
    <n v="2"/>
    <n v="2"/>
    <n v="0.16"/>
    <n v="0.2273"/>
    <n v="0.69"/>
    <n v="0"/>
    <n v="0"/>
    <n v="2"/>
    <n v="2"/>
    <s v="Complete"/>
    <n v="0.2273"/>
    <n v="2011"/>
    <s v=""/>
    <x v="2"/>
    <x v="0"/>
    <s v="Spring"/>
    <x v="1"/>
  </r>
  <r>
    <n v="693"/>
    <x v="31"/>
    <n v="1"/>
    <n v="0"/>
    <n v="2"/>
    <x v="5"/>
    <b v="0"/>
    <n v="2"/>
    <n v="3"/>
    <n v="0.14000000000000001"/>
    <n v="0.21210000000000001"/>
    <n v="0.93"/>
    <n v="0"/>
    <n v="0"/>
    <n v="3"/>
    <n v="3"/>
    <s v="Complete"/>
    <n v="0.21210000000000001"/>
    <n v="2011"/>
    <s v=""/>
    <x v="2"/>
    <x v="0"/>
    <s v="Spring"/>
    <x v="2"/>
  </r>
  <r>
    <n v="694"/>
    <x v="31"/>
    <n v="1"/>
    <n v="0"/>
    <n v="2"/>
    <x v="6"/>
    <b v="0"/>
    <n v="2"/>
    <n v="3"/>
    <n v="0.14000000000000001"/>
    <n v="0.21210000000000001"/>
    <n v="0.93"/>
    <n v="0"/>
    <n v="0"/>
    <n v="22"/>
    <n v="22"/>
    <s v="Complete"/>
    <n v="0.21210000000000001"/>
    <n v="2011"/>
    <s v=""/>
    <x v="2"/>
    <x v="1"/>
    <s v="Spring"/>
    <x v="2"/>
  </r>
  <r>
    <n v="695"/>
    <x v="31"/>
    <n v="1"/>
    <n v="0"/>
    <n v="2"/>
    <x v="7"/>
    <b v="0"/>
    <n v="2"/>
    <n v="3"/>
    <n v="0.16"/>
    <n v="0.2273"/>
    <n v="0.93"/>
    <n v="0"/>
    <n v="0"/>
    <n v="52"/>
    <n v="52"/>
    <s v="Complete"/>
    <n v="0.2273"/>
    <n v="2011"/>
    <s v=""/>
    <x v="2"/>
    <x v="1"/>
    <s v="Spring"/>
    <x v="2"/>
  </r>
  <r>
    <n v="696"/>
    <x v="31"/>
    <n v="1"/>
    <n v="0"/>
    <n v="2"/>
    <x v="8"/>
    <b v="0"/>
    <n v="2"/>
    <n v="3"/>
    <n v="0.16"/>
    <n v="0.2273"/>
    <n v="0.93"/>
    <n v="0"/>
    <n v="3"/>
    <n v="132"/>
    <n v="135"/>
    <s v="Complete"/>
    <n v="0.2273"/>
    <n v="2011"/>
    <s v=""/>
    <x v="2"/>
    <x v="1"/>
    <s v="Spring"/>
    <x v="2"/>
  </r>
  <r>
    <n v="697"/>
    <x v="31"/>
    <n v="1"/>
    <n v="0"/>
    <n v="2"/>
    <x v="9"/>
    <b v="0"/>
    <n v="2"/>
    <n v="2"/>
    <n v="0.16"/>
    <n v="0.2273"/>
    <n v="0.93"/>
    <n v="0"/>
    <n v="2"/>
    <n v="114"/>
    <n v="116"/>
    <s v="Complete"/>
    <n v="0.2273"/>
    <n v="2011"/>
    <s v=""/>
    <x v="2"/>
    <x v="1"/>
    <s v="Spring"/>
    <x v="1"/>
  </r>
  <r>
    <n v="698"/>
    <x v="31"/>
    <n v="1"/>
    <n v="0"/>
    <n v="2"/>
    <x v="10"/>
    <b v="0"/>
    <n v="2"/>
    <n v="2"/>
    <n v="0.16"/>
    <n v="0.2273"/>
    <n v="0.93"/>
    <n v="0"/>
    <n v="0"/>
    <n v="47"/>
    <n v="47"/>
    <s v="Complete"/>
    <n v="0.2273"/>
    <n v="2011"/>
    <s v=""/>
    <x v="2"/>
    <x v="1"/>
    <s v="Spring"/>
    <x v="1"/>
  </r>
  <r>
    <n v="699"/>
    <x v="31"/>
    <n v="1"/>
    <n v="0"/>
    <n v="2"/>
    <x v="11"/>
    <b v="0"/>
    <n v="2"/>
    <n v="2"/>
    <n v="0.18"/>
    <n v="0.2424"/>
    <n v="0.86"/>
    <n v="0"/>
    <n v="2"/>
    <n v="49"/>
    <n v="51"/>
    <s v="Complete"/>
    <n v="0.2424"/>
    <n v="2011"/>
    <s v=""/>
    <x v="2"/>
    <x v="1"/>
    <s v="Spring"/>
    <x v="1"/>
  </r>
  <r>
    <n v="700"/>
    <x v="31"/>
    <n v="1"/>
    <n v="0"/>
    <n v="2"/>
    <x v="12"/>
    <b v="0"/>
    <n v="2"/>
    <n v="2"/>
    <n v="0.2"/>
    <n v="0.2576"/>
    <n v="0.86"/>
    <n v="0"/>
    <n v="2"/>
    <n v="53"/>
    <n v="55"/>
    <s v="Complete"/>
    <n v="0.2576"/>
    <n v="2011"/>
    <s v=""/>
    <x v="2"/>
    <x v="2"/>
    <s v="Spring"/>
    <x v="1"/>
  </r>
  <r>
    <n v="701"/>
    <x v="31"/>
    <n v="1"/>
    <n v="0"/>
    <n v="2"/>
    <x v="13"/>
    <b v="0"/>
    <n v="2"/>
    <n v="2"/>
    <n v="0.2"/>
    <n v="0.2576"/>
    <n v="0.86"/>
    <n v="0"/>
    <n v="3"/>
    <n v="49"/>
    <n v="52"/>
    <s v="Complete"/>
    <n v="0.2576"/>
    <n v="2011"/>
    <s v=""/>
    <x v="2"/>
    <x v="2"/>
    <s v="Spring"/>
    <x v="1"/>
  </r>
  <r>
    <n v="702"/>
    <x v="31"/>
    <n v="1"/>
    <n v="0"/>
    <n v="2"/>
    <x v="14"/>
    <b v="0"/>
    <n v="2"/>
    <n v="2"/>
    <n v="0.22"/>
    <n v="0.2576"/>
    <n v="0.8"/>
    <n v="8.9599999999999999E-2"/>
    <n v="5"/>
    <n v="49"/>
    <n v="54"/>
    <s v="Complete"/>
    <n v="0.2576"/>
    <n v="2011"/>
    <s v=""/>
    <x v="2"/>
    <x v="2"/>
    <s v="Spring"/>
    <x v="1"/>
  </r>
  <r>
    <n v="703"/>
    <x v="31"/>
    <n v="1"/>
    <n v="0"/>
    <n v="2"/>
    <x v="15"/>
    <b v="0"/>
    <n v="2"/>
    <n v="2"/>
    <n v="0.24"/>
    <n v="0.28789999999999999"/>
    <n v="0.75"/>
    <n v="0"/>
    <n v="7"/>
    <n v="45"/>
    <n v="52"/>
    <s v="Complete"/>
    <n v="0.28789999999999999"/>
    <n v="2011"/>
    <s v=""/>
    <x v="2"/>
    <x v="2"/>
    <s v="Spring"/>
    <x v="1"/>
  </r>
  <r>
    <n v="704"/>
    <x v="31"/>
    <n v="1"/>
    <n v="0"/>
    <n v="2"/>
    <x v="16"/>
    <b v="0"/>
    <n v="2"/>
    <n v="2"/>
    <n v="0.24"/>
    <n v="0.2424"/>
    <n v="0.75"/>
    <n v="0.1343"/>
    <n v="3"/>
    <n v="61"/>
    <n v="64"/>
    <s v="Complete"/>
    <n v="0.2424"/>
    <n v="2011"/>
    <s v=""/>
    <x v="2"/>
    <x v="2"/>
    <s v="Spring"/>
    <x v="1"/>
  </r>
  <r>
    <n v="705"/>
    <x v="31"/>
    <n v="1"/>
    <n v="0"/>
    <n v="2"/>
    <x v="17"/>
    <b v="0"/>
    <n v="2"/>
    <n v="2"/>
    <n v="0.24"/>
    <n v="0.28789999999999999"/>
    <n v="0.75"/>
    <n v="0"/>
    <n v="4"/>
    <n v="172"/>
    <n v="176"/>
    <s v="Complete"/>
    <n v="0.28789999999999999"/>
    <n v="2011"/>
    <s v=""/>
    <x v="2"/>
    <x v="2"/>
    <s v="Spring"/>
    <x v="1"/>
  </r>
  <r>
    <n v="706"/>
    <x v="31"/>
    <n v="1"/>
    <n v="0"/>
    <n v="2"/>
    <x v="18"/>
    <b v="0"/>
    <n v="2"/>
    <n v="2"/>
    <n v="0.24"/>
    <n v="0.2576"/>
    <n v="0.81"/>
    <n v="0.1045"/>
    <n v="3"/>
    <n v="165"/>
    <n v="168"/>
    <s v="Complete"/>
    <n v="0.2576"/>
    <n v="2011"/>
    <s v=""/>
    <x v="2"/>
    <x v="3"/>
    <s v="Spring"/>
    <x v="1"/>
  </r>
  <r>
    <n v="707"/>
    <x v="31"/>
    <n v="1"/>
    <n v="0"/>
    <n v="2"/>
    <x v="19"/>
    <b v="0"/>
    <n v="2"/>
    <n v="2"/>
    <n v="0.24"/>
    <n v="0.2424"/>
    <n v="0.81"/>
    <n v="0.1343"/>
    <n v="3"/>
    <n v="105"/>
    <n v="108"/>
    <s v="Complete"/>
    <n v="0.2424"/>
    <n v="2011"/>
    <s v=""/>
    <x v="2"/>
    <x v="3"/>
    <s v="Spring"/>
    <x v="1"/>
  </r>
  <r>
    <n v="708"/>
    <x v="31"/>
    <n v="1"/>
    <n v="0"/>
    <n v="2"/>
    <x v="20"/>
    <b v="0"/>
    <n v="2"/>
    <n v="2"/>
    <n v="0.22"/>
    <n v="0.2273"/>
    <n v="0.87"/>
    <n v="0.1343"/>
    <n v="5"/>
    <n v="69"/>
    <n v="74"/>
    <s v="Complete"/>
    <n v="0.2273"/>
    <n v="2011"/>
    <s v=""/>
    <x v="2"/>
    <x v="3"/>
    <s v="Spring"/>
    <x v="1"/>
  </r>
  <r>
    <n v="709"/>
    <x v="31"/>
    <n v="1"/>
    <n v="0"/>
    <n v="2"/>
    <x v="21"/>
    <b v="0"/>
    <n v="2"/>
    <n v="2"/>
    <n v="0.22"/>
    <n v="0.2273"/>
    <n v="0.87"/>
    <n v="0.1343"/>
    <n v="0"/>
    <n v="64"/>
    <n v="64"/>
    <s v="Complete"/>
    <n v="0.2273"/>
    <n v="2011"/>
    <s v=""/>
    <x v="2"/>
    <x v="3"/>
    <s v="Spring"/>
    <x v="1"/>
  </r>
  <r>
    <n v="710"/>
    <x v="31"/>
    <n v="1"/>
    <n v="0"/>
    <n v="2"/>
    <x v="22"/>
    <b v="0"/>
    <n v="2"/>
    <n v="2"/>
    <n v="0.22"/>
    <n v="0.2576"/>
    <n v="0.87"/>
    <n v="8.9599999999999999E-2"/>
    <n v="2"/>
    <n v="34"/>
    <n v="36"/>
    <s v="Complete"/>
    <n v="0.2576"/>
    <n v="2011"/>
    <s v=""/>
    <x v="2"/>
    <x v="3"/>
    <s v="Spring"/>
    <x v="1"/>
  </r>
  <r>
    <n v="711"/>
    <x v="31"/>
    <n v="1"/>
    <n v="0"/>
    <n v="2"/>
    <x v="23"/>
    <b v="0"/>
    <n v="2"/>
    <n v="3"/>
    <n v="0.2"/>
    <n v="0.19700000000000001"/>
    <n v="0.93"/>
    <n v="0.19400000000000001"/>
    <n v="1"/>
    <n v="15"/>
    <n v="16"/>
    <s v="Complete"/>
    <n v="0.19700000000000001"/>
    <n v="2011"/>
    <s v=""/>
    <x v="2"/>
    <x v="3"/>
    <s v="Spring"/>
    <x v="2"/>
  </r>
  <r>
    <n v="712"/>
    <x v="32"/>
    <n v="1"/>
    <n v="0"/>
    <n v="2"/>
    <x v="0"/>
    <b v="0"/>
    <n v="3"/>
    <n v="3"/>
    <n v="0.22"/>
    <n v="0.2424"/>
    <n v="0.93"/>
    <n v="0.1045"/>
    <n v="0"/>
    <n v="2"/>
    <n v="2"/>
    <s v="Complete"/>
    <n v="0.2424"/>
    <n v="2011"/>
    <s v=""/>
    <x v="2"/>
    <x v="0"/>
    <s v="Spring"/>
    <x v="2"/>
  </r>
  <r>
    <n v="713"/>
    <x v="32"/>
    <n v="1"/>
    <n v="0"/>
    <n v="2"/>
    <x v="1"/>
    <b v="0"/>
    <n v="3"/>
    <n v="3"/>
    <n v="0.22"/>
    <n v="0.2273"/>
    <n v="0.93"/>
    <n v="0.19400000000000001"/>
    <n v="0"/>
    <n v="3"/>
    <n v="3"/>
    <s v="Complete"/>
    <n v="0.2273"/>
    <n v="2011"/>
    <s v=""/>
    <x v="2"/>
    <x v="0"/>
    <s v="Spring"/>
    <x v="2"/>
  </r>
  <r>
    <n v="714"/>
    <x v="32"/>
    <n v="1"/>
    <n v="0"/>
    <n v="2"/>
    <x v="2"/>
    <b v="0"/>
    <n v="3"/>
    <n v="3"/>
    <n v="0.22"/>
    <n v="0.2273"/>
    <n v="0.93"/>
    <n v="0.1343"/>
    <n v="4"/>
    <n v="0"/>
    <n v="4"/>
    <s v="Complete"/>
    <n v="0.2273"/>
    <n v="2011"/>
    <s v=""/>
    <x v="2"/>
    <x v="0"/>
    <s v="Spring"/>
    <x v="2"/>
  </r>
  <r>
    <n v="715"/>
    <x v="32"/>
    <n v="1"/>
    <n v="0"/>
    <n v="2"/>
    <x v="3"/>
    <b v="0"/>
    <n v="3"/>
    <n v="3"/>
    <n v="0.22"/>
    <n v="0.2273"/>
    <n v="0.93"/>
    <n v="0.1343"/>
    <n v="0"/>
    <n v="1"/>
    <n v="1"/>
    <s v="Complete"/>
    <n v="0.2273"/>
    <n v="2011"/>
    <s v=""/>
    <x v="2"/>
    <x v="0"/>
    <s v="Spring"/>
    <x v="2"/>
  </r>
  <r>
    <n v="716"/>
    <x v="32"/>
    <n v="1"/>
    <n v="0"/>
    <n v="2"/>
    <x v="4"/>
    <b v="0"/>
    <n v="3"/>
    <n v="3"/>
    <n v="0.22"/>
    <n v="0.21210000000000001"/>
    <n v="0.93"/>
    <n v="0.28360000000000002"/>
    <n v="0"/>
    <n v="1"/>
    <n v="1"/>
    <s v="Complete"/>
    <n v="0.21210000000000001"/>
    <n v="2011"/>
    <s v=""/>
    <x v="2"/>
    <x v="0"/>
    <s v="Spring"/>
    <x v="2"/>
  </r>
  <r>
    <n v="717"/>
    <x v="32"/>
    <n v="1"/>
    <n v="0"/>
    <n v="2"/>
    <x v="5"/>
    <b v="0"/>
    <n v="3"/>
    <n v="3"/>
    <n v="0.22"/>
    <n v="0.2424"/>
    <n v="0.93"/>
    <n v="0.1045"/>
    <n v="0"/>
    <n v="3"/>
    <n v="3"/>
    <s v="Complete"/>
    <n v="0.2424"/>
    <n v="2011"/>
    <s v=""/>
    <x v="2"/>
    <x v="0"/>
    <s v="Spring"/>
    <x v="2"/>
  </r>
  <r>
    <n v="718"/>
    <x v="32"/>
    <n v="1"/>
    <n v="0"/>
    <n v="2"/>
    <x v="6"/>
    <b v="0"/>
    <n v="3"/>
    <n v="3"/>
    <n v="0.22"/>
    <n v="0.2424"/>
    <n v="0.93"/>
    <n v="0.1045"/>
    <n v="1"/>
    <n v="17"/>
    <n v="18"/>
    <s v="Complete"/>
    <n v="0.2424"/>
    <n v="2011"/>
    <s v=""/>
    <x v="2"/>
    <x v="1"/>
    <s v="Spring"/>
    <x v="2"/>
  </r>
  <r>
    <n v="719"/>
    <x v="32"/>
    <n v="1"/>
    <n v="0"/>
    <n v="2"/>
    <x v="7"/>
    <b v="0"/>
    <n v="3"/>
    <n v="3"/>
    <n v="0.22"/>
    <n v="0.21210000000000001"/>
    <n v="0.93"/>
    <n v="0.22389999999999999"/>
    <n v="1"/>
    <n v="48"/>
    <n v="49"/>
    <s v="Complete"/>
    <n v="0.21210000000000001"/>
    <n v="2011"/>
    <s v=""/>
    <x v="2"/>
    <x v="1"/>
    <s v="Spring"/>
    <x v="2"/>
  </r>
  <r>
    <n v="720"/>
    <x v="32"/>
    <n v="1"/>
    <n v="0"/>
    <n v="2"/>
    <x v="8"/>
    <b v="0"/>
    <n v="3"/>
    <n v="3"/>
    <n v="0.22"/>
    <n v="0.21210000000000001"/>
    <n v="0.93"/>
    <n v="0.22389999999999999"/>
    <n v="1"/>
    <n v="154"/>
    <n v="155"/>
    <s v="Complete"/>
    <n v="0.21210000000000001"/>
    <n v="2011"/>
    <s v=""/>
    <x v="2"/>
    <x v="1"/>
    <s v="Spring"/>
    <x v="2"/>
  </r>
  <r>
    <n v="721"/>
    <x v="32"/>
    <n v="1"/>
    <n v="0"/>
    <n v="2"/>
    <x v="9"/>
    <b v="0"/>
    <n v="3"/>
    <n v="2"/>
    <n v="0.24"/>
    <n v="0.2576"/>
    <n v="0.93"/>
    <n v="8.9599999999999999E-2"/>
    <n v="4"/>
    <n v="119"/>
    <n v="123"/>
    <s v="Complete"/>
    <n v="0.2576"/>
    <n v="2011"/>
    <s v=""/>
    <x v="2"/>
    <x v="1"/>
    <s v="Spring"/>
    <x v="1"/>
  </r>
  <r>
    <n v="722"/>
    <x v="32"/>
    <n v="1"/>
    <n v="0"/>
    <n v="2"/>
    <x v="10"/>
    <b v="0"/>
    <n v="3"/>
    <n v="2"/>
    <n v="0.22"/>
    <n v="0.2727"/>
    <n v="1"/>
    <n v="0"/>
    <n v="2"/>
    <n v="59"/>
    <n v="61"/>
    <s v="Complete"/>
    <n v="0.2727"/>
    <n v="2011"/>
    <s v=""/>
    <x v="2"/>
    <x v="1"/>
    <s v="Spring"/>
    <x v="1"/>
  </r>
  <r>
    <n v="723"/>
    <x v="32"/>
    <n v="1"/>
    <n v="0"/>
    <n v="2"/>
    <x v="11"/>
    <b v="0"/>
    <n v="3"/>
    <n v="2"/>
    <n v="0.24"/>
    <n v="0.2273"/>
    <n v="0.93"/>
    <n v="0.19400000000000001"/>
    <n v="5"/>
    <n v="47"/>
    <n v="52"/>
    <s v="Complete"/>
    <n v="0.2273"/>
    <n v="2011"/>
    <s v=""/>
    <x v="2"/>
    <x v="1"/>
    <s v="Spring"/>
    <x v="1"/>
  </r>
  <r>
    <n v="724"/>
    <x v="32"/>
    <n v="1"/>
    <n v="0"/>
    <n v="2"/>
    <x v="12"/>
    <b v="0"/>
    <n v="3"/>
    <n v="2"/>
    <n v="0.24"/>
    <n v="0.2273"/>
    <n v="0.93"/>
    <n v="0.22389999999999999"/>
    <n v="3"/>
    <n v="61"/>
    <n v="64"/>
    <s v="Complete"/>
    <n v="0.2273"/>
    <n v="2011"/>
    <s v=""/>
    <x v="2"/>
    <x v="2"/>
    <s v="Spring"/>
    <x v="1"/>
  </r>
  <r>
    <n v="725"/>
    <x v="32"/>
    <n v="1"/>
    <n v="0"/>
    <n v="2"/>
    <x v="13"/>
    <b v="0"/>
    <n v="3"/>
    <n v="1"/>
    <n v="0.34"/>
    <n v="0.33329999999999999"/>
    <n v="0.93"/>
    <n v="0.16420000000000001"/>
    <n v="1"/>
    <n v="74"/>
    <n v="75"/>
    <s v="Complete"/>
    <n v="0.33329999999999999"/>
    <n v="2011"/>
    <s v=""/>
    <x v="2"/>
    <x v="2"/>
    <s v="Spring"/>
    <x v="0"/>
  </r>
  <r>
    <n v="726"/>
    <x v="32"/>
    <n v="1"/>
    <n v="0"/>
    <n v="2"/>
    <x v="14"/>
    <b v="0"/>
    <n v="3"/>
    <n v="1"/>
    <n v="0.38"/>
    <n v="0.39389999999999997"/>
    <n v="0.82"/>
    <n v="0.3881"/>
    <n v="2"/>
    <n v="61"/>
    <n v="63"/>
    <s v="Complete"/>
    <n v="0.39389999999999997"/>
    <n v="2011"/>
    <s v=""/>
    <x v="2"/>
    <x v="2"/>
    <s v="Spring"/>
    <x v="0"/>
  </r>
  <r>
    <n v="727"/>
    <x v="32"/>
    <n v="1"/>
    <n v="0"/>
    <n v="2"/>
    <x v="15"/>
    <b v="0"/>
    <n v="3"/>
    <n v="1"/>
    <n v="0.38"/>
    <n v="0.39389999999999997"/>
    <n v="0.76"/>
    <n v="0.32840000000000003"/>
    <n v="10"/>
    <n v="66"/>
    <n v="76"/>
    <s v="Complete"/>
    <n v="0.39389999999999997"/>
    <n v="2011"/>
    <s v=""/>
    <x v="2"/>
    <x v="2"/>
    <s v="Spring"/>
    <x v="0"/>
  </r>
  <r>
    <n v="728"/>
    <x v="32"/>
    <n v="1"/>
    <n v="0"/>
    <n v="2"/>
    <x v="16"/>
    <b v="0"/>
    <n v="3"/>
    <n v="1"/>
    <n v="0.36"/>
    <n v="0.33329999999999999"/>
    <n v="0.71"/>
    <n v="0.29849999999999999"/>
    <n v="8"/>
    <n v="95"/>
    <n v="103"/>
    <s v="Complete"/>
    <n v="0.33329999999999999"/>
    <n v="2011"/>
    <s v=""/>
    <x v="2"/>
    <x v="2"/>
    <s v="Spring"/>
    <x v="0"/>
  </r>
  <r>
    <n v="729"/>
    <x v="32"/>
    <n v="1"/>
    <n v="0"/>
    <n v="2"/>
    <x v="17"/>
    <b v="0"/>
    <n v="3"/>
    <n v="1"/>
    <n v="0.36"/>
    <n v="0.31819999999999998"/>
    <n v="0.53"/>
    <n v="0.52239999999999998"/>
    <n v="7"/>
    <n v="183"/>
    <n v="190"/>
    <s v="Complete"/>
    <n v="0.31819999999999998"/>
    <n v="2011"/>
    <s v=""/>
    <x v="2"/>
    <x v="2"/>
    <s v="Spring"/>
    <x v="0"/>
  </r>
  <r>
    <n v="730"/>
    <x v="32"/>
    <n v="1"/>
    <n v="0"/>
    <n v="2"/>
    <x v="18"/>
    <b v="0"/>
    <n v="3"/>
    <n v="1"/>
    <n v="0.34"/>
    <n v="0.28789999999999999"/>
    <n v="0.42"/>
    <n v="0.55220000000000002"/>
    <n v="7"/>
    <n v="175"/>
    <n v="182"/>
    <s v="Complete"/>
    <n v="0.28789999999999999"/>
    <n v="2011"/>
    <s v=""/>
    <x v="2"/>
    <x v="3"/>
    <s v="Spring"/>
    <x v="0"/>
  </r>
  <r>
    <n v="731"/>
    <x v="32"/>
    <n v="1"/>
    <n v="0"/>
    <n v="2"/>
    <x v="19"/>
    <b v="0"/>
    <n v="3"/>
    <n v="1"/>
    <n v="0.28000000000000003"/>
    <n v="0.2424"/>
    <n v="0.45"/>
    <n v="0.49249999999999999"/>
    <n v="3"/>
    <n v="88"/>
    <n v="91"/>
    <s v="Complete"/>
    <n v="0.2424"/>
    <n v="2011"/>
    <s v=""/>
    <x v="2"/>
    <x v="3"/>
    <s v="Spring"/>
    <x v="0"/>
  </r>
  <r>
    <n v="732"/>
    <x v="32"/>
    <n v="1"/>
    <n v="0"/>
    <n v="2"/>
    <x v="20"/>
    <b v="0"/>
    <n v="3"/>
    <n v="1"/>
    <n v="0.24"/>
    <n v="0.19700000000000001"/>
    <n v="0.48"/>
    <n v="0.55220000000000002"/>
    <n v="4"/>
    <n v="71"/>
    <n v="75"/>
    <s v="Complete"/>
    <n v="0.19700000000000001"/>
    <n v="2011"/>
    <s v=""/>
    <x v="2"/>
    <x v="3"/>
    <s v="Spring"/>
    <x v="0"/>
  </r>
  <r>
    <n v="733"/>
    <x v="32"/>
    <n v="1"/>
    <n v="0"/>
    <n v="2"/>
    <x v="21"/>
    <b v="0"/>
    <n v="3"/>
    <n v="1"/>
    <n v="0.22"/>
    <n v="0.19700000000000001"/>
    <n v="0.47"/>
    <n v="0.32840000000000003"/>
    <n v="1"/>
    <n v="62"/>
    <n v="63"/>
    <s v="Complete"/>
    <n v="0.19700000000000001"/>
    <n v="2011"/>
    <s v=""/>
    <x v="2"/>
    <x v="3"/>
    <s v="Spring"/>
    <x v="0"/>
  </r>
  <r>
    <n v="734"/>
    <x v="32"/>
    <n v="1"/>
    <n v="0"/>
    <n v="2"/>
    <x v="22"/>
    <b v="0"/>
    <n v="3"/>
    <n v="1"/>
    <n v="0.22"/>
    <n v="0.21210000000000001"/>
    <n v="0.44"/>
    <n v="0.25369999999999998"/>
    <n v="5"/>
    <n v="35"/>
    <n v="40"/>
    <s v="Complete"/>
    <n v="0.21210000000000001"/>
    <n v="2011"/>
    <s v=""/>
    <x v="2"/>
    <x v="3"/>
    <s v="Spring"/>
    <x v="0"/>
  </r>
  <r>
    <n v="735"/>
    <x v="32"/>
    <n v="1"/>
    <n v="0"/>
    <n v="2"/>
    <x v="23"/>
    <b v="0"/>
    <n v="3"/>
    <n v="1"/>
    <n v="0.2"/>
    <n v="0.16669999999999999"/>
    <n v="0.44"/>
    <n v="0.44779999999999998"/>
    <n v="3"/>
    <n v="29"/>
    <n v="32"/>
    <s v="Complete"/>
    <n v="0.16669999999999999"/>
    <n v="2011"/>
    <s v=""/>
    <x v="2"/>
    <x v="3"/>
    <s v="Spring"/>
    <x v="0"/>
  </r>
  <r>
    <n v="736"/>
    <x v="33"/>
    <n v="1"/>
    <n v="0"/>
    <n v="2"/>
    <x v="0"/>
    <b v="0"/>
    <n v="4"/>
    <n v="1"/>
    <n v="0.2"/>
    <n v="0.16669999999999999"/>
    <n v="0.4"/>
    <n v="0.44779999999999998"/>
    <n v="1"/>
    <n v="11"/>
    <n v="12"/>
    <s v="Complete"/>
    <n v="0.16669999999999999"/>
    <n v="2011"/>
    <s v=""/>
    <x v="2"/>
    <x v="0"/>
    <s v="Spring"/>
    <x v="0"/>
  </r>
  <r>
    <n v="737"/>
    <x v="33"/>
    <n v="1"/>
    <n v="0"/>
    <n v="2"/>
    <x v="1"/>
    <b v="0"/>
    <n v="4"/>
    <n v="1"/>
    <n v="0.2"/>
    <n v="0.1515"/>
    <n v="0.44"/>
    <n v="0.52239999999999998"/>
    <n v="0"/>
    <n v="5"/>
    <n v="5"/>
    <s v="Complete"/>
    <n v="0.1515"/>
    <n v="2011"/>
    <s v=""/>
    <x v="2"/>
    <x v="0"/>
    <s v="Spring"/>
    <x v="0"/>
  </r>
  <r>
    <n v="738"/>
    <x v="33"/>
    <n v="1"/>
    <n v="0"/>
    <n v="2"/>
    <x v="2"/>
    <b v="0"/>
    <n v="4"/>
    <n v="1"/>
    <n v="0.18"/>
    <n v="0.16669999999999999"/>
    <n v="0.43"/>
    <n v="0.25369999999999998"/>
    <n v="0"/>
    <n v="2"/>
    <n v="2"/>
    <s v="Complete"/>
    <n v="0.16669999999999999"/>
    <n v="2011"/>
    <s v=""/>
    <x v="2"/>
    <x v="0"/>
    <s v="Spring"/>
    <x v="0"/>
  </r>
  <r>
    <n v="739"/>
    <x v="33"/>
    <n v="1"/>
    <n v="0"/>
    <n v="2"/>
    <x v="3"/>
    <b v="0"/>
    <n v="4"/>
    <n v="1"/>
    <n v="0.18"/>
    <n v="0.16669999999999999"/>
    <n v="0.43"/>
    <n v="0.25369999999999998"/>
    <n v="0"/>
    <n v="1"/>
    <n v="1"/>
    <s v="Complete"/>
    <n v="0.16669999999999999"/>
    <n v="2011"/>
    <s v=""/>
    <x v="2"/>
    <x v="0"/>
    <s v="Spring"/>
    <x v="0"/>
  </r>
  <r>
    <n v="740"/>
    <x v="33"/>
    <n v="1"/>
    <n v="0"/>
    <n v="2"/>
    <x v="5"/>
    <b v="0"/>
    <n v="4"/>
    <n v="1"/>
    <n v="0.16"/>
    <n v="0.13639999999999999"/>
    <n v="0.5"/>
    <n v="0.29849999999999999"/>
    <n v="0"/>
    <n v="2"/>
    <n v="2"/>
    <s v="Complete"/>
    <n v="0.13639999999999999"/>
    <n v="2011"/>
    <s v=""/>
    <x v="2"/>
    <x v="0"/>
    <s v="Spring"/>
    <x v="0"/>
  </r>
  <r>
    <n v="741"/>
    <x v="33"/>
    <n v="1"/>
    <n v="0"/>
    <n v="2"/>
    <x v="6"/>
    <b v="0"/>
    <n v="4"/>
    <n v="1"/>
    <n v="0.16"/>
    <n v="0.13639999999999999"/>
    <n v="0.43"/>
    <n v="0.35820000000000002"/>
    <n v="0"/>
    <n v="39"/>
    <n v="39"/>
    <s v="Complete"/>
    <n v="0.13639999999999999"/>
    <n v="2011"/>
    <s v=""/>
    <x v="2"/>
    <x v="1"/>
    <s v="Spring"/>
    <x v="0"/>
  </r>
  <r>
    <n v="742"/>
    <x v="33"/>
    <n v="1"/>
    <n v="0"/>
    <n v="2"/>
    <x v="7"/>
    <b v="0"/>
    <n v="4"/>
    <n v="1"/>
    <n v="0.14000000000000001"/>
    <n v="0.1212"/>
    <n v="0.5"/>
    <n v="0.32840000000000003"/>
    <n v="1"/>
    <n v="86"/>
    <n v="87"/>
    <s v="Complete"/>
    <n v="0.1212"/>
    <n v="2011"/>
    <s v=""/>
    <x v="2"/>
    <x v="1"/>
    <s v="Spring"/>
    <x v="0"/>
  </r>
  <r>
    <n v="743"/>
    <x v="33"/>
    <n v="1"/>
    <n v="0"/>
    <n v="2"/>
    <x v="8"/>
    <b v="0"/>
    <n v="4"/>
    <n v="1"/>
    <n v="0.14000000000000001"/>
    <n v="0.1212"/>
    <n v="0.5"/>
    <n v="0.35820000000000002"/>
    <n v="4"/>
    <n v="184"/>
    <n v="188"/>
    <s v="Complete"/>
    <n v="0.1212"/>
    <n v="2011"/>
    <s v=""/>
    <x v="2"/>
    <x v="1"/>
    <s v="Spring"/>
    <x v="0"/>
  </r>
  <r>
    <n v="744"/>
    <x v="33"/>
    <n v="1"/>
    <n v="0"/>
    <n v="2"/>
    <x v="9"/>
    <b v="0"/>
    <n v="4"/>
    <n v="1"/>
    <n v="0.16"/>
    <n v="0.13639999999999999"/>
    <n v="0.47"/>
    <n v="0.29849999999999999"/>
    <n v="6"/>
    <n v="127"/>
    <n v="133"/>
    <s v="Complete"/>
    <n v="0.13639999999999999"/>
    <n v="2011"/>
    <s v=""/>
    <x v="2"/>
    <x v="1"/>
    <s v="Spring"/>
    <x v="0"/>
  </r>
  <r>
    <n v="745"/>
    <x v="33"/>
    <n v="1"/>
    <n v="0"/>
    <n v="2"/>
    <x v="10"/>
    <b v="0"/>
    <n v="4"/>
    <n v="1"/>
    <n v="0.18"/>
    <n v="0.1515"/>
    <n v="0.43"/>
    <n v="0.32840000000000003"/>
    <n v="2"/>
    <n v="50"/>
    <n v="52"/>
    <s v="Complete"/>
    <n v="0.1515"/>
    <n v="2011"/>
    <s v=""/>
    <x v="2"/>
    <x v="1"/>
    <s v="Spring"/>
    <x v="0"/>
  </r>
  <r>
    <n v="746"/>
    <x v="33"/>
    <n v="1"/>
    <n v="0"/>
    <n v="2"/>
    <x v="11"/>
    <b v="0"/>
    <n v="4"/>
    <n v="1"/>
    <n v="0.18"/>
    <n v="0.13639999999999999"/>
    <n v="0.43"/>
    <n v="0.44779999999999998"/>
    <n v="9"/>
    <n v="55"/>
    <n v="64"/>
    <s v="Complete"/>
    <n v="0.13639999999999999"/>
    <n v="2011"/>
    <s v=""/>
    <x v="2"/>
    <x v="1"/>
    <s v="Spring"/>
    <x v="0"/>
  </r>
  <r>
    <n v="747"/>
    <x v="33"/>
    <n v="1"/>
    <n v="0"/>
    <n v="2"/>
    <x v="12"/>
    <b v="0"/>
    <n v="4"/>
    <n v="1"/>
    <n v="0.2"/>
    <n v="0.18179999999999999"/>
    <n v="0.4"/>
    <n v="0.35820000000000002"/>
    <n v="2"/>
    <n v="67"/>
    <n v="69"/>
    <s v="Complete"/>
    <n v="0.18179999999999999"/>
    <n v="2011"/>
    <s v=""/>
    <x v="2"/>
    <x v="2"/>
    <s v="Spring"/>
    <x v="0"/>
  </r>
  <r>
    <n v="748"/>
    <x v="33"/>
    <n v="1"/>
    <n v="0"/>
    <n v="2"/>
    <x v="13"/>
    <b v="0"/>
    <n v="4"/>
    <n v="1"/>
    <n v="0.2"/>
    <n v="0.16669999999999999"/>
    <n v="0.4"/>
    <n v="0.41789999999999999"/>
    <n v="4"/>
    <n v="47"/>
    <n v="51"/>
    <s v="Complete"/>
    <n v="0.16669999999999999"/>
    <n v="2011"/>
    <s v=""/>
    <x v="2"/>
    <x v="2"/>
    <s v="Spring"/>
    <x v="0"/>
  </r>
  <r>
    <n v="749"/>
    <x v="33"/>
    <n v="1"/>
    <n v="0"/>
    <n v="2"/>
    <x v="14"/>
    <b v="0"/>
    <n v="4"/>
    <n v="1"/>
    <n v="0.22"/>
    <n v="0.19700000000000001"/>
    <n v="0.37"/>
    <n v="0.3881"/>
    <n v="4"/>
    <n v="43"/>
    <n v="47"/>
    <s v="Complete"/>
    <n v="0.19700000000000001"/>
    <n v="2011"/>
    <s v=""/>
    <x v="2"/>
    <x v="2"/>
    <s v="Spring"/>
    <x v="0"/>
  </r>
  <r>
    <n v="750"/>
    <x v="33"/>
    <n v="1"/>
    <n v="0"/>
    <n v="2"/>
    <x v="15"/>
    <b v="0"/>
    <n v="4"/>
    <n v="1"/>
    <n v="0.22"/>
    <n v="0.19700000000000001"/>
    <n v="0.37"/>
    <n v="0.32840000000000003"/>
    <n v="4"/>
    <n v="56"/>
    <n v="60"/>
    <s v="Complete"/>
    <n v="0.19700000000000001"/>
    <n v="2011"/>
    <s v=""/>
    <x v="2"/>
    <x v="2"/>
    <s v="Spring"/>
    <x v="0"/>
  </r>
  <r>
    <n v="751"/>
    <x v="33"/>
    <n v="1"/>
    <n v="0"/>
    <n v="2"/>
    <x v="16"/>
    <b v="0"/>
    <n v="4"/>
    <n v="1"/>
    <n v="0.22"/>
    <n v="0.21210000000000001"/>
    <n v="0.37"/>
    <n v="0.25369999999999998"/>
    <n v="5"/>
    <n v="73"/>
    <n v="78"/>
    <s v="Complete"/>
    <n v="0.21210000000000001"/>
    <n v="2011"/>
    <s v=""/>
    <x v="2"/>
    <x v="2"/>
    <s v="Spring"/>
    <x v="0"/>
  </r>
  <r>
    <n v="752"/>
    <x v="33"/>
    <n v="1"/>
    <n v="0"/>
    <n v="2"/>
    <x v="17"/>
    <b v="0"/>
    <n v="4"/>
    <n v="1"/>
    <n v="0.2"/>
    <n v="0.19700000000000001"/>
    <n v="0.4"/>
    <n v="0.19400000000000001"/>
    <n v="5"/>
    <n v="170"/>
    <n v="175"/>
    <s v="Complete"/>
    <n v="0.19700000000000001"/>
    <n v="2011"/>
    <s v=""/>
    <x v="2"/>
    <x v="2"/>
    <s v="Spring"/>
    <x v="0"/>
  </r>
  <r>
    <n v="753"/>
    <x v="33"/>
    <n v="1"/>
    <n v="0"/>
    <n v="2"/>
    <x v="18"/>
    <b v="0"/>
    <n v="4"/>
    <n v="1"/>
    <n v="0.2"/>
    <n v="0.21210000000000001"/>
    <n v="0.4"/>
    <n v="0.16420000000000001"/>
    <n v="2"/>
    <n v="145"/>
    <n v="147"/>
    <s v="Complete"/>
    <n v="0.21210000000000001"/>
    <n v="2011"/>
    <s v=""/>
    <x v="2"/>
    <x v="3"/>
    <s v="Spring"/>
    <x v="0"/>
  </r>
  <r>
    <n v="754"/>
    <x v="33"/>
    <n v="1"/>
    <n v="0"/>
    <n v="2"/>
    <x v="19"/>
    <b v="0"/>
    <n v="4"/>
    <n v="1"/>
    <n v="0.2"/>
    <n v="0.2576"/>
    <n v="0.4"/>
    <n v="0"/>
    <n v="4"/>
    <n v="92"/>
    <n v="96"/>
    <s v="Complete"/>
    <n v="0.2576"/>
    <n v="2011"/>
    <s v=""/>
    <x v="2"/>
    <x v="3"/>
    <s v="Spring"/>
    <x v="0"/>
  </r>
  <r>
    <n v="755"/>
    <x v="33"/>
    <n v="1"/>
    <n v="0"/>
    <n v="2"/>
    <x v="20"/>
    <b v="0"/>
    <n v="4"/>
    <n v="1"/>
    <n v="0.2"/>
    <n v="0.2273"/>
    <n v="0.47"/>
    <n v="8.9599999999999999E-2"/>
    <n v="1"/>
    <n v="108"/>
    <n v="109"/>
    <s v="Complete"/>
    <n v="0.2273"/>
    <n v="2011"/>
    <s v=""/>
    <x v="2"/>
    <x v="3"/>
    <s v="Spring"/>
    <x v="0"/>
  </r>
  <r>
    <n v="756"/>
    <x v="33"/>
    <n v="1"/>
    <n v="0"/>
    <n v="2"/>
    <x v="21"/>
    <b v="0"/>
    <n v="4"/>
    <n v="1"/>
    <n v="0.18"/>
    <n v="0.21210000000000001"/>
    <n v="0.55000000000000004"/>
    <n v="0.1045"/>
    <n v="1"/>
    <n v="53"/>
    <n v="54"/>
    <s v="Complete"/>
    <n v="0.21210000000000001"/>
    <n v="2011"/>
    <s v=""/>
    <x v="2"/>
    <x v="3"/>
    <s v="Spring"/>
    <x v="0"/>
  </r>
  <r>
    <n v="757"/>
    <x v="33"/>
    <n v="1"/>
    <n v="0"/>
    <n v="2"/>
    <x v="22"/>
    <b v="0"/>
    <n v="4"/>
    <n v="1"/>
    <n v="0.18"/>
    <n v="0.21210000000000001"/>
    <n v="0.51"/>
    <n v="8.9599999999999999E-2"/>
    <n v="2"/>
    <n v="39"/>
    <n v="41"/>
    <s v="Complete"/>
    <n v="0.21210000000000001"/>
    <n v="2011"/>
    <s v=""/>
    <x v="2"/>
    <x v="3"/>
    <s v="Spring"/>
    <x v="0"/>
  </r>
  <r>
    <n v="758"/>
    <x v="33"/>
    <n v="1"/>
    <n v="0"/>
    <n v="2"/>
    <x v="23"/>
    <b v="0"/>
    <n v="4"/>
    <n v="1"/>
    <n v="0.2"/>
    <n v="0.2273"/>
    <n v="0.47"/>
    <n v="0.1045"/>
    <n v="4"/>
    <n v="34"/>
    <n v="38"/>
    <s v="Complete"/>
    <n v="0.2273"/>
    <n v="2011"/>
    <s v=""/>
    <x v="2"/>
    <x v="3"/>
    <s v="Spring"/>
    <x v="0"/>
  </r>
  <r>
    <n v="759"/>
    <x v="34"/>
    <n v="1"/>
    <n v="0"/>
    <n v="2"/>
    <x v="0"/>
    <b v="0"/>
    <n v="5"/>
    <n v="2"/>
    <n v="0.2"/>
    <n v="0.2576"/>
    <n v="0.44"/>
    <n v="0"/>
    <n v="3"/>
    <n v="10"/>
    <n v="13"/>
    <s v="Complete"/>
    <n v="0.2576"/>
    <n v="2011"/>
    <s v=""/>
    <x v="2"/>
    <x v="0"/>
    <s v="Spring"/>
    <x v="1"/>
  </r>
  <r>
    <n v="760"/>
    <x v="34"/>
    <n v="1"/>
    <n v="0"/>
    <n v="2"/>
    <x v="1"/>
    <b v="0"/>
    <n v="5"/>
    <n v="2"/>
    <n v="0.16"/>
    <n v="0.2273"/>
    <n v="0.59"/>
    <n v="0"/>
    <n v="0"/>
    <n v="7"/>
    <n v="7"/>
    <s v="Complete"/>
    <n v="0.2273"/>
    <n v="2011"/>
    <s v=""/>
    <x v="2"/>
    <x v="0"/>
    <s v="Spring"/>
    <x v="1"/>
  </r>
  <r>
    <n v="761"/>
    <x v="34"/>
    <n v="1"/>
    <n v="0"/>
    <n v="2"/>
    <x v="2"/>
    <b v="0"/>
    <n v="5"/>
    <n v="2"/>
    <n v="0.14000000000000001"/>
    <n v="0.16669999999999999"/>
    <n v="0.63"/>
    <n v="0.1045"/>
    <n v="0"/>
    <n v="1"/>
    <n v="1"/>
    <s v="Complete"/>
    <n v="0.16669999999999999"/>
    <n v="2011"/>
    <s v=""/>
    <x v="2"/>
    <x v="0"/>
    <s v="Spring"/>
    <x v="1"/>
  </r>
  <r>
    <n v="762"/>
    <x v="34"/>
    <n v="1"/>
    <n v="0"/>
    <n v="2"/>
    <x v="3"/>
    <b v="0"/>
    <n v="5"/>
    <n v="2"/>
    <n v="0.14000000000000001"/>
    <n v="0.16669999999999999"/>
    <n v="0.63"/>
    <n v="0.1045"/>
    <n v="0"/>
    <n v="1"/>
    <n v="1"/>
    <s v="Complete"/>
    <n v="0.16669999999999999"/>
    <n v="2011"/>
    <s v=""/>
    <x v="2"/>
    <x v="0"/>
    <s v="Spring"/>
    <x v="1"/>
  </r>
  <r>
    <n v="763"/>
    <x v="34"/>
    <n v="1"/>
    <n v="0"/>
    <n v="2"/>
    <x v="5"/>
    <b v="0"/>
    <n v="5"/>
    <n v="2"/>
    <n v="0.14000000000000001"/>
    <n v="0.1515"/>
    <n v="0.63"/>
    <n v="0.1343"/>
    <n v="0"/>
    <n v="7"/>
    <n v="7"/>
    <s v="Complete"/>
    <n v="0.1515"/>
    <n v="2011"/>
    <s v=""/>
    <x v="2"/>
    <x v="0"/>
    <s v="Spring"/>
    <x v="1"/>
  </r>
  <r>
    <n v="764"/>
    <x v="34"/>
    <n v="1"/>
    <n v="0"/>
    <n v="2"/>
    <x v="6"/>
    <b v="0"/>
    <n v="5"/>
    <n v="2"/>
    <n v="0.16"/>
    <n v="0.2273"/>
    <n v="0.55000000000000004"/>
    <n v="0"/>
    <n v="2"/>
    <n v="26"/>
    <n v="28"/>
    <s v="Complete"/>
    <n v="0.2273"/>
    <n v="2011"/>
    <s v=""/>
    <x v="2"/>
    <x v="1"/>
    <s v="Spring"/>
    <x v="1"/>
  </r>
  <r>
    <n v="765"/>
    <x v="34"/>
    <n v="1"/>
    <n v="0"/>
    <n v="2"/>
    <x v="7"/>
    <b v="0"/>
    <n v="5"/>
    <n v="1"/>
    <n v="0.14000000000000001"/>
    <n v="0.21210000000000001"/>
    <n v="0.59"/>
    <n v="0"/>
    <n v="0"/>
    <n v="87"/>
    <n v="87"/>
    <s v="Complete"/>
    <n v="0.21210000000000001"/>
    <n v="2011"/>
    <s v=""/>
    <x v="2"/>
    <x v="1"/>
    <s v="Spring"/>
    <x v="0"/>
  </r>
  <r>
    <n v="766"/>
    <x v="34"/>
    <n v="1"/>
    <n v="0"/>
    <n v="2"/>
    <x v="8"/>
    <b v="0"/>
    <n v="5"/>
    <n v="1"/>
    <n v="0.14000000000000001"/>
    <n v="0.1515"/>
    <n v="0.74"/>
    <n v="0.1343"/>
    <n v="3"/>
    <n v="217"/>
    <n v="220"/>
    <s v="Complete"/>
    <n v="0.1515"/>
    <n v="2011"/>
    <s v=""/>
    <x v="2"/>
    <x v="1"/>
    <s v="Spring"/>
    <x v="0"/>
  </r>
  <r>
    <n v="767"/>
    <x v="34"/>
    <n v="1"/>
    <n v="0"/>
    <n v="2"/>
    <x v="9"/>
    <b v="0"/>
    <n v="5"/>
    <n v="2"/>
    <n v="0.16"/>
    <n v="0.18179999999999999"/>
    <n v="0.8"/>
    <n v="0.1343"/>
    <n v="3"/>
    <n v="124"/>
    <n v="127"/>
    <s v="Complete"/>
    <n v="0.18179999999999999"/>
    <n v="2011"/>
    <s v=""/>
    <x v="2"/>
    <x v="1"/>
    <s v="Spring"/>
    <x v="1"/>
  </r>
  <r>
    <n v="768"/>
    <x v="34"/>
    <n v="1"/>
    <n v="0"/>
    <n v="2"/>
    <x v="10"/>
    <b v="0"/>
    <n v="5"/>
    <n v="2"/>
    <n v="0.2"/>
    <n v="0.21210000000000001"/>
    <n v="0.51"/>
    <n v="0.1343"/>
    <n v="5"/>
    <n v="46"/>
    <n v="51"/>
    <s v="Complete"/>
    <n v="0.21210000000000001"/>
    <n v="2011"/>
    <s v=""/>
    <x v="2"/>
    <x v="1"/>
    <s v="Spring"/>
    <x v="1"/>
  </r>
  <r>
    <n v="769"/>
    <x v="34"/>
    <n v="1"/>
    <n v="0"/>
    <n v="2"/>
    <x v="11"/>
    <b v="0"/>
    <n v="5"/>
    <n v="1"/>
    <n v="0.22"/>
    <n v="0.2273"/>
    <n v="0.51"/>
    <n v="0.16420000000000001"/>
    <n v="3"/>
    <n v="61"/>
    <n v="64"/>
    <s v="Complete"/>
    <n v="0.2273"/>
    <n v="2011"/>
    <s v=""/>
    <x v="2"/>
    <x v="1"/>
    <s v="Spring"/>
    <x v="0"/>
  </r>
  <r>
    <n v="770"/>
    <x v="34"/>
    <n v="1"/>
    <n v="0"/>
    <n v="2"/>
    <x v="12"/>
    <b v="0"/>
    <n v="5"/>
    <n v="2"/>
    <n v="0.24"/>
    <n v="0.2424"/>
    <n v="0.48"/>
    <n v="0.16420000000000001"/>
    <n v="8"/>
    <n v="78"/>
    <n v="86"/>
    <s v="Complete"/>
    <n v="0.2424"/>
    <n v="2011"/>
    <s v=""/>
    <x v="2"/>
    <x v="2"/>
    <s v="Spring"/>
    <x v="1"/>
  </r>
  <r>
    <n v="771"/>
    <x v="34"/>
    <n v="1"/>
    <n v="0"/>
    <n v="2"/>
    <x v="13"/>
    <b v="0"/>
    <n v="5"/>
    <n v="2"/>
    <n v="0.26"/>
    <n v="0.2576"/>
    <n v="0.5"/>
    <n v="0.22389999999999999"/>
    <n v="9"/>
    <n v="73"/>
    <n v="82"/>
    <s v="Complete"/>
    <n v="0.2576"/>
    <n v="2011"/>
    <s v=""/>
    <x v="2"/>
    <x v="2"/>
    <s v="Spring"/>
    <x v="1"/>
  </r>
  <r>
    <n v="772"/>
    <x v="34"/>
    <n v="1"/>
    <n v="0"/>
    <n v="2"/>
    <x v="14"/>
    <b v="0"/>
    <n v="5"/>
    <n v="2"/>
    <n v="0.28000000000000003"/>
    <n v="0.2727"/>
    <n v="0.45"/>
    <n v="0.16420000000000001"/>
    <n v="15"/>
    <n v="76"/>
    <n v="91"/>
    <s v="Complete"/>
    <n v="0.2727"/>
    <n v="2011"/>
    <s v=""/>
    <x v="2"/>
    <x v="2"/>
    <s v="Spring"/>
    <x v="1"/>
  </r>
  <r>
    <n v="773"/>
    <x v="34"/>
    <n v="1"/>
    <n v="0"/>
    <n v="2"/>
    <x v="15"/>
    <b v="0"/>
    <n v="5"/>
    <n v="2"/>
    <n v="0.28000000000000003"/>
    <n v="0.2727"/>
    <n v="0.48"/>
    <n v="0.25369999999999998"/>
    <n v="9"/>
    <n v="81"/>
    <n v="90"/>
    <s v="Complete"/>
    <n v="0.2727"/>
    <n v="2011"/>
    <s v=""/>
    <x v="2"/>
    <x v="2"/>
    <s v="Spring"/>
    <x v="1"/>
  </r>
  <r>
    <n v="774"/>
    <x v="34"/>
    <n v="1"/>
    <n v="0"/>
    <n v="2"/>
    <x v="16"/>
    <b v="0"/>
    <n v="5"/>
    <n v="2"/>
    <n v="0.3"/>
    <n v="0.28789999999999999"/>
    <n v="0.42"/>
    <n v="0.22389999999999999"/>
    <n v="8"/>
    <n v="91"/>
    <n v="99"/>
    <s v="Complete"/>
    <n v="0.28789999999999999"/>
    <n v="2011"/>
    <s v=""/>
    <x v="2"/>
    <x v="2"/>
    <s v="Spring"/>
    <x v="1"/>
  </r>
  <r>
    <n v="775"/>
    <x v="34"/>
    <n v="1"/>
    <n v="0"/>
    <n v="2"/>
    <x v="17"/>
    <b v="0"/>
    <n v="5"/>
    <n v="2"/>
    <n v="0.26"/>
    <n v="0.2727"/>
    <n v="0.56000000000000005"/>
    <n v="0.1343"/>
    <n v="10"/>
    <n v="195"/>
    <n v="205"/>
    <s v="Complete"/>
    <n v="0.2727"/>
    <n v="2011"/>
    <s v=""/>
    <x v="2"/>
    <x v="2"/>
    <s v="Spring"/>
    <x v="1"/>
  </r>
  <r>
    <n v="776"/>
    <x v="34"/>
    <n v="1"/>
    <n v="0"/>
    <n v="2"/>
    <x v="18"/>
    <b v="0"/>
    <n v="5"/>
    <n v="2"/>
    <n v="0.24"/>
    <n v="0.2576"/>
    <n v="0.6"/>
    <n v="0.1045"/>
    <n v="3"/>
    <n v="152"/>
    <n v="155"/>
    <s v="Complete"/>
    <n v="0.2576"/>
    <n v="2011"/>
    <s v=""/>
    <x v="2"/>
    <x v="3"/>
    <s v="Spring"/>
    <x v="1"/>
  </r>
  <r>
    <n v="777"/>
    <x v="34"/>
    <n v="1"/>
    <n v="0"/>
    <n v="2"/>
    <x v="19"/>
    <b v="0"/>
    <n v="5"/>
    <n v="2"/>
    <n v="0.24"/>
    <n v="0.2424"/>
    <n v="0.65"/>
    <n v="0.1343"/>
    <n v="1"/>
    <n v="102"/>
    <n v="103"/>
    <s v="Complete"/>
    <n v="0.2424"/>
    <n v="2011"/>
    <s v=""/>
    <x v="2"/>
    <x v="3"/>
    <s v="Spring"/>
    <x v="1"/>
  </r>
  <r>
    <n v="778"/>
    <x v="34"/>
    <n v="1"/>
    <n v="0"/>
    <n v="2"/>
    <x v="20"/>
    <b v="0"/>
    <n v="5"/>
    <n v="2"/>
    <n v="0.24"/>
    <n v="0.2424"/>
    <n v="0.65"/>
    <n v="0.16420000000000001"/>
    <n v="2"/>
    <n v="69"/>
    <n v="71"/>
    <s v="Complete"/>
    <n v="0.2424"/>
    <n v="2011"/>
    <s v=""/>
    <x v="2"/>
    <x v="3"/>
    <s v="Spring"/>
    <x v="1"/>
  </r>
  <r>
    <n v="779"/>
    <x v="34"/>
    <n v="1"/>
    <n v="0"/>
    <n v="2"/>
    <x v="21"/>
    <b v="0"/>
    <n v="5"/>
    <n v="2"/>
    <n v="0.24"/>
    <n v="0.2424"/>
    <n v="0.7"/>
    <n v="0.16420000000000001"/>
    <n v="2"/>
    <n v="41"/>
    <n v="43"/>
    <s v="Complete"/>
    <n v="0.2424"/>
    <n v="2011"/>
    <s v=""/>
    <x v="2"/>
    <x v="3"/>
    <s v="Spring"/>
    <x v="1"/>
  </r>
  <r>
    <n v="780"/>
    <x v="34"/>
    <n v="1"/>
    <n v="0"/>
    <n v="2"/>
    <x v="22"/>
    <b v="0"/>
    <n v="5"/>
    <n v="2"/>
    <n v="0.24"/>
    <n v="0.2424"/>
    <n v="0.65"/>
    <n v="0.16420000000000001"/>
    <n v="1"/>
    <n v="45"/>
    <n v="46"/>
    <s v="Complete"/>
    <n v="0.2424"/>
    <n v="2011"/>
    <s v=""/>
    <x v="2"/>
    <x v="3"/>
    <s v="Spring"/>
    <x v="1"/>
  </r>
  <r>
    <n v="781"/>
    <x v="34"/>
    <n v="1"/>
    <n v="0"/>
    <n v="2"/>
    <x v="23"/>
    <b v="0"/>
    <n v="5"/>
    <n v="2"/>
    <n v="0.24"/>
    <n v="0.2424"/>
    <n v="0.7"/>
    <n v="0.1343"/>
    <n v="1"/>
    <n v="30"/>
    <n v="31"/>
    <s v="Complete"/>
    <n v="0.2424"/>
    <n v="2011"/>
    <s v=""/>
    <x v="2"/>
    <x v="3"/>
    <s v="Spring"/>
    <x v="1"/>
  </r>
  <r>
    <n v="782"/>
    <x v="35"/>
    <n v="1"/>
    <n v="0"/>
    <n v="2"/>
    <x v="0"/>
    <b v="0"/>
    <n v="6"/>
    <n v="2"/>
    <n v="0.24"/>
    <n v="0.2424"/>
    <n v="0.7"/>
    <n v="0.16420000000000001"/>
    <n v="3"/>
    <n v="36"/>
    <n v="39"/>
    <s v="Complete"/>
    <n v="0.2424"/>
    <n v="2011"/>
    <s v=""/>
    <x v="0"/>
    <x v="0"/>
    <s v="Spring"/>
    <x v="1"/>
  </r>
  <r>
    <n v="783"/>
    <x v="35"/>
    <n v="1"/>
    <n v="0"/>
    <n v="2"/>
    <x v="1"/>
    <b v="0"/>
    <n v="6"/>
    <n v="2"/>
    <n v="0.24"/>
    <n v="0.2424"/>
    <n v="0.65"/>
    <n v="0.16420000000000001"/>
    <n v="1"/>
    <n v="17"/>
    <n v="18"/>
    <s v="Complete"/>
    <n v="0.2424"/>
    <n v="2011"/>
    <s v=""/>
    <x v="0"/>
    <x v="0"/>
    <s v="Spring"/>
    <x v="1"/>
  </r>
  <r>
    <n v="784"/>
    <x v="35"/>
    <n v="1"/>
    <n v="0"/>
    <n v="2"/>
    <x v="2"/>
    <b v="0"/>
    <n v="6"/>
    <n v="2"/>
    <n v="0.24"/>
    <n v="0.2424"/>
    <n v="0.75"/>
    <n v="0.16420000000000001"/>
    <n v="5"/>
    <n v="12"/>
    <n v="17"/>
    <s v="Complete"/>
    <n v="0.2424"/>
    <n v="2011"/>
    <s v=""/>
    <x v="0"/>
    <x v="0"/>
    <s v="Spring"/>
    <x v="1"/>
  </r>
  <r>
    <n v="785"/>
    <x v="35"/>
    <n v="1"/>
    <n v="0"/>
    <n v="2"/>
    <x v="3"/>
    <b v="0"/>
    <n v="6"/>
    <n v="2"/>
    <n v="0.24"/>
    <n v="0.2424"/>
    <n v="0.75"/>
    <n v="0.16420000000000001"/>
    <n v="1"/>
    <n v="10"/>
    <n v="11"/>
    <s v="Complete"/>
    <n v="0.2424"/>
    <n v="2011"/>
    <s v=""/>
    <x v="0"/>
    <x v="0"/>
    <s v="Spring"/>
    <x v="1"/>
  </r>
  <r>
    <n v="786"/>
    <x v="35"/>
    <n v="1"/>
    <n v="0"/>
    <n v="2"/>
    <x v="4"/>
    <b v="0"/>
    <n v="6"/>
    <n v="3"/>
    <n v="0.22"/>
    <n v="0.2273"/>
    <n v="0.93"/>
    <n v="0.1343"/>
    <n v="0"/>
    <n v="8"/>
    <n v="8"/>
    <s v="Complete"/>
    <n v="0.2273"/>
    <n v="2011"/>
    <s v=""/>
    <x v="0"/>
    <x v="0"/>
    <s v="Spring"/>
    <x v="2"/>
  </r>
  <r>
    <n v="787"/>
    <x v="35"/>
    <n v="1"/>
    <n v="0"/>
    <n v="2"/>
    <x v="5"/>
    <b v="0"/>
    <n v="6"/>
    <n v="3"/>
    <n v="0.2"/>
    <n v="0.2273"/>
    <n v="1"/>
    <n v="8.9599999999999999E-2"/>
    <n v="0"/>
    <n v="9"/>
    <n v="9"/>
    <s v="Complete"/>
    <n v="0.2273"/>
    <n v="2011"/>
    <s v=""/>
    <x v="0"/>
    <x v="0"/>
    <s v="Spring"/>
    <x v="2"/>
  </r>
  <r>
    <n v="788"/>
    <x v="35"/>
    <n v="1"/>
    <n v="0"/>
    <n v="2"/>
    <x v="6"/>
    <b v="0"/>
    <n v="6"/>
    <n v="3"/>
    <n v="0.2"/>
    <n v="0.2576"/>
    <n v="1"/>
    <n v="0"/>
    <n v="0"/>
    <n v="4"/>
    <n v="4"/>
    <s v="Complete"/>
    <n v="0.2576"/>
    <n v="2011"/>
    <s v=""/>
    <x v="0"/>
    <x v="1"/>
    <s v="Spring"/>
    <x v="2"/>
  </r>
  <r>
    <n v="789"/>
    <x v="35"/>
    <n v="1"/>
    <n v="0"/>
    <n v="2"/>
    <x v="7"/>
    <b v="0"/>
    <n v="6"/>
    <n v="3"/>
    <n v="0.22"/>
    <n v="0.2576"/>
    <n v="0.93"/>
    <n v="8.9599999999999999E-2"/>
    <n v="0"/>
    <n v="4"/>
    <n v="4"/>
    <s v="Complete"/>
    <n v="0.2576"/>
    <n v="2011"/>
    <s v=""/>
    <x v="0"/>
    <x v="1"/>
    <s v="Spring"/>
    <x v="2"/>
  </r>
  <r>
    <n v="790"/>
    <x v="35"/>
    <n v="1"/>
    <n v="0"/>
    <n v="2"/>
    <x v="8"/>
    <b v="0"/>
    <n v="6"/>
    <n v="3"/>
    <n v="0.2"/>
    <n v="0.2273"/>
    <n v="1"/>
    <n v="8.9599999999999999E-2"/>
    <n v="0"/>
    <n v="10"/>
    <n v="10"/>
    <s v="Complete"/>
    <n v="0.2273"/>
    <n v="2011"/>
    <s v=""/>
    <x v="0"/>
    <x v="1"/>
    <s v="Spring"/>
    <x v="2"/>
  </r>
  <r>
    <n v="791"/>
    <x v="35"/>
    <n v="1"/>
    <n v="0"/>
    <n v="2"/>
    <x v="9"/>
    <b v="0"/>
    <n v="6"/>
    <n v="3"/>
    <n v="0.2"/>
    <n v="0.2273"/>
    <n v="1"/>
    <n v="8.9599999999999999E-2"/>
    <n v="3"/>
    <n v="17"/>
    <n v="20"/>
    <s v="Complete"/>
    <n v="0.2273"/>
    <n v="2011"/>
    <s v=""/>
    <x v="0"/>
    <x v="1"/>
    <s v="Spring"/>
    <x v="2"/>
  </r>
  <r>
    <n v="792"/>
    <x v="35"/>
    <n v="1"/>
    <n v="0"/>
    <n v="2"/>
    <x v="10"/>
    <b v="0"/>
    <n v="6"/>
    <n v="3"/>
    <n v="0.2"/>
    <n v="0.21210000000000001"/>
    <n v="1"/>
    <n v="0.1343"/>
    <n v="3"/>
    <n v="31"/>
    <n v="34"/>
    <s v="Complete"/>
    <n v="0.21210000000000001"/>
    <n v="2011"/>
    <s v=""/>
    <x v="0"/>
    <x v="1"/>
    <s v="Spring"/>
    <x v="2"/>
  </r>
  <r>
    <n v="793"/>
    <x v="35"/>
    <n v="1"/>
    <n v="0"/>
    <n v="2"/>
    <x v="11"/>
    <b v="0"/>
    <n v="6"/>
    <n v="3"/>
    <n v="0.22"/>
    <n v="0.2273"/>
    <n v="1"/>
    <n v="0.1343"/>
    <n v="1"/>
    <n v="46"/>
    <n v="47"/>
    <s v="Complete"/>
    <n v="0.2273"/>
    <n v="2011"/>
    <s v=""/>
    <x v="0"/>
    <x v="1"/>
    <s v="Spring"/>
    <x v="2"/>
  </r>
  <r>
    <n v="794"/>
    <x v="35"/>
    <n v="1"/>
    <n v="0"/>
    <n v="2"/>
    <x v="12"/>
    <b v="0"/>
    <n v="6"/>
    <n v="3"/>
    <n v="0.22"/>
    <n v="0.2273"/>
    <n v="1"/>
    <n v="0.16420000000000001"/>
    <n v="10"/>
    <n v="42"/>
    <n v="52"/>
    <s v="Complete"/>
    <n v="0.2273"/>
    <n v="2011"/>
    <s v=""/>
    <x v="0"/>
    <x v="2"/>
    <s v="Spring"/>
    <x v="2"/>
  </r>
  <r>
    <n v="795"/>
    <x v="35"/>
    <n v="1"/>
    <n v="0"/>
    <n v="2"/>
    <x v="13"/>
    <b v="0"/>
    <n v="6"/>
    <n v="3"/>
    <n v="0.22"/>
    <n v="0.2273"/>
    <n v="1"/>
    <n v="0.16420000000000001"/>
    <n v="10"/>
    <n v="62"/>
    <n v="72"/>
    <s v="Complete"/>
    <n v="0.2273"/>
    <n v="2011"/>
    <s v=""/>
    <x v="0"/>
    <x v="2"/>
    <s v="Spring"/>
    <x v="2"/>
  </r>
  <r>
    <n v="796"/>
    <x v="35"/>
    <n v="1"/>
    <n v="0"/>
    <n v="2"/>
    <x v="14"/>
    <b v="0"/>
    <n v="6"/>
    <n v="3"/>
    <n v="0.22"/>
    <n v="0.2727"/>
    <n v="1"/>
    <n v="0"/>
    <n v="5"/>
    <n v="50"/>
    <n v="55"/>
    <s v="Complete"/>
    <n v="0.2727"/>
    <n v="2011"/>
    <s v=""/>
    <x v="0"/>
    <x v="2"/>
    <s v="Spring"/>
    <x v="2"/>
  </r>
  <r>
    <n v="797"/>
    <x v="35"/>
    <n v="1"/>
    <n v="0"/>
    <n v="2"/>
    <x v="15"/>
    <b v="0"/>
    <n v="6"/>
    <n v="3"/>
    <n v="0.22"/>
    <n v="0.2727"/>
    <n v="1"/>
    <n v="0"/>
    <n v="11"/>
    <n v="49"/>
    <n v="60"/>
    <s v="Complete"/>
    <n v="0.2727"/>
    <n v="2011"/>
    <s v=""/>
    <x v="0"/>
    <x v="2"/>
    <s v="Spring"/>
    <x v="2"/>
  </r>
  <r>
    <n v="798"/>
    <x v="35"/>
    <n v="1"/>
    <n v="0"/>
    <n v="2"/>
    <x v="16"/>
    <b v="0"/>
    <n v="6"/>
    <n v="3"/>
    <n v="0.22"/>
    <n v="0.2273"/>
    <n v="1"/>
    <n v="0.1343"/>
    <n v="8"/>
    <n v="63"/>
    <n v="71"/>
    <s v="Complete"/>
    <n v="0.2273"/>
    <n v="2011"/>
    <s v=""/>
    <x v="0"/>
    <x v="2"/>
    <s v="Spring"/>
    <x v="2"/>
  </r>
  <r>
    <n v="799"/>
    <x v="35"/>
    <n v="1"/>
    <n v="0"/>
    <n v="2"/>
    <x v="17"/>
    <b v="0"/>
    <n v="6"/>
    <n v="2"/>
    <n v="0.24"/>
    <n v="0.21210000000000001"/>
    <n v="1"/>
    <n v="0.28360000000000002"/>
    <n v="14"/>
    <n v="64"/>
    <n v="78"/>
    <s v="Complete"/>
    <n v="0.21210000000000001"/>
    <n v="2011"/>
    <s v=""/>
    <x v="0"/>
    <x v="2"/>
    <s v="Spring"/>
    <x v="1"/>
  </r>
  <r>
    <n v="800"/>
    <x v="35"/>
    <n v="1"/>
    <n v="0"/>
    <n v="2"/>
    <x v="18"/>
    <b v="0"/>
    <n v="6"/>
    <n v="2"/>
    <n v="0.28000000000000003"/>
    <n v="0.2424"/>
    <n v="0.93"/>
    <n v="0.44779999999999998"/>
    <n v="2"/>
    <n v="81"/>
    <n v="83"/>
    <s v="Complete"/>
    <n v="0.2424"/>
    <n v="2011"/>
    <s v=""/>
    <x v="0"/>
    <x v="3"/>
    <s v="Spring"/>
    <x v="1"/>
  </r>
  <r>
    <n v="801"/>
    <x v="35"/>
    <n v="1"/>
    <n v="0"/>
    <n v="2"/>
    <x v="19"/>
    <b v="0"/>
    <n v="6"/>
    <n v="2"/>
    <n v="0.28000000000000003"/>
    <n v="0.2424"/>
    <n v="0.93"/>
    <n v="0.44779999999999998"/>
    <n v="6"/>
    <n v="78"/>
    <n v="84"/>
    <s v="Complete"/>
    <n v="0.2424"/>
    <n v="2011"/>
    <s v=""/>
    <x v="0"/>
    <x v="3"/>
    <s v="Spring"/>
    <x v="1"/>
  </r>
  <r>
    <n v="802"/>
    <x v="35"/>
    <n v="1"/>
    <n v="0"/>
    <n v="2"/>
    <x v="20"/>
    <b v="0"/>
    <n v="6"/>
    <n v="1"/>
    <n v="0.3"/>
    <n v="0.28789999999999999"/>
    <n v="0.87"/>
    <n v="0.25369999999999998"/>
    <n v="5"/>
    <n v="64"/>
    <n v="69"/>
    <s v="Complete"/>
    <n v="0.28789999999999999"/>
    <n v="2011"/>
    <s v=""/>
    <x v="0"/>
    <x v="3"/>
    <s v="Spring"/>
    <x v="0"/>
  </r>
  <r>
    <n v="803"/>
    <x v="35"/>
    <n v="1"/>
    <n v="0"/>
    <n v="2"/>
    <x v="21"/>
    <b v="0"/>
    <n v="6"/>
    <n v="1"/>
    <n v="0.26"/>
    <n v="0.2576"/>
    <n v="1"/>
    <n v="0.19400000000000001"/>
    <n v="3"/>
    <n v="53"/>
    <n v="56"/>
    <s v="Complete"/>
    <n v="0.2576"/>
    <n v="2011"/>
    <s v=""/>
    <x v="0"/>
    <x v="3"/>
    <s v="Spring"/>
    <x v="0"/>
  </r>
  <r>
    <n v="804"/>
    <x v="35"/>
    <n v="1"/>
    <n v="0"/>
    <n v="2"/>
    <x v="22"/>
    <b v="0"/>
    <n v="6"/>
    <n v="1"/>
    <n v="0.26"/>
    <n v="0.2727"/>
    <n v="0.93"/>
    <n v="0.1343"/>
    <n v="2"/>
    <n v="43"/>
    <n v="45"/>
    <s v="Complete"/>
    <n v="0.2727"/>
    <n v="2011"/>
    <s v=""/>
    <x v="0"/>
    <x v="3"/>
    <s v="Spring"/>
    <x v="0"/>
  </r>
  <r>
    <n v="805"/>
    <x v="35"/>
    <n v="1"/>
    <n v="0"/>
    <n v="2"/>
    <x v="23"/>
    <b v="0"/>
    <n v="6"/>
    <n v="1"/>
    <n v="0.26"/>
    <n v="0.2576"/>
    <n v="0.93"/>
    <n v="0.22389999999999999"/>
    <n v="7"/>
    <n v="52"/>
    <n v="59"/>
    <s v="Complete"/>
    <n v="0.2576"/>
    <n v="2011"/>
    <s v=""/>
    <x v="0"/>
    <x v="3"/>
    <s v="Spring"/>
    <x v="0"/>
  </r>
  <r>
    <n v="806"/>
    <x v="36"/>
    <n v="1"/>
    <n v="0"/>
    <n v="2"/>
    <x v="0"/>
    <b v="0"/>
    <n v="0"/>
    <n v="1"/>
    <n v="0.26"/>
    <n v="0.2576"/>
    <n v="0.7"/>
    <n v="0.19400000000000001"/>
    <n v="2"/>
    <n v="37"/>
    <n v="39"/>
    <s v="Complete"/>
    <n v="0.2576"/>
    <n v="2011"/>
    <s v=""/>
    <x v="1"/>
    <x v="0"/>
    <s v="Spring"/>
    <x v="0"/>
  </r>
  <r>
    <n v="807"/>
    <x v="36"/>
    <n v="1"/>
    <n v="0"/>
    <n v="2"/>
    <x v="1"/>
    <b v="0"/>
    <n v="0"/>
    <n v="1"/>
    <n v="0.26"/>
    <n v="0.2273"/>
    <n v="0.65"/>
    <n v="0.41789999999999999"/>
    <n v="4"/>
    <n v="40"/>
    <n v="44"/>
    <s v="Complete"/>
    <n v="0.2273"/>
    <n v="2011"/>
    <s v=""/>
    <x v="1"/>
    <x v="0"/>
    <s v="Spring"/>
    <x v="0"/>
  </r>
  <r>
    <n v="808"/>
    <x v="36"/>
    <n v="1"/>
    <n v="0"/>
    <n v="2"/>
    <x v="2"/>
    <b v="0"/>
    <n v="0"/>
    <n v="1"/>
    <n v="0.26"/>
    <n v="0.2273"/>
    <n v="0.6"/>
    <n v="0.32840000000000003"/>
    <n v="0"/>
    <n v="20"/>
    <n v="20"/>
    <s v="Complete"/>
    <n v="0.2273"/>
    <n v="2011"/>
    <s v=""/>
    <x v="1"/>
    <x v="0"/>
    <s v="Spring"/>
    <x v="0"/>
  </r>
  <r>
    <n v="809"/>
    <x v="36"/>
    <n v="1"/>
    <n v="0"/>
    <n v="2"/>
    <x v="3"/>
    <b v="0"/>
    <n v="0"/>
    <n v="1"/>
    <n v="0.26"/>
    <n v="0.28789999999999999"/>
    <n v="0.6"/>
    <n v="8.9599999999999999E-2"/>
    <n v="3"/>
    <n v="10"/>
    <n v="13"/>
    <s v="Complete"/>
    <n v="0.28789999999999999"/>
    <n v="2011"/>
    <s v=""/>
    <x v="1"/>
    <x v="0"/>
    <s v="Spring"/>
    <x v="0"/>
  </r>
  <r>
    <n v="810"/>
    <x v="36"/>
    <n v="1"/>
    <n v="0"/>
    <n v="2"/>
    <x v="4"/>
    <b v="0"/>
    <n v="0"/>
    <n v="1"/>
    <n v="0.26"/>
    <n v="0.2273"/>
    <n v="0.6"/>
    <n v="0.35820000000000002"/>
    <n v="0"/>
    <n v="2"/>
    <n v="2"/>
    <s v="Complete"/>
    <n v="0.2273"/>
    <n v="2011"/>
    <s v=""/>
    <x v="1"/>
    <x v="0"/>
    <s v="Spring"/>
    <x v="0"/>
  </r>
  <r>
    <n v="811"/>
    <x v="36"/>
    <n v="1"/>
    <n v="0"/>
    <n v="2"/>
    <x v="5"/>
    <b v="0"/>
    <n v="0"/>
    <n v="1"/>
    <n v="0.26"/>
    <n v="0.2576"/>
    <n v="0.6"/>
    <n v="0.22389999999999999"/>
    <n v="0"/>
    <n v="1"/>
    <n v="1"/>
    <s v="Complete"/>
    <n v="0.2576"/>
    <n v="2011"/>
    <s v=""/>
    <x v="1"/>
    <x v="0"/>
    <s v="Spring"/>
    <x v="0"/>
  </r>
  <r>
    <n v="812"/>
    <x v="36"/>
    <n v="1"/>
    <n v="0"/>
    <n v="2"/>
    <x v="6"/>
    <b v="0"/>
    <n v="0"/>
    <n v="1"/>
    <n v="0.26"/>
    <n v="0.2576"/>
    <n v="0.6"/>
    <n v="0.22389999999999999"/>
    <n v="0"/>
    <n v="1"/>
    <n v="1"/>
    <s v="Complete"/>
    <n v="0.2576"/>
    <n v="2011"/>
    <s v=""/>
    <x v="1"/>
    <x v="1"/>
    <s v="Spring"/>
    <x v="0"/>
  </r>
  <r>
    <n v="813"/>
    <x v="36"/>
    <n v="1"/>
    <n v="0"/>
    <n v="2"/>
    <x v="7"/>
    <b v="0"/>
    <n v="0"/>
    <n v="1"/>
    <n v="0.24"/>
    <n v="0.2424"/>
    <n v="0.65"/>
    <n v="0.16420000000000001"/>
    <n v="0"/>
    <n v="8"/>
    <n v="8"/>
    <s v="Complete"/>
    <n v="0.2424"/>
    <n v="2011"/>
    <s v=""/>
    <x v="1"/>
    <x v="1"/>
    <s v="Spring"/>
    <x v="0"/>
  </r>
  <r>
    <n v="814"/>
    <x v="36"/>
    <n v="1"/>
    <n v="0"/>
    <n v="2"/>
    <x v="8"/>
    <b v="0"/>
    <n v="0"/>
    <n v="1"/>
    <n v="0.24"/>
    <n v="0.2576"/>
    <n v="0.65"/>
    <n v="0.1045"/>
    <n v="2"/>
    <n v="21"/>
    <n v="23"/>
    <s v="Complete"/>
    <n v="0.2576"/>
    <n v="2011"/>
    <s v=""/>
    <x v="1"/>
    <x v="1"/>
    <s v="Spring"/>
    <x v="0"/>
  </r>
  <r>
    <n v="815"/>
    <x v="36"/>
    <n v="1"/>
    <n v="0"/>
    <n v="2"/>
    <x v="9"/>
    <b v="0"/>
    <n v="0"/>
    <n v="1"/>
    <n v="0.28000000000000003"/>
    <n v="0.28789999999999999"/>
    <n v="0.56000000000000005"/>
    <n v="0.1045"/>
    <n v="7"/>
    <n v="38"/>
    <n v="45"/>
    <s v="Complete"/>
    <n v="0.28789999999999999"/>
    <n v="2011"/>
    <s v=""/>
    <x v="1"/>
    <x v="1"/>
    <s v="Spring"/>
    <x v="0"/>
  </r>
  <r>
    <n v="816"/>
    <x v="36"/>
    <n v="1"/>
    <n v="0"/>
    <n v="2"/>
    <x v="10"/>
    <b v="0"/>
    <n v="0"/>
    <n v="1"/>
    <n v="0.3"/>
    <n v="0.28789999999999999"/>
    <n v="0.52"/>
    <n v="0.25369999999999998"/>
    <n v="15"/>
    <n v="74"/>
    <n v="89"/>
    <s v="Complete"/>
    <n v="0.28789999999999999"/>
    <n v="2011"/>
    <s v=""/>
    <x v="1"/>
    <x v="1"/>
    <s v="Spring"/>
    <x v="0"/>
  </r>
  <r>
    <n v="817"/>
    <x v="36"/>
    <n v="1"/>
    <n v="0"/>
    <n v="2"/>
    <x v="11"/>
    <b v="0"/>
    <n v="0"/>
    <n v="1"/>
    <n v="0.32"/>
    <n v="0.30299999999999999"/>
    <n v="0.49"/>
    <n v="0.25369999999999998"/>
    <n v="28"/>
    <n v="89"/>
    <n v="117"/>
    <s v="Complete"/>
    <n v="0.30299999999999999"/>
    <n v="2011"/>
    <s v=""/>
    <x v="1"/>
    <x v="1"/>
    <s v="Spring"/>
    <x v="0"/>
  </r>
  <r>
    <n v="818"/>
    <x v="36"/>
    <n v="1"/>
    <n v="0"/>
    <n v="2"/>
    <x v="12"/>
    <b v="0"/>
    <n v="0"/>
    <n v="1"/>
    <n v="0.34"/>
    <n v="0.33329999999999999"/>
    <n v="0.46"/>
    <n v="0"/>
    <n v="48"/>
    <n v="126"/>
    <n v="174"/>
    <s v="Complete"/>
    <n v="0.33329999999999999"/>
    <n v="2011"/>
    <s v=""/>
    <x v="1"/>
    <x v="2"/>
    <s v="Spring"/>
    <x v="0"/>
  </r>
  <r>
    <n v="819"/>
    <x v="36"/>
    <n v="1"/>
    <n v="0"/>
    <n v="2"/>
    <x v="13"/>
    <b v="0"/>
    <n v="0"/>
    <n v="1"/>
    <n v="0.34"/>
    <n v="0.36359999999999998"/>
    <n v="0.46"/>
    <n v="0"/>
    <n v="47"/>
    <n v="135"/>
    <n v="182"/>
    <s v="Complete"/>
    <n v="0.36359999999999998"/>
    <n v="2011"/>
    <s v=""/>
    <x v="1"/>
    <x v="2"/>
    <s v="Spring"/>
    <x v="0"/>
  </r>
  <r>
    <n v="820"/>
    <x v="36"/>
    <n v="1"/>
    <n v="0"/>
    <n v="2"/>
    <x v="14"/>
    <b v="0"/>
    <n v="0"/>
    <n v="1"/>
    <n v="0.34"/>
    <n v="0.34849999999999998"/>
    <n v="0.46"/>
    <n v="8.9599999999999999E-2"/>
    <n v="47"/>
    <n v="114"/>
    <n v="161"/>
    <s v="Complete"/>
    <n v="0.34849999999999998"/>
    <n v="2011"/>
    <s v=""/>
    <x v="1"/>
    <x v="2"/>
    <s v="Spring"/>
    <x v="0"/>
  </r>
  <r>
    <n v="821"/>
    <x v="36"/>
    <n v="1"/>
    <n v="0"/>
    <n v="2"/>
    <x v="15"/>
    <b v="0"/>
    <n v="0"/>
    <n v="1"/>
    <n v="0.34"/>
    <n v="0.34849999999999998"/>
    <n v="0.46"/>
    <n v="8.9599999999999999E-2"/>
    <n v="52"/>
    <n v="130"/>
    <n v="182"/>
    <s v="Complete"/>
    <n v="0.34849999999999998"/>
    <n v="2011"/>
    <s v=""/>
    <x v="1"/>
    <x v="2"/>
    <s v="Spring"/>
    <x v="0"/>
  </r>
  <r>
    <n v="822"/>
    <x v="36"/>
    <n v="1"/>
    <n v="0"/>
    <n v="2"/>
    <x v="16"/>
    <b v="0"/>
    <n v="0"/>
    <n v="1"/>
    <n v="0.34"/>
    <n v="0.34849999999999998"/>
    <n v="0.49"/>
    <n v="0.1045"/>
    <n v="42"/>
    <n v="115"/>
    <n v="157"/>
    <s v="Complete"/>
    <n v="0.34849999999999998"/>
    <n v="2011"/>
    <s v=""/>
    <x v="1"/>
    <x v="2"/>
    <s v="Spring"/>
    <x v="0"/>
  </r>
  <r>
    <n v="823"/>
    <x v="36"/>
    <n v="1"/>
    <n v="0"/>
    <n v="2"/>
    <x v="17"/>
    <b v="0"/>
    <n v="0"/>
    <n v="1"/>
    <n v="0.34"/>
    <n v="0.36359999999999998"/>
    <n v="0.46"/>
    <n v="0"/>
    <n v="24"/>
    <n v="97"/>
    <n v="121"/>
    <s v="Complete"/>
    <n v="0.36359999999999998"/>
    <n v="2011"/>
    <s v=""/>
    <x v="1"/>
    <x v="2"/>
    <s v="Spring"/>
    <x v="0"/>
  </r>
  <r>
    <n v="824"/>
    <x v="36"/>
    <n v="1"/>
    <n v="0"/>
    <n v="2"/>
    <x v="18"/>
    <b v="0"/>
    <n v="0"/>
    <n v="1"/>
    <n v="0.3"/>
    <n v="0.30299999999999999"/>
    <n v="0.56000000000000005"/>
    <n v="0.16420000000000001"/>
    <n v="13"/>
    <n v="65"/>
    <n v="78"/>
    <s v="Complete"/>
    <n v="0.30299999999999999"/>
    <n v="2011"/>
    <s v=""/>
    <x v="1"/>
    <x v="3"/>
    <s v="Spring"/>
    <x v="0"/>
  </r>
  <r>
    <n v="825"/>
    <x v="36"/>
    <n v="1"/>
    <n v="0"/>
    <n v="2"/>
    <x v="19"/>
    <b v="0"/>
    <n v="0"/>
    <n v="1"/>
    <n v="0.28000000000000003"/>
    <n v="0.28789999999999999"/>
    <n v="0.61"/>
    <n v="0.1343"/>
    <n v="1"/>
    <n v="20"/>
    <n v="21"/>
    <s v="Complete"/>
    <n v="0.28789999999999999"/>
    <n v="2011"/>
    <s v=""/>
    <x v="1"/>
    <x v="3"/>
    <s v="Spring"/>
    <x v="0"/>
  </r>
  <r>
    <n v="826"/>
    <x v="36"/>
    <n v="1"/>
    <n v="0"/>
    <n v="2"/>
    <x v="20"/>
    <b v="0"/>
    <n v="0"/>
    <n v="1"/>
    <n v="0.28000000000000003"/>
    <n v="0.28789999999999999"/>
    <n v="0.61"/>
    <n v="0.1045"/>
    <n v="5"/>
    <n v="21"/>
    <n v="26"/>
    <s v="Complete"/>
    <n v="0.28789999999999999"/>
    <n v="2011"/>
    <s v=""/>
    <x v="1"/>
    <x v="3"/>
    <s v="Spring"/>
    <x v="0"/>
  </r>
  <r>
    <n v="827"/>
    <x v="36"/>
    <n v="1"/>
    <n v="0"/>
    <n v="2"/>
    <x v="21"/>
    <b v="0"/>
    <n v="0"/>
    <n v="1"/>
    <n v="0.26"/>
    <n v="0.30299999999999999"/>
    <n v="0.6"/>
    <n v="0"/>
    <n v="5"/>
    <n v="22"/>
    <n v="27"/>
    <s v="Complete"/>
    <n v="0.30299999999999999"/>
    <n v="2011"/>
    <s v=""/>
    <x v="1"/>
    <x v="3"/>
    <s v="Spring"/>
    <x v="0"/>
  </r>
  <r>
    <n v="828"/>
    <x v="36"/>
    <n v="1"/>
    <n v="0"/>
    <n v="2"/>
    <x v="22"/>
    <b v="0"/>
    <n v="0"/>
    <n v="1"/>
    <n v="0.26"/>
    <n v="0.30299999999999999"/>
    <n v="0.6"/>
    <n v="0"/>
    <n v="5"/>
    <n v="57"/>
    <n v="62"/>
    <s v="Complete"/>
    <n v="0.30299999999999999"/>
    <n v="2011"/>
    <s v=""/>
    <x v="1"/>
    <x v="3"/>
    <s v="Spring"/>
    <x v="0"/>
  </r>
  <r>
    <n v="829"/>
    <x v="36"/>
    <n v="1"/>
    <n v="0"/>
    <n v="2"/>
    <x v="23"/>
    <b v="0"/>
    <n v="0"/>
    <n v="1"/>
    <n v="0.24"/>
    <n v="0.28789999999999999"/>
    <n v="0.65"/>
    <n v="0"/>
    <n v="4"/>
    <n v="26"/>
    <n v="30"/>
    <s v="Complete"/>
    <n v="0.28789999999999999"/>
    <n v="2011"/>
    <s v=""/>
    <x v="1"/>
    <x v="3"/>
    <s v="Spring"/>
    <x v="0"/>
  </r>
  <r>
    <n v="830"/>
    <x v="37"/>
    <n v="1"/>
    <n v="0"/>
    <n v="2"/>
    <x v="0"/>
    <b v="0"/>
    <n v="1"/>
    <n v="1"/>
    <n v="0.24"/>
    <n v="0.28789999999999999"/>
    <n v="0.65"/>
    <n v="0"/>
    <n v="1"/>
    <n v="14"/>
    <n v="15"/>
    <s v="Complete"/>
    <n v="0.28789999999999999"/>
    <n v="2011"/>
    <s v=""/>
    <x v="2"/>
    <x v="0"/>
    <s v="Spring"/>
    <x v="0"/>
  </r>
  <r>
    <n v="831"/>
    <x v="37"/>
    <n v="1"/>
    <n v="0"/>
    <n v="2"/>
    <x v="1"/>
    <b v="0"/>
    <n v="1"/>
    <n v="1"/>
    <n v="0.22"/>
    <n v="0.2727"/>
    <n v="0.75"/>
    <n v="0"/>
    <n v="1"/>
    <n v="4"/>
    <n v="5"/>
    <s v="Complete"/>
    <n v="0.2727"/>
    <n v="2011"/>
    <s v=""/>
    <x v="2"/>
    <x v="0"/>
    <s v="Spring"/>
    <x v="0"/>
  </r>
  <r>
    <n v="832"/>
    <x v="37"/>
    <n v="1"/>
    <n v="0"/>
    <n v="2"/>
    <x v="2"/>
    <b v="0"/>
    <n v="1"/>
    <n v="1"/>
    <n v="0.2"/>
    <n v="0.2576"/>
    <n v="0.8"/>
    <n v="0"/>
    <n v="0"/>
    <n v="3"/>
    <n v="3"/>
    <s v="Complete"/>
    <n v="0.2576"/>
    <n v="2011"/>
    <s v=""/>
    <x v="2"/>
    <x v="0"/>
    <s v="Spring"/>
    <x v="0"/>
  </r>
  <r>
    <n v="833"/>
    <x v="37"/>
    <n v="1"/>
    <n v="0"/>
    <n v="2"/>
    <x v="3"/>
    <b v="0"/>
    <n v="1"/>
    <n v="1"/>
    <n v="0.2"/>
    <n v="0.2576"/>
    <n v="0.86"/>
    <n v="0"/>
    <n v="0"/>
    <n v="1"/>
    <n v="1"/>
    <s v="Complete"/>
    <n v="0.2576"/>
    <n v="2011"/>
    <s v=""/>
    <x v="2"/>
    <x v="0"/>
    <s v="Spring"/>
    <x v="0"/>
  </r>
  <r>
    <n v="834"/>
    <x v="37"/>
    <n v="1"/>
    <n v="0"/>
    <n v="2"/>
    <x v="4"/>
    <b v="0"/>
    <n v="1"/>
    <n v="1"/>
    <n v="0.2"/>
    <n v="0.2576"/>
    <n v="0.86"/>
    <n v="0"/>
    <n v="1"/>
    <n v="1"/>
    <n v="2"/>
    <s v="Complete"/>
    <n v="0.2576"/>
    <n v="2011"/>
    <s v=""/>
    <x v="2"/>
    <x v="0"/>
    <s v="Spring"/>
    <x v="0"/>
  </r>
  <r>
    <n v="835"/>
    <x v="37"/>
    <n v="1"/>
    <n v="0"/>
    <n v="2"/>
    <x v="5"/>
    <b v="0"/>
    <n v="1"/>
    <n v="1"/>
    <n v="0.2"/>
    <n v="0.2576"/>
    <n v="0.86"/>
    <n v="0"/>
    <n v="1"/>
    <n v="9"/>
    <n v="10"/>
    <s v="Complete"/>
    <n v="0.2576"/>
    <n v="2011"/>
    <s v=""/>
    <x v="2"/>
    <x v="0"/>
    <s v="Spring"/>
    <x v="0"/>
  </r>
  <r>
    <n v="836"/>
    <x v="37"/>
    <n v="1"/>
    <n v="0"/>
    <n v="2"/>
    <x v="6"/>
    <b v="0"/>
    <n v="1"/>
    <n v="1"/>
    <n v="0.18"/>
    <n v="0.2424"/>
    <n v="0.93"/>
    <n v="0"/>
    <n v="1"/>
    <n v="29"/>
    <n v="30"/>
    <s v="Complete"/>
    <n v="0.2424"/>
    <n v="2011"/>
    <s v=""/>
    <x v="2"/>
    <x v="1"/>
    <s v="Spring"/>
    <x v="0"/>
  </r>
  <r>
    <n v="837"/>
    <x v="37"/>
    <n v="1"/>
    <n v="0"/>
    <n v="2"/>
    <x v="7"/>
    <b v="0"/>
    <n v="1"/>
    <n v="1"/>
    <n v="0.18"/>
    <n v="0.2424"/>
    <n v="0.86"/>
    <n v="0"/>
    <n v="6"/>
    <n v="89"/>
    <n v="95"/>
    <s v="Complete"/>
    <n v="0.2424"/>
    <n v="2011"/>
    <s v=""/>
    <x v="2"/>
    <x v="1"/>
    <s v="Spring"/>
    <x v="0"/>
  </r>
  <r>
    <n v="838"/>
    <x v="37"/>
    <n v="1"/>
    <n v="0"/>
    <n v="2"/>
    <x v="8"/>
    <b v="0"/>
    <n v="1"/>
    <n v="2"/>
    <n v="0.16"/>
    <n v="0.2273"/>
    <n v="1"/>
    <n v="0"/>
    <n v="7"/>
    <n v="223"/>
    <n v="230"/>
    <s v="Complete"/>
    <n v="0.2273"/>
    <n v="2011"/>
    <s v=""/>
    <x v="2"/>
    <x v="1"/>
    <s v="Spring"/>
    <x v="1"/>
  </r>
  <r>
    <n v="839"/>
    <x v="37"/>
    <n v="1"/>
    <n v="0"/>
    <n v="2"/>
    <x v="9"/>
    <b v="0"/>
    <n v="1"/>
    <n v="1"/>
    <n v="0.22"/>
    <n v="0.2727"/>
    <n v="0.8"/>
    <n v="0"/>
    <n v="3"/>
    <n v="115"/>
    <n v="118"/>
    <s v="Complete"/>
    <n v="0.2727"/>
    <n v="2011"/>
    <s v=""/>
    <x v="2"/>
    <x v="1"/>
    <s v="Spring"/>
    <x v="0"/>
  </r>
  <r>
    <n v="840"/>
    <x v="37"/>
    <n v="1"/>
    <n v="0"/>
    <n v="2"/>
    <x v="10"/>
    <b v="0"/>
    <n v="1"/>
    <n v="1"/>
    <n v="0.24"/>
    <n v="0.2576"/>
    <n v="0.75"/>
    <n v="0.1045"/>
    <n v="6"/>
    <n v="49"/>
    <n v="55"/>
    <s v="Complete"/>
    <n v="0.2576"/>
    <n v="2011"/>
    <s v=""/>
    <x v="2"/>
    <x v="1"/>
    <s v="Spring"/>
    <x v="0"/>
  </r>
  <r>
    <n v="841"/>
    <x v="37"/>
    <n v="1"/>
    <n v="0"/>
    <n v="2"/>
    <x v="11"/>
    <b v="0"/>
    <n v="1"/>
    <n v="1"/>
    <n v="0.3"/>
    <n v="0.31819999999999998"/>
    <n v="0.65"/>
    <n v="8.9599999999999999E-2"/>
    <n v="11"/>
    <n v="36"/>
    <n v="47"/>
    <s v="Complete"/>
    <n v="0.31819999999999998"/>
    <n v="2011"/>
    <s v=""/>
    <x v="2"/>
    <x v="1"/>
    <s v="Spring"/>
    <x v="0"/>
  </r>
  <r>
    <n v="842"/>
    <x v="37"/>
    <n v="1"/>
    <n v="0"/>
    <n v="2"/>
    <x v="12"/>
    <b v="0"/>
    <n v="1"/>
    <n v="2"/>
    <n v="0.32"/>
    <n v="0.34849999999999998"/>
    <n v="0.62"/>
    <n v="0"/>
    <n v="7"/>
    <n v="59"/>
    <n v="66"/>
    <s v="Complete"/>
    <n v="0.34849999999999998"/>
    <n v="2011"/>
    <s v=""/>
    <x v="2"/>
    <x v="2"/>
    <s v="Spring"/>
    <x v="1"/>
  </r>
  <r>
    <n v="843"/>
    <x v="37"/>
    <n v="1"/>
    <n v="0"/>
    <n v="2"/>
    <x v="13"/>
    <b v="0"/>
    <n v="1"/>
    <n v="2"/>
    <n v="0.36"/>
    <n v="0.36359999999999998"/>
    <n v="0.56999999999999995"/>
    <n v="8.9599999999999999E-2"/>
    <n v="10"/>
    <n v="54"/>
    <n v="64"/>
    <s v="Complete"/>
    <n v="0.36359999999999998"/>
    <n v="2011"/>
    <s v=""/>
    <x v="2"/>
    <x v="2"/>
    <s v="Spring"/>
    <x v="1"/>
  </r>
  <r>
    <n v="844"/>
    <x v="37"/>
    <n v="1"/>
    <n v="0"/>
    <n v="2"/>
    <x v="14"/>
    <b v="0"/>
    <n v="1"/>
    <n v="2"/>
    <n v="0.36"/>
    <n v="0.36359999999999998"/>
    <n v="0.56999999999999995"/>
    <n v="8.9599999999999999E-2"/>
    <n v="8"/>
    <n v="52"/>
    <n v="60"/>
    <s v="Complete"/>
    <n v="0.36359999999999998"/>
    <n v="2011"/>
    <s v=""/>
    <x v="2"/>
    <x v="2"/>
    <s v="Spring"/>
    <x v="1"/>
  </r>
  <r>
    <n v="845"/>
    <x v="37"/>
    <n v="1"/>
    <n v="0"/>
    <n v="2"/>
    <x v="15"/>
    <b v="0"/>
    <n v="1"/>
    <n v="2"/>
    <n v="0.38"/>
    <n v="0.39389999999999997"/>
    <n v="0.54"/>
    <n v="8.9599999999999999E-2"/>
    <n v="4"/>
    <n v="46"/>
    <n v="50"/>
    <s v="Complete"/>
    <n v="0.39389999999999997"/>
    <n v="2011"/>
    <s v=""/>
    <x v="2"/>
    <x v="2"/>
    <s v="Spring"/>
    <x v="1"/>
  </r>
  <r>
    <n v="846"/>
    <x v="37"/>
    <n v="1"/>
    <n v="0"/>
    <n v="2"/>
    <x v="16"/>
    <b v="0"/>
    <n v="1"/>
    <n v="2"/>
    <n v="0.36"/>
    <n v="0.34849999999999998"/>
    <n v="0.56999999999999995"/>
    <n v="0.1343"/>
    <n v="16"/>
    <n v="98"/>
    <n v="114"/>
    <s v="Complete"/>
    <n v="0.34849999999999998"/>
    <n v="2011"/>
    <s v=""/>
    <x v="2"/>
    <x v="2"/>
    <s v="Spring"/>
    <x v="1"/>
  </r>
  <r>
    <n v="847"/>
    <x v="37"/>
    <n v="1"/>
    <n v="0"/>
    <n v="2"/>
    <x v="17"/>
    <b v="0"/>
    <n v="1"/>
    <n v="2"/>
    <n v="0.32"/>
    <n v="0.31819999999999998"/>
    <n v="0.7"/>
    <n v="0.16420000000000001"/>
    <n v="9"/>
    <n v="207"/>
    <n v="216"/>
    <s v="Complete"/>
    <n v="0.31819999999999998"/>
    <n v="2011"/>
    <s v=""/>
    <x v="2"/>
    <x v="2"/>
    <s v="Spring"/>
    <x v="1"/>
  </r>
  <r>
    <n v="848"/>
    <x v="37"/>
    <n v="1"/>
    <n v="0"/>
    <n v="2"/>
    <x v="18"/>
    <b v="0"/>
    <n v="1"/>
    <n v="2"/>
    <n v="0.34"/>
    <n v="0.33329999999999999"/>
    <n v="0.66"/>
    <n v="0.1343"/>
    <n v="5"/>
    <n v="170"/>
    <n v="175"/>
    <s v="Complete"/>
    <n v="0.33329999999999999"/>
    <n v="2011"/>
    <s v=""/>
    <x v="2"/>
    <x v="3"/>
    <s v="Spring"/>
    <x v="1"/>
  </r>
  <r>
    <n v="849"/>
    <x v="37"/>
    <n v="1"/>
    <n v="0"/>
    <n v="2"/>
    <x v="19"/>
    <b v="0"/>
    <n v="1"/>
    <n v="2"/>
    <n v="0.32"/>
    <n v="0.34849999999999998"/>
    <n v="0.7"/>
    <n v="0"/>
    <n v="5"/>
    <n v="123"/>
    <n v="128"/>
    <s v="Complete"/>
    <n v="0.34849999999999998"/>
    <n v="2011"/>
    <s v=""/>
    <x v="2"/>
    <x v="3"/>
    <s v="Spring"/>
    <x v="1"/>
  </r>
  <r>
    <n v="850"/>
    <x v="37"/>
    <n v="1"/>
    <n v="0"/>
    <n v="2"/>
    <x v="20"/>
    <b v="0"/>
    <n v="1"/>
    <n v="2"/>
    <n v="0.32"/>
    <n v="0.33329999999999999"/>
    <n v="0.7"/>
    <n v="0.1045"/>
    <n v="6"/>
    <n v="82"/>
    <n v="88"/>
    <s v="Complete"/>
    <n v="0.33329999999999999"/>
    <n v="2011"/>
    <s v=""/>
    <x v="2"/>
    <x v="3"/>
    <s v="Spring"/>
    <x v="1"/>
  </r>
  <r>
    <n v="851"/>
    <x v="37"/>
    <n v="1"/>
    <n v="0"/>
    <n v="2"/>
    <x v="21"/>
    <b v="0"/>
    <n v="1"/>
    <n v="1"/>
    <n v="0.32"/>
    <n v="0.34849999999999998"/>
    <n v="0.7"/>
    <n v="0"/>
    <n v="3"/>
    <n v="75"/>
    <n v="78"/>
    <s v="Complete"/>
    <n v="0.34849999999999998"/>
    <n v="2011"/>
    <s v=""/>
    <x v="2"/>
    <x v="3"/>
    <s v="Spring"/>
    <x v="0"/>
  </r>
  <r>
    <n v="852"/>
    <x v="37"/>
    <n v="1"/>
    <n v="0"/>
    <n v="2"/>
    <x v="22"/>
    <b v="0"/>
    <n v="1"/>
    <n v="1"/>
    <n v="0.28000000000000003"/>
    <n v="0.30299999999999999"/>
    <n v="0.81"/>
    <n v="8.9599999999999999E-2"/>
    <n v="3"/>
    <n v="34"/>
    <n v="37"/>
    <s v="Complete"/>
    <n v="0.30299999999999999"/>
    <n v="2011"/>
    <s v=""/>
    <x v="2"/>
    <x v="3"/>
    <s v="Spring"/>
    <x v="0"/>
  </r>
  <r>
    <n v="853"/>
    <x v="37"/>
    <n v="1"/>
    <n v="0"/>
    <n v="2"/>
    <x v="23"/>
    <b v="0"/>
    <n v="1"/>
    <n v="2"/>
    <n v="0.3"/>
    <n v="0.33329999999999999"/>
    <n v="0.81"/>
    <n v="0"/>
    <n v="6"/>
    <n v="19"/>
    <n v="25"/>
    <s v="Complete"/>
    <n v="0.33329999999999999"/>
    <n v="2011"/>
    <s v=""/>
    <x v="2"/>
    <x v="3"/>
    <s v="Spring"/>
    <x v="1"/>
  </r>
  <r>
    <n v="854"/>
    <x v="38"/>
    <n v="1"/>
    <n v="0"/>
    <n v="2"/>
    <x v="0"/>
    <b v="0"/>
    <n v="2"/>
    <n v="2"/>
    <n v="0.28000000000000003"/>
    <n v="0.31819999999999998"/>
    <n v="0.87"/>
    <n v="0"/>
    <n v="4"/>
    <n v="6"/>
    <n v="10"/>
    <s v="Complete"/>
    <n v="0.31819999999999998"/>
    <n v="2011"/>
    <s v=""/>
    <x v="2"/>
    <x v="0"/>
    <s v="Spring"/>
    <x v="1"/>
  </r>
  <r>
    <n v="855"/>
    <x v="38"/>
    <n v="1"/>
    <n v="0"/>
    <n v="2"/>
    <x v="1"/>
    <b v="0"/>
    <n v="2"/>
    <n v="2"/>
    <n v="0.28000000000000003"/>
    <n v="0.31819999999999998"/>
    <n v="0.87"/>
    <n v="0"/>
    <n v="0"/>
    <n v="4"/>
    <n v="4"/>
    <s v="Complete"/>
    <n v="0.31819999999999998"/>
    <n v="2011"/>
    <s v=""/>
    <x v="2"/>
    <x v="0"/>
    <s v="Spring"/>
    <x v="1"/>
  </r>
  <r>
    <n v="856"/>
    <x v="38"/>
    <n v="1"/>
    <n v="0"/>
    <n v="2"/>
    <x v="2"/>
    <b v="0"/>
    <n v="2"/>
    <n v="2"/>
    <n v="0.26"/>
    <n v="0.2727"/>
    <n v="0.93"/>
    <n v="0.1045"/>
    <n v="1"/>
    <n v="1"/>
    <n v="2"/>
    <s v="Complete"/>
    <n v="0.2727"/>
    <n v="2011"/>
    <s v=""/>
    <x v="2"/>
    <x v="0"/>
    <s v="Spring"/>
    <x v="1"/>
  </r>
  <r>
    <n v="857"/>
    <x v="38"/>
    <n v="1"/>
    <n v="0"/>
    <n v="2"/>
    <x v="3"/>
    <b v="0"/>
    <n v="2"/>
    <n v="3"/>
    <n v="0.28000000000000003"/>
    <n v="0.2727"/>
    <n v="0.93"/>
    <n v="0.16420000000000001"/>
    <n v="0"/>
    <n v="1"/>
    <n v="1"/>
    <s v="Complete"/>
    <n v="0.2727"/>
    <n v="2011"/>
    <s v=""/>
    <x v="2"/>
    <x v="0"/>
    <s v="Spring"/>
    <x v="2"/>
  </r>
  <r>
    <n v="858"/>
    <x v="38"/>
    <n v="1"/>
    <n v="0"/>
    <n v="2"/>
    <x v="4"/>
    <b v="0"/>
    <n v="2"/>
    <n v="1"/>
    <n v="0.26"/>
    <n v="0.2576"/>
    <n v="0.93"/>
    <n v="0.16420000000000001"/>
    <n v="0"/>
    <n v="3"/>
    <n v="3"/>
    <s v="Complete"/>
    <n v="0.2576"/>
    <n v="2011"/>
    <s v=""/>
    <x v="2"/>
    <x v="0"/>
    <s v="Spring"/>
    <x v="0"/>
  </r>
  <r>
    <n v="859"/>
    <x v="38"/>
    <n v="1"/>
    <n v="0"/>
    <n v="2"/>
    <x v="5"/>
    <b v="0"/>
    <n v="2"/>
    <n v="1"/>
    <n v="0.26"/>
    <n v="0.2273"/>
    <n v="0.81"/>
    <n v="0.32840000000000003"/>
    <n v="0"/>
    <n v="2"/>
    <n v="2"/>
    <s v="Complete"/>
    <n v="0.2273"/>
    <n v="2011"/>
    <s v=""/>
    <x v="2"/>
    <x v="0"/>
    <s v="Spring"/>
    <x v="0"/>
  </r>
  <r>
    <n v="860"/>
    <x v="38"/>
    <n v="1"/>
    <n v="0"/>
    <n v="2"/>
    <x v="6"/>
    <b v="0"/>
    <n v="2"/>
    <n v="1"/>
    <n v="0.26"/>
    <n v="0.2273"/>
    <n v="0.7"/>
    <n v="0.32840000000000003"/>
    <n v="0"/>
    <n v="39"/>
    <n v="39"/>
    <s v="Complete"/>
    <n v="0.2273"/>
    <n v="2011"/>
    <s v=""/>
    <x v="2"/>
    <x v="1"/>
    <s v="Spring"/>
    <x v="0"/>
  </r>
  <r>
    <n v="861"/>
    <x v="38"/>
    <n v="1"/>
    <n v="0"/>
    <n v="2"/>
    <x v="7"/>
    <b v="0"/>
    <n v="2"/>
    <n v="1"/>
    <n v="0.24"/>
    <n v="0.19700000000000001"/>
    <n v="0.65"/>
    <n v="0.41789999999999999"/>
    <n v="3"/>
    <n v="97"/>
    <n v="100"/>
    <s v="Complete"/>
    <n v="0.19700000000000001"/>
    <n v="2011"/>
    <s v=""/>
    <x v="2"/>
    <x v="1"/>
    <s v="Spring"/>
    <x v="0"/>
  </r>
  <r>
    <n v="862"/>
    <x v="38"/>
    <n v="1"/>
    <n v="0"/>
    <n v="2"/>
    <x v="8"/>
    <b v="0"/>
    <n v="2"/>
    <n v="1"/>
    <n v="0.24"/>
    <n v="0.19700000000000001"/>
    <n v="0.56000000000000005"/>
    <n v="0.49249999999999999"/>
    <n v="7"/>
    <n v="236"/>
    <n v="243"/>
    <s v="Complete"/>
    <n v="0.19700000000000001"/>
    <n v="2011"/>
    <s v=""/>
    <x v="2"/>
    <x v="1"/>
    <s v="Spring"/>
    <x v="0"/>
  </r>
  <r>
    <n v="863"/>
    <x v="38"/>
    <n v="1"/>
    <n v="0"/>
    <n v="2"/>
    <x v="9"/>
    <b v="0"/>
    <n v="2"/>
    <n v="1"/>
    <n v="0.24"/>
    <n v="0.19700000000000001"/>
    <n v="0.52"/>
    <n v="0.49249999999999999"/>
    <n v="7"/>
    <n v="128"/>
    <n v="135"/>
    <s v="Complete"/>
    <n v="0.19700000000000001"/>
    <n v="2011"/>
    <s v=""/>
    <x v="2"/>
    <x v="1"/>
    <s v="Spring"/>
    <x v="0"/>
  </r>
  <r>
    <n v="864"/>
    <x v="38"/>
    <n v="1"/>
    <n v="0"/>
    <n v="2"/>
    <x v="10"/>
    <b v="0"/>
    <n v="2"/>
    <n v="1"/>
    <n v="0.22"/>
    <n v="0.18179999999999999"/>
    <n v="0.47"/>
    <n v="0.55220000000000002"/>
    <n v="4"/>
    <n v="44"/>
    <n v="48"/>
    <s v="Complete"/>
    <n v="0.18179999999999999"/>
    <n v="2011"/>
    <s v=""/>
    <x v="2"/>
    <x v="1"/>
    <s v="Spring"/>
    <x v="0"/>
  </r>
  <r>
    <n v="865"/>
    <x v="38"/>
    <n v="1"/>
    <n v="0"/>
    <n v="2"/>
    <x v="11"/>
    <b v="0"/>
    <n v="2"/>
    <n v="1"/>
    <n v="0.22"/>
    <n v="0.18179999999999999"/>
    <n v="0.47"/>
    <n v="0.4627"/>
    <n v="1"/>
    <n v="49"/>
    <n v="50"/>
    <s v="Complete"/>
    <n v="0.18179999999999999"/>
    <n v="2011"/>
    <s v=""/>
    <x v="2"/>
    <x v="1"/>
    <s v="Spring"/>
    <x v="0"/>
  </r>
  <r>
    <n v="866"/>
    <x v="38"/>
    <n v="1"/>
    <n v="0"/>
    <n v="2"/>
    <x v="12"/>
    <b v="0"/>
    <n v="2"/>
    <n v="1"/>
    <n v="0.24"/>
    <n v="0.19700000000000001"/>
    <n v="0.38"/>
    <n v="0.49249999999999999"/>
    <n v="2"/>
    <n v="63"/>
    <n v="65"/>
    <s v="Complete"/>
    <n v="0.19700000000000001"/>
    <n v="2011"/>
    <s v=""/>
    <x v="2"/>
    <x v="2"/>
    <s v="Spring"/>
    <x v="0"/>
  </r>
  <r>
    <n v="867"/>
    <x v="38"/>
    <n v="1"/>
    <n v="0"/>
    <n v="2"/>
    <x v="13"/>
    <b v="0"/>
    <n v="2"/>
    <n v="2"/>
    <n v="0.24"/>
    <n v="0.19700000000000001"/>
    <n v="0.32"/>
    <n v="0.44779999999999998"/>
    <n v="2"/>
    <n v="48"/>
    <n v="50"/>
    <s v="Complete"/>
    <n v="0.19700000000000001"/>
    <n v="2011"/>
    <s v=""/>
    <x v="2"/>
    <x v="2"/>
    <s v="Spring"/>
    <x v="1"/>
  </r>
  <r>
    <n v="868"/>
    <x v="38"/>
    <n v="1"/>
    <n v="0"/>
    <n v="2"/>
    <x v="14"/>
    <b v="0"/>
    <n v="2"/>
    <n v="1"/>
    <n v="0.22"/>
    <n v="0.19700000000000001"/>
    <n v="0.37"/>
    <n v="0.41789999999999999"/>
    <n v="3"/>
    <n v="61"/>
    <n v="64"/>
    <s v="Complete"/>
    <n v="0.19700000000000001"/>
    <n v="2011"/>
    <s v=""/>
    <x v="2"/>
    <x v="2"/>
    <s v="Spring"/>
    <x v="0"/>
  </r>
  <r>
    <n v="869"/>
    <x v="38"/>
    <n v="1"/>
    <n v="0"/>
    <n v="2"/>
    <x v="15"/>
    <b v="0"/>
    <n v="2"/>
    <n v="1"/>
    <n v="0.22"/>
    <n v="0.19700000000000001"/>
    <n v="0.35"/>
    <n v="0.3881"/>
    <n v="6"/>
    <n v="45"/>
    <n v="51"/>
    <s v="Complete"/>
    <n v="0.19700000000000001"/>
    <n v="2011"/>
    <s v=""/>
    <x v="2"/>
    <x v="2"/>
    <s v="Spring"/>
    <x v="0"/>
  </r>
  <r>
    <n v="870"/>
    <x v="38"/>
    <n v="1"/>
    <n v="0"/>
    <n v="2"/>
    <x v="16"/>
    <b v="0"/>
    <n v="2"/>
    <n v="1"/>
    <n v="0.22"/>
    <n v="0.18179999999999999"/>
    <n v="0.35"/>
    <n v="0.52239999999999998"/>
    <n v="4"/>
    <n v="79"/>
    <n v="83"/>
    <s v="Complete"/>
    <n v="0.18179999999999999"/>
    <n v="2011"/>
    <s v=""/>
    <x v="2"/>
    <x v="2"/>
    <s v="Spring"/>
    <x v="0"/>
  </r>
  <r>
    <n v="871"/>
    <x v="38"/>
    <n v="1"/>
    <n v="0"/>
    <n v="2"/>
    <x v="17"/>
    <b v="0"/>
    <n v="2"/>
    <n v="1"/>
    <n v="0.22"/>
    <n v="0.18179999999999999"/>
    <n v="0.32"/>
    <n v="0.58209999999999995"/>
    <n v="4"/>
    <n v="172"/>
    <n v="176"/>
    <s v="Complete"/>
    <n v="0.18179999999999999"/>
    <n v="2011"/>
    <s v=""/>
    <x v="2"/>
    <x v="2"/>
    <s v="Spring"/>
    <x v="0"/>
  </r>
  <r>
    <n v="872"/>
    <x v="38"/>
    <n v="1"/>
    <n v="0"/>
    <n v="2"/>
    <x v="18"/>
    <b v="0"/>
    <n v="2"/>
    <n v="1"/>
    <n v="0.2"/>
    <n v="0.18179999999999999"/>
    <n v="0.32"/>
    <n v="0.3881"/>
    <n v="1"/>
    <n v="151"/>
    <n v="152"/>
    <s v="Complete"/>
    <n v="0.18179999999999999"/>
    <n v="2011"/>
    <s v=""/>
    <x v="2"/>
    <x v="3"/>
    <s v="Spring"/>
    <x v="0"/>
  </r>
  <r>
    <n v="873"/>
    <x v="38"/>
    <n v="1"/>
    <n v="0"/>
    <n v="2"/>
    <x v="19"/>
    <b v="0"/>
    <n v="2"/>
    <n v="1"/>
    <n v="0.16"/>
    <n v="0.1212"/>
    <n v="0.4"/>
    <n v="0.4627"/>
    <n v="1"/>
    <n v="100"/>
    <n v="101"/>
    <s v="Complete"/>
    <n v="0.1212"/>
    <n v="2011"/>
    <s v=""/>
    <x v="2"/>
    <x v="3"/>
    <s v="Spring"/>
    <x v="0"/>
  </r>
  <r>
    <n v="874"/>
    <x v="38"/>
    <n v="1"/>
    <n v="0"/>
    <n v="2"/>
    <x v="20"/>
    <b v="0"/>
    <n v="2"/>
    <n v="1"/>
    <n v="0.16"/>
    <n v="0.13639999999999999"/>
    <n v="0.4"/>
    <n v="0.32840000000000003"/>
    <n v="3"/>
    <n v="53"/>
    <n v="56"/>
    <s v="Complete"/>
    <n v="0.13639999999999999"/>
    <n v="2011"/>
    <s v=""/>
    <x v="2"/>
    <x v="3"/>
    <s v="Spring"/>
    <x v="0"/>
  </r>
  <r>
    <n v="875"/>
    <x v="38"/>
    <n v="1"/>
    <n v="0"/>
    <n v="2"/>
    <x v="21"/>
    <b v="0"/>
    <n v="2"/>
    <n v="1"/>
    <n v="0.14000000000000001"/>
    <n v="0.1061"/>
    <n v="0.33"/>
    <n v="0.4627"/>
    <n v="8"/>
    <n v="46"/>
    <n v="54"/>
    <s v="Complete"/>
    <n v="0.1061"/>
    <n v="2011"/>
    <s v=""/>
    <x v="2"/>
    <x v="3"/>
    <s v="Spring"/>
    <x v="0"/>
  </r>
  <r>
    <n v="876"/>
    <x v="38"/>
    <n v="1"/>
    <n v="0"/>
    <n v="2"/>
    <x v="22"/>
    <b v="0"/>
    <n v="2"/>
    <n v="1"/>
    <n v="0.12"/>
    <n v="0.1061"/>
    <n v="0.33"/>
    <n v="0.35820000000000002"/>
    <n v="0"/>
    <n v="29"/>
    <n v="29"/>
    <s v="Complete"/>
    <n v="0.1061"/>
    <n v="2011"/>
    <s v=""/>
    <x v="2"/>
    <x v="3"/>
    <s v="Spring"/>
    <x v="0"/>
  </r>
  <r>
    <n v="877"/>
    <x v="38"/>
    <n v="1"/>
    <n v="0"/>
    <n v="2"/>
    <x v="23"/>
    <b v="0"/>
    <n v="2"/>
    <n v="1"/>
    <n v="0.12"/>
    <n v="0.1061"/>
    <n v="0.33"/>
    <n v="0.32840000000000003"/>
    <n v="3"/>
    <n v="9"/>
    <n v="12"/>
    <s v="Complete"/>
    <n v="0.1061"/>
    <n v="2011"/>
    <s v=""/>
    <x v="2"/>
    <x v="3"/>
    <s v="Spring"/>
    <x v="0"/>
  </r>
  <r>
    <n v="878"/>
    <x v="39"/>
    <n v="1"/>
    <n v="0"/>
    <n v="2"/>
    <x v="0"/>
    <b v="0"/>
    <n v="3"/>
    <n v="1"/>
    <n v="0.1"/>
    <n v="7.5800000000000006E-2"/>
    <n v="0.36"/>
    <n v="0.35820000000000002"/>
    <n v="0"/>
    <n v="17"/>
    <n v="17"/>
    <s v="Complete"/>
    <n v="7.5800000000000006E-2"/>
    <n v="2011"/>
    <s v=""/>
    <x v="2"/>
    <x v="0"/>
    <s v="Spring"/>
    <x v="0"/>
  </r>
  <r>
    <n v="879"/>
    <x v="39"/>
    <n v="1"/>
    <n v="0"/>
    <n v="2"/>
    <x v="1"/>
    <b v="0"/>
    <n v="3"/>
    <n v="1"/>
    <n v="0.1"/>
    <n v="0.1061"/>
    <n v="0.36"/>
    <n v="0.22389999999999999"/>
    <n v="0"/>
    <n v="7"/>
    <n v="7"/>
    <s v="Complete"/>
    <n v="0.1061"/>
    <n v="2011"/>
    <s v=""/>
    <x v="2"/>
    <x v="0"/>
    <s v="Spring"/>
    <x v="0"/>
  </r>
  <r>
    <n v="880"/>
    <x v="39"/>
    <n v="1"/>
    <n v="0"/>
    <n v="2"/>
    <x v="2"/>
    <b v="0"/>
    <n v="3"/>
    <n v="1"/>
    <n v="0.08"/>
    <n v="7.5800000000000006E-2"/>
    <n v="0.38"/>
    <n v="0.28360000000000002"/>
    <n v="1"/>
    <n v="2"/>
    <n v="3"/>
    <s v="Complete"/>
    <n v="7.5800000000000006E-2"/>
    <n v="2011"/>
    <s v=""/>
    <x v="2"/>
    <x v="0"/>
    <s v="Spring"/>
    <x v="0"/>
  </r>
  <r>
    <n v="881"/>
    <x v="39"/>
    <n v="1"/>
    <n v="0"/>
    <n v="2"/>
    <x v="3"/>
    <b v="0"/>
    <n v="3"/>
    <n v="1"/>
    <n v="0.06"/>
    <n v="7.5800000000000006E-2"/>
    <n v="0.45"/>
    <n v="0.1343"/>
    <n v="0"/>
    <n v="2"/>
    <n v="2"/>
    <s v="Complete"/>
    <n v="7.5800000000000006E-2"/>
    <n v="2011"/>
    <s v=""/>
    <x v="2"/>
    <x v="0"/>
    <s v="Spring"/>
    <x v="0"/>
  </r>
  <r>
    <n v="882"/>
    <x v="39"/>
    <n v="1"/>
    <n v="0"/>
    <n v="2"/>
    <x v="5"/>
    <b v="0"/>
    <n v="3"/>
    <n v="1"/>
    <n v="0.06"/>
    <n v="0.1061"/>
    <n v="0.45"/>
    <n v="0.1045"/>
    <n v="0"/>
    <n v="7"/>
    <n v="7"/>
    <s v="Complete"/>
    <n v="0.1061"/>
    <n v="2011"/>
    <s v=""/>
    <x v="2"/>
    <x v="0"/>
    <s v="Spring"/>
    <x v="0"/>
  </r>
  <r>
    <n v="883"/>
    <x v="39"/>
    <n v="1"/>
    <n v="0"/>
    <n v="2"/>
    <x v="6"/>
    <b v="0"/>
    <n v="3"/>
    <n v="1"/>
    <n v="0.06"/>
    <n v="0.1515"/>
    <n v="0.45"/>
    <n v="0"/>
    <n v="0"/>
    <n v="43"/>
    <n v="43"/>
    <s v="Complete"/>
    <n v="0.1515"/>
    <n v="2011"/>
    <s v=""/>
    <x v="2"/>
    <x v="1"/>
    <s v="Spring"/>
    <x v="0"/>
  </r>
  <r>
    <n v="884"/>
    <x v="39"/>
    <n v="1"/>
    <n v="0"/>
    <n v="2"/>
    <x v="7"/>
    <b v="0"/>
    <n v="3"/>
    <n v="1"/>
    <n v="0.06"/>
    <n v="0.1061"/>
    <n v="0.49"/>
    <n v="0.1045"/>
    <n v="4"/>
    <n v="95"/>
    <n v="99"/>
    <s v="Complete"/>
    <n v="0.1061"/>
    <n v="2011"/>
    <s v=""/>
    <x v="2"/>
    <x v="1"/>
    <s v="Spring"/>
    <x v="0"/>
  </r>
  <r>
    <n v="885"/>
    <x v="39"/>
    <n v="1"/>
    <n v="0"/>
    <n v="2"/>
    <x v="8"/>
    <b v="0"/>
    <n v="3"/>
    <n v="1"/>
    <n v="0.1"/>
    <n v="0.13639999999999999"/>
    <n v="0.42"/>
    <n v="0"/>
    <n v="1"/>
    <n v="198"/>
    <n v="199"/>
    <s v="Complete"/>
    <n v="0.13639999999999999"/>
    <n v="2011"/>
    <s v=""/>
    <x v="2"/>
    <x v="1"/>
    <s v="Spring"/>
    <x v="0"/>
  </r>
  <r>
    <n v="886"/>
    <x v="39"/>
    <n v="1"/>
    <n v="0"/>
    <n v="2"/>
    <x v="9"/>
    <b v="0"/>
    <n v="3"/>
    <n v="1"/>
    <n v="0.12"/>
    <n v="0.13639999999999999"/>
    <n v="0.39"/>
    <n v="0.16420000000000001"/>
    <n v="4"/>
    <n v="119"/>
    <n v="123"/>
    <s v="Complete"/>
    <n v="0.13639999999999999"/>
    <n v="2011"/>
    <s v=""/>
    <x v="2"/>
    <x v="1"/>
    <s v="Spring"/>
    <x v="0"/>
  </r>
  <r>
    <n v="887"/>
    <x v="39"/>
    <n v="1"/>
    <n v="0"/>
    <n v="2"/>
    <x v="10"/>
    <b v="0"/>
    <n v="3"/>
    <n v="1"/>
    <n v="0.14000000000000001"/>
    <n v="0.18179999999999999"/>
    <n v="0.36"/>
    <n v="0"/>
    <n v="8"/>
    <n v="51"/>
    <n v="59"/>
    <s v="Complete"/>
    <n v="0.18179999999999999"/>
    <n v="2011"/>
    <s v=""/>
    <x v="2"/>
    <x v="1"/>
    <s v="Spring"/>
    <x v="0"/>
  </r>
  <r>
    <n v="888"/>
    <x v="39"/>
    <n v="1"/>
    <n v="0"/>
    <n v="2"/>
    <x v="11"/>
    <b v="0"/>
    <n v="3"/>
    <n v="2"/>
    <n v="0.14000000000000001"/>
    <n v="0.1515"/>
    <n v="0.43"/>
    <n v="0.16420000000000001"/>
    <n v="1"/>
    <n v="40"/>
    <n v="41"/>
    <s v="Complete"/>
    <n v="0.1515"/>
    <n v="2011"/>
    <s v=""/>
    <x v="2"/>
    <x v="1"/>
    <s v="Spring"/>
    <x v="1"/>
  </r>
  <r>
    <n v="889"/>
    <x v="39"/>
    <n v="1"/>
    <n v="0"/>
    <n v="2"/>
    <x v="12"/>
    <b v="0"/>
    <n v="3"/>
    <n v="2"/>
    <n v="0.18"/>
    <n v="0.18179999999999999"/>
    <n v="0.4"/>
    <n v="0.22389999999999999"/>
    <n v="4"/>
    <n v="57"/>
    <n v="61"/>
    <s v="Complete"/>
    <n v="0.18179999999999999"/>
    <n v="2011"/>
    <s v=""/>
    <x v="2"/>
    <x v="2"/>
    <s v="Spring"/>
    <x v="1"/>
  </r>
  <r>
    <n v="890"/>
    <x v="39"/>
    <n v="1"/>
    <n v="0"/>
    <n v="2"/>
    <x v="13"/>
    <b v="0"/>
    <n v="3"/>
    <n v="1"/>
    <n v="0.18"/>
    <n v="0.16669999999999999"/>
    <n v="0.4"/>
    <n v="0.25369999999999998"/>
    <n v="2"/>
    <n v="67"/>
    <n v="69"/>
    <s v="Complete"/>
    <n v="0.16669999999999999"/>
    <n v="2011"/>
    <s v=""/>
    <x v="2"/>
    <x v="2"/>
    <s v="Spring"/>
    <x v="0"/>
  </r>
  <r>
    <n v="891"/>
    <x v="39"/>
    <n v="1"/>
    <n v="0"/>
    <n v="2"/>
    <x v="14"/>
    <b v="0"/>
    <n v="3"/>
    <n v="1"/>
    <n v="0.2"/>
    <n v="0.18179999999999999"/>
    <n v="0.34"/>
    <n v="0.29849999999999999"/>
    <n v="2"/>
    <n v="56"/>
    <n v="58"/>
    <s v="Complete"/>
    <n v="0.18179999999999999"/>
    <n v="2011"/>
    <s v=""/>
    <x v="2"/>
    <x v="2"/>
    <s v="Spring"/>
    <x v="0"/>
  </r>
  <r>
    <n v="892"/>
    <x v="39"/>
    <n v="1"/>
    <n v="0"/>
    <n v="2"/>
    <x v="15"/>
    <b v="0"/>
    <n v="3"/>
    <n v="2"/>
    <n v="0.2"/>
    <n v="0.18179999999999999"/>
    <n v="0.34"/>
    <n v="0.28360000000000002"/>
    <n v="3"/>
    <n v="61"/>
    <n v="64"/>
    <s v="Complete"/>
    <n v="0.18179999999999999"/>
    <n v="2011"/>
    <s v=""/>
    <x v="2"/>
    <x v="2"/>
    <s v="Spring"/>
    <x v="1"/>
  </r>
  <r>
    <n v="893"/>
    <x v="39"/>
    <n v="1"/>
    <n v="0"/>
    <n v="2"/>
    <x v="16"/>
    <b v="0"/>
    <n v="3"/>
    <n v="2"/>
    <n v="0.2"/>
    <n v="0.19700000000000001"/>
    <n v="0.37"/>
    <n v="0.25369999999999998"/>
    <n v="7"/>
    <n v="72"/>
    <n v="79"/>
    <s v="Complete"/>
    <n v="0.19700000000000001"/>
    <n v="2011"/>
    <s v=""/>
    <x v="2"/>
    <x v="2"/>
    <s v="Spring"/>
    <x v="1"/>
  </r>
  <r>
    <n v="894"/>
    <x v="39"/>
    <n v="1"/>
    <n v="0"/>
    <n v="2"/>
    <x v="17"/>
    <b v="0"/>
    <n v="3"/>
    <n v="2"/>
    <n v="0.2"/>
    <n v="0.19700000000000001"/>
    <n v="0.34"/>
    <n v="0.25369999999999998"/>
    <n v="9"/>
    <n v="157"/>
    <n v="166"/>
    <s v="Complete"/>
    <n v="0.19700000000000001"/>
    <n v="2011"/>
    <s v=""/>
    <x v="2"/>
    <x v="2"/>
    <s v="Spring"/>
    <x v="1"/>
  </r>
  <r>
    <n v="895"/>
    <x v="39"/>
    <n v="1"/>
    <n v="0"/>
    <n v="2"/>
    <x v="18"/>
    <b v="0"/>
    <n v="3"/>
    <n v="2"/>
    <n v="0.18"/>
    <n v="0.16669999999999999"/>
    <n v="0.47"/>
    <n v="0.29849999999999999"/>
    <n v="2"/>
    <n v="168"/>
    <n v="170"/>
    <s v="Complete"/>
    <n v="0.16669999999999999"/>
    <n v="2011"/>
    <s v=""/>
    <x v="2"/>
    <x v="3"/>
    <s v="Spring"/>
    <x v="1"/>
  </r>
  <r>
    <n v="896"/>
    <x v="39"/>
    <n v="1"/>
    <n v="0"/>
    <n v="2"/>
    <x v="19"/>
    <b v="0"/>
    <n v="3"/>
    <n v="3"/>
    <n v="0.14000000000000001"/>
    <n v="0.1212"/>
    <n v="0.86"/>
    <n v="0.25369999999999998"/>
    <n v="1"/>
    <n v="87"/>
    <n v="88"/>
    <s v="Complete"/>
    <n v="0.1212"/>
    <n v="2011"/>
    <s v=""/>
    <x v="2"/>
    <x v="3"/>
    <s v="Spring"/>
    <x v="2"/>
  </r>
  <r>
    <n v="897"/>
    <x v="39"/>
    <n v="1"/>
    <n v="0"/>
    <n v="2"/>
    <x v="20"/>
    <b v="0"/>
    <n v="3"/>
    <n v="3"/>
    <n v="0.14000000000000001"/>
    <n v="0.1515"/>
    <n v="0.86"/>
    <n v="0.16420000000000001"/>
    <n v="0"/>
    <n v="84"/>
    <n v="84"/>
    <s v="Complete"/>
    <n v="0.1515"/>
    <n v="2011"/>
    <s v=""/>
    <x v="2"/>
    <x v="3"/>
    <s v="Spring"/>
    <x v="2"/>
  </r>
  <r>
    <n v="898"/>
    <x v="39"/>
    <n v="1"/>
    <n v="0"/>
    <n v="2"/>
    <x v="21"/>
    <b v="0"/>
    <n v="3"/>
    <n v="2"/>
    <n v="0.14000000000000001"/>
    <n v="0.1515"/>
    <n v="0.86"/>
    <n v="0.16420000000000001"/>
    <n v="0"/>
    <n v="83"/>
    <n v="83"/>
    <s v="Complete"/>
    <n v="0.1515"/>
    <n v="2011"/>
    <s v=""/>
    <x v="2"/>
    <x v="3"/>
    <s v="Spring"/>
    <x v="1"/>
  </r>
  <r>
    <n v="899"/>
    <x v="39"/>
    <n v="1"/>
    <n v="0"/>
    <n v="2"/>
    <x v="22"/>
    <b v="0"/>
    <n v="3"/>
    <n v="3"/>
    <n v="0.16"/>
    <n v="0.16669999999999999"/>
    <n v="0.8"/>
    <n v="0.16420000000000001"/>
    <n v="4"/>
    <n v="42"/>
    <n v="46"/>
    <s v="Complete"/>
    <n v="0.16669999999999999"/>
    <n v="2011"/>
    <s v=""/>
    <x v="2"/>
    <x v="3"/>
    <s v="Spring"/>
    <x v="2"/>
  </r>
  <r>
    <n v="900"/>
    <x v="39"/>
    <n v="1"/>
    <n v="0"/>
    <n v="2"/>
    <x v="23"/>
    <b v="0"/>
    <n v="3"/>
    <n v="3"/>
    <n v="0.16"/>
    <n v="0.1515"/>
    <n v="0.8"/>
    <n v="0.19400000000000001"/>
    <n v="0"/>
    <n v="37"/>
    <n v="37"/>
    <s v="Complete"/>
    <n v="0.1515"/>
    <n v="2011"/>
    <s v=""/>
    <x v="2"/>
    <x v="3"/>
    <s v="Spring"/>
    <x v="2"/>
  </r>
  <r>
    <n v="901"/>
    <x v="40"/>
    <n v="1"/>
    <n v="0"/>
    <n v="2"/>
    <x v="0"/>
    <b v="0"/>
    <n v="4"/>
    <n v="3"/>
    <n v="0.14000000000000001"/>
    <n v="0.13639999999999999"/>
    <n v="0.86"/>
    <n v="0.19400000000000001"/>
    <n v="0"/>
    <n v="16"/>
    <n v="16"/>
    <s v="Complete"/>
    <n v="0.13639999999999999"/>
    <n v="2011"/>
    <s v=""/>
    <x v="2"/>
    <x v="0"/>
    <s v="Spring"/>
    <x v="2"/>
  </r>
  <r>
    <n v="902"/>
    <x v="40"/>
    <n v="1"/>
    <n v="0"/>
    <n v="2"/>
    <x v="1"/>
    <b v="0"/>
    <n v="4"/>
    <n v="3"/>
    <n v="0.14000000000000001"/>
    <n v="0.1515"/>
    <n v="0.8"/>
    <n v="0.1343"/>
    <n v="0"/>
    <n v="7"/>
    <n v="7"/>
    <s v="Complete"/>
    <n v="0.1515"/>
    <n v="2011"/>
    <s v=""/>
    <x v="2"/>
    <x v="0"/>
    <s v="Spring"/>
    <x v="2"/>
  </r>
  <r>
    <n v="903"/>
    <x v="40"/>
    <n v="1"/>
    <n v="0"/>
    <n v="2"/>
    <x v="2"/>
    <b v="0"/>
    <n v="4"/>
    <n v="3"/>
    <n v="0.14000000000000001"/>
    <n v="0.1515"/>
    <n v="0.8"/>
    <n v="0.1343"/>
    <n v="0"/>
    <n v="3"/>
    <n v="3"/>
    <s v="Complete"/>
    <n v="0.1515"/>
    <n v="2011"/>
    <s v=""/>
    <x v="2"/>
    <x v="0"/>
    <s v="Spring"/>
    <x v="2"/>
  </r>
  <r>
    <n v="904"/>
    <x v="40"/>
    <n v="1"/>
    <n v="0"/>
    <n v="2"/>
    <x v="4"/>
    <b v="0"/>
    <n v="4"/>
    <n v="2"/>
    <n v="0.14000000000000001"/>
    <n v="0.13639999999999999"/>
    <n v="0.59"/>
    <n v="0.22389999999999999"/>
    <n v="0"/>
    <n v="1"/>
    <n v="1"/>
    <s v="Complete"/>
    <n v="0.13639999999999999"/>
    <n v="2011"/>
    <s v=""/>
    <x v="2"/>
    <x v="0"/>
    <s v="Spring"/>
    <x v="1"/>
  </r>
  <r>
    <n v="905"/>
    <x v="40"/>
    <n v="1"/>
    <n v="0"/>
    <n v="2"/>
    <x v="5"/>
    <b v="0"/>
    <n v="4"/>
    <n v="2"/>
    <n v="0.12"/>
    <n v="0.1212"/>
    <n v="0.5"/>
    <n v="0.22389999999999999"/>
    <n v="0"/>
    <n v="6"/>
    <n v="6"/>
    <s v="Complete"/>
    <n v="0.1212"/>
    <n v="2011"/>
    <s v=""/>
    <x v="2"/>
    <x v="0"/>
    <s v="Spring"/>
    <x v="1"/>
  </r>
  <r>
    <n v="906"/>
    <x v="40"/>
    <n v="1"/>
    <n v="0"/>
    <n v="2"/>
    <x v="6"/>
    <b v="0"/>
    <n v="4"/>
    <n v="2"/>
    <n v="0.12"/>
    <n v="0.1212"/>
    <n v="0.54"/>
    <n v="0.28360000000000002"/>
    <n v="0"/>
    <n v="26"/>
    <n v="26"/>
    <s v="Complete"/>
    <n v="0.1212"/>
    <n v="2011"/>
    <s v=""/>
    <x v="2"/>
    <x v="1"/>
    <s v="Spring"/>
    <x v="1"/>
  </r>
  <r>
    <n v="907"/>
    <x v="40"/>
    <n v="1"/>
    <n v="0"/>
    <n v="2"/>
    <x v="7"/>
    <b v="0"/>
    <n v="4"/>
    <n v="1"/>
    <n v="0.1"/>
    <n v="7.5800000000000006E-2"/>
    <n v="0.5"/>
    <n v="0.41789999999999999"/>
    <n v="0"/>
    <n v="99"/>
    <n v="99"/>
    <s v="Complete"/>
    <n v="7.5800000000000006E-2"/>
    <n v="2011"/>
    <s v=""/>
    <x v="2"/>
    <x v="1"/>
    <s v="Spring"/>
    <x v="0"/>
  </r>
  <r>
    <n v="908"/>
    <x v="40"/>
    <n v="1"/>
    <n v="0"/>
    <n v="2"/>
    <x v="8"/>
    <b v="0"/>
    <n v="4"/>
    <n v="1"/>
    <n v="0.1"/>
    <n v="7.5800000000000006E-2"/>
    <n v="0.49"/>
    <n v="0.32840000000000003"/>
    <n v="5"/>
    <n v="173"/>
    <n v="178"/>
    <s v="Complete"/>
    <n v="7.5800000000000006E-2"/>
    <n v="2011"/>
    <s v=""/>
    <x v="2"/>
    <x v="1"/>
    <s v="Spring"/>
    <x v="0"/>
  </r>
  <r>
    <n v="909"/>
    <x v="40"/>
    <n v="1"/>
    <n v="0"/>
    <n v="2"/>
    <x v="9"/>
    <b v="0"/>
    <n v="4"/>
    <n v="1"/>
    <n v="0.12"/>
    <n v="0.1061"/>
    <n v="0.42"/>
    <n v="0.35820000000000002"/>
    <n v="1"/>
    <n v="121"/>
    <n v="122"/>
    <s v="Complete"/>
    <n v="0.1061"/>
    <n v="2011"/>
    <s v=""/>
    <x v="2"/>
    <x v="1"/>
    <s v="Spring"/>
    <x v="0"/>
  </r>
  <r>
    <n v="910"/>
    <x v="40"/>
    <n v="1"/>
    <n v="0"/>
    <n v="2"/>
    <x v="10"/>
    <b v="0"/>
    <n v="4"/>
    <n v="1"/>
    <n v="0.12"/>
    <n v="0.1061"/>
    <n v="0.42"/>
    <n v="0.29849999999999999"/>
    <n v="1"/>
    <n v="34"/>
    <n v="35"/>
    <s v="Complete"/>
    <n v="0.1061"/>
    <n v="2011"/>
    <s v=""/>
    <x v="2"/>
    <x v="1"/>
    <s v="Spring"/>
    <x v="0"/>
  </r>
  <r>
    <n v="911"/>
    <x v="40"/>
    <n v="1"/>
    <n v="0"/>
    <n v="2"/>
    <x v="11"/>
    <b v="0"/>
    <n v="4"/>
    <n v="1"/>
    <n v="0.14000000000000001"/>
    <n v="0.1212"/>
    <n v="0.39"/>
    <n v="0.35820000000000002"/>
    <n v="1"/>
    <n v="44"/>
    <n v="45"/>
    <s v="Complete"/>
    <n v="0.1212"/>
    <n v="2011"/>
    <s v=""/>
    <x v="2"/>
    <x v="1"/>
    <s v="Spring"/>
    <x v="0"/>
  </r>
  <r>
    <n v="912"/>
    <x v="40"/>
    <n v="1"/>
    <n v="0"/>
    <n v="2"/>
    <x v="12"/>
    <b v="0"/>
    <n v="4"/>
    <n v="1"/>
    <n v="0.16"/>
    <n v="0.13639999999999999"/>
    <n v="0.34"/>
    <n v="0.3881"/>
    <n v="4"/>
    <n v="65"/>
    <n v="69"/>
    <s v="Complete"/>
    <n v="0.13639999999999999"/>
    <n v="2011"/>
    <s v=""/>
    <x v="2"/>
    <x v="2"/>
    <s v="Spring"/>
    <x v="0"/>
  </r>
  <r>
    <n v="913"/>
    <x v="40"/>
    <n v="1"/>
    <n v="0"/>
    <n v="2"/>
    <x v="13"/>
    <b v="0"/>
    <n v="4"/>
    <n v="1"/>
    <n v="0.18"/>
    <n v="0.16669999999999999"/>
    <n v="0.28999999999999998"/>
    <n v="0.29849999999999999"/>
    <n v="3"/>
    <n v="59"/>
    <n v="62"/>
    <s v="Complete"/>
    <n v="0.16669999999999999"/>
    <n v="2011"/>
    <s v=""/>
    <x v="2"/>
    <x v="2"/>
    <s v="Spring"/>
    <x v="0"/>
  </r>
  <r>
    <n v="914"/>
    <x v="40"/>
    <n v="1"/>
    <n v="0"/>
    <n v="2"/>
    <x v="14"/>
    <b v="0"/>
    <n v="4"/>
    <n v="1"/>
    <n v="0.2"/>
    <n v="0.18179999999999999"/>
    <n v="0.27"/>
    <n v="0.28360000000000002"/>
    <n v="6"/>
    <n v="42"/>
    <n v="48"/>
    <s v="Complete"/>
    <n v="0.18179999999999999"/>
    <n v="2011"/>
    <s v=""/>
    <x v="2"/>
    <x v="2"/>
    <s v="Spring"/>
    <x v="0"/>
  </r>
  <r>
    <n v="915"/>
    <x v="40"/>
    <n v="1"/>
    <n v="0"/>
    <n v="2"/>
    <x v="15"/>
    <b v="0"/>
    <n v="4"/>
    <n v="1"/>
    <n v="0.2"/>
    <n v="0.19700000000000001"/>
    <n v="0.25"/>
    <n v="0.25369999999999998"/>
    <n v="0"/>
    <n v="50"/>
    <n v="50"/>
    <s v="Complete"/>
    <n v="0.19700000000000001"/>
    <n v="2011"/>
    <s v=""/>
    <x v="2"/>
    <x v="2"/>
    <s v="Spring"/>
    <x v="0"/>
  </r>
  <r>
    <n v="916"/>
    <x v="40"/>
    <n v="1"/>
    <n v="0"/>
    <n v="2"/>
    <x v="16"/>
    <b v="0"/>
    <n v="4"/>
    <n v="1"/>
    <n v="0.2"/>
    <n v="0.18179999999999999"/>
    <n v="0.27"/>
    <n v="0.29849999999999999"/>
    <n v="4"/>
    <n v="76"/>
    <n v="80"/>
    <s v="Complete"/>
    <n v="0.18179999999999999"/>
    <n v="2011"/>
    <s v=""/>
    <x v="2"/>
    <x v="2"/>
    <s v="Spring"/>
    <x v="0"/>
  </r>
  <r>
    <n v="917"/>
    <x v="40"/>
    <n v="1"/>
    <n v="0"/>
    <n v="2"/>
    <x v="17"/>
    <b v="0"/>
    <n v="4"/>
    <n v="1"/>
    <n v="0.18"/>
    <n v="0.18179999999999999"/>
    <n v="0.26"/>
    <n v="0.19400000000000001"/>
    <n v="6"/>
    <n v="159"/>
    <n v="165"/>
    <s v="Complete"/>
    <n v="0.18179999999999999"/>
    <n v="2011"/>
    <s v=""/>
    <x v="2"/>
    <x v="2"/>
    <s v="Spring"/>
    <x v="0"/>
  </r>
  <r>
    <n v="918"/>
    <x v="40"/>
    <n v="1"/>
    <n v="0"/>
    <n v="2"/>
    <x v="18"/>
    <b v="0"/>
    <n v="4"/>
    <n v="1"/>
    <n v="0.16"/>
    <n v="0.18179999999999999"/>
    <n v="0.28000000000000003"/>
    <n v="0.1343"/>
    <n v="3"/>
    <n v="157"/>
    <n v="160"/>
    <s v="Complete"/>
    <n v="0.18179999999999999"/>
    <n v="2011"/>
    <s v=""/>
    <x v="2"/>
    <x v="3"/>
    <s v="Spring"/>
    <x v="0"/>
  </r>
  <r>
    <n v="919"/>
    <x v="40"/>
    <n v="1"/>
    <n v="0"/>
    <n v="2"/>
    <x v="19"/>
    <b v="0"/>
    <n v="4"/>
    <n v="1"/>
    <n v="0.14000000000000001"/>
    <n v="0.16669999999999999"/>
    <n v="0.28000000000000003"/>
    <n v="0.1045"/>
    <n v="2"/>
    <n v="110"/>
    <n v="112"/>
    <s v="Complete"/>
    <n v="0.16669999999999999"/>
    <n v="2011"/>
    <s v=""/>
    <x v="2"/>
    <x v="3"/>
    <s v="Spring"/>
    <x v="0"/>
  </r>
  <r>
    <n v="920"/>
    <x v="40"/>
    <n v="1"/>
    <n v="0"/>
    <n v="2"/>
    <x v="20"/>
    <b v="0"/>
    <n v="4"/>
    <n v="1"/>
    <n v="0.14000000000000001"/>
    <n v="0.18179999999999999"/>
    <n v="0.31"/>
    <n v="8.9599999999999999E-2"/>
    <n v="4"/>
    <n v="93"/>
    <n v="97"/>
    <s v="Complete"/>
    <n v="0.18179999999999999"/>
    <n v="2011"/>
    <s v=""/>
    <x v="2"/>
    <x v="3"/>
    <s v="Spring"/>
    <x v="0"/>
  </r>
  <r>
    <n v="921"/>
    <x v="40"/>
    <n v="1"/>
    <n v="0"/>
    <n v="2"/>
    <x v="21"/>
    <b v="0"/>
    <n v="4"/>
    <n v="1"/>
    <n v="0.14000000000000001"/>
    <n v="0.21210000000000001"/>
    <n v="0.39"/>
    <n v="0"/>
    <n v="2"/>
    <n v="70"/>
    <n v="72"/>
    <s v="Complete"/>
    <n v="0.21210000000000001"/>
    <n v="2011"/>
    <s v=""/>
    <x v="2"/>
    <x v="3"/>
    <s v="Spring"/>
    <x v="0"/>
  </r>
  <r>
    <n v="922"/>
    <x v="40"/>
    <n v="1"/>
    <n v="0"/>
    <n v="2"/>
    <x v="22"/>
    <b v="0"/>
    <n v="4"/>
    <n v="1"/>
    <n v="0.12"/>
    <n v="0.19700000000000001"/>
    <n v="0.39"/>
    <n v="0"/>
    <n v="4"/>
    <n v="47"/>
    <n v="51"/>
    <s v="Complete"/>
    <n v="0.19700000000000001"/>
    <n v="2011"/>
    <s v=""/>
    <x v="2"/>
    <x v="3"/>
    <s v="Spring"/>
    <x v="0"/>
  </r>
  <r>
    <n v="923"/>
    <x v="40"/>
    <n v="1"/>
    <n v="0"/>
    <n v="2"/>
    <x v="23"/>
    <b v="0"/>
    <n v="4"/>
    <n v="1"/>
    <n v="0.12"/>
    <n v="0.1515"/>
    <n v="0.42"/>
    <n v="0.1045"/>
    <n v="1"/>
    <n v="33"/>
    <n v="34"/>
    <s v="Complete"/>
    <n v="0.1515"/>
    <n v="2011"/>
    <s v=""/>
    <x v="2"/>
    <x v="3"/>
    <s v="Spring"/>
    <x v="0"/>
  </r>
  <r>
    <n v="924"/>
    <x v="41"/>
    <n v="1"/>
    <n v="0"/>
    <n v="2"/>
    <x v="0"/>
    <b v="0"/>
    <n v="5"/>
    <n v="1"/>
    <n v="0.1"/>
    <n v="0.13639999999999999"/>
    <n v="0.49"/>
    <n v="0.1045"/>
    <n v="2"/>
    <n v="12"/>
    <n v="14"/>
    <s v="Complete"/>
    <n v="0.13639999999999999"/>
    <n v="2011"/>
    <s v=""/>
    <x v="2"/>
    <x v="0"/>
    <s v="Spring"/>
    <x v="0"/>
  </r>
  <r>
    <n v="925"/>
    <x v="41"/>
    <n v="1"/>
    <n v="0"/>
    <n v="2"/>
    <x v="1"/>
    <b v="0"/>
    <n v="5"/>
    <n v="1"/>
    <n v="0.1"/>
    <n v="0.13639999999999999"/>
    <n v="0.54"/>
    <n v="8.9599999999999999E-2"/>
    <n v="1"/>
    <n v="6"/>
    <n v="7"/>
    <s v="Complete"/>
    <n v="0.13639999999999999"/>
    <n v="2011"/>
    <s v=""/>
    <x v="2"/>
    <x v="0"/>
    <s v="Spring"/>
    <x v="0"/>
  </r>
  <r>
    <n v="926"/>
    <x v="41"/>
    <n v="1"/>
    <n v="0"/>
    <n v="2"/>
    <x v="2"/>
    <b v="0"/>
    <n v="5"/>
    <n v="1"/>
    <n v="0.1"/>
    <n v="0.13639999999999999"/>
    <n v="0.54"/>
    <n v="8.9599999999999999E-2"/>
    <n v="0"/>
    <n v="3"/>
    <n v="3"/>
    <s v="Complete"/>
    <n v="0.13639999999999999"/>
    <n v="2011"/>
    <s v=""/>
    <x v="2"/>
    <x v="0"/>
    <s v="Spring"/>
    <x v="0"/>
  </r>
  <r>
    <n v="927"/>
    <x v="41"/>
    <n v="1"/>
    <n v="0"/>
    <n v="2"/>
    <x v="5"/>
    <b v="0"/>
    <n v="5"/>
    <n v="1"/>
    <n v="0.08"/>
    <n v="0.1212"/>
    <n v="0.63"/>
    <n v="8.9599999999999999E-2"/>
    <n v="0"/>
    <n v="4"/>
    <n v="4"/>
    <s v="Complete"/>
    <n v="0.1212"/>
    <n v="2011"/>
    <s v=""/>
    <x v="2"/>
    <x v="0"/>
    <s v="Spring"/>
    <x v="0"/>
  </r>
  <r>
    <n v="928"/>
    <x v="41"/>
    <n v="1"/>
    <n v="0"/>
    <n v="2"/>
    <x v="6"/>
    <b v="0"/>
    <n v="5"/>
    <n v="1"/>
    <n v="0.1"/>
    <n v="0.18179999999999999"/>
    <n v="0.68"/>
    <n v="0"/>
    <n v="1"/>
    <n v="23"/>
    <n v="24"/>
    <s v="Complete"/>
    <n v="0.18179999999999999"/>
    <n v="2011"/>
    <s v=""/>
    <x v="2"/>
    <x v="1"/>
    <s v="Spring"/>
    <x v="0"/>
  </r>
  <r>
    <n v="929"/>
    <x v="41"/>
    <n v="1"/>
    <n v="0"/>
    <n v="2"/>
    <x v="7"/>
    <b v="0"/>
    <n v="5"/>
    <n v="1"/>
    <n v="0.08"/>
    <n v="0.16669999999999999"/>
    <n v="0.73"/>
    <n v="0"/>
    <n v="1"/>
    <n v="73"/>
    <n v="74"/>
    <s v="Complete"/>
    <n v="0.16669999999999999"/>
    <n v="2011"/>
    <s v=""/>
    <x v="2"/>
    <x v="1"/>
    <s v="Spring"/>
    <x v="0"/>
  </r>
  <r>
    <n v="930"/>
    <x v="41"/>
    <n v="1"/>
    <n v="0"/>
    <n v="2"/>
    <x v="8"/>
    <b v="0"/>
    <n v="5"/>
    <n v="1"/>
    <n v="0.1"/>
    <n v="0.1212"/>
    <n v="0.74"/>
    <n v="0.16420000000000001"/>
    <n v="4"/>
    <n v="212"/>
    <n v="216"/>
    <s v="Complete"/>
    <n v="0.1212"/>
    <n v="2011"/>
    <s v=""/>
    <x v="2"/>
    <x v="1"/>
    <s v="Spring"/>
    <x v="0"/>
  </r>
  <r>
    <n v="931"/>
    <x v="41"/>
    <n v="1"/>
    <n v="0"/>
    <n v="2"/>
    <x v="9"/>
    <b v="0"/>
    <n v="5"/>
    <n v="1"/>
    <n v="0.12"/>
    <n v="0.1212"/>
    <n v="0.74"/>
    <n v="0.22389999999999999"/>
    <n v="8"/>
    <n v="132"/>
    <n v="140"/>
    <s v="Complete"/>
    <n v="0.1212"/>
    <n v="2011"/>
    <s v=""/>
    <x v="2"/>
    <x v="1"/>
    <s v="Spring"/>
    <x v="0"/>
  </r>
  <r>
    <n v="932"/>
    <x v="41"/>
    <n v="1"/>
    <n v="0"/>
    <n v="2"/>
    <x v="10"/>
    <b v="0"/>
    <n v="5"/>
    <n v="1"/>
    <n v="0.14000000000000001"/>
    <n v="0.13639999999999999"/>
    <n v="0.69"/>
    <n v="0.19400000000000001"/>
    <n v="5"/>
    <n v="39"/>
    <n v="44"/>
    <s v="Complete"/>
    <n v="0.13639999999999999"/>
    <n v="2011"/>
    <s v=""/>
    <x v="2"/>
    <x v="1"/>
    <s v="Spring"/>
    <x v="0"/>
  </r>
  <r>
    <n v="933"/>
    <x v="41"/>
    <n v="1"/>
    <n v="0"/>
    <n v="2"/>
    <x v="11"/>
    <b v="0"/>
    <n v="5"/>
    <n v="1"/>
    <n v="0.22"/>
    <n v="0.2273"/>
    <n v="0.47"/>
    <n v="0.1343"/>
    <n v="12"/>
    <n v="52"/>
    <n v="64"/>
    <s v="Complete"/>
    <n v="0.2273"/>
    <n v="2011"/>
    <s v=""/>
    <x v="2"/>
    <x v="1"/>
    <s v="Spring"/>
    <x v="0"/>
  </r>
  <r>
    <n v="934"/>
    <x v="41"/>
    <n v="1"/>
    <n v="0"/>
    <n v="2"/>
    <x v="12"/>
    <b v="0"/>
    <n v="5"/>
    <n v="1"/>
    <n v="0.22"/>
    <n v="0.2273"/>
    <n v="0.47"/>
    <n v="0.1343"/>
    <n v="7"/>
    <n v="64"/>
    <n v="71"/>
    <s v="Complete"/>
    <n v="0.2273"/>
    <n v="2011"/>
    <s v=""/>
    <x v="2"/>
    <x v="2"/>
    <s v="Spring"/>
    <x v="0"/>
  </r>
  <r>
    <n v="935"/>
    <x v="41"/>
    <n v="1"/>
    <n v="0"/>
    <n v="2"/>
    <x v="13"/>
    <b v="0"/>
    <n v="5"/>
    <n v="1"/>
    <n v="0.24"/>
    <n v="0.2273"/>
    <n v="0.35"/>
    <n v="0.19400000000000001"/>
    <n v="21"/>
    <n v="89"/>
    <n v="110"/>
    <s v="Complete"/>
    <n v="0.2273"/>
    <n v="2011"/>
    <s v=""/>
    <x v="2"/>
    <x v="2"/>
    <s v="Spring"/>
    <x v="0"/>
  </r>
  <r>
    <n v="936"/>
    <x v="41"/>
    <n v="1"/>
    <n v="0"/>
    <n v="2"/>
    <x v="14"/>
    <b v="0"/>
    <n v="5"/>
    <n v="1"/>
    <n v="0.3"/>
    <n v="0.28789999999999999"/>
    <n v="0.26"/>
    <n v="0.25369999999999998"/>
    <n v="17"/>
    <n v="67"/>
    <n v="84"/>
    <s v="Complete"/>
    <n v="0.28789999999999999"/>
    <n v="2011"/>
    <s v=""/>
    <x v="2"/>
    <x v="2"/>
    <s v="Spring"/>
    <x v="0"/>
  </r>
  <r>
    <n v="937"/>
    <x v="41"/>
    <n v="1"/>
    <n v="0"/>
    <n v="2"/>
    <x v="15"/>
    <b v="0"/>
    <n v="5"/>
    <n v="1"/>
    <n v="0.32"/>
    <n v="0.31819999999999998"/>
    <n v="0.21"/>
    <n v="0.16420000000000001"/>
    <n v="12"/>
    <n v="62"/>
    <n v="74"/>
    <s v="Complete"/>
    <n v="0.31819999999999998"/>
    <n v="2011"/>
    <s v=""/>
    <x v="2"/>
    <x v="2"/>
    <s v="Spring"/>
    <x v="0"/>
  </r>
  <r>
    <n v="938"/>
    <x v="41"/>
    <n v="1"/>
    <n v="0"/>
    <n v="2"/>
    <x v="16"/>
    <b v="0"/>
    <n v="5"/>
    <n v="1"/>
    <n v="0.3"/>
    <n v="0.28789999999999999"/>
    <n v="0.28000000000000003"/>
    <n v="0.19400000000000001"/>
    <n v="14"/>
    <n v="111"/>
    <n v="125"/>
    <s v="Complete"/>
    <n v="0.28789999999999999"/>
    <n v="2011"/>
    <s v=""/>
    <x v="2"/>
    <x v="2"/>
    <s v="Spring"/>
    <x v="0"/>
  </r>
  <r>
    <n v="939"/>
    <x v="41"/>
    <n v="1"/>
    <n v="0"/>
    <n v="2"/>
    <x v="17"/>
    <b v="0"/>
    <n v="5"/>
    <n v="1"/>
    <n v="0.3"/>
    <n v="0.33329999999999999"/>
    <n v="0.24"/>
    <n v="0"/>
    <n v="18"/>
    <n v="193"/>
    <n v="211"/>
    <s v="Complete"/>
    <n v="0.33329999999999999"/>
    <n v="2011"/>
    <s v=""/>
    <x v="2"/>
    <x v="2"/>
    <s v="Spring"/>
    <x v="0"/>
  </r>
  <r>
    <n v="940"/>
    <x v="41"/>
    <n v="1"/>
    <n v="0"/>
    <n v="2"/>
    <x v="18"/>
    <b v="0"/>
    <n v="5"/>
    <n v="1"/>
    <n v="0.28000000000000003"/>
    <n v="0.31819999999999998"/>
    <n v="0.28000000000000003"/>
    <n v="0"/>
    <n v="9"/>
    <n v="165"/>
    <n v="174"/>
    <s v="Complete"/>
    <n v="0.31819999999999998"/>
    <n v="2011"/>
    <s v=""/>
    <x v="2"/>
    <x v="3"/>
    <s v="Spring"/>
    <x v="0"/>
  </r>
  <r>
    <n v="941"/>
    <x v="41"/>
    <n v="1"/>
    <n v="0"/>
    <n v="2"/>
    <x v="19"/>
    <b v="0"/>
    <n v="5"/>
    <n v="1"/>
    <n v="0.26"/>
    <n v="0.30299999999999999"/>
    <n v="0.33"/>
    <n v="0"/>
    <n v="7"/>
    <n v="94"/>
    <n v="101"/>
    <s v="Complete"/>
    <n v="0.30299999999999999"/>
    <n v="2011"/>
    <s v=""/>
    <x v="2"/>
    <x v="3"/>
    <s v="Spring"/>
    <x v="0"/>
  </r>
  <r>
    <n v="942"/>
    <x v="41"/>
    <n v="1"/>
    <n v="0"/>
    <n v="2"/>
    <x v="20"/>
    <b v="0"/>
    <n v="5"/>
    <n v="1"/>
    <n v="0.22"/>
    <n v="0.2273"/>
    <n v="0.55000000000000004"/>
    <n v="0.1343"/>
    <n v="2"/>
    <n v="61"/>
    <n v="63"/>
    <s v="Complete"/>
    <n v="0.2273"/>
    <n v="2011"/>
    <s v=""/>
    <x v="2"/>
    <x v="3"/>
    <s v="Spring"/>
    <x v="0"/>
  </r>
  <r>
    <n v="943"/>
    <x v="41"/>
    <n v="1"/>
    <n v="0"/>
    <n v="2"/>
    <x v="21"/>
    <b v="0"/>
    <n v="5"/>
    <n v="1"/>
    <n v="0.2"/>
    <n v="0.21210000000000001"/>
    <n v="0.59"/>
    <n v="0.1343"/>
    <n v="1"/>
    <n v="46"/>
    <n v="47"/>
    <s v="Complete"/>
    <n v="0.21210000000000001"/>
    <n v="2011"/>
    <s v=""/>
    <x v="2"/>
    <x v="3"/>
    <s v="Spring"/>
    <x v="0"/>
  </r>
  <r>
    <n v="944"/>
    <x v="41"/>
    <n v="1"/>
    <n v="0"/>
    <n v="2"/>
    <x v="22"/>
    <b v="0"/>
    <n v="5"/>
    <n v="1"/>
    <n v="0.2"/>
    <n v="0.2273"/>
    <n v="0.64"/>
    <n v="8.9599999999999999E-2"/>
    <n v="2"/>
    <n v="41"/>
    <n v="43"/>
    <s v="Complete"/>
    <n v="0.2273"/>
    <n v="2011"/>
    <s v=""/>
    <x v="2"/>
    <x v="3"/>
    <s v="Spring"/>
    <x v="0"/>
  </r>
  <r>
    <n v="945"/>
    <x v="41"/>
    <n v="1"/>
    <n v="0"/>
    <n v="2"/>
    <x v="23"/>
    <b v="0"/>
    <n v="5"/>
    <n v="1"/>
    <n v="0.18"/>
    <n v="0.2424"/>
    <n v="0.69"/>
    <n v="0"/>
    <n v="5"/>
    <n v="48"/>
    <n v="53"/>
    <s v="Complete"/>
    <n v="0.2424"/>
    <n v="2011"/>
    <s v=""/>
    <x v="2"/>
    <x v="3"/>
    <s v="Spring"/>
    <x v="0"/>
  </r>
  <r>
    <n v="946"/>
    <x v="42"/>
    <n v="1"/>
    <n v="0"/>
    <n v="2"/>
    <x v="0"/>
    <b v="0"/>
    <n v="6"/>
    <n v="1"/>
    <n v="0.16"/>
    <n v="0.19700000000000001"/>
    <n v="0.69"/>
    <n v="8.9599999999999999E-2"/>
    <n v="3"/>
    <n v="27"/>
    <n v="30"/>
    <s v="Complete"/>
    <n v="0.19700000000000001"/>
    <n v="2011"/>
    <s v=""/>
    <x v="0"/>
    <x v="0"/>
    <s v="Spring"/>
    <x v="0"/>
  </r>
  <r>
    <n v="947"/>
    <x v="42"/>
    <n v="1"/>
    <n v="0"/>
    <n v="2"/>
    <x v="1"/>
    <b v="0"/>
    <n v="6"/>
    <n v="1"/>
    <n v="0.14000000000000001"/>
    <n v="0.21210000000000001"/>
    <n v="0.86"/>
    <n v="0"/>
    <n v="2"/>
    <n v="22"/>
    <n v="24"/>
    <s v="Complete"/>
    <n v="0.21210000000000001"/>
    <n v="2011"/>
    <s v=""/>
    <x v="0"/>
    <x v="0"/>
    <s v="Spring"/>
    <x v="0"/>
  </r>
  <r>
    <n v="948"/>
    <x v="42"/>
    <n v="1"/>
    <n v="0"/>
    <n v="2"/>
    <x v="2"/>
    <b v="0"/>
    <n v="6"/>
    <n v="1"/>
    <n v="0.14000000000000001"/>
    <n v="0.21210000000000001"/>
    <n v="0.8"/>
    <n v="0"/>
    <n v="2"/>
    <n v="13"/>
    <n v="15"/>
    <s v="Complete"/>
    <n v="0.21210000000000001"/>
    <n v="2011"/>
    <s v=""/>
    <x v="0"/>
    <x v="0"/>
    <s v="Spring"/>
    <x v="0"/>
  </r>
  <r>
    <n v="949"/>
    <x v="42"/>
    <n v="1"/>
    <n v="0"/>
    <n v="2"/>
    <x v="3"/>
    <b v="0"/>
    <n v="6"/>
    <n v="1"/>
    <n v="0.12"/>
    <n v="0.19700000000000001"/>
    <n v="0.8"/>
    <n v="0"/>
    <n v="3"/>
    <n v="7"/>
    <n v="10"/>
    <s v="Complete"/>
    <n v="0.19700000000000001"/>
    <n v="2011"/>
    <s v=""/>
    <x v="0"/>
    <x v="0"/>
    <s v="Spring"/>
    <x v="0"/>
  </r>
  <r>
    <n v="950"/>
    <x v="42"/>
    <n v="1"/>
    <n v="0"/>
    <n v="2"/>
    <x v="4"/>
    <b v="0"/>
    <n v="6"/>
    <n v="1"/>
    <n v="0.12"/>
    <n v="0.16669999999999999"/>
    <n v="0.74"/>
    <n v="8.9599999999999999E-2"/>
    <n v="0"/>
    <n v="4"/>
    <n v="4"/>
    <s v="Complete"/>
    <n v="0.16669999999999999"/>
    <n v="2011"/>
    <s v=""/>
    <x v="0"/>
    <x v="0"/>
    <s v="Spring"/>
    <x v="0"/>
  </r>
  <r>
    <n v="951"/>
    <x v="42"/>
    <n v="1"/>
    <n v="0"/>
    <n v="2"/>
    <x v="5"/>
    <b v="0"/>
    <n v="6"/>
    <n v="1"/>
    <n v="0.12"/>
    <n v="0.16669999999999999"/>
    <n v="0.74"/>
    <n v="8.9599999999999999E-2"/>
    <n v="0"/>
    <n v="1"/>
    <n v="1"/>
    <s v="Complete"/>
    <n v="0.16669999999999999"/>
    <n v="2011"/>
    <s v=""/>
    <x v="0"/>
    <x v="0"/>
    <s v="Spring"/>
    <x v="0"/>
  </r>
  <r>
    <n v="952"/>
    <x v="42"/>
    <n v="1"/>
    <n v="0"/>
    <n v="2"/>
    <x v="6"/>
    <b v="0"/>
    <n v="6"/>
    <n v="1"/>
    <n v="0.12"/>
    <n v="0.13639999999999999"/>
    <n v="0.93"/>
    <n v="0.19400000000000001"/>
    <n v="1"/>
    <n v="1"/>
    <n v="2"/>
    <s v="Complete"/>
    <n v="0.13639999999999999"/>
    <n v="2011"/>
    <s v=""/>
    <x v="0"/>
    <x v="1"/>
    <s v="Spring"/>
    <x v="0"/>
  </r>
  <r>
    <n v="953"/>
    <x v="42"/>
    <n v="1"/>
    <n v="0"/>
    <n v="2"/>
    <x v="7"/>
    <b v="0"/>
    <n v="6"/>
    <n v="1"/>
    <n v="0.12"/>
    <n v="0.1515"/>
    <n v="0.8"/>
    <n v="0.1045"/>
    <n v="2"/>
    <n v="9"/>
    <n v="11"/>
    <s v="Complete"/>
    <n v="0.1515"/>
    <n v="2011"/>
    <s v=""/>
    <x v="0"/>
    <x v="1"/>
    <s v="Spring"/>
    <x v="0"/>
  </r>
  <r>
    <n v="954"/>
    <x v="42"/>
    <n v="1"/>
    <n v="0"/>
    <n v="2"/>
    <x v="8"/>
    <b v="0"/>
    <n v="6"/>
    <n v="1"/>
    <n v="0.14000000000000001"/>
    <n v="0.1515"/>
    <n v="0.86"/>
    <n v="0.1343"/>
    <n v="2"/>
    <n v="28"/>
    <n v="30"/>
    <s v="Complete"/>
    <n v="0.1515"/>
    <n v="2011"/>
    <s v=""/>
    <x v="0"/>
    <x v="1"/>
    <s v="Spring"/>
    <x v="0"/>
  </r>
  <r>
    <n v="955"/>
    <x v="42"/>
    <n v="1"/>
    <n v="0"/>
    <n v="2"/>
    <x v="9"/>
    <b v="0"/>
    <n v="6"/>
    <n v="1"/>
    <n v="0.16"/>
    <n v="0.18179999999999999"/>
    <n v="0.64"/>
    <n v="0.1343"/>
    <n v="5"/>
    <n v="38"/>
    <n v="43"/>
    <s v="Complete"/>
    <n v="0.18179999999999999"/>
    <n v="2011"/>
    <s v=""/>
    <x v="0"/>
    <x v="1"/>
    <s v="Spring"/>
    <x v="0"/>
  </r>
  <r>
    <n v="956"/>
    <x v="42"/>
    <n v="1"/>
    <n v="0"/>
    <n v="2"/>
    <x v="10"/>
    <b v="0"/>
    <n v="6"/>
    <n v="1"/>
    <n v="0.22"/>
    <n v="0.21210000000000001"/>
    <n v="0.41"/>
    <n v="0.25369999999999998"/>
    <n v="13"/>
    <n v="71"/>
    <n v="84"/>
    <s v="Complete"/>
    <n v="0.21210000000000001"/>
    <n v="2011"/>
    <s v=""/>
    <x v="0"/>
    <x v="1"/>
    <s v="Spring"/>
    <x v="0"/>
  </r>
  <r>
    <n v="957"/>
    <x v="42"/>
    <n v="1"/>
    <n v="0"/>
    <n v="2"/>
    <x v="11"/>
    <b v="0"/>
    <n v="6"/>
    <n v="1"/>
    <n v="0.3"/>
    <n v="0.2727"/>
    <n v="0.28000000000000003"/>
    <n v="0.32840000000000003"/>
    <n v="30"/>
    <n v="84"/>
    <n v="114"/>
    <s v="Complete"/>
    <n v="0.2727"/>
    <n v="2011"/>
    <s v=""/>
    <x v="0"/>
    <x v="1"/>
    <s v="Spring"/>
    <x v="0"/>
  </r>
  <r>
    <n v="958"/>
    <x v="42"/>
    <n v="1"/>
    <n v="0"/>
    <n v="2"/>
    <x v="12"/>
    <b v="0"/>
    <n v="6"/>
    <n v="1"/>
    <n v="0.3"/>
    <n v="0.2727"/>
    <n v="0.39"/>
    <n v="0.4627"/>
    <n v="27"/>
    <n v="93"/>
    <n v="120"/>
    <s v="Complete"/>
    <n v="0.2727"/>
    <n v="2011"/>
    <s v=""/>
    <x v="0"/>
    <x v="2"/>
    <s v="Spring"/>
    <x v="0"/>
  </r>
  <r>
    <n v="959"/>
    <x v="42"/>
    <n v="1"/>
    <n v="0"/>
    <n v="2"/>
    <x v="13"/>
    <b v="0"/>
    <n v="6"/>
    <n v="1"/>
    <n v="0.3"/>
    <n v="0.2727"/>
    <n v="0.39"/>
    <n v="0.41789999999999999"/>
    <n v="32"/>
    <n v="103"/>
    <n v="135"/>
    <s v="Complete"/>
    <n v="0.2727"/>
    <n v="2011"/>
    <s v=""/>
    <x v="0"/>
    <x v="2"/>
    <s v="Spring"/>
    <x v="0"/>
  </r>
  <r>
    <n v="960"/>
    <x v="42"/>
    <n v="1"/>
    <n v="0"/>
    <n v="2"/>
    <x v="14"/>
    <b v="0"/>
    <n v="6"/>
    <n v="1"/>
    <n v="0.34"/>
    <n v="0.31819999999999998"/>
    <n v="0.31"/>
    <n v="0.28360000000000002"/>
    <n v="30"/>
    <n v="90"/>
    <n v="120"/>
    <s v="Complete"/>
    <n v="0.31819999999999998"/>
    <n v="2011"/>
    <s v=""/>
    <x v="0"/>
    <x v="2"/>
    <s v="Spring"/>
    <x v="0"/>
  </r>
  <r>
    <n v="961"/>
    <x v="42"/>
    <n v="1"/>
    <n v="0"/>
    <n v="2"/>
    <x v="15"/>
    <b v="0"/>
    <n v="6"/>
    <n v="1"/>
    <n v="0.34"/>
    <n v="0.30299999999999999"/>
    <n v="0.28999999999999998"/>
    <n v="0.41789999999999999"/>
    <n v="47"/>
    <n v="127"/>
    <n v="174"/>
    <s v="Complete"/>
    <n v="0.30299999999999999"/>
    <n v="2011"/>
    <s v=""/>
    <x v="0"/>
    <x v="2"/>
    <s v="Spring"/>
    <x v="0"/>
  </r>
  <r>
    <n v="962"/>
    <x v="42"/>
    <n v="1"/>
    <n v="0"/>
    <n v="2"/>
    <x v="16"/>
    <b v="0"/>
    <n v="6"/>
    <n v="1"/>
    <n v="0.34"/>
    <n v="0.30299999999999999"/>
    <n v="0.28999999999999998"/>
    <n v="0.41789999999999999"/>
    <n v="42"/>
    <n v="103"/>
    <n v="145"/>
    <s v="Complete"/>
    <n v="0.30299999999999999"/>
    <n v="2011"/>
    <s v=""/>
    <x v="0"/>
    <x v="2"/>
    <s v="Spring"/>
    <x v="0"/>
  </r>
  <r>
    <n v="963"/>
    <x v="42"/>
    <n v="1"/>
    <n v="0"/>
    <n v="2"/>
    <x v="17"/>
    <b v="0"/>
    <n v="6"/>
    <n v="1"/>
    <n v="0.32"/>
    <n v="0.28789999999999999"/>
    <n v="0.31"/>
    <n v="0.52239999999999998"/>
    <n v="24"/>
    <n v="113"/>
    <n v="137"/>
    <s v="Complete"/>
    <n v="0.28789999999999999"/>
    <n v="2011"/>
    <s v=""/>
    <x v="0"/>
    <x v="2"/>
    <s v="Spring"/>
    <x v="0"/>
  </r>
  <r>
    <n v="964"/>
    <x v="42"/>
    <n v="1"/>
    <n v="0"/>
    <n v="2"/>
    <x v="18"/>
    <b v="0"/>
    <n v="6"/>
    <n v="1"/>
    <n v="0.28000000000000003"/>
    <n v="0.2576"/>
    <n v="0.38"/>
    <n v="0.32840000000000003"/>
    <n v="4"/>
    <n v="60"/>
    <n v="64"/>
    <s v="Complete"/>
    <n v="0.2576"/>
    <n v="2011"/>
    <s v=""/>
    <x v="0"/>
    <x v="3"/>
    <s v="Spring"/>
    <x v="0"/>
  </r>
  <r>
    <n v="965"/>
    <x v="42"/>
    <n v="1"/>
    <n v="0"/>
    <n v="2"/>
    <x v="19"/>
    <b v="0"/>
    <n v="6"/>
    <n v="1"/>
    <n v="0.28000000000000003"/>
    <n v="0.2727"/>
    <n v="0.38"/>
    <n v="0.16420000000000001"/>
    <n v="2"/>
    <n v="39"/>
    <n v="41"/>
    <s v="Complete"/>
    <n v="0.2727"/>
    <n v="2011"/>
    <s v=""/>
    <x v="0"/>
    <x v="3"/>
    <s v="Spring"/>
    <x v="0"/>
  </r>
  <r>
    <n v="966"/>
    <x v="42"/>
    <n v="1"/>
    <n v="0"/>
    <n v="2"/>
    <x v="20"/>
    <b v="0"/>
    <n v="6"/>
    <n v="1"/>
    <n v="0.26"/>
    <n v="0.2576"/>
    <n v="0.41"/>
    <n v="0.22389999999999999"/>
    <n v="1"/>
    <n v="39"/>
    <n v="40"/>
    <s v="Complete"/>
    <n v="0.2576"/>
    <n v="2011"/>
    <s v=""/>
    <x v="0"/>
    <x v="3"/>
    <s v="Spring"/>
    <x v="0"/>
  </r>
  <r>
    <n v="967"/>
    <x v="42"/>
    <n v="1"/>
    <n v="0"/>
    <n v="2"/>
    <x v="21"/>
    <b v="0"/>
    <n v="6"/>
    <n v="1"/>
    <n v="0.26"/>
    <n v="0.30299999999999999"/>
    <n v="0.41"/>
    <n v="0"/>
    <n v="9"/>
    <n v="42"/>
    <n v="51"/>
    <s v="Complete"/>
    <n v="0.30299999999999999"/>
    <n v="2011"/>
    <s v=""/>
    <x v="0"/>
    <x v="3"/>
    <s v="Spring"/>
    <x v="0"/>
  </r>
  <r>
    <n v="968"/>
    <x v="42"/>
    <n v="1"/>
    <n v="0"/>
    <n v="2"/>
    <x v="22"/>
    <b v="0"/>
    <n v="6"/>
    <n v="1"/>
    <n v="0.24"/>
    <n v="0.2576"/>
    <n v="0.44"/>
    <n v="8.9599999999999999E-2"/>
    <n v="6"/>
    <n v="39"/>
    <n v="45"/>
    <s v="Complete"/>
    <n v="0.2576"/>
    <n v="2011"/>
    <s v=""/>
    <x v="0"/>
    <x v="3"/>
    <s v="Spring"/>
    <x v="0"/>
  </r>
  <r>
    <n v="969"/>
    <x v="42"/>
    <n v="1"/>
    <n v="0"/>
    <n v="2"/>
    <x v="23"/>
    <b v="0"/>
    <n v="6"/>
    <n v="1"/>
    <n v="0.22"/>
    <n v="0.2273"/>
    <n v="0.51"/>
    <n v="0.1343"/>
    <n v="1"/>
    <n v="31"/>
    <n v="32"/>
    <s v="Complete"/>
    <n v="0.2273"/>
    <n v="2011"/>
    <s v=""/>
    <x v="0"/>
    <x v="3"/>
    <s v="Spring"/>
    <x v="0"/>
  </r>
  <r>
    <n v="970"/>
    <x v="43"/>
    <n v="1"/>
    <n v="0"/>
    <n v="2"/>
    <x v="0"/>
    <b v="0"/>
    <n v="0"/>
    <n v="1"/>
    <n v="0.2"/>
    <n v="0.2273"/>
    <n v="0.64"/>
    <n v="0.1045"/>
    <n v="5"/>
    <n v="34"/>
    <n v="39"/>
    <s v="Complete"/>
    <n v="0.2273"/>
    <n v="2011"/>
    <s v=""/>
    <x v="1"/>
    <x v="0"/>
    <s v="Spring"/>
    <x v="0"/>
  </r>
  <r>
    <n v="971"/>
    <x v="43"/>
    <n v="1"/>
    <n v="0"/>
    <n v="2"/>
    <x v="1"/>
    <b v="0"/>
    <n v="0"/>
    <n v="1"/>
    <n v="0.2"/>
    <n v="0.2273"/>
    <n v="0.59"/>
    <n v="8.9599999999999999E-2"/>
    <n v="1"/>
    <n v="23"/>
    <n v="24"/>
    <s v="Complete"/>
    <n v="0.2273"/>
    <n v="2011"/>
    <s v=""/>
    <x v="1"/>
    <x v="0"/>
    <s v="Spring"/>
    <x v="0"/>
  </r>
  <r>
    <n v="972"/>
    <x v="43"/>
    <n v="1"/>
    <n v="0"/>
    <n v="2"/>
    <x v="2"/>
    <b v="0"/>
    <n v="0"/>
    <n v="2"/>
    <n v="0.2"/>
    <n v="0.2273"/>
    <n v="0.75"/>
    <n v="8.9599999999999999E-2"/>
    <n v="1"/>
    <n v="19"/>
    <n v="20"/>
    <s v="Complete"/>
    <n v="0.2273"/>
    <n v="2011"/>
    <s v=""/>
    <x v="1"/>
    <x v="0"/>
    <s v="Spring"/>
    <x v="1"/>
  </r>
  <r>
    <n v="973"/>
    <x v="43"/>
    <n v="1"/>
    <n v="0"/>
    <n v="2"/>
    <x v="3"/>
    <b v="0"/>
    <n v="0"/>
    <n v="2"/>
    <n v="0.2"/>
    <n v="0.2273"/>
    <n v="0.69"/>
    <n v="0.1045"/>
    <n v="4"/>
    <n v="8"/>
    <n v="12"/>
    <s v="Complete"/>
    <n v="0.2273"/>
    <n v="2011"/>
    <s v=""/>
    <x v="1"/>
    <x v="0"/>
    <s v="Spring"/>
    <x v="1"/>
  </r>
  <r>
    <n v="974"/>
    <x v="43"/>
    <n v="1"/>
    <n v="0"/>
    <n v="2"/>
    <x v="4"/>
    <b v="0"/>
    <n v="0"/>
    <n v="2"/>
    <n v="0.2"/>
    <n v="0.21210000000000001"/>
    <n v="0.69"/>
    <n v="0.16420000000000001"/>
    <n v="0"/>
    <n v="2"/>
    <n v="2"/>
    <s v="Complete"/>
    <n v="0.21210000000000001"/>
    <n v="2011"/>
    <s v=""/>
    <x v="1"/>
    <x v="0"/>
    <s v="Spring"/>
    <x v="1"/>
  </r>
  <r>
    <n v="975"/>
    <x v="43"/>
    <n v="1"/>
    <n v="0"/>
    <n v="2"/>
    <x v="6"/>
    <b v="0"/>
    <n v="0"/>
    <n v="2"/>
    <n v="0.2"/>
    <n v="0.21210000000000001"/>
    <n v="0.69"/>
    <n v="0.1343"/>
    <n v="2"/>
    <n v="3"/>
    <n v="5"/>
    <s v="Complete"/>
    <n v="0.21210000000000001"/>
    <n v="2011"/>
    <s v=""/>
    <x v="1"/>
    <x v="1"/>
    <s v="Spring"/>
    <x v="1"/>
  </r>
  <r>
    <n v="976"/>
    <x v="43"/>
    <n v="1"/>
    <n v="0"/>
    <n v="2"/>
    <x v="7"/>
    <b v="0"/>
    <n v="0"/>
    <n v="2"/>
    <n v="0.22"/>
    <n v="0.2727"/>
    <n v="0.55000000000000004"/>
    <n v="0"/>
    <n v="0"/>
    <n v="3"/>
    <n v="3"/>
    <s v="Complete"/>
    <n v="0.2727"/>
    <n v="2011"/>
    <s v=""/>
    <x v="1"/>
    <x v="1"/>
    <s v="Spring"/>
    <x v="1"/>
  </r>
  <r>
    <n v="977"/>
    <x v="43"/>
    <n v="1"/>
    <n v="0"/>
    <n v="2"/>
    <x v="8"/>
    <b v="0"/>
    <n v="0"/>
    <n v="2"/>
    <n v="0.22"/>
    <n v="0.2273"/>
    <n v="0.64"/>
    <n v="0.19400000000000001"/>
    <n v="1"/>
    <n v="11"/>
    <n v="12"/>
    <s v="Complete"/>
    <n v="0.2273"/>
    <n v="2011"/>
    <s v=""/>
    <x v="1"/>
    <x v="1"/>
    <s v="Spring"/>
    <x v="1"/>
  </r>
  <r>
    <n v="978"/>
    <x v="43"/>
    <n v="1"/>
    <n v="0"/>
    <n v="2"/>
    <x v="9"/>
    <b v="0"/>
    <n v="0"/>
    <n v="2"/>
    <n v="0.24"/>
    <n v="0.2273"/>
    <n v="0.6"/>
    <n v="0.22389999999999999"/>
    <n v="12"/>
    <n v="35"/>
    <n v="47"/>
    <s v="Complete"/>
    <n v="0.2273"/>
    <n v="2011"/>
    <s v=""/>
    <x v="1"/>
    <x v="1"/>
    <s v="Spring"/>
    <x v="1"/>
  </r>
  <r>
    <n v="979"/>
    <x v="43"/>
    <n v="1"/>
    <n v="0"/>
    <n v="2"/>
    <x v="10"/>
    <b v="0"/>
    <n v="0"/>
    <n v="1"/>
    <n v="0.3"/>
    <n v="0.2727"/>
    <n v="0.45"/>
    <n v="0.32840000000000003"/>
    <n v="19"/>
    <n v="86"/>
    <n v="105"/>
    <s v="Complete"/>
    <n v="0.2727"/>
    <n v="2011"/>
    <s v=""/>
    <x v="1"/>
    <x v="1"/>
    <s v="Spring"/>
    <x v="0"/>
  </r>
  <r>
    <n v="980"/>
    <x v="43"/>
    <n v="1"/>
    <n v="0"/>
    <n v="2"/>
    <x v="11"/>
    <b v="0"/>
    <n v="0"/>
    <n v="1"/>
    <n v="0.32"/>
    <n v="0.28789999999999999"/>
    <n v="0.39"/>
    <n v="0.44779999999999998"/>
    <n v="26"/>
    <n v="86"/>
    <n v="112"/>
    <s v="Complete"/>
    <n v="0.28789999999999999"/>
    <n v="2011"/>
    <s v=""/>
    <x v="1"/>
    <x v="1"/>
    <s v="Spring"/>
    <x v="0"/>
  </r>
  <r>
    <n v="981"/>
    <x v="43"/>
    <n v="1"/>
    <n v="0"/>
    <n v="2"/>
    <x v="12"/>
    <b v="0"/>
    <n v="0"/>
    <n v="1"/>
    <n v="0.36"/>
    <n v="0.31819999999999998"/>
    <n v="0.32"/>
    <n v="0.4627"/>
    <n v="58"/>
    <n v="94"/>
    <n v="152"/>
    <s v="Complete"/>
    <n v="0.31819999999999998"/>
    <n v="2011"/>
    <s v=""/>
    <x v="1"/>
    <x v="2"/>
    <s v="Spring"/>
    <x v="0"/>
  </r>
  <r>
    <n v="982"/>
    <x v="43"/>
    <n v="1"/>
    <n v="0"/>
    <n v="2"/>
    <x v="13"/>
    <b v="0"/>
    <n v="0"/>
    <n v="1"/>
    <n v="0.38"/>
    <n v="0.39389999999999997"/>
    <n v="0.28999999999999998"/>
    <n v="0.35820000000000002"/>
    <n v="62"/>
    <n v="92"/>
    <n v="154"/>
    <s v="Complete"/>
    <n v="0.39389999999999997"/>
    <n v="2011"/>
    <s v=""/>
    <x v="1"/>
    <x v="2"/>
    <s v="Spring"/>
    <x v="0"/>
  </r>
  <r>
    <n v="983"/>
    <x v="43"/>
    <n v="1"/>
    <n v="0"/>
    <n v="2"/>
    <x v="14"/>
    <b v="0"/>
    <n v="0"/>
    <n v="2"/>
    <n v="0.4"/>
    <n v="0.40910000000000002"/>
    <n v="0.3"/>
    <n v="0.41789999999999999"/>
    <n v="51"/>
    <n v="110"/>
    <n v="161"/>
    <s v="Complete"/>
    <n v="0.40910000000000002"/>
    <n v="2011"/>
    <s v=""/>
    <x v="1"/>
    <x v="2"/>
    <s v="Spring"/>
    <x v="1"/>
  </r>
  <r>
    <n v="984"/>
    <x v="43"/>
    <n v="1"/>
    <n v="0"/>
    <n v="2"/>
    <x v="15"/>
    <b v="0"/>
    <n v="0"/>
    <n v="2"/>
    <n v="0.4"/>
    <n v="0.40910000000000002"/>
    <n v="0.3"/>
    <n v="0.29849999999999999"/>
    <n v="40"/>
    <n v="122"/>
    <n v="162"/>
    <s v="Complete"/>
    <n v="0.40910000000000002"/>
    <n v="2011"/>
    <s v=""/>
    <x v="1"/>
    <x v="2"/>
    <s v="Spring"/>
    <x v="1"/>
  </r>
  <r>
    <n v="985"/>
    <x v="43"/>
    <n v="1"/>
    <n v="0"/>
    <n v="2"/>
    <x v="16"/>
    <b v="0"/>
    <n v="0"/>
    <n v="2"/>
    <n v="0.42"/>
    <n v="0.42420000000000002"/>
    <n v="0.28000000000000003"/>
    <n v="0.32840000000000003"/>
    <n v="28"/>
    <n v="106"/>
    <n v="134"/>
    <s v="Complete"/>
    <n v="0.42420000000000002"/>
    <n v="2011"/>
    <s v=""/>
    <x v="1"/>
    <x v="2"/>
    <s v="Spring"/>
    <x v="1"/>
  </r>
  <r>
    <n v="986"/>
    <x v="43"/>
    <n v="1"/>
    <n v="0"/>
    <n v="2"/>
    <x v="17"/>
    <b v="0"/>
    <n v="0"/>
    <n v="1"/>
    <n v="0.42"/>
    <n v="0.42420000000000002"/>
    <n v="0.28000000000000003"/>
    <n v="0.32840000000000003"/>
    <n v="30"/>
    <n v="95"/>
    <n v="125"/>
    <s v="Complete"/>
    <n v="0.42420000000000002"/>
    <n v="2011"/>
    <s v=""/>
    <x v="1"/>
    <x v="2"/>
    <s v="Spring"/>
    <x v="0"/>
  </r>
  <r>
    <n v="987"/>
    <x v="43"/>
    <n v="1"/>
    <n v="0"/>
    <n v="2"/>
    <x v="18"/>
    <b v="0"/>
    <n v="0"/>
    <n v="1"/>
    <n v="0.4"/>
    <n v="0.40910000000000002"/>
    <n v="0.32"/>
    <n v="0.29849999999999999"/>
    <n v="17"/>
    <n v="78"/>
    <n v="95"/>
    <s v="Complete"/>
    <n v="0.40910000000000002"/>
    <n v="2011"/>
    <s v=""/>
    <x v="1"/>
    <x v="3"/>
    <s v="Spring"/>
    <x v="0"/>
  </r>
  <r>
    <n v="988"/>
    <x v="43"/>
    <n v="1"/>
    <n v="0"/>
    <n v="2"/>
    <x v="19"/>
    <b v="0"/>
    <n v="0"/>
    <n v="1"/>
    <n v="0.4"/>
    <n v="0.40910000000000002"/>
    <n v="0.35"/>
    <n v="0.28360000000000002"/>
    <n v="11"/>
    <n v="50"/>
    <n v="61"/>
    <s v="Complete"/>
    <n v="0.40910000000000002"/>
    <n v="2011"/>
    <s v=""/>
    <x v="1"/>
    <x v="3"/>
    <s v="Spring"/>
    <x v="0"/>
  </r>
  <r>
    <n v="989"/>
    <x v="43"/>
    <n v="1"/>
    <n v="0"/>
    <n v="2"/>
    <x v="20"/>
    <b v="0"/>
    <n v="0"/>
    <n v="1"/>
    <n v="0.4"/>
    <n v="0.40910000000000002"/>
    <n v="0.35"/>
    <n v="0.32840000000000003"/>
    <n v="15"/>
    <n v="32"/>
    <n v="47"/>
    <s v="Complete"/>
    <n v="0.40910000000000002"/>
    <n v="2011"/>
    <s v=""/>
    <x v="1"/>
    <x v="3"/>
    <s v="Spring"/>
    <x v="0"/>
  </r>
  <r>
    <n v="990"/>
    <x v="43"/>
    <n v="1"/>
    <n v="0"/>
    <n v="2"/>
    <x v="21"/>
    <b v="0"/>
    <n v="0"/>
    <n v="1"/>
    <n v="0.4"/>
    <n v="0.40910000000000002"/>
    <n v="0.35"/>
    <n v="0.35820000000000002"/>
    <n v="6"/>
    <n v="45"/>
    <n v="51"/>
    <s v="Complete"/>
    <n v="0.40910000000000002"/>
    <n v="2011"/>
    <s v=""/>
    <x v="1"/>
    <x v="3"/>
    <s v="Spring"/>
    <x v="0"/>
  </r>
  <r>
    <n v="991"/>
    <x v="43"/>
    <n v="1"/>
    <n v="0"/>
    <n v="2"/>
    <x v="22"/>
    <b v="0"/>
    <n v="0"/>
    <n v="1"/>
    <n v="0.4"/>
    <n v="0.40910000000000002"/>
    <n v="0.35"/>
    <n v="0.29849999999999999"/>
    <n v="5"/>
    <n v="31"/>
    <n v="36"/>
    <s v="Complete"/>
    <n v="0.40910000000000002"/>
    <n v="2011"/>
    <s v=""/>
    <x v="1"/>
    <x v="3"/>
    <s v="Spring"/>
    <x v="0"/>
  </r>
  <r>
    <n v="992"/>
    <x v="43"/>
    <n v="1"/>
    <n v="0"/>
    <n v="2"/>
    <x v="23"/>
    <b v="0"/>
    <n v="0"/>
    <n v="1"/>
    <n v="0.4"/>
    <n v="0.40910000000000002"/>
    <n v="0.35"/>
    <n v="0.35820000000000002"/>
    <n v="3"/>
    <n v="27"/>
    <n v="30"/>
    <s v="Complete"/>
    <n v="0.40910000000000002"/>
    <n v="2011"/>
    <s v=""/>
    <x v="1"/>
    <x v="3"/>
    <s v="Spring"/>
    <x v="0"/>
  </r>
  <r>
    <n v="993"/>
    <x v="44"/>
    <n v="1"/>
    <n v="0"/>
    <n v="2"/>
    <x v="0"/>
    <b v="0"/>
    <n v="1"/>
    <n v="1"/>
    <n v="0.38"/>
    <n v="0.39389999999999997"/>
    <n v="0.37"/>
    <n v="0.35820000000000002"/>
    <n v="3"/>
    <n v="8"/>
    <n v="11"/>
    <s v="Complete"/>
    <n v="0.39389999999999997"/>
    <n v="2011"/>
    <s v=""/>
    <x v="2"/>
    <x v="0"/>
    <s v="Spring"/>
    <x v="0"/>
  </r>
  <r>
    <n v="994"/>
    <x v="44"/>
    <n v="1"/>
    <n v="0"/>
    <n v="2"/>
    <x v="1"/>
    <b v="0"/>
    <n v="1"/>
    <n v="1"/>
    <n v="0.38"/>
    <n v="0.39389999999999997"/>
    <n v="0.37"/>
    <n v="0.35820000000000002"/>
    <n v="1"/>
    <n v="6"/>
    <n v="7"/>
    <s v="Complete"/>
    <n v="0.39389999999999997"/>
    <n v="2011"/>
    <s v=""/>
    <x v="2"/>
    <x v="0"/>
    <s v="Spring"/>
    <x v="0"/>
  </r>
  <r>
    <n v="995"/>
    <x v="44"/>
    <n v="1"/>
    <n v="0"/>
    <n v="2"/>
    <x v="2"/>
    <b v="0"/>
    <n v="1"/>
    <n v="1"/>
    <n v="0.36"/>
    <n v="0.33329999999999999"/>
    <n v="0.4"/>
    <n v="0.29849999999999999"/>
    <n v="0"/>
    <n v="2"/>
    <n v="2"/>
    <s v="Complete"/>
    <n v="0.33329999999999999"/>
    <n v="2011"/>
    <s v=""/>
    <x v="2"/>
    <x v="0"/>
    <s v="Spring"/>
    <x v="0"/>
  </r>
  <r>
    <n v="996"/>
    <x v="44"/>
    <n v="1"/>
    <n v="0"/>
    <n v="2"/>
    <x v="3"/>
    <b v="0"/>
    <n v="1"/>
    <n v="1"/>
    <n v="0.34"/>
    <n v="0.31819999999999998"/>
    <n v="0.46"/>
    <n v="0.22389999999999999"/>
    <n v="1"/>
    <n v="1"/>
    <n v="2"/>
    <s v="Complete"/>
    <n v="0.31819999999999998"/>
    <n v="2011"/>
    <s v=""/>
    <x v="2"/>
    <x v="0"/>
    <s v="Spring"/>
    <x v="0"/>
  </r>
  <r>
    <n v="997"/>
    <x v="44"/>
    <n v="1"/>
    <n v="0"/>
    <n v="2"/>
    <x v="4"/>
    <b v="0"/>
    <n v="1"/>
    <n v="1"/>
    <n v="0.32"/>
    <n v="0.30299999999999999"/>
    <n v="0.53"/>
    <n v="0.28360000000000002"/>
    <n v="0"/>
    <n v="2"/>
    <n v="2"/>
    <s v="Complete"/>
    <n v="0.30299999999999999"/>
    <n v="2011"/>
    <s v=""/>
    <x v="2"/>
    <x v="0"/>
    <s v="Spring"/>
    <x v="0"/>
  </r>
  <r>
    <n v="998"/>
    <x v="44"/>
    <n v="1"/>
    <n v="0"/>
    <n v="2"/>
    <x v="5"/>
    <b v="0"/>
    <n v="1"/>
    <n v="1"/>
    <n v="0.32"/>
    <n v="0.30299999999999999"/>
    <n v="0.53"/>
    <n v="0.28360000000000002"/>
    <n v="0"/>
    <n v="3"/>
    <n v="3"/>
    <s v="Complete"/>
    <n v="0.30299999999999999"/>
    <n v="2011"/>
    <s v=""/>
    <x v="2"/>
    <x v="0"/>
    <s v="Spring"/>
    <x v="0"/>
  </r>
  <r>
    <n v="999"/>
    <x v="44"/>
    <n v="1"/>
    <n v="0"/>
    <n v="2"/>
    <x v="6"/>
    <b v="0"/>
    <n v="1"/>
    <n v="1"/>
    <n v="0.34"/>
    <n v="0.30299999999999999"/>
    <n v="0.46"/>
    <n v="0.29849999999999999"/>
    <n v="1"/>
    <n v="25"/>
    <n v="26"/>
    <s v="Complete"/>
    <n v="0.30299999999999999"/>
    <n v="2011"/>
    <s v=""/>
    <x v="2"/>
    <x v="1"/>
    <s v="Spring"/>
    <x v="0"/>
  </r>
  <r>
    <n v="1000"/>
    <x v="44"/>
    <n v="1"/>
    <n v="0"/>
    <n v="2"/>
    <x v="7"/>
    <b v="0"/>
    <n v="1"/>
    <n v="1"/>
    <n v="0.34"/>
    <n v="0.30299999999999999"/>
    <n v="0.46"/>
    <n v="0.29849999999999999"/>
    <n v="2"/>
    <n v="96"/>
    <n v="98"/>
    <s v="Complete"/>
    <n v="0.30299999999999999"/>
    <n v="2011"/>
    <s v=""/>
    <x v="2"/>
    <x v="1"/>
    <s v="Spring"/>
    <x v="0"/>
  </r>
  <r>
    <n v="611"/>
    <x v="27"/>
    <n v="1"/>
    <n v="0"/>
    <n v="1"/>
    <x v="16"/>
    <b v="0"/>
    <n v="5"/>
    <n v="1"/>
    <n v="0.22"/>
    <n v="0.2727"/>
    <n v="0.8"/>
    <n v="0"/>
    <n v="10"/>
    <n v="70"/>
    <n v="80"/>
    <s v="Complete"/>
    <n v="0.2727"/>
    <n v="2011"/>
    <s v="January"/>
    <x v="2"/>
    <x v="2"/>
    <s v="Spring"/>
    <x v="0"/>
  </r>
  <r>
    <n v="612"/>
    <x v="27"/>
    <n v="1"/>
    <n v="0"/>
    <n v="1"/>
    <x v="17"/>
    <b v="0"/>
    <n v="5"/>
    <n v="1"/>
    <n v="0.24"/>
    <n v="0.2424"/>
    <n v="0.75"/>
    <n v="0.1343"/>
    <n v="2"/>
    <n v="147"/>
    <n v="149"/>
    <s v="Complete"/>
    <n v="0.2424"/>
    <n v="2011"/>
    <s v="January"/>
    <x v="2"/>
    <x v="2"/>
    <s v="Spring"/>
    <x v="0"/>
  </r>
  <r>
    <n v="613"/>
    <x v="27"/>
    <n v="1"/>
    <n v="0"/>
    <n v="1"/>
    <x v="18"/>
    <b v="0"/>
    <n v="5"/>
    <n v="1"/>
    <n v="0.24"/>
    <n v="0.2273"/>
    <n v="0.75"/>
    <n v="0.19400000000000001"/>
    <n v="2"/>
    <n v="107"/>
    <n v="109"/>
    <s v="Complete"/>
    <n v="0.2273"/>
    <n v="2011"/>
    <s v="January"/>
    <x v="2"/>
    <x v="3"/>
    <s v="Spring"/>
    <x v="0"/>
  </r>
  <r>
    <n v="614"/>
    <x v="27"/>
    <n v="1"/>
    <n v="0"/>
    <n v="1"/>
    <x v="19"/>
    <b v="0"/>
    <n v="5"/>
    <n v="2"/>
    <n v="0.24"/>
    <n v="0.2424"/>
    <n v="0.75"/>
    <n v="0.1343"/>
    <n v="5"/>
    <n v="84"/>
    <n v="89"/>
    <s v="Complete"/>
    <n v="0.2424"/>
    <n v="2011"/>
    <s v="January"/>
    <x v="2"/>
    <x v="3"/>
    <s v="Spring"/>
    <x v="1"/>
  </r>
  <r>
    <n v="615"/>
    <x v="27"/>
    <n v="1"/>
    <n v="0"/>
    <n v="1"/>
    <x v="20"/>
    <b v="0"/>
    <n v="5"/>
    <n v="2"/>
    <n v="0.24"/>
    <n v="0.2273"/>
    <n v="0.7"/>
    <n v="0.19400000000000001"/>
    <n v="1"/>
    <n v="61"/>
    <n v="62"/>
    <s v="Complete"/>
    <n v="0.2273"/>
    <n v="2011"/>
    <s v="January"/>
    <x v="2"/>
    <x v="3"/>
    <s v="Spring"/>
    <x v="1"/>
  </r>
  <r>
    <n v="616"/>
    <x v="27"/>
    <n v="1"/>
    <n v="0"/>
    <n v="1"/>
    <x v="21"/>
    <b v="0"/>
    <n v="5"/>
    <n v="2"/>
    <n v="0.22"/>
    <n v="0.2273"/>
    <n v="0.75"/>
    <n v="0.1343"/>
    <n v="1"/>
    <n v="57"/>
    <n v="58"/>
    <s v="Complete"/>
    <n v="0.2273"/>
    <n v="2011"/>
    <s v="January"/>
    <x v="2"/>
    <x v="3"/>
    <s v="Spring"/>
    <x v="1"/>
  </r>
  <r>
    <n v="617"/>
    <x v="27"/>
    <n v="1"/>
    <n v="0"/>
    <n v="1"/>
    <x v="22"/>
    <b v="0"/>
    <n v="5"/>
    <n v="1"/>
    <n v="0.24"/>
    <n v="0.21210000000000001"/>
    <n v="0.65"/>
    <n v="0.35820000000000002"/>
    <n v="0"/>
    <n v="26"/>
    <n v="26"/>
    <s v="Complete"/>
    <n v="0.21210000000000001"/>
    <n v="2011"/>
    <s v="January"/>
    <x v="2"/>
    <x v="3"/>
    <s v="Spring"/>
    <x v="0"/>
  </r>
  <r>
    <n v="618"/>
    <x v="27"/>
    <n v="1"/>
    <n v="0"/>
    <n v="1"/>
    <x v="23"/>
    <b v="0"/>
    <n v="5"/>
    <n v="1"/>
    <n v="0.24"/>
    <n v="0.2273"/>
    <n v="0.6"/>
    <n v="0.22389999999999999"/>
    <n v="1"/>
    <n v="22"/>
    <n v="23"/>
    <s v="Complete"/>
    <n v="0.2273"/>
    <n v="2011"/>
    <s v="January"/>
    <x v="2"/>
    <x v="3"/>
    <s v="Spring"/>
    <x v="0"/>
  </r>
  <r>
    <n v="619"/>
    <x v="28"/>
    <n v="1"/>
    <n v="0"/>
    <n v="1"/>
    <x v="0"/>
    <b v="0"/>
    <n v="6"/>
    <n v="1"/>
    <n v="0.22"/>
    <n v="0.19700000000000001"/>
    <n v="0.64"/>
    <n v="0.35820000000000002"/>
    <n v="2"/>
    <n v="26"/>
    <n v="28"/>
    <s v="Complete"/>
    <n v="0.19700000000000001"/>
    <n v="2011"/>
    <s v="January"/>
    <x v="0"/>
    <x v="0"/>
    <s v="Spring"/>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240FC5-706D-4C1C-B223-12AE390648EA}"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B54:C59" firstHeaderRow="1" firstDataRow="1" firstDataCol="1"/>
  <pivotFields count="27">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23"/>
  </rowFields>
  <rowItems count="5">
    <i>
      <x/>
    </i>
    <i>
      <x v="1"/>
    </i>
    <i>
      <x v="2"/>
    </i>
    <i>
      <x v="3"/>
    </i>
    <i t="grand">
      <x/>
    </i>
  </rowItems>
  <colItems count="1">
    <i/>
  </colItems>
  <dataFields count="1">
    <dataField name="Sum of cnt" fld="15" baseField="0" baseItem="0"/>
  </dataFields>
  <formats count="6">
    <format dxfId="23">
      <pivotArea type="all" dataOnly="0" outline="0" fieldPosition="0"/>
    </format>
    <format dxfId="22">
      <pivotArea outline="0" collapsedLevelsAreSubtotals="1" fieldPosition="0"/>
    </format>
    <format dxfId="21">
      <pivotArea field="23" type="button" dataOnly="0" labelOnly="1" outline="0" axis="axisRow" fieldPosition="0"/>
    </format>
    <format dxfId="20">
      <pivotArea dataOnly="0" labelOnly="1" fieldPosition="0">
        <references count="1">
          <reference field="23" count="0"/>
        </references>
      </pivotArea>
    </format>
    <format dxfId="19">
      <pivotArea dataOnly="0" labelOnly="1" grandRow="1" outline="0" fieldPosition="0"/>
    </format>
    <format dxfId="18">
      <pivotArea dataOnly="0" labelOnly="1" outline="0" axis="axisValues" fieldPosition="0"/>
    </format>
  </formats>
  <chartFormats count="1">
    <chartFormat chart="4" format="4"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dateBetween" evalOrder="-1" id="42" name="dteday">
      <autoFilter ref="A1">
        <filterColumn colId="0">
          <customFilters and="1">
            <customFilter operator="greaterThanOrEqual" val="40544"/>
            <customFilter operator="lessThanOrEqual" val="4057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63EC0A-06B4-45DD-9F6A-6EF8CC090824}" name="PivotTable7" cacheId="0"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3">
  <location ref="B19:D44" firstHeaderRow="0" firstDataRow="1" firstDataCol="1"/>
  <pivotFields count="27">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5">
        <item x="2"/>
        <item x="3"/>
        <item x="1"/>
        <item x="0"/>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ataField="1" dragToRow="0" dragToCol="0" dragToPage="0" showAll="0" defaultSubtotal="0"/>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cnt" fld="15" baseField="0" baseItem="0"/>
    <dataField name="Sum of Avg Rental per Record" fld="26" baseField="0" baseItem="0"/>
  </dataFields>
  <formats count="5">
    <format dxfId="28">
      <pivotArea type="all" dataOnly="0" outline="0" fieldPosition="0"/>
    </format>
    <format dxfId="27">
      <pivotArea outline="0" collapsedLevelsAreSubtotals="1" fieldPosition="0"/>
    </format>
    <format dxfId="26">
      <pivotArea field="21" type="button" dataOnly="0" labelOnly="1" outline="0"/>
    </format>
    <format dxfId="25">
      <pivotArea dataOnly="0" labelOnly="1" grandRow="1" outline="0" fieldPosition="0"/>
    </format>
    <format dxfId="24">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TableStyleInfo name="PivotStyleMedium3" showRowHeaders="1" showColHeaders="1" showRowStripes="0" showColStripes="0" showLastColumn="1"/>
  <filters count="1">
    <filter fld="1" type="dateBetween" evalOrder="-1" id="52" name="dteday">
      <autoFilter ref="A1">
        <filterColumn colId="0">
          <customFilters and="1">
            <customFilter operator="greaterThanOrEqual" val="40544"/>
            <customFilter operator="lessThanOrEqual" val="4057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308D391-4531-472D-B455-51D49A33997F}"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95:AA101" firstHeaderRow="1" firstDataRow="2" firstDataCol="1"/>
  <pivotFields count="27">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Col"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5">
        <item x="0"/>
        <item x="3"/>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23"/>
  </rowFields>
  <rowItems count="5">
    <i>
      <x/>
    </i>
    <i>
      <x v="1"/>
    </i>
    <i>
      <x v="2"/>
    </i>
    <i>
      <x v="3"/>
    </i>
    <i t="grand">
      <x/>
    </i>
  </rowItems>
  <colFields count="1">
    <field x="5"/>
  </colFields>
  <colItems count="25">
    <i>
      <x/>
    </i>
    <i>
      <x v="1"/>
    </i>
    <i>
      <x v="2"/>
    </i>
    <i>
      <x v="3"/>
    </i>
    <i>
      <x v="4"/>
    </i>
    <i>
      <x v="5"/>
    </i>
    <i>
      <x v="6"/>
    </i>
    <i>
      <x v="7"/>
    </i>
    <i>
      <x v="8"/>
    </i>
    <i>
      <x v="9"/>
    </i>
    <i>
      <x v="10"/>
    </i>
    <i>
      <x v="11"/>
    </i>
    <i>
      <x v="12"/>
    </i>
    <i>
      <x v="13"/>
    </i>
    <i>
      <x v="14"/>
    </i>
    <i>
      <x v="15"/>
    </i>
    <i>
      <x v="16"/>
    </i>
    <i>
      <x v="17"/>
    </i>
    <i>
      <x v="18"/>
    </i>
    <i>
      <x v="19"/>
    </i>
    <i>
      <x v="20"/>
    </i>
    <i>
      <x v="21"/>
    </i>
    <i>
      <x v="22"/>
    </i>
    <i>
      <x v="23"/>
    </i>
    <i t="grand">
      <x/>
    </i>
  </colItems>
  <dataFields count="1">
    <dataField name="Sum of cnt" fld="15" baseField="0" baseItem="0"/>
  </dataFields>
  <formats count="10">
    <format dxfId="38">
      <pivotArea type="all" dataOnly="0" outline="0" fieldPosition="0"/>
    </format>
    <format dxfId="37">
      <pivotArea outline="0" collapsedLevelsAreSubtotals="1" fieldPosition="0"/>
    </format>
    <format dxfId="36">
      <pivotArea type="origin" dataOnly="0" labelOnly="1" outline="0" fieldPosition="0"/>
    </format>
    <format dxfId="35">
      <pivotArea field="5" type="button" dataOnly="0" labelOnly="1" outline="0" axis="axisCol" fieldPosition="0"/>
    </format>
    <format dxfId="34">
      <pivotArea type="topRight" dataOnly="0" labelOnly="1" outline="0" fieldPosition="0"/>
    </format>
    <format dxfId="33">
      <pivotArea field="23" type="button" dataOnly="0" labelOnly="1" outline="0" axis="axisRow" fieldPosition="0"/>
    </format>
    <format dxfId="32">
      <pivotArea dataOnly="0" labelOnly="1" fieldPosition="0">
        <references count="1">
          <reference field="23" count="0"/>
        </references>
      </pivotArea>
    </format>
    <format dxfId="31">
      <pivotArea dataOnly="0" labelOnly="1" grandRow="1" outline="0" fieldPosition="0"/>
    </format>
    <format dxfId="30">
      <pivotArea dataOnly="0" labelOnly="1" fieldPosition="0">
        <references count="1">
          <reference field="5" count="0"/>
        </references>
      </pivotArea>
    </format>
    <format dxfId="29">
      <pivotArea dataOnly="0" labelOnly="1" grandCol="1" outline="0" fieldPosition="0"/>
    </format>
  </formats>
  <pivotTableStyleInfo name="PivotStyleMedium10" showRowHeaders="1" showColHeaders="1" showRowStripes="0" showColStripes="0" showLastColumn="1"/>
  <filters count="1">
    <filter fld="1" type="dateBetween" evalOrder="-1" id="42" name="dteday">
      <autoFilter ref="A1">
        <filterColumn colId="0">
          <customFilters and="1">
            <customFilter operator="greaterThanOrEqual" val="40544"/>
            <customFilter operator="lessThanOrEqual" val="4057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00F8E7-2106-4B82-853A-F565EBDBA22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B72:C77" firstHeaderRow="1" firstDataRow="1" firstDataCol="1"/>
  <pivotFields count="27">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Row" showAll="0">
      <items count="5">
        <item x="1"/>
        <item x="0"/>
        <item x="3"/>
        <item x="2"/>
        <item t="default"/>
      </items>
    </pivotField>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20"/>
  </rowFields>
  <rowItems count="5">
    <i>
      <x/>
    </i>
    <i>
      <x v="1"/>
    </i>
    <i>
      <x v="2"/>
    </i>
    <i>
      <x v="3"/>
    </i>
    <i t="grand">
      <x/>
    </i>
  </rowItems>
  <colItems count="1">
    <i/>
  </colItems>
  <dataFields count="1">
    <dataField name="Sum of cnt" fld="15" baseField="0" baseItem="0"/>
  </dataFields>
  <formats count="12">
    <format dxfId="50">
      <pivotArea type="all" dataOnly="0" outline="0" fieldPosition="0"/>
    </format>
    <format dxfId="49">
      <pivotArea outline="0" collapsedLevelsAreSubtotals="1" fieldPosition="0"/>
    </format>
    <format dxfId="48">
      <pivotArea field="20" type="button" dataOnly="0" labelOnly="1" outline="0" axis="axisRow" fieldPosition="0"/>
    </format>
    <format dxfId="47">
      <pivotArea dataOnly="0" labelOnly="1" fieldPosition="0">
        <references count="1">
          <reference field="20" count="0"/>
        </references>
      </pivotArea>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20" type="button" dataOnly="0" labelOnly="1" outline="0" axis="axisRow" fieldPosition="0"/>
    </format>
    <format dxfId="41">
      <pivotArea dataOnly="0" labelOnly="1" fieldPosition="0">
        <references count="1">
          <reference field="20" count="0"/>
        </references>
      </pivotArea>
    </format>
    <format dxfId="40">
      <pivotArea dataOnly="0" labelOnly="1" grandRow="1" outline="0" fieldPosition="0"/>
    </format>
    <format dxfId="39">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dateBetween" evalOrder="-1" id="42" name="dteday">
      <autoFilter ref="A1">
        <filterColumn colId="0">
          <customFilters and="1">
            <customFilter operator="greaterThanOrEqual" val="40544"/>
            <customFilter operator="lessThanOrEqual" val="4057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17BCE-2DB0-4F14-905F-42BAE027115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B65:C66" firstHeaderRow="0" firstDataRow="1" firstDataCol="0"/>
  <pivotFields count="27">
    <pivotField showAll="0"/>
    <pivotField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Items count="1">
    <i/>
  </rowItems>
  <colFields count="1">
    <field x="-2"/>
  </colFields>
  <colItems count="2">
    <i>
      <x/>
    </i>
    <i i="1">
      <x v="1"/>
    </i>
  </colItems>
  <dataFields count="2">
    <dataField name="Sum of registered" fld="14" baseField="0" baseItem="0"/>
    <dataField name="Sum of casual" fld="13" baseField="0" baseItem="0"/>
  </dataFields>
  <formats count="3">
    <format dxfId="53">
      <pivotArea type="all" dataOnly="0" outline="0" fieldPosition="0"/>
    </format>
    <format dxfId="52">
      <pivotArea outline="0" collapsedLevelsAreSubtotals="1" fieldPosition="0"/>
    </format>
    <format dxfId="51">
      <pivotArea dataOnly="0" labelOnly="1" outline="0" fieldPosition="0">
        <references count="1">
          <reference field="4294967294" count="2">
            <x v="0"/>
            <x v="1"/>
          </reference>
        </references>
      </pivotArea>
    </format>
  </format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Medium10" showRowHeaders="1" showColHeaders="1" showRowStripes="0" showColStripes="0" showLastColumn="1"/>
  <filters count="1">
    <filter fld="1" type="dateBetween" evalOrder="-1" id="42" name="dteday">
      <autoFilter ref="A1">
        <filterColumn colId="0">
          <customFilters and="1">
            <customFilter operator="greaterThanOrEqual" val="40544"/>
            <customFilter operator="lessThanOrEqual" val="4057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952CD33-3DDF-451C-AC43-FB082AC974DC}"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113:C145" firstHeaderRow="1" firstDataRow="1" firstDataCol="1"/>
  <pivotFields count="27">
    <pivotField showAll="0"/>
    <pivotField axis="axisRow" numFmtId="16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Sum of cnt" fld="15" baseField="0" baseItem="0"/>
  </dataFields>
  <formats count="6">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0"/>
        </references>
      </pivotArea>
    </format>
    <format dxfId="55">
      <pivotArea dataOnly="0" labelOnly="1" grandRow="1" outline="0" fieldPosition="0"/>
    </format>
    <format dxfId="54">
      <pivotArea dataOnly="0" labelOnly="1" outline="0" axis="axisValues" fieldPosition="0"/>
    </format>
  </formats>
  <pivotTableStyleInfo name="PivotStyleMedium10" showRowHeaders="1" showColHeaders="1" showRowStripes="0" showColStripes="0" showLastColumn="1"/>
  <filters count="1">
    <filter fld="1" type="dateBetween" evalOrder="-1" id="42" name="dteday">
      <autoFilter ref="A1">
        <filterColumn colId="0">
          <customFilters and="1">
            <customFilter operator="greaterThanOrEqual" val="40544"/>
            <customFilter operator="lessThanOrEqual" val="40574"/>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540D3F80-ABD5-452A-91F7-139765054846}" autoFormatId="16" applyNumberFormats="0" applyBorderFormats="0" applyFontFormats="0" applyPatternFormats="0" applyAlignmentFormats="0" applyWidthHeightFormats="0">
  <queryTableRefresh nextId="18">
    <queryTableFields count="17">
      <queryTableField id="1" name="instant" tableColumnId="1"/>
      <queryTableField id="2" name="atemp" tableColumnId="2"/>
      <queryTableField id="3" name="hum" tableColumnId="3"/>
      <queryTableField id="4" name="windspeed" tableColumnId="4"/>
      <queryTableField id="5" name="casual" tableColumnId="5"/>
      <queryTableField id="6" name="registered" tableColumnId="6"/>
      <queryTableField id="7" name="cnt" tableColumnId="7"/>
      <queryTableField id="8" name="dteday" tableColumnId="8"/>
      <queryTableField id="9" name="season" tableColumnId="9"/>
      <queryTableField id="10" name="yr" tableColumnId="10"/>
      <queryTableField id="11" name="mnth" tableColumnId="11"/>
      <queryTableField id="12" name="hr" tableColumnId="12"/>
      <queryTableField id="13" name="holiday" tableColumnId="13"/>
      <queryTableField id="14" name="weekday" tableColumnId="14"/>
      <queryTableField id="15" name="weathersit" tableColumnId="15"/>
      <queryTableField id="16" name="temp" tableColumnId="16"/>
      <queryTableField id="17" name="atemp_clean"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category" xr10:uid="{D816A9FB-4749-4A20-8986-C4865790FB88}" sourceName="weather_category">
  <pivotTables>
    <pivotTable tabId="8" name="PivotTable8"/>
  </pivotTables>
  <data>
    <tabular pivotCacheId="1186086499">
      <items count="4">
        <i x="0" s="1"/>
        <i x="3"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 xr10:uid="{82420B3D-A73A-4411-B80B-0F2DAF63FEBB}" sourceName="day_type">
  <pivotTables>
    <pivotTable tabId="8" name="PivotTable2"/>
  </pivotTables>
  <data>
    <tabular pivotCacheId="1186086499">
      <items count="4">
        <i x="1" s="1"/>
        <i x="0"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_category" xr10:uid="{C794A493-1217-4419-90D4-3852EAC83FA1}" cache="Slicer_weather_category" caption="weather_category" rowHeight="234950"/>
  <slicer name="day_type" xr10:uid="{EA9374BA-0CA5-4D20-8655-A94265BFDADB}" cache="Slicer_day_type" caption="day_type" rowHeight="23495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BB4E362-A2AA-4218-96A3-4EE2F81DB641}" name="Table5" displayName="Table5" ref="A1:E60" totalsRowShown="0">
  <autoFilter ref="A1:E60" xr:uid="{5BB4E362-A2AA-4218-96A3-4EE2F81DB641}"/>
  <tableColumns count="5">
    <tableColumn id="1" xr3:uid="{0A572B94-8895-46E9-80E7-BAD4B79C3831}" name="Date" dataDxfId="17"/>
    <tableColumn id="2" xr3:uid="{A5521095-DBCF-4214-A1C9-6C9E9133CD2A}" name="Daily Rentals"/>
    <tableColumn id="3" xr3:uid="{27AE2C2B-24C8-49AA-B13B-A32090629EEE}" name="Forecast(Daily Rentals)">
      <calculatedColumnFormula>_xlfn.FORECAST.ETS(A2,$B$2:$B$46,$A$2:$A$46,1,1)</calculatedColumnFormula>
    </tableColumn>
    <tableColumn id="4" xr3:uid="{106F4606-CAC1-4404-886F-850D6015609C}" name="Lower Confidence Bound(Daily Rentals)" dataDxfId="16">
      <calculatedColumnFormula>C2-_xlfn.FORECAST.ETS.CONFINT(A2,$B$2:$B$46,$A$2:$A$46,0.95,1,1)</calculatedColumnFormula>
    </tableColumn>
    <tableColumn id="5" xr3:uid="{8665E526-2D69-4B1F-9987-48D9B81E94BF}" name="Upper Confidence Bound(Daily Rentals)" dataDxfId="15">
      <calculatedColumnFormula>C2+_xlfn.FORECAST.ETS.CONFINT(A2,$B$2:$B$46,$A$2:$A$46,0.95,1,1)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ataset1" displayName="tbl_Dataset1" ref="A1:J611">
  <autoFilter ref="A1:J611" xr:uid="{00000000-0009-0000-0100-000001000000}"/>
  <tableColumns count="10">
    <tableColumn id="1" xr3:uid="{00000000-0010-0000-0000-000001000000}" name="instant"/>
    <tableColumn id="2" xr3:uid="{00000000-0010-0000-0000-000002000000}" name="dteday"/>
    <tableColumn id="3" xr3:uid="{00000000-0010-0000-0000-000003000000}" name="season"/>
    <tableColumn id="4" xr3:uid="{00000000-0010-0000-0000-000004000000}" name="yr"/>
    <tableColumn id="5" xr3:uid="{00000000-0010-0000-0000-000005000000}" name="mnth"/>
    <tableColumn id="6" xr3:uid="{00000000-0010-0000-0000-000006000000}" name="hr"/>
    <tableColumn id="7" xr3:uid="{00000000-0010-0000-0000-000007000000}" name="holiday"/>
    <tableColumn id="8" xr3:uid="{00000000-0010-0000-0000-000008000000}" name="weekday"/>
    <tableColumn id="9" xr3:uid="{00000000-0010-0000-0000-000009000000}" name="weathersit"/>
    <tableColumn id="10" xr3:uid="{00000000-0010-0000-0000-00000A000000}" name="temp"/>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Dataset2" displayName="tbl_Dataset2" ref="A1:H611">
  <autoFilter ref="A1:H611" xr:uid="{00000000-0009-0000-0100-000002000000}"/>
  <tableColumns count="8">
    <tableColumn id="1" xr3:uid="{00000000-0010-0000-0100-000001000000}" name="Unnamed: 0"/>
    <tableColumn id="2" xr3:uid="{00000000-0010-0000-0100-000002000000}" name="instant"/>
    <tableColumn id="3" xr3:uid="{00000000-0010-0000-0100-000003000000}" name="atemp"/>
    <tableColumn id="4" xr3:uid="{00000000-0010-0000-0100-000004000000}" name="hum"/>
    <tableColumn id="5" xr3:uid="{00000000-0010-0000-0100-000005000000}" name="windspeed"/>
    <tableColumn id="6" xr3:uid="{00000000-0010-0000-0100-000006000000}" name="casual"/>
    <tableColumn id="7" xr3:uid="{00000000-0010-0000-0100-000007000000}" name="registered"/>
    <tableColumn id="8" xr3:uid="{00000000-0010-0000-0100-000008000000}" name="c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Dataset3" displayName="tbl_Dataset3" ref="A1:P391">
  <autoFilter ref="A1:P391" xr:uid="{00000000-0009-0000-0100-000003000000}"/>
  <tableColumns count="16">
    <tableColumn id="1" xr3:uid="{00000000-0010-0000-0200-000001000000}" name="instant"/>
    <tableColumn id="2" xr3:uid="{00000000-0010-0000-0200-000002000000}" name="dteday"/>
    <tableColumn id="3" xr3:uid="{00000000-0010-0000-0200-000003000000}" name="season"/>
    <tableColumn id="4" xr3:uid="{00000000-0010-0000-0200-000004000000}" name="yr"/>
    <tableColumn id="5" xr3:uid="{00000000-0010-0000-0200-000005000000}" name="mnth"/>
    <tableColumn id="6" xr3:uid="{00000000-0010-0000-0200-000006000000}" name="hr"/>
    <tableColumn id="7" xr3:uid="{00000000-0010-0000-0200-000007000000}" name="holiday"/>
    <tableColumn id="8" xr3:uid="{00000000-0010-0000-0200-000008000000}" name="weekday"/>
    <tableColumn id="9" xr3:uid="{00000000-0010-0000-0200-000009000000}" name="weathersit"/>
    <tableColumn id="10" xr3:uid="{00000000-0010-0000-0200-00000A000000}" name="temp"/>
    <tableColumn id="11" xr3:uid="{00000000-0010-0000-0200-00000B000000}" name="atemp"/>
    <tableColumn id="12" xr3:uid="{00000000-0010-0000-0200-00000C000000}" name="hum"/>
    <tableColumn id="13" xr3:uid="{00000000-0010-0000-0200-00000D000000}" name="windspeed"/>
    <tableColumn id="14" xr3:uid="{00000000-0010-0000-0200-00000E000000}" name="casual"/>
    <tableColumn id="15" xr3:uid="{00000000-0010-0000-0200-00000F000000}" name="registered"/>
    <tableColumn id="16" xr3:uid="{00000000-0010-0000-0200-000010000000}" name="c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sterData" displayName="MasterData" ref="A1:X1001">
  <autoFilter ref="A1:X1001" xr:uid="{00000000-0009-0000-0100-000004000000}"/>
  <tableColumns count="24">
    <tableColumn id="1" xr3:uid="{00000000-0010-0000-0300-000001000000}" name="instant"/>
    <tableColumn id="2" xr3:uid="{00000000-0010-0000-0300-000002000000}" name="dteday"/>
    <tableColumn id="3" xr3:uid="{00000000-0010-0000-0300-000003000000}" name="season"/>
    <tableColumn id="4" xr3:uid="{00000000-0010-0000-0300-000004000000}" name="yr"/>
    <tableColumn id="5" xr3:uid="{00000000-0010-0000-0300-000005000000}" name="mnth"/>
    <tableColumn id="6" xr3:uid="{00000000-0010-0000-0300-000006000000}" name="hr"/>
    <tableColumn id="7" xr3:uid="{00000000-0010-0000-0300-000007000000}" name="holiday"/>
    <tableColumn id="8" xr3:uid="{00000000-0010-0000-0300-000008000000}" name="weekday"/>
    <tableColumn id="9" xr3:uid="{00000000-0010-0000-0300-000009000000}" name="weathersit"/>
    <tableColumn id="10" xr3:uid="{00000000-0010-0000-0300-00000A000000}" name="temp"/>
    <tableColumn id="11" xr3:uid="{00000000-0010-0000-0300-00000B000000}" name="atemp"/>
    <tableColumn id="12" xr3:uid="{00000000-0010-0000-0300-00000C000000}" name="hum"/>
    <tableColumn id="13" xr3:uid="{00000000-0010-0000-0300-00000D000000}" name="windspeed"/>
    <tableColumn id="14" xr3:uid="{00000000-0010-0000-0300-00000E000000}" name="casual"/>
    <tableColumn id="15" xr3:uid="{00000000-0010-0000-0300-00000F000000}" name="registered"/>
    <tableColumn id="16" xr3:uid="{00000000-0010-0000-0300-000010000000}" name="cnt"/>
    <tableColumn id="17" xr3:uid="{9AC48FD1-9D60-493D-9C67-96D0D5E18A5C}" name="Data_quality_status" dataDxfId="7">
      <calculatedColumnFormula>IF(K2="","Missing atemp","Complete")</calculatedColumnFormula>
    </tableColumn>
    <tableColumn id="18" xr3:uid="{B532E76C-35B9-4A03-87C3-35078D44050E}" name="atemp_clean">
      <calculatedColumnFormula>IF(K2="",J2,K2)</calculatedColumnFormula>
    </tableColumn>
    <tableColumn id="19" xr3:uid="{69C28735-A142-49DC-9EB7-6D26BDDCF585}" name="year_label" dataDxfId="6">
      <calculatedColumnFormula>IF(D2=0,2011,"")</calculatedColumnFormula>
    </tableColumn>
    <tableColumn id="20" xr3:uid="{48D8AEE8-E85B-4918-8517-B03873A1A23A}" name="month_name" dataDxfId="5">
      <calculatedColumnFormula>IF(E2=1,"January","")</calculatedColumnFormula>
    </tableColumn>
    <tableColumn id="21" xr3:uid="{5C32CA0E-97CC-4179-B8CD-37CC783A3A49}" name="day_type" dataDxfId="4">
      <calculatedColumnFormula>IF(G2=TRUE,"Holiday",IF(H2=0,"Sunday",IF(H2=6,"Saturday","Weekday")))</calculatedColumnFormula>
    </tableColumn>
    <tableColumn id="22" xr3:uid="{1ADA7A9C-3E65-49DF-A30B-A0AF4B2D7ECB}" name="hour_category" dataDxfId="3">
      <calculatedColumnFormula>IF(F2&lt;6,"Night",IF(F2&lt;12,"Morning",IF(F2&lt;18,"Afternoon","Evening")))</calculatedColumnFormula>
    </tableColumn>
    <tableColumn id="23" xr3:uid="{9DBD1E70-48D5-4C3F-9D4C-6BDB55907824}" name="season_name" dataDxfId="2">
      <calculatedColumnFormula>IF(C2=1,"Spring","")</calculatedColumnFormula>
    </tableColumn>
    <tableColumn id="24" xr3:uid="{6A241B20-34F9-4883-8454-42C5B0A47F70}" name="weather_category" dataDxfId="1">
      <calculatedColumnFormula>IF(I2=1,"Clear",IF(I2=2,"Mist/Cloudy",IF(I2=3,"Light Rain/Snow",IF(I2=4,"Heavy Rain/Snow","Unknown"))))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CE3253-803E-418E-8E60-15A9A40DD185}" name="qry_Master_Data" displayName="qry_Master_Data" ref="A1:Q1001" tableType="queryTable" totalsRowShown="0">
  <autoFilter ref="A1:Q1001" xr:uid="{8CCE3253-803E-418E-8E60-15A9A40DD185}"/>
  <sortState xmlns:xlrd2="http://schemas.microsoft.com/office/spreadsheetml/2017/richdata2" ref="A2:Q1001">
    <sortCondition ref="A1:A1001"/>
  </sortState>
  <tableColumns count="17">
    <tableColumn id="1" xr3:uid="{E19A62DE-86D8-4CB1-BDC2-A28E69F705AA}" uniqueName="1" name="instant" queryTableFieldId="1"/>
    <tableColumn id="2" xr3:uid="{E57A5826-071E-47BD-AFE1-0AD434EBAE0E}" uniqueName="2" name="atemp" queryTableFieldId="2"/>
    <tableColumn id="3" xr3:uid="{0DDE60D9-1E64-42D6-B60C-16868A4A11A0}" uniqueName="3" name="hum" queryTableFieldId="3"/>
    <tableColumn id="4" xr3:uid="{ECCC32F7-4EC3-4DA3-B958-779EB38B1E98}" uniqueName="4" name="windspeed" queryTableFieldId="4"/>
    <tableColumn id="5" xr3:uid="{EC8E5D75-C2C8-4894-9D3E-66687BE772EB}" uniqueName="5" name="casual" queryTableFieldId="5"/>
    <tableColumn id="6" xr3:uid="{B2C64B4D-E0E8-44A8-BFFB-BB816F51652A}" uniqueName="6" name="registered" queryTableFieldId="6"/>
    <tableColumn id="7" xr3:uid="{542C8D1C-3E36-4C77-BD30-649737CBB800}" uniqueName="7" name="cnt" queryTableFieldId="7"/>
    <tableColumn id="8" xr3:uid="{59C2DFA7-2469-42A8-9E65-44D85D80EA71}" uniqueName="8" name="dteday" queryTableFieldId="8" dataDxfId="0"/>
    <tableColumn id="9" xr3:uid="{0B199144-79E5-4630-A7FB-379D7645DC10}" uniqueName="9" name="season" queryTableFieldId="9"/>
    <tableColumn id="10" xr3:uid="{BED0BA5F-C8EA-4FA2-BB67-9E7CAF227581}" uniqueName="10" name="yr" queryTableFieldId="10"/>
    <tableColumn id="11" xr3:uid="{3DDCA06F-2FA6-4377-8320-26A9FF3108F3}" uniqueName="11" name="mnth" queryTableFieldId="11"/>
    <tableColumn id="12" xr3:uid="{B9D13637-7BE7-478E-BECB-48258BB0F3F1}" uniqueName="12" name="hr" queryTableFieldId="12"/>
    <tableColumn id="13" xr3:uid="{368D5493-C962-4E5C-948F-874DB8F9042C}" uniqueName="13" name="holiday" queryTableFieldId="13"/>
    <tableColumn id="14" xr3:uid="{A9634796-3CAC-4036-9C86-5F69A45803D6}" uniqueName="14" name="weekday" queryTableFieldId="14"/>
    <tableColumn id="15" xr3:uid="{F8FFA611-9BE0-4BF0-85CD-69CE8991343C}" uniqueName="15" name="weathersit" queryTableFieldId="15"/>
    <tableColumn id="16" xr3:uid="{FC0AE546-29C6-46AC-88C6-39C243227496}" uniqueName="16" name="temp" queryTableFieldId="16"/>
    <tableColumn id="17" xr3:uid="{EA6F4D4A-419C-4DDE-BC57-01144BC46EB2}" uniqueName="17" name="atemp_clean" queryTableFieldId="1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teday" xr10:uid="{63F608BF-D748-4FCD-B8BE-F2F78014CC7B}" sourceName="dteday">
  <pivotTables>
    <pivotTable tabId="8" name="PivotTable7"/>
    <pivotTable tabId="8" name="PivotTable1"/>
    <pivotTable tabId="8" name="PivotTable2"/>
    <pivotTable tabId="8" name="PivotTable3"/>
    <pivotTable tabId="8" name="PivotTable4"/>
    <pivotTable tabId="8" name="PivotTable8"/>
  </pivotTables>
  <state minimalRefreshVersion="6" lastRefreshVersion="6" pivotCacheId="1186086499" filterType="dateBetween">
    <selection startDate="2011-01-01T00:00:00" endDate="2011-01-31T00:00:00"/>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xr10:uid="{31CA1349-C680-482D-AAEB-775155E54B00}" cache="NativeTimeline_dteday" caption="dteday" level="2" selectionLevel="2" scrollPosition="2011-01-01T00:00:00"/>
</timeline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11/relationships/timeline" Target="../timelines/timelin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C4CEC-D7B1-4C98-8900-DBDA79E67627}">
  <sheetPr codeName="Sheet17"/>
  <dimension ref="A1:B25"/>
  <sheetViews>
    <sheetView workbookViewId="0">
      <selection activeCell="A10" sqref="A10"/>
    </sheetView>
  </sheetViews>
  <sheetFormatPr defaultRowHeight="14.4"/>
  <cols>
    <col min="1" max="1" width="55.88671875" customWidth="1"/>
    <col min="2" max="2" width="14.21875" customWidth="1"/>
  </cols>
  <sheetData>
    <row r="1" spans="1:2">
      <c r="A1" t="s">
        <v>193</v>
      </c>
    </row>
    <row r="3" spans="1:2">
      <c r="A3" t="s">
        <v>155</v>
      </c>
      <c r="B3" s="27">
        <v>58304</v>
      </c>
    </row>
    <row r="4" spans="1:2">
      <c r="A4" t="s">
        <v>156</v>
      </c>
      <c r="B4" s="27">
        <v>58.304000000000002</v>
      </c>
    </row>
    <row r="5" spans="1:2">
      <c r="A5" t="s">
        <v>183</v>
      </c>
      <c r="B5" s="27" t="s">
        <v>184</v>
      </c>
    </row>
    <row r="6" spans="1:2">
      <c r="A6" t="s">
        <v>187</v>
      </c>
      <c r="B6" s="27">
        <v>3</v>
      </c>
    </row>
    <row r="7" spans="1:2">
      <c r="A7" t="s">
        <v>192</v>
      </c>
      <c r="B7" s="27">
        <v>2</v>
      </c>
    </row>
    <row r="8" spans="1:2">
      <c r="A8" t="s">
        <v>188</v>
      </c>
      <c r="B8" s="27"/>
    </row>
    <row r="9" spans="1:2">
      <c r="A9" t="s">
        <v>189</v>
      </c>
      <c r="B9" s="27"/>
    </row>
    <row r="10" spans="1:2">
      <c r="A10" t="s">
        <v>190</v>
      </c>
      <c r="B10" s="27"/>
    </row>
    <row r="11" spans="1:2">
      <c r="A11" t="s">
        <v>191</v>
      </c>
      <c r="B11" s="28"/>
    </row>
    <row r="14" spans="1:2">
      <c r="A14" s="25"/>
    </row>
    <row r="15" spans="1:2" ht="217.8" customHeight="1">
      <c r="A15" s="25" t="s">
        <v>194</v>
      </c>
    </row>
    <row r="17" spans="1:1">
      <c r="A17" t="s">
        <v>195</v>
      </c>
    </row>
    <row r="18" spans="1:1" ht="302.39999999999998">
      <c r="A18" s="30" t="s">
        <v>196</v>
      </c>
    </row>
    <row r="19" spans="1:1">
      <c r="A19" s="25"/>
    </row>
    <row r="20" spans="1:1">
      <c r="A20" s="25"/>
    </row>
    <row r="21" spans="1:1">
      <c r="A21" s="25"/>
    </row>
    <row r="22" spans="1:1">
      <c r="A22" s="25"/>
    </row>
    <row r="23" spans="1:1">
      <c r="A23" s="29"/>
    </row>
    <row r="24" spans="1:1">
      <c r="A24" s="25"/>
    </row>
    <row r="25" spans="1:1">
      <c r="A25" s="2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F7B63-9C81-4740-9981-04E5B450F799}">
  <sheetPr codeName="Sheet16"/>
  <dimension ref="A1:B9"/>
  <sheetViews>
    <sheetView workbookViewId="0">
      <selection activeCell="D2" sqref="D2"/>
    </sheetView>
  </sheetViews>
  <sheetFormatPr defaultRowHeight="14.4"/>
  <cols>
    <col min="1" max="1" width="26.77734375" bestFit="1" customWidth="1"/>
    <col min="2" max="2" width="11.77734375" bestFit="1" customWidth="1"/>
  </cols>
  <sheetData>
    <row r="1" spans="1:2">
      <c r="A1" t="s">
        <v>182</v>
      </c>
    </row>
    <row r="3" spans="1:2">
      <c r="A3" t="s">
        <v>155</v>
      </c>
      <c r="B3">
        <v>58304</v>
      </c>
    </row>
    <row r="4" spans="1:2">
      <c r="A4" t="s">
        <v>156</v>
      </c>
      <c r="B4">
        <v>58.304000000000002</v>
      </c>
    </row>
    <row r="6" spans="1:2">
      <c r="A6" t="s">
        <v>183</v>
      </c>
      <c r="B6" t="s">
        <v>184</v>
      </c>
    </row>
    <row r="8" spans="1:2">
      <c r="A8" t="s">
        <v>187</v>
      </c>
      <c r="B8">
        <v>3</v>
      </c>
    </row>
    <row r="9" spans="1:2">
      <c r="A9" t="s">
        <v>169</v>
      </c>
      <c r="B9">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RunFullWorkflow">
                <anchor moveWithCells="1" sizeWithCells="1">
                  <from>
                    <xdr:col>0</xdr:col>
                    <xdr:colOff>335280</xdr:colOff>
                    <xdr:row>21</xdr:row>
                    <xdr:rowOff>30480</xdr:rowOff>
                  </from>
                  <to>
                    <xdr:col>1</xdr:col>
                    <xdr:colOff>678180</xdr:colOff>
                    <xdr:row>25</xdr:row>
                    <xdr:rowOff>91440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B93"/>
  <sheetViews>
    <sheetView zoomScale="19" workbookViewId="0">
      <selection activeCell="E24" sqref="E24"/>
    </sheetView>
  </sheetViews>
  <sheetFormatPr defaultRowHeight="14.4"/>
  <cols>
    <col min="1" max="1" width="70" customWidth="1"/>
  </cols>
  <sheetData>
    <row r="1" spans="1:2">
      <c r="A1" s="5" t="s">
        <v>153</v>
      </c>
      <c r="B1" s="17" t="s">
        <v>154</v>
      </c>
    </row>
    <row r="2" spans="1:2">
      <c r="A2" s="15" t="s">
        <v>155</v>
      </c>
      <c r="B2" s="18">
        <f>Analysis!C2</f>
        <v>58304</v>
      </c>
    </row>
    <row r="3" spans="1:2">
      <c r="A3" s="15" t="s">
        <v>156</v>
      </c>
      <c r="B3" s="17">
        <f>Analysis!C3</f>
        <v>58.304000000000002</v>
      </c>
    </row>
    <row r="4" spans="1:2">
      <c r="A4" s="15" t="s">
        <v>157</v>
      </c>
      <c r="B4" s="18">
        <f>Analysis!C5</f>
        <v>1000</v>
      </c>
    </row>
    <row r="5" spans="1:2">
      <c r="A5" s="15" t="s">
        <v>158</v>
      </c>
      <c r="B5" s="17">
        <v>50.985999999999997</v>
      </c>
    </row>
    <row r="12" spans="1:2">
      <c r="A12" t="s">
        <v>159</v>
      </c>
    </row>
    <row r="31" s="13" customFormat="1"/>
    <row r="33" spans="1:1">
      <c r="A33" t="s">
        <v>160</v>
      </c>
    </row>
    <row r="52" spans="1:1" s="13" customFormat="1"/>
    <row r="54" spans="1:1">
      <c r="A54" t="s">
        <v>143</v>
      </c>
    </row>
    <row r="72" spans="1:1" s="13" customFormat="1"/>
    <row r="74" spans="1:1">
      <c r="A74" t="s">
        <v>161</v>
      </c>
    </row>
    <row r="93" s="13" customFormat="1"/>
  </sheetData>
  <pageMargins left="0.75" right="0.75" top="1" bottom="1" header="0.5" footer="0.5"/>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AA161"/>
  <sheetViews>
    <sheetView tabSelected="1" zoomScale="65" zoomScaleNormal="96" workbookViewId="0">
      <selection activeCell="K66" sqref="K66"/>
    </sheetView>
  </sheetViews>
  <sheetFormatPr defaultRowHeight="14.4"/>
  <cols>
    <col min="1" max="1" width="24.5546875" customWidth="1"/>
    <col min="2" max="2" width="17.5546875" bestFit="1" customWidth="1"/>
    <col min="3" max="3" width="17.44140625" customWidth="1"/>
    <col min="4" max="4" width="20.77734375" customWidth="1"/>
    <col min="5" max="5" width="18.109375" customWidth="1"/>
    <col min="6" max="6" width="14.33203125" customWidth="1"/>
    <col min="7" max="7" width="17.109375" customWidth="1"/>
    <col min="8" max="8" width="13.109375" customWidth="1"/>
    <col min="9" max="9" width="13.6640625" customWidth="1"/>
    <col min="10" max="10" width="15.44140625" customWidth="1"/>
    <col min="11" max="11" width="13.44140625" customWidth="1"/>
    <col min="12" max="12" width="15" customWidth="1"/>
    <col min="13" max="13" width="12.44140625" customWidth="1"/>
    <col min="14" max="14" width="13.5546875" customWidth="1"/>
    <col min="15" max="15" width="13.109375" customWidth="1"/>
    <col min="16" max="16" width="14.109375" customWidth="1"/>
    <col min="17" max="17" width="17.21875" customWidth="1"/>
    <col min="18" max="24" width="5.21875" bestFit="1" customWidth="1"/>
    <col min="25" max="26" width="4.21875" bestFit="1" customWidth="1"/>
    <col min="27" max="27" width="11" bestFit="1" customWidth="1"/>
    <col min="28" max="28" width="14.88671875" bestFit="1" customWidth="1"/>
    <col min="29" max="29" width="11.44140625" bestFit="1" customWidth="1"/>
    <col min="30" max="30" width="6.6640625" bestFit="1" customWidth="1"/>
    <col min="31" max="31" width="5.21875" bestFit="1" customWidth="1"/>
    <col min="32" max="32" width="14.88671875" bestFit="1" customWidth="1"/>
    <col min="33" max="33" width="11.44140625" bestFit="1" customWidth="1"/>
    <col min="34" max="34" width="6.6640625" bestFit="1" customWidth="1"/>
    <col min="35" max="35" width="5.21875" bestFit="1" customWidth="1"/>
    <col min="36" max="36" width="14.88671875" bestFit="1" customWidth="1"/>
    <col min="37" max="37" width="11.44140625" bestFit="1" customWidth="1"/>
    <col min="38" max="38" width="6.6640625" bestFit="1" customWidth="1"/>
    <col min="39" max="39" width="5.21875" bestFit="1" customWidth="1"/>
    <col min="40" max="40" width="14.88671875" bestFit="1" customWidth="1"/>
    <col min="41" max="41" width="11.44140625" bestFit="1" customWidth="1"/>
    <col min="42" max="42" width="6.6640625" bestFit="1" customWidth="1"/>
    <col min="43" max="43" width="5.21875" bestFit="1" customWidth="1"/>
    <col min="44" max="44" width="14.88671875" bestFit="1" customWidth="1"/>
    <col min="45" max="45" width="11.44140625" bestFit="1" customWidth="1"/>
    <col min="46" max="46" width="7.6640625" bestFit="1" customWidth="1"/>
    <col min="47" max="47" width="5.21875" bestFit="1" customWidth="1"/>
    <col min="48" max="48" width="14.88671875" bestFit="1" customWidth="1"/>
    <col min="49" max="49" width="11.44140625" bestFit="1" customWidth="1"/>
    <col min="50" max="50" width="7.6640625" bestFit="1" customWidth="1"/>
    <col min="51" max="51" width="5.21875" bestFit="1" customWidth="1"/>
    <col min="52" max="52" width="14.88671875" bestFit="1" customWidth="1"/>
    <col min="53" max="53" width="11.44140625" bestFit="1" customWidth="1"/>
    <col min="54" max="54" width="7.6640625" bestFit="1" customWidth="1"/>
    <col min="55" max="55" width="5.21875" bestFit="1" customWidth="1"/>
    <col min="56" max="56" width="14.88671875" bestFit="1" customWidth="1"/>
    <col min="57" max="57" width="11.44140625" bestFit="1" customWidth="1"/>
    <col min="58" max="58" width="7.6640625" bestFit="1" customWidth="1"/>
    <col min="59" max="59" width="5.21875" bestFit="1" customWidth="1"/>
    <col min="60" max="60" width="14.88671875" bestFit="1" customWidth="1"/>
    <col min="61" max="61" width="11.44140625" bestFit="1" customWidth="1"/>
    <col min="62" max="62" width="7.6640625" bestFit="1" customWidth="1"/>
    <col min="63" max="63" width="5.21875" bestFit="1" customWidth="1"/>
    <col min="64" max="64" width="14.88671875" bestFit="1" customWidth="1"/>
    <col min="65" max="65" width="11.44140625" bestFit="1" customWidth="1"/>
    <col min="66" max="66" width="7.6640625" bestFit="1" customWidth="1"/>
    <col min="67" max="67" width="5.21875" bestFit="1" customWidth="1"/>
    <col min="68" max="68" width="16" bestFit="1" customWidth="1"/>
    <col min="69" max="69" width="14.88671875" bestFit="1" customWidth="1"/>
    <col min="70" max="70" width="11.44140625" bestFit="1" customWidth="1"/>
    <col min="71" max="71" width="7.6640625" bestFit="1" customWidth="1"/>
    <col min="72" max="72" width="5.21875" bestFit="1" customWidth="1"/>
    <col min="73" max="73" width="14.88671875" bestFit="1" customWidth="1"/>
    <col min="74" max="74" width="11.44140625" bestFit="1" customWidth="1"/>
    <col min="75" max="75" width="7.6640625" bestFit="1" customWidth="1"/>
    <col min="76" max="76" width="5.21875" bestFit="1" customWidth="1"/>
    <col min="77" max="77" width="14.88671875" bestFit="1" customWidth="1"/>
    <col min="78" max="78" width="11.44140625" bestFit="1" customWidth="1"/>
    <col min="79" max="79" width="7.6640625" bestFit="1" customWidth="1"/>
    <col min="80" max="80" width="5.21875" bestFit="1" customWidth="1"/>
    <col min="81" max="81" width="14.88671875" bestFit="1" customWidth="1"/>
    <col min="82" max="82" width="11.44140625" bestFit="1" customWidth="1"/>
    <col min="83" max="83" width="7.6640625" bestFit="1" customWidth="1"/>
    <col min="84" max="84" width="5.21875" bestFit="1" customWidth="1"/>
    <col min="85" max="85" width="14.88671875" bestFit="1" customWidth="1"/>
    <col min="86" max="86" width="11.44140625" bestFit="1" customWidth="1"/>
    <col min="87" max="87" width="7.6640625" bestFit="1" customWidth="1"/>
    <col min="88" max="88" width="5.21875" bestFit="1" customWidth="1"/>
    <col min="89" max="89" width="14.88671875" bestFit="1" customWidth="1"/>
    <col min="90" max="90" width="11.44140625" bestFit="1" customWidth="1"/>
    <col min="91" max="91" width="7.6640625" bestFit="1" customWidth="1"/>
    <col min="92" max="92" width="5.21875" bestFit="1" customWidth="1"/>
    <col min="93" max="93" width="14.88671875" bestFit="1" customWidth="1"/>
    <col min="94" max="94" width="11.44140625" bestFit="1" customWidth="1"/>
    <col min="95" max="95" width="7.6640625" bestFit="1" customWidth="1"/>
    <col min="96" max="96" width="5.21875" bestFit="1" customWidth="1"/>
    <col min="97" max="97" width="14.88671875" bestFit="1" customWidth="1"/>
    <col min="98" max="98" width="11.44140625" bestFit="1" customWidth="1"/>
    <col min="99" max="99" width="7.6640625" bestFit="1" customWidth="1"/>
    <col min="100" max="100" width="10.77734375" bestFit="1" customWidth="1"/>
  </cols>
  <sheetData>
    <row r="1" spans="1:12" ht="28.8">
      <c r="A1" s="5" t="s">
        <v>75</v>
      </c>
      <c r="B1" s="5" t="s">
        <v>76</v>
      </c>
      <c r="C1" s="5" t="s">
        <v>138</v>
      </c>
    </row>
    <row r="2" spans="1:12">
      <c r="A2" s="6" t="s">
        <v>77</v>
      </c>
      <c r="B2" s="6" t="s">
        <v>78</v>
      </c>
      <c r="C2" s="9">
        <v>58304</v>
      </c>
      <c r="J2" t="s">
        <v>174</v>
      </c>
      <c r="K2" t="s">
        <v>178</v>
      </c>
    </row>
    <row r="3" spans="1:12">
      <c r="A3" s="6" t="s">
        <v>79</v>
      </c>
      <c r="B3" s="6" t="s">
        <v>80</v>
      </c>
      <c r="C3" s="6">
        <v>58.304000000000002</v>
      </c>
      <c r="J3" t="s">
        <v>175</v>
      </c>
      <c r="K3" t="str">
        <f>LEFT("BikeSharing",4)</f>
        <v>Bike</v>
      </c>
    </row>
    <row r="4" spans="1:12">
      <c r="A4" s="6" t="s">
        <v>89</v>
      </c>
      <c r="B4" s="6" t="s">
        <v>139</v>
      </c>
      <c r="C4" s="6">
        <v>50.985557870000001</v>
      </c>
      <c r="J4" t="s">
        <v>176</v>
      </c>
      <c r="K4" t="str">
        <f>RIGHT("BikeSharing",6)</f>
        <v>haring</v>
      </c>
    </row>
    <row r="5" spans="1:12" ht="28.8" customHeight="1">
      <c r="A5" s="6" t="s">
        <v>81</v>
      </c>
      <c r="B5" s="6" t="s">
        <v>82</v>
      </c>
      <c r="C5" s="9">
        <v>1000</v>
      </c>
      <c r="J5" t="s">
        <v>177</v>
      </c>
      <c r="K5">
        <f>LEN("BikeSharing")</f>
        <v>11</v>
      </c>
    </row>
    <row r="6" spans="1:12">
      <c r="A6" s="6" t="s">
        <v>83</v>
      </c>
      <c r="B6" s="6" t="s">
        <v>86</v>
      </c>
      <c r="C6" s="15" t="s">
        <v>140</v>
      </c>
      <c r="J6" s="34" t="s">
        <v>179</v>
      </c>
      <c r="K6" s="34"/>
    </row>
    <row r="7" spans="1:12">
      <c r="A7" s="6" t="s">
        <v>84</v>
      </c>
      <c r="B7" s="6" t="s">
        <v>86</v>
      </c>
      <c r="C7" s="15" t="s">
        <v>140</v>
      </c>
      <c r="J7" t="s">
        <v>180</v>
      </c>
      <c r="K7" s="6">
        <v>100</v>
      </c>
    </row>
    <row r="8" spans="1:12">
      <c r="A8" s="6" t="s">
        <v>85</v>
      </c>
      <c r="B8" s="6" t="s">
        <v>86</v>
      </c>
      <c r="C8" s="15" t="s">
        <v>140</v>
      </c>
      <c r="J8" t="s">
        <v>181</v>
      </c>
      <c r="K8" s="6">
        <f>VLOOKUP(K7,Master_Data!A:P,16,FALSE)</f>
        <v>195</v>
      </c>
    </row>
    <row r="9" spans="1:12">
      <c r="A9" s="6" t="s">
        <v>87</v>
      </c>
      <c r="B9" s="6" t="s">
        <v>88</v>
      </c>
      <c r="C9" s="15" t="s">
        <v>140</v>
      </c>
      <c r="K9" s="8"/>
    </row>
    <row r="10" spans="1:12" ht="78" customHeight="1">
      <c r="A10" s="6" t="s">
        <v>90</v>
      </c>
      <c r="B10" s="6" t="s">
        <v>91</v>
      </c>
      <c r="C10" s="6">
        <v>-0.12644808199999999</v>
      </c>
      <c r="E10" s="36" t="s">
        <v>152</v>
      </c>
      <c r="F10" s="36"/>
      <c r="G10" s="36"/>
      <c r="H10" s="36"/>
      <c r="I10" s="36"/>
      <c r="J10" s="36"/>
      <c r="K10" s="36"/>
      <c r="L10" s="36"/>
    </row>
    <row r="11" spans="1:12">
      <c r="A11" s="6" t="s">
        <v>92</v>
      </c>
      <c r="B11" s="6" t="s">
        <v>93</v>
      </c>
      <c r="C11" s="6" t="s">
        <v>140</v>
      </c>
    </row>
    <row r="12" spans="1:12">
      <c r="J12" t="s">
        <v>197</v>
      </c>
    </row>
    <row r="13" spans="1:12">
      <c r="J13" t="s">
        <v>198</v>
      </c>
      <c r="K13">
        <v>100</v>
      </c>
    </row>
    <row r="14" spans="1:12">
      <c r="A14" s="6"/>
      <c r="B14" s="8"/>
      <c r="J14" t="s">
        <v>199</v>
      </c>
      <c r="K14">
        <f>INDEX(Master_Data!P:P,MATCH(K13,Master_Data!A:A,0))</f>
        <v>195</v>
      </c>
    </row>
    <row r="15" spans="1:12">
      <c r="A15" s="6"/>
      <c r="B15" s="8"/>
    </row>
    <row r="17" spans="2:4" ht="14.4" customHeight="1">
      <c r="B17" s="48" t="s">
        <v>141</v>
      </c>
      <c r="C17" s="49"/>
      <c r="D17" s="49"/>
    </row>
    <row r="18" spans="2:4" ht="14.4" customHeight="1">
      <c r="B18" s="50"/>
      <c r="C18" s="51"/>
      <c r="D18" s="51"/>
    </row>
    <row r="19" spans="2:4">
      <c r="B19" s="10" t="s">
        <v>128</v>
      </c>
      <c r="C19" s="11" t="s">
        <v>130</v>
      </c>
      <c r="D19" s="11" t="s">
        <v>200</v>
      </c>
    </row>
    <row r="20" spans="2:4">
      <c r="B20" s="12">
        <v>0</v>
      </c>
      <c r="C20" s="11">
        <v>438</v>
      </c>
      <c r="D20" s="11">
        <v>4.5549084858569053E-2</v>
      </c>
    </row>
    <row r="21" spans="2:4">
      <c r="B21" s="12">
        <v>1</v>
      </c>
      <c r="C21" s="11">
        <v>295</v>
      </c>
      <c r="D21" s="11">
        <v>3.0585795749092794E-2</v>
      </c>
    </row>
    <row r="22" spans="2:4">
      <c r="B22" s="12">
        <v>2</v>
      </c>
      <c r="C22" s="11">
        <v>197</v>
      </c>
      <c r="D22" s="11">
        <v>2.1657871591908531E-2</v>
      </c>
    </row>
    <row r="23" spans="2:4">
      <c r="B23" s="12">
        <v>3</v>
      </c>
      <c r="C23" s="11">
        <v>94</v>
      </c>
      <c r="D23" s="11">
        <v>1.3080990815474534E-2</v>
      </c>
    </row>
    <row r="24" spans="2:4">
      <c r="B24" s="12">
        <v>4</v>
      </c>
      <c r="C24" s="11">
        <v>44</v>
      </c>
      <c r="D24" s="11">
        <v>6.0807075732448868E-3</v>
      </c>
    </row>
    <row r="25" spans="2:4">
      <c r="B25" s="12">
        <v>5</v>
      </c>
      <c r="C25" s="11">
        <v>106</v>
      </c>
      <c r="D25" s="11">
        <v>1.2319851231985124E-2</v>
      </c>
    </row>
    <row r="26" spans="2:4">
      <c r="B26" s="12">
        <v>6</v>
      </c>
      <c r="C26" s="11">
        <v>515</v>
      </c>
      <c r="D26" s="11">
        <v>5.6463107115447865E-2</v>
      </c>
    </row>
    <row r="27" spans="2:4">
      <c r="B27" s="12">
        <v>7</v>
      </c>
      <c r="C27" s="11">
        <v>1473</v>
      </c>
      <c r="D27" s="11">
        <v>0.15035214861692356</v>
      </c>
    </row>
    <row r="28" spans="2:4">
      <c r="B28" s="12">
        <v>8</v>
      </c>
      <c r="C28" s="11">
        <v>3549</v>
      </c>
      <c r="D28" s="11">
        <v>0.36118461225320581</v>
      </c>
    </row>
    <row r="29" spans="2:4">
      <c r="B29" s="12">
        <v>9</v>
      </c>
      <c r="C29" s="11">
        <v>2380</v>
      </c>
      <c r="D29" s="11">
        <v>0.24150177574835108</v>
      </c>
    </row>
    <row r="30" spans="2:4">
      <c r="B30" s="12">
        <v>10</v>
      </c>
      <c r="C30" s="11">
        <v>1489</v>
      </c>
      <c r="D30" s="11">
        <v>0.15064751112909752</v>
      </c>
    </row>
    <row r="31" spans="2:4">
      <c r="B31" s="12">
        <v>11</v>
      </c>
      <c r="C31" s="11">
        <v>1626</v>
      </c>
      <c r="D31" s="11">
        <v>0.16402703520629477</v>
      </c>
    </row>
    <row r="32" spans="2:4">
      <c r="B32" s="12">
        <v>12</v>
      </c>
      <c r="C32" s="11">
        <v>2179</v>
      </c>
      <c r="D32" s="11">
        <v>0.21075539220427508</v>
      </c>
    </row>
    <row r="33" spans="2:4">
      <c r="B33" s="12">
        <v>13</v>
      </c>
      <c r="C33" s="11">
        <v>2218</v>
      </c>
      <c r="D33" s="11">
        <v>0.21390683768926608</v>
      </c>
    </row>
    <row r="34" spans="2:4">
      <c r="B34" s="12">
        <v>14</v>
      </c>
      <c r="C34" s="11">
        <v>2134</v>
      </c>
      <c r="D34" s="11">
        <v>0.20521203961919415</v>
      </c>
    </row>
    <row r="35" spans="2:4">
      <c r="B35" s="12">
        <v>15</v>
      </c>
      <c r="C35" s="11">
        <v>2207</v>
      </c>
      <c r="D35" s="11">
        <v>0.21162144021478568</v>
      </c>
    </row>
    <row r="36" spans="2:4">
      <c r="B36" s="12">
        <v>16</v>
      </c>
      <c r="C36" s="11">
        <v>2596</v>
      </c>
      <c r="D36" s="11">
        <v>0.23499592649588125</v>
      </c>
    </row>
    <row r="37" spans="2:4">
      <c r="B37" s="12">
        <v>17</v>
      </c>
      <c r="C37" s="11">
        <v>4028</v>
      </c>
      <c r="D37" s="11">
        <v>0.36360353854486371</v>
      </c>
    </row>
    <row r="38" spans="2:4">
      <c r="B38" s="12">
        <v>18</v>
      </c>
      <c r="C38" s="11">
        <v>3480</v>
      </c>
      <c r="D38" s="11">
        <v>0.3307670373538637</v>
      </c>
    </row>
    <row r="39" spans="2:4">
      <c r="B39" s="12">
        <v>19</v>
      </c>
      <c r="C39" s="11">
        <v>2526</v>
      </c>
      <c r="D39" s="11">
        <v>0.23940858686380437</v>
      </c>
    </row>
    <row r="40" spans="2:4">
      <c r="B40" s="12">
        <v>20</v>
      </c>
      <c r="C40" s="11">
        <v>1757</v>
      </c>
      <c r="D40" s="11">
        <v>0.16605235800018903</v>
      </c>
    </row>
    <row r="41" spans="2:4">
      <c r="B41" s="12">
        <v>21</v>
      </c>
      <c r="C41" s="11">
        <v>1253</v>
      </c>
      <c r="D41" s="11">
        <v>0.11808500612571859</v>
      </c>
    </row>
    <row r="42" spans="2:4">
      <c r="B42" s="12">
        <v>22</v>
      </c>
      <c r="C42" s="11">
        <v>951</v>
      </c>
      <c r="D42" s="11">
        <v>8.9371299689878766E-2</v>
      </c>
    </row>
    <row r="43" spans="2:4">
      <c r="B43" s="12">
        <v>23</v>
      </c>
      <c r="C43" s="11">
        <v>654</v>
      </c>
      <c r="D43" s="11">
        <v>6.1287601911723361E-2</v>
      </c>
    </row>
    <row r="44" spans="2:4">
      <c r="B44" s="12" t="s">
        <v>129</v>
      </c>
      <c r="C44" s="11">
        <v>38189</v>
      </c>
      <c r="D44" s="11">
        <v>0.16112414351773721</v>
      </c>
    </row>
    <row r="49" spans="2:4">
      <c r="B49" s="7"/>
    </row>
    <row r="50" spans="2:4" s="14" customFormat="1"/>
    <row r="52" spans="2:4" ht="14.4" customHeight="1">
      <c r="B52" s="46" t="s">
        <v>142</v>
      </c>
      <c r="C52" s="47"/>
      <c r="D52" s="47"/>
    </row>
    <row r="53" spans="2:4" ht="14.4" customHeight="1">
      <c r="B53" s="43"/>
      <c r="C53" s="44"/>
      <c r="D53" s="44"/>
    </row>
    <row r="54" spans="2:4">
      <c r="B54" s="10" t="s">
        <v>128</v>
      </c>
      <c r="C54" s="11" t="s">
        <v>130</v>
      </c>
    </row>
    <row r="55" spans="2:4">
      <c r="B55" s="19" t="s">
        <v>131</v>
      </c>
      <c r="C55" s="31">
        <v>24086</v>
      </c>
    </row>
    <row r="56" spans="2:4">
      <c r="B56" s="20" t="s">
        <v>135</v>
      </c>
      <c r="C56" s="32">
        <v>36</v>
      </c>
    </row>
    <row r="57" spans="2:4">
      <c r="B57" s="20" t="s">
        <v>132</v>
      </c>
      <c r="C57" s="32">
        <v>1597</v>
      </c>
    </row>
    <row r="58" spans="2:4">
      <c r="B58" s="21" t="s">
        <v>133</v>
      </c>
      <c r="C58" s="32">
        <v>12470</v>
      </c>
    </row>
    <row r="59" spans="2:4">
      <c r="B59" s="12" t="s">
        <v>129</v>
      </c>
      <c r="C59" s="33">
        <v>38189</v>
      </c>
    </row>
    <row r="61" spans="2:4" s="13" customFormat="1"/>
    <row r="63" spans="2:4" ht="14.4" customHeight="1">
      <c r="B63" s="46" t="s">
        <v>143</v>
      </c>
      <c r="C63" s="47"/>
    </row>
    <row r="64" spans="2:4" ht="14.4" customHeight="1">
      <c r="B64" s="43"/>
      <c r="C64" s="44"/>
    </row>
    <row r="65" spans="2:5">
      <c r="B65" s="11" t="s">
        <v>137</v>
      </c>
      <c r="C65" s="11" t="s">
        <v>136</v>
      </c>
    </row>
    <row r="66" spans="2:5">
      <c r="B66" s="11">
        <v>35116</v>
      </c>
      <c r="C66" s="11">
        <v>3073</v>
      </c>
    </row>
    <row r="68" spans="2:5" s="13" customFormat="1"/>
    <row r="70" spans="2:5">
      <c r="B70" s="37" t="s">
        <v>144</v>
      </c>
      <c r="C70" s="37"/>
      <c r="D70" s="11"/>
    </row>
    <row r="71" spans="2:5">
      <c r="B71" s="37"/>
      <c r="C71" s="37"/>
      <c r="D71" s="11"/>
    </row>
    <row r="72" spans="2:5">
      <c r="B72" s="10" t="s">
        <v>128</v>
      </c>
      <c r="C72" s="11" t="s">
        <v>130</v>
      </c>
      <c r="D72" s="11" t="s">
        <v>150</v>
      </c>
      <c r="E72" s="16" t="s">
        <v>151</v>
      </c>
    </row>
    <row r="73" spans="2:5">
      <c r="B73" s="12" t="s">
        <v>201</v>
      </c>
      <c r="C73" s="11">
        <v>4909</v>
      </c>
      <c r="D73" s="11">
        <f>COUNTIF(Master_Data!U2:U1001,"Sunday")</f>
        <v>164</v>
      </c>
      <c r="E73">
        <f>SUMIF(Master_Data!U2:U1001,"Sunday",Master_Data!P2:P1001)</f>
        <v>8121</v>
      </c>
    </row>
    <row r="74" spans="2:5">
      <c r="B74" s="12" t="s">
        <v>202</v>
      </c>
      <c r="C74" s="11">
        <v>5271</v>
      </c>
      <c r="D74" s="11">
        <f>COUNTIF(Master_Data!U2:U1001,"Saturday")</f>
        <v>166</v>
      </c>
      <c r="E74">
        <f>SUMIF(Master_Data!U2:U1001,"Saturday",Master_Data!P2:P1001)</f>
        <v>7748</v>
      </c>
    </row>
    <row r="75" spans="2:5">
      <c r="B75" s="12" t="s">
        <v>134</v>
      </c>
      <c r="C75" s="11">
        <v>1000</v>
      </c>
      <c r="D75" s="11">
        <f>COUNTIF(Master_Data!U2:U1001,"Holiday")</f>
        <v>24</v>
      </c>
      <c r="E75">
        <f>SUMIF(Master_Data!U2:U1001,"Holiday",Master_Data!P2:P1001)</f>
        <v>1000</v>
      </c>
    </row>
    <row r="76" spans="2:5">
      <c r="B76" s="12" t="s">
        <v>203</v>
      </c>
      <c r="C76" s="11">
        <v>27009</v>
      </c>
      <c r="D76" s="11">
        <f>COUNTIF(Master_Data!U2:U1001,"Weekday")</f>
        <v>646</v>
      </c>
      <c r="E76">
        <f>SUMIF(Master_Data!U2:U1001,"Weekday",Master_Data!P2:P1001)</f>
        <v>41435</v>
      </c>
    </row>
    <row r="77" spans="2:5">
      <c r="B77" s="12" t="s">
        <v>129</v>
      </c>
      <c r="C77" s="11">
        <v>38189</v>
      </c>
      <c r="D77" s="11"/>
    </row>
    <row r="79" spans="2:5" s="13" customFormat="1"/>
    <row r="81" spans="2:27">
      <c r="B81" s="38" t="s">
        <v>145</v>
      </c>
      <c r="C81" s="38"/>
      <c r="D81" s="38"/>
      <c r="E81" s="38"/>
      <c r="F81" s="38"/>
      <c r="G81" s="38"/>
    </row>
    <row r="82" spans="2:27">
      <c r="B82" s="38"/>
      <c r="C82" s="38"/>
      <c r="D82" s="38"/>
      <c r="E82" s="38"/>
      <c r="F82" s="38"/>
      <c r="G82" s="38"/>
    </row>
    <row r="83" spans="2:27">
      <c r="B83" s="38"/>
      <c r="C83" s="38"/>
      <c r="D83" s="38"/>
      <c r="E83" s="38"/>
      <c r="F83" s="38"/>
      <c r="G83" s="38"/>
    </row>
    <row r="85" spans="2:27" s="13" customFormat="1"/>
    <row r="87" spans="2:27">
      <c r="B87" s="39" t="s">
        <v>146</v>
      </c>
      <c r="C87" s="39"/>
      <c r="D87" s="39"/>
      <c r="E87" s="39"/>
      <c r="F87" s="39"/>
      <c r="G87" s="39"/>
    </row>
    <row r="88" spans="2:27">
      <c r="B88" s="39"/>
      <c r="C88" s="39"/>
      <c r="D88" s="39"/>
      <c r="E88" s="39"/>
      <c r="F88" s="39"/>
      <c r="G88" s="39"/>
    </row>
    <row r="89" spans="2:27">
      <c r="B89" s="39"/>
      <c r="C89" s="39"/>
      <c r="D89" s="39"/>
      <c r="E89" s="39"/>
      <c r="F89" s="39"/>
      <c r="G89" s="39"/>
    </row>
    <row r="91" spans="2:27" s="13" customFormat="1"/>
    <row r="93" spans="2:27" ht="14.4" customHeight="1">
      <c r="B93" s="40" t="s">
        <v>147</v>
      </c>
      <c r="C93" s="41"/>
      <c r="D93" s="41"/>
      <c r="E93" s="41"/>
      <c r="F93" s="41"/>
      <c r="G93" s="41"/>
      <c r="H93" s="41"/>
      <c r="I93" s="41"/>
      <c r="J93" s="41"/>
      <c r="K93" s="41"/>
      <c r="L93" s="41"/>
      <c r="M93" s="41"/>
      <c r="N93" s="41"/>
      <c r="O93" s="41"/>
      <c r="P93" s="41"/>
      <c r="Q93" s="41"/>
      <c r="R93" s="41"/>
      <c r="S93" s="41"/>
      <c r="T93" s="41"/>
      <c r="U93" s="41"/>
      <c r="V93" s="41"/>
      <c r="W93" s="41"/>
      <c r="X93" s="41"/>
      <c r="Y93" s="41"/>
      <c r="Z93" s="41"/>
      <c r="AA93" s="42"/>
    </row>
    <row r="94" spans="2:27" ht="14.4" customHeight="1">
      <c r="B94" s="43"/>
      <c r="C94" s="44"/>
      <c r="D94" s="44"/>
      <c r="E94" s="44"/>
      <c r="F94" s="44"/>
      <c r="G94" s="44"/>
      <c r="H94" s="44"/>
      <c r="I94" s="44"/>
      <c r="J94" s="44"/>
      <c r="K94" s="44"/>
      <c r="L94" s="44"/>
      <c r="M94" s="44"/>
      <c r="N94" s="44"/>
      <c r="O94" s="44"/>
      <c r="P94" s="44"/>
      <c r="Q94" s="44"/>
      <c r="R94" s="44"/>
      <c r="S94" s="44"/>
      <c r="T94" s="44"/>
      <c r="U94" s="44"/>
      <c r="V94" s="44"/>
      <c r="W94" s="44"/>
      <c r="X94" s="44"/>
      <c r="Y94" s="44"/>
      <c r="Z94" s="44"/>
      <c r="AA94" s="45"/>
    </row>
    <row r="95" spans="2:27">
      <c r="B95" s="10" t="s">
        <v>130</v>
      </c>
      <c r="C95" s="10" t="s">
        <v>148</v>
      </c>
      <c r="D95" s="11"/>
      <c r="E95" s="11"/>
      <c r="F95" s="11"/>
      <c r="G95" s="11"/>
      <c r="H95" s="11"/>
      <c r="I95" s="11"/>
      <c r="J95" s="11"/>
      <c r="K95" s="11"/>
      <c r="L95" s="11"/>
      <c r="M95" s="11"/>
      <c r="N95" s="11"/>
      <c r="O95" s="11"/>
      <c r="P95" s="11"/>
      <c r="Q95" s="11"/>
      <c r="R95" s="11"/>
      <c r="S95" s="11"/>
      <c r="T95" s="11"/>
      <c r="U95" s="11"/>
      <c r="V95" s="11"/>
      <c r="W95" s="11"/>
      <c r="X95" s="11"/>
      <c r="Y95" s="11"/>
      <c r="Z95" s="11"/>
      <c r="AA95" s="11"/>
    </row>
    <row r="96" spans="2:27">
      <c r="B96" s="10" t="s">
        <v>128</v>
      </c>
      <c r="C96" s="11">
        <v>0</v>
      </c>
      <c r="D96" s="11">
        <v>1</v>
      </c>
      <c r="E96" s="11">
        <v>2</v>
      </c>
      <c r="F96" s="11">
        <v>3</v>
      </c>
      <c r="G96" s="11">
        <v>4</v>
      </c>
      <c r="H96" s="11">
        <v>5</v>
      </c>
      <c r="I96" s="11">
        <v>6</v>
      </c>
      <c r="J96" s="11">
        <v>7</v>
      </c>
      <c r="K96" s="11">
        <v>8</v>
      </c>
      <c r="L96" s="11">
        <v>9</v>
      </c>
      <c r="M96" s="11">
        <v>10</v>
      </c>
      <c r="N96" s="11">
        <v>11</v>
      </c>
      <c r="O96" s="11">
        <v>12</v>
      </c>
      <c r="P96" s="11">
        <v>13</v>
      </c>
      <c r="Q96" s="11">
        <v>14</v>
      </c>
      <c r="R96" s="11">
        <v>15</v>
      </c>
      <c r="S96" s="11">
        <v>16</v>
      </c>
      <c r="T96" s="11">
        <v>17</v>
      </c>
      <c r="U96" s="11">
        <v>18</v>
      </c>
      <c r="V96" s="11">
        <v>19</v>
      </c>
      <c r="W96" s="11">
        <v>20</v>
      </c>
      <c r="X96" s="11">
        <v>21</v>
      </c>
      <c r="Y96" s="11">
        <v>22</v>
      </c>
      <c r="Z96" s="11">
        <v>23</v>
      </c>
      <c r="AA96" s="11" t="s">
        <v>129</v>
      </c>
    </row>
    <row r="97" spans="2:27">
      <c r="B97" s="12" t="s">
        <v>131</v>
      </c>
      <c r="C97" s="11">
        <v>289</v>
      </c>
      <c r="D97" s="11">
        <v>175</v>
      </c>
      <c r="E97" s="11">
        <v>120</v>
      </c>
      <c r="F97" s="11">
        <v>62</v>
      </c>
      <c r="G97" s="11">
        <v>24</v>
      </c>
      <c r="H97" s="11">
        <v>67</v>
      </c>
      <c r="I97" s="11">
        <v>349</v>
      </c>
      <c r="J97" s="11">
        <v>1001</v>
      </c>
      <c r="K97" s="11">
        <v>2227</v>
      </c>
      <c r="L97" s="11">
        <v>1242</v>
      </c>
      <c r="M97" s="11">
        <v>733</v>
      </c>
      <c r="N97" s="11">
        <v>834</v>
      </c>
      <c r="O97" s="11">
        <v>1121</v>
      </c>
      <c r="P97" s="11">
        <v>1307</v>
      </c>
      <c r="Q97" s="11">
        <v>1242</v>
      </c>
      <c r="R97" s="11">
        <v>1320</v>
      </c>
      <c r="S97" s="11">
        <v>1664</v>
      </c>
      <c r="T97" s="11">
        <v>3028</v>
      </c>
      <c r="U97" s="11">
        <v>2422</v>
      </c>
      <c r="V97" s="11">
        <v>1912</v>
      </c>
      <c r="W97" s="11">
        <v>1233</v>
      </c>
      <c r="X97" s="11">
        <v>827</v>
      </c>
      <c r="Y97" s="11">
        <v>531</v>
      </c>
      <c r="Z97" s="11">
        <v>356</v>
      </c>
      <c r="AA97" s="11">
        <v>24086</v>
      </c>
    </row>
    <row r="98" spans="2:27">
      <c r="B98" s="12" t="s">
        <v>135</v>
      </c>
      <c r="C98" s="11"/>
      <c r="D98" s="11"/>
      <c r="E98" s="11"/>
      <c r="F98" s="11"/>
      <c r="G98" s="11"/>
      <c r="H98" s="11"/>
      <c r="I98" s="11"/>
      <c r="J98" s="11"/>
      <c r="K98" s="11"/>
      <c r="L98" s="11"/>
      <c r="M98" s="11"/>
      <c r="N98" s="11"/>
      <c r="O98" s="11"/>
      <c r="P98" s="11"/>
      <c r="Q98" s="11"/>
      <c r="R98" s="11"/>
      <c r="S98" s="11">
        <v>36</v>
      </c>
      <c r="T98" s="11"/>
      <c r="U98" s="11"/>
      <c r="V98" s="11"/>
      <c r="W98" s="11"/>
      <c r="X98" s="11"/>
      <c r="Y98" s="11"/>
      <c r="Z98" s="11"/>
      <c r="AA98" s="11">
        <v>36</v>
      </c>
    </row>
    <row r="99" spans="2:27">
      <c r="B99" s="12" t="s">
        <v>132</v>
      </c>
      <c r="C99" s="11"/>
      <c r="D99" s="11">
        <v>7</v>
      </c>
      <c r="E99" s="11">
        <v>15</v>
      </c>
      <c r="F99" s="11">
        <v>8</v>
      </c>
      <c r="G99" s="11">
        <v>3</v>
      </c>
      <c r="H99" s="11">
        <v>6</v>
      </c>
      <c r="I99" s="11">
        <v>10</v>
      </c>
      <c r="J99" s="11">
        <v>30</v>
      </c>
      <c r="K99" s="11">
        <v>95</v>
      </c>
      <c r="L99" s="11">
        <v>179</v>
      </c>
      <c r="M99" s="11">
        <v>77</v>
      </c>
      <c r="N99" s="11">
        <v>71</v>
      </c>
      <c r="O99" s="11">
        <v>77</v>
      </c>
      <c r="P99" s="11">
        <v>78</v>
      </c>
      <c r="Q99" s="11">
        <v>133</v>
      </c>
      <c r="R99" s="11">
        <v>117</v>
      </c>
      <c r="S99" s="11">
        <v>76</v>
      </c>
      <c r="T99" s="11">
        <v>26</v>
      </c>
      <c r="U99" s="11">
        <v>130</v>
      </c>
      <c r="V99" s="11">
        <v>148</v>
      </c>
      <c r="W99" s="11">
        <v>143</v>
      </c>
      <c r="X99" s="11">
        <v>103</v>
      </c>
      <c r="Y99" s="11">
        <v>42</v>
      </c>
      <c r="Z99" s="11">
        <v>23</v>
      </c>
      <c r="AA99" s="11">
        <v>1597</v>
      </c>
    </row>
    <row r="100" spans="2:27">
      <c r="B100" s="12" t="s">
        <v>133</v>
      </c>
      <c r="C100" s="11">
        <v>149</v>
      </c>
      <c r="D100" s="11">
        <v>113</v>
      </c>
      <c r="E100" s="11">
        <v>62</v>
      </c>
      <c r="F100" s="11">
        <v>24</v>
      </c>
      <c r="G100" s="11">
        <v>17</v>
      </c>
      <c r="H100" s="11">
        <v>33</v>
      </c>
      <c r="I100" s="11">
        <v>156</v>
      </c>
      <c r="J100" s="11">
        <v>442</v>
      </c>
      <c r="K100" s="11">
        <v>1227</v>
      </c>
      <c r="L100" s="11">
        <v>959</v>
      </c>
      <c r="M100" s="11">
        <v>679</v>
      </c>
      <c r="N100" s="11">
        <v>721</v>
      </c>
      <c r="O100" s="11">
        <v>981</v>
      </c>
      <c r="P100" s="11">
        <v>833</v>
      </c>
      <c r="Q100" s="11">
        <v>759</v>
      </c>
      <c r="R100" s="11">
        <v>770</v>
      </c>
      <c r="S100" s="11">
        <v>820</v>
      </c>
      <c r="T100" s="11">
        <v>974</v>
      </c>
      <c r="U100" s="11">
        <v>928</v>
      </c>
      <c r="V100" s="11">
        <v>466</v>
      </c>
      <c r="W100" s="11">
        <v>381</v>
      </c>
      <c r="X100" s="11">
        <v>323</v>
      </c>
      <c r="Y100" s="11">
        <v>378</v>
      </c>
      <c r="Z100" s="11">
        <v>275</v>
      </c>
      <c r="AA100" s="11">
        <v>12470</v>
      </c>
    </row>
    <row r="101" spans="2:27">
      <c r="B101" s="12" t="s">
        <v>129</v>
      </c>
      <c r="C101" s="11">
        <v>438</v>
      </c>
      <c r="D101" s="11">
        <v>295</v>
      </c>
      <c r="E101" s="11">
        <v>197</v>
      </c>
      <c r="F101" s="11">
        <v>94</v>
      </c>
      <c r="G101" s="11">
        <v>44</v>
      </c>
      <c r="H101" s="11">
        <v>106</v>
      </c>
      <c r="I101" s="11">
        <v>515</v>
      </c>
      <c r="J101" s="11">
        <v>1473</v>
      </c>
      <c r="K101" s="11">
        <v>3549</v>
      </c>
      <c r="L101" s="11">
        <v>2380</v>
      </c>
      <c r="M101" s="11">
        <v>1489</v>
      </c>
      <c r="N101" s="11">
        <v>1626</v>
      </c>
      <c r="O101" s="11">
        <v>2179</v>
      </c>
      <c r="P101" s="11">
        <v>2218</v>
      </c>
      <c r="Q101" s="11">
        <v>2134</v>
      </c>
      <c r="R101" s="11">
        <v>2207</v>
      </c>
      <c r="S101" s="11">
        <v>2596</v>
      </c>
      <c r="T101" s="11">
        <v>4028</v>
      </c>
      <c r="U101" s="11">
        <v>3480</v>
      </c>
      <c r="V101" s="11">
        <v>2526</v>
      </c>
      <c r="W101" s="11">
        <v>1757</v>
      </c>
      <c r="X101" s="11">
        <v>1253</v>
      </c>
      <c r="Y101" s="11">
        <v>951</v>
      </c>
      <c r="Z101" s="11">
        <v>654</v>
      </c>
      <c r="AA101" s="11">
        <v>38189</v>
      </c>
    </row>
    <row r="103" spans="2:27" ht="14.4" customHeight="1">
      <c r="B103" s="35" t="s">
        <v>149</v>
      </c>
      <c r="C103" s="35"/>
      <c r="D103" s="35"/>
      <c r="E103" s="35"/>
      <c r="F103" s="35"/>
      <c r="G103" s="35"/>
    </row>
    <row r="104" spans="2:27">
      <c r="B104" s="35"/>
      <c r="C104" s="35"/>
      <c r="D104" s="35"/>
      <c r="E104" s="35"/>
      <c r="F104" s="35"/>
      <c r="G104" s="35"/>
    </row>
    <row r="105" spans="2:27">
      <c r="B105" s="35"/>
      <c r="C105" s="35"/>
      <c r="D105" s="35"/>
      <c r="E105" s="35"/>
      <c r="F105" s="35"/>
      <c r="G105" s="35"/>
    </row>
    <row r="107" spans="2:27" s="13" customFormat="1"/>
    <row r="113" spans="2:3">
      <c r="B113" s="10" t="s">
        <v>128</v>
      </c>
      <c r="C113" s="11" t="s">
        <v>130</v>
      </c>
    </row>
    <row r="114" spans="2:3">
      <c r="B114" s="23">
        <v>40544</v>
      </c>
      <c r="C114" s="11">
        <v>985</v>
      </c>
    </row>
    <row r="115" spans="2:3">
      <c r="B115" s="23">
        <v>40545</v>
      </c>
      <c r="C115" s="11">
        <v>801</v>
      </c>
    </row>
    <row r="116" spans="2:3">
      <c r="B116" s="23">
        <v>40546</v>
      </c>
      <c r="C116" s="11">
        <v>1349</v>
      </c>
    </row>
    <row r="117" spans="2:3">
      <c r="B117" s="23">
        <v>40547</v>
      </c>
      <c r="C117" s="11">
        <v>1562</v>
      </c>
    </row>
    <row r="118" spans="2:3">
      <c r="B118" s="23">
        <v>40548</v>
      </c>
      <c r="C118" s="11">
        <v>1600</v>
      </c>
    </row>
    <row r="119" spans="2:3">
      <c r="B119" s="23">
        <v>40549</v>
      </c>
      <c r="C119" s="11">
        <v>1606</v>
      </c>
    </row>
    <row r="120" spans="2:3">
      <c r="B120" s="23">
        <v>40550</v>
      </c>
      <c r="C120" s="11">
        <v>1510</v>
      </c>
    </row>
    <row r="121" spans="2:3">
      <c r="B121" s="23">
        <v>40551</v>
      </c>
      <c r="C121" s="11">
        <v>959</v>
      </c>
    </row>
    <row r="122" spans="2:3">
      <c r="B122" s="23">
        <v>40552</v>
      </c>
      <c r="C122" s="11">
        <v>822</v>
      </c>
    </row>
    <row r="123" spans="2:3">
      <c r="B123" s="23">
        <v>40553</v>
      </c>
      <c r="C123" s="11">
        <v>1321</v>
      </c>
    </row>
    <row r="124" spans="2:3">
      <c r="B124" s="23">
        <v>40554</v>
      </c>
      <c r="C124" s="11">
        <v>1263</v>
      </c>
    </row>
    <row r="125" spans="2:3">
      <c r="B125" s="23">
        <v>40555</v>
      </c>
      <c r="C125" s="11">
        <v>1162</v>
      </c>
    </row>
    <row r="126" spans="2:3">
      <c r="B126" s="23">
        <v>40556</v>
      </c>
      <c r="C126" s="11">
        <v>1406</v>
      </c>
    </row>
    <row r="127" spans="2:3">
      <c r="B127" s="23">
        <v>40557</v>
      </c>
      <c r="C127" s="11">
        <v>1421</v>
      </c>
    </row>
    <row r="128" spans="2:3">
      <c r="B128" s="23">
        <v>40558</v>
      </c>
      <c r="C128" s="11">
        <v>1248</v>
      </c>
    </row>
    <row r="129" spans="2:3">
      <c r="B129" s="23">
        <v>40559</v>
      </c>
      <c r="C129" s="11">
        <v>1204</v>
      </c>
    </row>
    <row r="130" spans="2:3">
      <c r="B130" s="23">
        <v>40560</v>
      </c>
      <c r="C130" s="11">
        <v>1000</v>
      </c>
    </row>
    <row r="131" spans="2:3">
      <c r="B131" s="23">
        <v>40561</v>
      </c>
      <c r="C131" s="11">
        <v>683</v>
      </c>
    </row>
    <row r="132" spans="2:3">
      <c r="B132" s="23">
        <v>40562</v>
      </c>
      <c r="C132" s="11">
        <v>1650</v>
      </c>
    </row>
    <row r="133" spans="2:3">
      <c r="B133" s="23">
        <v>40563</v>
      </c>
      <c r="C133" s="11">
        <v>1927</v>
      </c>
    </row>
    <row r="134" spans="2:3">
      <c r="B134" s="23">
        <v>40564</v>
      </c>
      <c r="C134" s="11">
        <v>1543</v>
      </c>
    </row>
    <row r="135" spans="2:3">
      <c r="B135" s="23">
        <v>40565</v>
      </c>
      <c r="C135" s="11">
        <v>981</v>
      </c>
    </row>
    <row r="136" spans="2:3">
      <c r="B136" s="23">
        <v>40566</v>
      </c>
      <c r="C136" s="11">
        <v>986</v>
      </c>
    </row>
    <row r="137" spans="2:3">
      <c r="B137" s="23">
        <v>40567</v>
      </c>
      <c r="C137" s="11">
        <v>1416</v>
      </c>
    </row>
    <row r="138" spans="2:3">
      <c r="B138" s="23">
        <v>40568</v>
      </c>
      <c r="C138" s="11">
        <v>1985</v>
      </c>
    </row>
    <row r="139" spans="2:3">
      <c r="B139" s="23">
        <v>40569</v>
      </c>
      <c r="C139" s="11">
        <v>506</v>
      </c>
    </row>
    <row r="140" spans="2:3">
      <c r="B140" s="23">
        <v>40570</v>
      </c>
      <c r="C140" s="11">
        <v>431</v>
      </c>
    </row>
    <row r="141" spans="2:3">
      <c r="B141" s="23">
        <v>40571</v>
      </c>
      <c r="C141" s="11">
        <v>1167</v>
      </c>
    </row>
    <row r="142" spans="2:3">
      <c r="B142" s="23">
        <v>40572</v>
      </c>
      <c r="C142" s="11">
        <v>1098</v>
      </c>
    </row>
    <row r="143" spans="2:3">
      <c r="B143" s="23">
        <v>40573</v>
      </c>
      <c r="C143" s="11">
        <v>1096</v>
      </c>
    </row>
    <row r="144" spans="2:3">
      <c r="B144" s="23">
        <v>40574</v>
      </c>
      <c r="C144" s="11">
        <v>1501</v>
      </c>
    </row>
    <row r="145" spans="2:3">
      <c r="B145" s="23" t="s">
        <v>129</v>
      </c>
      <c r="C145" s="11">
        <v>38189</v>
      </c>
    </row>
    <row r="161" s="13" customFormat="1"/>
  </sheetData>
  <mergeCells count="10">
    <mergeCell ref="J6:K6"/>
    <mergeCell ref="B103:G105"/>
    <mergeCell ref="E10:L10"/>
    <mergeCell ref="B70:C71"/>
    <mergeCell ref="B81:G83"/>
    <mergeCell ref="B87:G89"/>
    <mergeCell ref="B93:AA94"/>
    <mergeCell ref="B52:D53"/>
    <mergeCell ref="B63:C64"/>
    <mergeCell ref="B17:D18"/>
  </mergeCells>
  <conditionalFormatting sqref="C96:Z96">
    <cfRule type="colorScale" priority="1">
      <colorScale>
        <cfvo type="min"/>
        <cfvo type="percentile" val="50"/>
        <cfvo type="max"/>
        <color rgb="FF63BE7B"/>
        <color rgb="FFFFEB84"/>
        <color rgb="FFF8696B"/>
      </colorScale>
    </cfRule>
  </conditionalFormatting>
  <pageMargins left="0.75" right="0.75" top="1" bottom="1" header="0.5" footer="0.5"/>
  <pageSetup orientation="portrait" r:id="rId7"/>
  <drawing r:id="rId8"/>
  <extLst>
    <ext xmlns:x15="http://schemas.microsoft.com/office/spreadsheetml/2010/11/main" uri="{7E03D99C-DC04-49d9-9315-930204A7B6E9}">
      <x15:timelineRefs>
        <x15:timelineRef r:id="rId9"/>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ECE05-4E27-4880-B1EA-1F0B556B0818}">
  <sheetPr codeName="Sheet3"/>
  <dimension ref="A1:E60"/>
  <sheetViews>
    <sheetView zoomScale="75" workbookViewId="0">
      <selection activeCell="G30" sqref="G30"/>
    </sheetView>
  </sheetViews>
  <sheetFormatPr defaultRowHeight="14.4"/>
  <cols>
    <col min="1" max="1" width="10.33203125" bestFit="1" customWidth="1"/>
    <col min="2" max="2" width="13.5546875" customWidth="1"/>
    <col min="3" max="3" width="21.88671875" customWidth="1"/>
    <col min="4" max="4" width="36" customWidth="1"/>
    <col min="5" max="5" width="36.109375" customWidth="1"/>
  </cols>
  <sheetData>
    <row r="1" spans="1:5">
      <c r="A1" t="s">
        <v>162</v>
      </c>
      <c r="B1" t="s">
        <v>163</v>
      </c>
      <c r="C1" t="s">
        <v>164</v>
      </c>
      <c r="D1" t="s">
        <v>165</v>
      </c>
      <c r="E1" t="s">
        <v>166</v>
      </c>
    </row>
    <row r="2" spans="1:5">
      <c r="A2" s="26">
        <v>40544</v>
      </c>
      <c r="B2">
        <v>985</v>
      </c>
    </row>
    <row r="3" spans="1:5">
      <c r="A3" s="26">
        <v>40545</v>
      </c>
      <c r="B3">
        <v>801</v>
      </c>
    </row>
    <row r="4" spans="1:5">
      <c r="A4" s="26">
        <v>40546</v>
      </c>
      <c r="B4">
        <v>1349</v>
      </c>
    </row>
    <row r="5" spans="1:5">
      <c r="A5" s="26">
        <v>40547</v>
      </c>
      <c r="B5">
        <v>1562</v>
      </c>
    </row>
    <row r="6" spans="1:5">
      <c r="A6" s="26">
        <v>40548</v>
      </c>
      <c r="B6">
        <v>1600</v>
      </c>
    </row>
    <row r="7" spans="1:5">
      <c r="A7" s="26">
        <v>40549</v>
      </c>
      <c r="B7">
        <v>1606</v>
      </c>
    </row>
    <row r="8" spans="1:5">
      <c r="A8" s="26">
        <v>40550</v>
      </c>
      <c r="B8">
        <v>1510</v>
      </c>
    </row>
    <row r="9" spans="1:5">
      <c r="A9" s="26">
        <v>40551</v>
      </c>
      <c r="B9">
        <v>959</v>
      </c>
    </row>
    <row r="10" spans="1:5">
      <c r="A10" s="26">
        <v>40552</v>
      </c>
      <c r="B10">
        <v>822</v>
      </c>
    </row>
    <row r="11" spans="1:5">
      <c r="A11" s="26">
        <v>40553</v>
      </c>
      <c r="B11">
        <v>1321</v>
      </c>
    </row>
    <row r="12" spans="1:5">
      <c r="A12" s="26">
        <v>40554</v>
      </c>
      <c r="B12">
        <v>1263</v>
      </c>
    </row>
    <row r="13" spans="1:5">
      <c r="A13" s="26">
        <v>40555</v>
      </c>
      <c r="B13">
        <v>1162</v>
      </c>
    </row>
    <row r="14" spans="1:5">
      <c r="A14" s="26">
        <v>40556</v>
      </c>
      <c r="B14">
        <v>1406</v>
      </c>
    </row>
    <row r="15" spans="1:5">
      <c r="A15" s="26">
        <v>40557</v>
      </c>
      <c r="B15">
        <v>1421</v>
      </c>
    </row>
    <row r="16" spans="1:5">
      <c r="A16" s="26">
        <v>40558</v>
      </c>
      <c r="B16">
        <v>1248</v>
      </c>
    </row>
    <row r="17" spans="1:2">
      <c r="A17" s="26">
        <v>40559</v>
      </c>
      <c r="B17">
        <v>1204</v>
      </c>
    </row>
    <row r="18" spans="1:2">
      <c r="A18" s="26">
        <v>40560</v>
      </c>
      <c r="B18">
        <v>1000</v>
      </c>
    </row>
    <row r="19" spans="1:2">
      <c r="A19" s="26">
        <v>40561</v>
      </c>
      <c r="B19">
        <v>683</v>
      </c>
    </row>
    <row r="20" spans="1:2">
      <c r="A20" s="26">
        <v>40562</v>
      </c>
      <c r="B20">
        <v>1650</v>
      </c>
    </row>
    <row r="21" spans="1:2">
      <c r="A21" s="26">
        <v>40563</v>
      </c>
      <c r="B21">
        <v>1927</v>
      </c>
    </row>
    <row r="22" spans="1:2">
      <c r="A22" s="26">
        <v>40564</v>
      </c>
      <c r="B22">
        <v>1543</v>
      </c>
    </row>
    <row r="23" spans="1:2">
      <c r="A23" s="26">
        <v>40565</v>
      </c>
      <c r="B23">
        <v>981</v>
      </c>
    </row>
    <row r="24" spans="1:2">
      <c r="A24" s="26">
        <v>40566</v>
      </c>
      <c r="B24">
        <v>986</v>
      </c>
    </row>
    <row r="25" spans="1:2">
      <c r="A25" s="26">
        <v>40567</v>
      </c>
      <c r="B25">
        <v>1416</v>
      </c>
    </row>
    <row r="26" spans="1:2">
      <c r="A26" s="26">
        <v>40568</v>
      </c>
      <c r="B26">
        <v>1985</v>
      </c>
    </row>
    <row r="27" spans="1:2">
      <c r="A27" s="26">
        <v>40569</v>
      </c>
      <c r="B27">
        <v>506</v>
      </c>
    </row>
    <row r="28" spans="1:2">
      <c r="A28" s="26">
        <v>40570</v>
      </c>
      <c r="B28">
        <v>431</v>
      </c>
    </row>
    <row r="29" spans="1:2">
      <c r="A29" s="26">
        <v>40571</v>
      </c>
      <c r="B29">
        <v>1167</v>
      </c>
    </row>
    <row r="30" spans="1:2">
      <c r="A30" s="26">
        <v>40572</v>
      </c>
      <c r="B30">
        <v>1098</v>
      </c>
    </row>
    <row r="31" spans="1:2">
      <c r="A31" s="26">
        <v>40573</v>
      </c>
      <c r="B31">
        <v>1096</v>
      </c>
    </row>
    <row r="32" spans="1:2">
      <c r="A32" s="26">
        <v>40574</v>
      </c>
      <c r="B32">
        <v>1501</v>
      </c>
    </row>
    <row r="33" spans="1:5">
      <c r="A33" s="26">
        <v>40575</v>
      </c>
      <c r="B33">
        <v>1360</v>
      </c>
    </row>
    <row r="34" spans="1:5">
      <c r="A34" s="26">
        <v>40576</v>
      </c>
      <c r="B34">
        <v>1526</v>
      </c>
    </row>
    <row r="35" spans="1:5">
      <c r="A35" s="26">
        <v>40577</v>
      </c>
      <c r="B35">
        <v>1550</v>
      </c>
    </row>
    <row r="36" spans="1:5">
      <c r="A36" s="26">
        <v>40578</v>
      </c>
      <c r="B36">
        <v>1708</v>
      </c>
    </row>
    <row r="37" spans="1:5">
      <c r="A37" s="26">
        <v>40579</v>
      </c>
      <c r="B37">
        <v>1005</v>
      </c>
    </row>
    <row r="38" spans="1:5">
      <c r="A38" s="26">
        <v>40580</v>
      </c>
      <c r="B38">
        <v>1623</v>
      </c>
    </row>
    <row r="39" spans="1:5">
      <c r="A39" s="26">
        <v>40581</v>
      </c>
      <c r="B39">
        <v>1712</v>
      </c>
    </row>
    <row r="40" spans="1:5">
      <c r="A40" s="26">
        <v>40582</v>
      </c>
      <c r="B40">
        <v>1530</v>
      </c>
    </row>
    <row r="41" spans="1:5">
      <c r="A41" s="26">
        <v>40583</v>
      </c>
      <c r="B41">
        <v>1605</v>
      </c>
    </row>
    <row r="42" spans="1:5">
      <c r="A42" s="26">
        <v>40584</v>
      </c>
      <c r="B42">
        <v>1538</v>
      </c>
    </row>
    <row r="43" spans="1:5">
      <c r="A43" s="26">
        <v>40585</v>
      </c>
      <c r="B43">
        <v>1746</v>
      </c>
    </row>
    <row r="44" spans="1:5">
      <c r="A44" s="26">
        <v>40586</v>
      </c>
      <c r="B44">
        <v>1472</v>
      </c>
    </row>
    <row r="45" spans="1:5">
      <c r="A45" s="26">
        <v>40587</v>
      </c>
      <c r="B45">
        <v>1589</v>
      </c>
    </row>
    <row r="46" spans="1:5">
      <c r="A46" s="26">
        <v>40588</v>
      </c>
      <c r="B46">
        <v>151</v>
      </c>
      <c r="C46">
        <v>151</v>
      </c>
      <c r="D46" s="24">
        <v>151</v>
      </c>
      <c r="E46" s="24">
        <v>151</v>
      </c>
    </row>
    <row r="47" spans="1:5">
      <c r="A47" s="26">
        <v>40589</v>
      </c>
      <c r="C47">
        <f t="shared" ref="C47:C60" si="0">_xlfn.FORECAST.ETS(A47,$B$2:$B$46,$A$2:$A$46,1,1)</f>
        <v>1387.2167441635288</v>
      </c>
      <c r="D47" s="24">
        <f t="shared" ref="D47:D60" si="1">C47-_xlfn.FORECAST.ETS.CONFINT(A47,$B$2:$B$46,$A$2:$A$46,0.95,1,1)</f>
        <v>585.50542669163815</v>
      </c>
      <c r="E47" s="24">
        <f t="shared" ref="E47:E60" si="2">C47+_xlfn.FORECAST.ETS.CONFINT(A47,$B$2:$B$46,$A$2:$A$46,0.95,1,1)</f>
        <v>2188.9280616354195</v>
      </c>
    </row>
    <row r="48" spans="1:5">
      <c r="A48" s="26">
        <v>40590</v>
      </c>
      <c r="C48">
        <f t="shared" si="0"/>
        <v>1392.5597746183603</v>
      </c>
      <c r="D48" s="24">
        <f t="shared" si="1"/>
        <v>586.76970401902065</v>
      </c>
      <c r="E48" s="24">
        <f t="shared" si="2"/>
        <v>2198.3498452177</v>
      </c>
    </row>
    <row r="49" spans="1:5">
      <c r="A49" s="26">
        <v>40591</v>
      </c>
      <c r="C49">
        <f t="shared" si="0"/>
        <v>1397.902805073192</v>
      </c>
      <c r="D49" s="24">
        <f t="shared" si="1"/>
        <v>587.97397139650093</v>
      </c>
      <c r="E49" s="24">
        <f t="shared" si="2"/>
        <v>2207.831638749883</v>
      </c>
    </row>
    <row r="50" spans="1:5">
      <c r="A50" s="26">
        <v>40592</v>
      </c>
      <c r="C50">
        <f t="shared" si="0"/>
        <v>1403.2458355280237</v>
      </c>
      <c r="D50" s="24">
        <f t="shared" si="1"/>
        <v>589.11835455358994</v>
      </c>
      <c r="E50" s="24">
        <f t="shared" si="2"/>
        <v>2217.3733165024573</v>
      </c>
    </row>
    <row r="51" spans="1:5">
      <c r="A51" s="26">
        <v>40593</v>
      </c>
      <c r="C51">
        <f t="shared" si="0"/>
        <v>1408.5888659828554</v>
      </c>
      <c r="D51" s="24">
        <f t="shared" si="1"/>
        <v>590.2029898038752</v>
      </c>
      <c r="E51" s="24">
        <f t="shared" si="2"/>
        <v>2226.9747421618358</v>
      </c>
    </row>
    <row r="52" spans="1:5">
      <c r="A52" s="26">
        <v>40594</v>
      </c>
      <c r="C52">
        <f t="shared" si="0"/>
        <v>1413.9318964376871</v>
      </c>
      <c r="D52" s="24">
        <f t="shared" si="1"/>
        <v>591.22802367584165</v>
      </c>
      <c r="E52" s="24">
        <f t="shared" si="2"/>
        <v>2236.6357691995327</v>
      </c>
    </row>
    <row r="53" spans="1:5">
      <c r="A53" s="26">
        <v>40595</v>
      </c>
      <c r="C53">
        <f t="shared" si="0"/>
        <v>1419.2749268925186</v>
      </c>
      <c r="D53" s="24">
        <f t="shared" si="1"/>
        <v>592.19361254419198</v>
      </c>
      <c r="E53" s="24">
        <f t="shared" si="2"/>
        <v>2246.3562412408451</v>
      </c>
    </row>
    <row r="54" spans="1:5">
      <c r="A54" s="26">
        <v>40596</v>
      </c>
      <c r="C54">
        <f t="shared" si="0"/>
        <v>1424.6179573473503</v>
      </c>
      <c r="D54" s="24">
        <f t="shared" si="1"/>
        <v>593.09992226226586</v>
      </c>
      <c r="E54" s="24">
        <f t="shared" si="2"/>
        <v>2256.1359924324347</v>
      </c>
    </row>
    <row r="55" spans="1:5">
      <c r="A55" s="26">
        <v>40597</v>
      </c>
      <c r="C55">
        <f t="shared" si="0"/>
        <v>1429.960987802182</v>
      </c>
      <c r="D55" s="24">
        <f t="shared" si="1"/>
        <v>593.94712779612632</v>
      </c>
      <c r="E55" s="24">
        <f t="shared" si="2"/>
        <v>2265.9748478082374</v>
      </c>
    </row>
    <row r="56" spans="1:5">
      <c r="A56" s="26">
        <v>40598</v>
      </c>
      <c r="C56">
        <f t="shared" si="0"/>
        <v>1435.3040182570135</v>
      </c>
      <c r="D56" s="24">
        <f t="shared" si="1"/>
        <v>594.73541286086618</v>
      </c>
      <c r="E56" s="24">
        <f t="shared" si="2"/>
        <v>2275.8726236531606</v>
      </c>
    </row>
    <row r="57" spans="1:5">
      <c r="A57" s="26">
        <v>40599</v>
      </c>
      <c r="C57">
        <f t="shared" si="0"/>
        <v>1440.6470487118452</v>
      </c>
      <c r="D57" s="24">
        <f t="shared" si="1"/>
        <v>595.46496955964824</v>
      </c>
      <c r="E57" s="24">
        <f t="shared" si="2"/>
        <v>2285.8291278640422</v>
      </c>
    </row>
    <row r="58" spans="1:5">
      <c r="A58" s="26">
        <v>40600</v>
      </c>
      <c r="C58">
        <f t="shared" si="0"/>
        <v>1445.9900791666769</v>
      </c>
      <c r="D58" s="24">
        <f t="shared" si="1"/>
        <v>596.13599802596889</v>
      </c>
      <c r="E58" s="24">
        <f t="shared" si="2"/>
        <v>2295.8441603073848</v>
      </c>
    </row>
    <row r="59" spans="1:5">
      <c r="A59" s="26">
        <v>40601</v>
      </c>
      <c r="C59">
        <f t="shared" si="0"/>
        <v>1451.3331096215086</v>
      </c>
      <c r="D59" s="24">
        <f t="shared" si="1"/>
        <v>596.74870606960815</v>
      </c>
      <c r="E59" s="24">
        <f t="shared" si="2"/>
        <v>2305.9175131734091</v>
      </c>
    </row>
    <row r="60" spans="1:5">
      <c r="A60" s="26">
        <v>40602</v>
      </c>
      <c r="C60">
        <f t="shared" si="0"/>
        <v>1456.6761400763403</v>
      </c>
      <c r="D60" s="24">
        <f t="shared" si="1"/>
        <v>597.30330882669921</v>
      </c>
      <c r="E60" s="24">
        <f t="shared" si="2"/>
        <v>2316.0489713259813</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FE354-F741-40CC-994E-616BB5E17599}">
  <sheetPr codeName="Sheet4"/>
  <dimension ref="B1:P48"/>
  <sheetViews>
    <sheetView workbookViewId="0">
      <selection activeCell="B7" sqref="B7"/>
    </sheetView>
  </sheetViews>
  <sheetFormatPr defaultRowHeight="14.4"/>
  <cols>
    <col min="2" max="2" width="21.77734375" customWidth="1"/>
  </cols>
  <sheetData>
    <row r="1" spans="2:16">
      <c r="B1" s="5"/>
      <c r="C1" s="5"/>
    </row>
    <row r="2" spans="2:16">
      <c r="B2" s="5"/>
      <c r="C2" s="5"/>
    </row>
    <row r="3" spans="2:16" ht="43.2">
      <c r="B3" s="15" t="s">
        <v>162</v>
      </c>
      <c r="C3" s="15" t="s">
        <v>163</v>
      </c>
      <c r="E3" s="25" t="s">
        <v>167</v>
      </c>
      <c r="F3" s="25" t="s">
        <v>168</v>
      </c>
      <c r="G3" s="25" t="s">
        <v>169</v>
      </c>
      <c r="H3" t="s">
        <v>170</v>
      </c>
      <c r="I3" s="25" t="s">
        <v>171</v>
      </c>
    </row>
    <row r="4" spans="2:16">
      <c r="B4" s="26">
        <v>40544</v>
      </c>
      <c r="C4">
        <v>985</v>
      </c>
      <c r="E4">
        <v>1295.6444444444444</v>
      </c>
      <c r="F4">
        <v>392.64864906957411</v>
      </c>
      <c r="G4">
        <v>2</v>
      </c>
      <c r="H4">
        <v>-0.79115118613180491</v>
      </c>
      <c r="I4" t="s">
        <v>185</v>
      </c>
    </row>
    <row r="5" spans="2:16">
      <c r="B5" s="23">
        <v>40545</v>
      </c>
      <c r="C5" s="11">
        <v>801</v>
      </c>
      <c r="E5">
        <v>1295.6444444444444</v>
      </c>
      <c r="F5">
        <v>392.64864906957411</v>
      </c>
      <c r="G5">
        <v>2</v>
      </c>
      <c r="H5">
        <v>-1.2597635204312074</v>
      </c>
      <c r="I5" t="s">
        <v>185</v>
      </c>
    </row>
    <row r="6" spans="2:16">
      <c r="B6" s="23">
        <v>40546</v>
      </c>
      <c r="C6" s="11">
        <v>1349</v>
      </c>
      <c r="E6">
        <v>1295.6444444444444</v>
      </c>
      <c r="F6">
        <v>392.64864906957411</v>
      </c>
      <c r="G6">
        <v>2</v>
      </c>
      <c r="H6">
        <v>0.1358862578083172</v>
      </c>
      <c r="I6" t="s">
        <v>185</v>
      </c>
    </row>
    <row r="7" spans="2:16">
      <c r="B7" s="23">
        <v>40547</v>
      </c>
      <c r="C7" s="11">
        <v>1562</v>
      </c>
      <c r="E7">
        <v>1295.6444444444444</v>
      </c>
      <c r="F7">
        <v>392.64864906957411</v>
      </c>
      <c r="G7">
        <v>2</v>
      </c>
      <c r="H7">
        <v>0.6783559708831689</v>
      </c>
      <c r="I7" t="s">
        <v>185</v>
      </c>
    </row>
    <row r="8" spans="2:16">
      <c r="B8" s="23">
        <v>40548</v>
      </c>
      <c r="C8" s="11">
        <v>1600</v>
      </c>
      <c r="E8">
        <v>1295.6444444444444</v>
      </c>
      <c r="F8">
        <v>392.64864906957411</v>
      </c>
      <c r="G8">
        <v>2</v>
      </c>
      <c r="H8">
        <v>0.77513460514065413</v>
      </c>
      <c r="I8" t="s">
        <v>185</v>
      </c>
    </row>
    <row r="9" spans="2:16">
      <c r="B9" s="23">
        <v>40549</v>
      </c>
      <c r="C9" s="11">
        <v>1606</v>
      </c>
      <c r="E9">
        <v>1295.6444444444444</v>
      </c>
      <c r="F9">
        <v>392.64864906957411</v>
      </c>
      <c r="G9">
        <v>2</v>
      </c>
      <c r="H9">
        <v>0.7904154421286782</v>
      </c>
      <c r="I9" t="s">
        <v>185</v>
      </c>
      <c r="L9">
        <f>COUNTIF(I4:I48,"Anomaly")</f>
        <v>3</v>
      </c>
    </row>
    <row r="10" spans="2:16" ht="14.4" customHeight="1">
      <c r="B10" s="23">
        <v>40550</v>
      </c>
      <c r="C10" s="11">
        <v>1510</v>
      </c>
      <c r="E10">
        <v>1295.6444444444444</v>
      </c>
      <c r="F10">
        <v>392.64864906957411</v>
      </c>
      <c r="G10">
        <v>2</v>
      </c>
      <c r="H10">
        <v>0.54592205032029428</v>
      </c>
      <c r="I10" t="s">
        <v>185</v>
      </c>
      <c r="L10" s="52" t="s">
        <v>172</v>
      </c>
      <c r="M10" s="52"/>
      <c r="N10" s="52"/>
      <c r="O10" s="52"/>
      <c r="P10" s="52"/>
    </row>
    <row r="11" spans="2:16">
      <c r="B11" s="23">
        <v>40551</v>
      </c>
      <c r="C11" s="11">
        <v>959</v>
      </c>
      <c r="E11">
        <v>1295.6444444444444</v>
      </c>
      <c r="F11">
        <v>392.64864906957411</v>
      </c>
      <c r="G11">
        <v>2</v>
      </c>
      <c r="H11">
        <v>-0.85736814641324222</v>
      </c>
      <c r="I11" t="s">
        <v>185</v>
      </c>
      <c r="L11" s="52"/>
      <c r="M11" s="52"/>
      <c r="N11" s="52"/>
      <c r="O11" s="52"/>
      <c r="P11" s="52"/>
    </row>
    <row r="12" spans="2:16">
      <c r="B12" s="23">
        <v>40552</v>
      </c>
      <c r="C12" s="11">
        <v>822</v>
      </c>
      <c r="E12">
        <v>1295.6444444444444</v>
      </c>
      <c r="F12">
        <v>392.64864906957411</v>
      </c>
      <c r="G12">
        <v>2</v>
      </c>
      <c r="H12">
        <v>-1.2062805909731233</v>
      </c>
      <c r="I12" t="s">
        <v>185</v>
      </c>
      <c r="L12" s="52"/>
      <c r="M12" s="52"/>
      <c r="N12" s="52"/>
      <c r="O12" s="52"/>
      <c r="P12" s="52"/>
    </row>
    <row r="13" spans="2:16">
      <c r="B13" s="23">
        <v>40553</v>
      </c>
      <c r="C13" s="11">
        <v>1321</v>
      </c>
      <c r="E13">
        <v>1295.6444444444444</v>
      </c>
      <c r="F13">
        <v>392.64864906957411</v>
      </c>
      <c r="G13">
        <v>2</v>
      </c>
      <c r="H13">
        <v>6.4575685197538563E-2</v>
      </c>
      <c r="I13" t="s">
        <v>185</v>
      </c>
      <c r="L13" s="52"/>
      <c r="M13" s="52"/>
      <c r="N13" s="52"/>
      <c r="O13" s="52"/>
      <c r="P13" s="52"/>
    </row>
    <row r="14" spans="2:16">
      <c r="B14" s="23">
        <v>40554</v>
      </c>
      <c r="C14" s="11">
        <v>1263</v>
      </c>
      <c r="E14">
        <v>1295.6444444444444</v>
      </c>
      <c r="F14">
        <v>392.64864906957411</v>
      </c>
      <c r="G14">
        <v>2</v>
      </c>
      <c r="H14">
        <v>-8.3139072353360016E-2</v>
      </c>
      <c r="I14" t="s">
        <v>185</v>
      </c>
      <c r="L14" s="52"/>
      <c r="M14" s="52"/>
      <c r="N14" s="52"/>
      <c r="O14" s="52"/>
      <c r="P14" s="52"/>
    </row>
    <row r="15" spans="2:16">
      <c r="B15" s="23">
        <v>40555</v>
      </c>
      <c r="C15" s="11">
        <v>1162</v>
      </c>
      <c r="E15">
        <v>1295.6444444444444</v>
      </c>
      <c r="F15">
        <v>392.64864906957411</v>
      </c>
      <c r="G15">
        <v>2</v>
      </c>
      <c r="H15">
        <v>-0.34036649498509719</v>
      </c>
      <c r="I15" t="s">
        <v>185</v>
      </c>
      <c r="L15" s="52"/>
      <c r="M15" s="52"/>
      <c r="N15" s="52"/>
      <c r="O15" s="52"/>
      <c r="P15" s="52"/>
    </row>
    <row r="16" spans="2:16">
      <c r="B16" s="23">
        <v>40556</v>
      </c>
      <c r="C16" s="11">
        <v>1406</v>
      </c>
      <c r="E16">
        <v>1295.6444444444444</v>
      </c>
      <c r="F16">
        <v>392.64864906957411</v>
      </c>
      <c r="G16">
        <v>2</v>
      </c>
      <c r="H16">
        <v>0.2810542091945451</v>
      </c>
      <c r="I16" t="s">
        <v>185</v>
      </c>
    </row>
    <row r="17" spans="2:13">
      <c r="B17" s="23">
        <v>40557</v>
      </c>
      <c r="C17" s="11">
        <v>1421</v>
      </c>
      <c r="E17">
        <v>1295.6444444444444</v>
      </c>
      <c r="F17">
        <v>392.64864906957411</v>
      </c>
      <c r="G17">
        <v>2</v>
      </c>
      <c r="H17">
        <v>0.31925630166460511</v>
      </c>
      <c r="I17" t="s">
        <v>185</v>
      </c>
    </row>
    <row r="18" spans="2:13">
      <c r="B18" s="23">
        <v>40558</v>
      </c>
      <c r="C18" s="11">
        <v>1248</v>
      </c>
      <c r="E18">
        <v>1295.6444444444444</v>
      </c>
      <c r="F18">
        <v>392.64864906957411</v>
      </c>
      <c r="G18">
        <v>2</v>
      </c>
      <c r="H18">
        <v>-0.12134116482342</v>
      </c>
      <c r="I18" t="s">
        <v>185</v>
      </c>
      <c r="M18" t="s">
        <v>173</v>
      </c>
    </row>
    <row r="19" spans="2:13">
      <c r="B19" s="23">
        <v>40559</v>
      </c>
      <c r="C19" s="11">
        <v>1204</v>
      </c>
      <c r="E19">
        <v>1295.6444444444444</v>
      </c>
      <c r="F19">
        <v>392.64864906957411</v>
      </c>
      <c r="G19">
        <v>2</v>
      </c>
      <c r="H19">
        <v>-0.23340063606892927</v>
      </c>
      <c r="I19" t="s">
        <v>185</v>
      </c>
    </row>
    <row r="20" spans="2:13">
      <c r="B20" s="23">
        <v>40560</v>
      </c>
      <c r="C20" s="11">
        <v>1000</v>
      </c>
      <c r="E20">
        <v>1295.6444444444444</v>
      </c>
      <c r="F20">
        <v>392.64864906957411</v>
      </c>
      <c r="G20">
        <v>2</v>
      </c>
      <c r="H20">
        <v>-0.75294909366174501</v>
      </c>
      <c r="I20" t="s">
        <v>185</v>
      </c>
    </row>
    <row r="21" spans="2:13">
      <c r="B21" s="23">
        <v>40561</v>
      </c>
      <c r="C21" s="11">
        <v>683</v>
      </c>
      <c r="E21">
        <v>1295.6444444444444</v>
      </c>
      <c r="F21">
        <v>392.64864906957411</v>
      </c>
      <c r="G21">
        <v>2</v>
      </c>
      <c r="H21">
        <v>-1.5602866478623458</v>
      </c>
      <c r="I21" t="s">
        <v>185</v>
      </c>
    </row>
    <row r="22" spans="2:13">
      <c r="B22" s="23">
        <v>40562</v>
      </c>
      <c r="C22" s="11">
        <v>1650</v>
      </c>
      <c r="E22">
        <v>1295.6444444444444</v>
      </c>
      <c r="F22">
        <v>392.64864906957411</v>
      </c>
      <c r="G22">
        <v>2</v>
      </c>
      <c r="H22">
        <v>0.90247491337418739</v>
      </c>
      <c r="I22" t="s">
        <v>185</v>
      </c>
    </row>
    <row r="23" spans="2:13">
      <c r="B23" s="23">
        <v>40563</v>
      </c>
      <c r="C23" s="11">
        <v>1927</v>
      </c>
      <c r="E23">
        <v>1295.6444444444444</v>
      </c>
      <c r="F23">
        <v>392.64864906957411</v>
      </c>
      <c r="G23">
        <v>2</v>
      </c>
      <c r="H23">
        <v>1.6079402209879616</v>
      </c>
      <c r="I23" t="s">
        <v>185</v>
      </c>
    </row>
    <row r="24" spans="2:13">
      <c r="B24" s="23">
        <v>40564</v>
      </c>
      <c r="C24" s="11">
        <v>1543</v>
      </c>
      <c r="E24">
        <v>1295.6444444444444</v>
      </c>
      <c r="F24">
        <v>392.64864906957411</v>
      </c>
      <c r="G24">
        <v>2</v>
      </c>
      <c r="H24">
        <v>0.62996665375442629</v>
      </c>
      <c r="I24" t="s">
        <v>185</v>
      </c>
    </row>
    <row r="25" spans="2:13">
      <c r="B25" s="23">
        <v>40565</v>
      </c>
      <c r="C25" s="11">
        <v>981</v>
      </c>
      <c r="E25">
        <v>1295.6444444444444</v>
      </c>
      <c r="F25">
        <v>392.64864906957411</v>
      </c>
      <c r="G25">
        <v>2</v>
      </c>
      <c r="H25">
        <v>-0.80133841079048762</v>
      </c>
      <c r="I25" t="s">
        <v>185</v>
      </c>
    </row>
    <row r="26" spans="2:13">
      <c r="B26" s="23">
        <v>40566</v>
      </c>
      <c r="C26" s="11">
        <v>986</v>
      </c>
      <c r="E26">
        <v>1295.6444444444444</v>
      </c>
      <c r="F26">
        <v>392.64864906957411</v>
      </c>
      <c r="G26">
        <v>2</v>
      </c>
      <c r="H26">
        <v>-0.78860437996713428</v>
      </c>
      <c r="I26" t="s">
        <v>185</v>
      </c>
    </row>
    <row r="27" spans="2:13">
      <c r="B27" s="23">
        <v>40567</v>
      </c>
      <c r="C27" s="11">
        <v>1416</v>
      </c>
      <c r="E27">
        <v>1295.6444444444444</v>
      </c>
      <c r="F27">
        <v>392.64864906957411</v>
      </c>
      <c r="G27">
        <v>2</v>
      </c>
      <c r="H27">
        <v>0.30652227084125178</v>
      </c>
      <c r="I27" t="s">
        <v>185</v>
      </c>
    </row>
    <row r="28" spans="2:13">
      <c r="B28" s="23">
        <v>40568</v>
      </c>
      <c r="C28" s="11">
        <v>1985</v>
      </c>
      <c r="E28">
        <v>1295.6444444444444</v>
      </c>
      <c r="F28">
        <v>392.64864906957411</v>
      </c>
      <c r="G28">
        <v>2</v>
      </c>
      <c r="H28">
        <v>1.7556549785388602</v>
      </c>
      <c r="I28" t="s">
        <v>185</v>
      </c>
    </row>
    <row r="29" spans="2:13">
      <c r="B29" s="23">
        <v>40569</v>
      </c>
      <c r="C29" s="11">
        <v>506</v>
      </c>
      <c r="E29">
        <v>1295.6444444444444</v>
      </c>
      <c r="F29">
        <v>392.64864906957411</v>
      </c>
      <c r="G29">
        <v>2</v>
      </c>
      <c r="H29">
        <v>-2.0110713390090535</v>
      </c>
      <c r="I29" t="s">
        <v>186</v>
      </c>
    </row>
    <row r="30" spans="2:13">
      <c r="B30" s="23">
        <v>40570</v>
      </c>
      <c r="C30" s="11">
        <v>431</v>
      </c>
      <c r="E30">
        <v>1295.6444444444444</v>
      </c>
      <c r="F30">
        <v>392.64864906957411</v>
      </c>
      <c r="G30">
        <v>2</v>
      </c>
      <c r="H30">
        <v>-2.2020818013593537</v>
      </c>
      <c r="I30" t="s">
        <v>186</v>
      </c>
    </row>
    <row r="31" spans="2:13">
      <c r="B31" s="23">
        <v>40571</v>
      </c>
      <c r="C31" s="11">
        <v>1167</v>
      </c>
      <c r="E31">
        <v>1295.6444444444444</v>
      </c>
      <c r="F31">
        <v>392.64864906957411</v>
      </c>
      <c r="G31">
        <v>2</v>
      </c>
      <c r="H31">
        <v>-0.32763246416174391</v>
      </c>
      <c r="I31" t="s">
        <v>185</v>
      </c>
    </row>
    <row r="32" spans="2:13">
      <c r="B32" s="23">
        <v>40572</v>
      </c>
      <c r="C32" s="11">
        <v>1098</v>
      </c>
      <c r="E32">
        <v>1295.6444444444444</v>
      </c>
      <c r="F32">
        <v>392.64864906957411</v>
      </c>
      <c r="G32">
        <v>2</v>
      </c>
      <c r="H32">
        <v>-0.50336208952401984</v>
      </c>
      <c r="I32" t="s">
        <v>185</v>
      </c>
    </row>
    <row r="33" spans="2:9">
      <c r="B33" s="23">
        <v>40573</v>
      </c>
      <c r="C33" s="11">
        <v>1096</v>
      </c>
      <c r="E33">
        <v>1295.6444444444444</v>
      </c>
      <c r="F33">
        <v>392.64864906957411</v>
      </c>
      <c r="G33">
        <v>2</v>
      </c>
      <c r="H33">
        <v>-0.50845570185336109</v>
      </c>
      <c r="I33" t="s">
        <v>185</v>
      </c>
    </row>
    <row r="34" spans="2:9">
      <c r="B34" s="23">
        <v>40574</v>
      </c>
      <c r="C34" s="11">
        <v>1501</v>
      </c>
      <c r="E34">
        <v>1295.6444444444444</v>
      </c>
      <c r="F34">
        <v>392.64864906957411</v>
      </c>
      <c r="G34">
        <v>2</v>
      </c>
      <c r="H34">
        <v>0.52300079483825834</v>
      </c>
      <c r="I34" t="s">
        <v>185</v>
      </c>
    </row>
    <row r="35" spans="2:9">
      <c r="B35" s="23">
        <v>40575</v>
      </c>
      <c r="C35" s="11">
        <v>1360</v>
      </c>
      <c r="E35">
        <v>1295.6444444444444</v>
      </c>
      <c r="F35">
        <v>392.64864906957411</v>
      </c>
      <c r="G35">
        <v>2</v>
      </c>
      <c r="H35">
        <v>0.1639011256196945</v>
      </c>
      <c r="I35" t="s">
        <v>185</v>
      </c>
    </row>
    <row r="36" spans="2:9">
      <c r="B36" s="23">
        <v>40576</v>
      </c>
      <c r="C36" s="11">
        <v>1526</v>
      </c>
      <c r="E36">
        <v>1295.6444444444444</v>
      </c>
      <c r="F36">
        <v>392.64864906957411</v>
      </c>
      <c r="G36">
        <v>2</v>
      </c>
      <c r="H36">
        <v>0.58667094895502492</v>
      </c>
      <c r="I36" t="s">
        <v>185</v>
      </c>
    </row>
    <row r="37" spans="2:9">
      <c r="B37" s="23">
        <v>40577</v>
      </c>
      <c r="C37" s="11">
        <v>1550</v>
      </c>
      <c r="E37">
        <v>1295.6444444444444</v>
      </c>
      <c r="F37">
        <v>392.64864906957411</v>
      </c>
      <c r="G37">
        <v>2</v>
      </c>
      <c r="H37">
        <v>0.64779429690712087</v>
      </c>
      <c r="I37" t="s">
        <v>185</v>
      </c>
    </row>
    <row r="38" spans="2:9">
      <c r="B38" s="23">
        <v>40578</v>
      </c>
      <c r="C38" s="11">
        <v>1708</v>
      </c>
      <c r="E38">
        <v>1295.6444444444444</v>
      </c>
      <c r="F38">
        <v>392.64864906957411</v>
      </c>
      <c r="G38">
        <v>2</v>
      </c>
      <c r="H38">
        <v>1.050189670925086</v>
      </c>
      <c r="I38" t="s">
        <v>185</v>
      </c>
    </row>
    <row r="39" spans="2:9">
      <c r="B39" s="23">
        <v>40579</v>
      </c>
      <c r="C39" s="11">
        <v>1005</v>
      </c>
      <c r="E39">
        <v>1295.6444444444444</v>
      </c>
      <c r="F39">
        <v>392.64864906957411</v>
      </c>
      <c r="G39">
        <v>2</v>
      </c>
      <c r="H39">
        <v>-0.74021506283839167</v>
      </c>
      <c r="I39" t="s">
        <v>185</v>
      </c>
    </row>
    <row r="40" spans="2:9">
      <c r="B40" s="23">
        <v>40580</v>
      </c>
      <c r="C40" s="11">
        <v>1623</v>
      </c>
      <c r="E40">
        <v>1295.6444444444444</v>
      </c>
      <c r="F40">
        <v>392.64864906957411</v>
      </c>
      <c r="G40">
        <v>2</v>
      </c>
      <c r="H40">
        <v>0.83371114692807946</v>
      </c>
      <c r="I40" t="s">
        <v>185</v>
      </c>
    </row>
    <row r="41" spans="2:9">
      <c r="B41" s="23">
        <v>40581</v>
      </c>
      <c r="C41" s="11">
        <v>1712</v>
      </c>
      <c r="E41">
        <v>1295.6444444444444</v>
      </c>
      <c r="F41">
        <v>392.64864906957411</v>
      </c>
      <c r="G41">
        <v>2</v>
      </c>
      <c r="H41">
        <v>1.0603768955837687</v>
      </c>
      <c r="I41" t="s">
        <v>185</v>
      </c>
    </row>
    <row r="42" spans="2:9">
      <c r="B42" s="23">
        <v>40582</v>
      </c>
      <c r="C42" s="11">
        <v>1530</v>
      </c>
      <c r="E42">
        <v>1295.6444444444444</v>
      </c>
      <c r="F42">
        <v>392.64864906957411</v>
      </c>
      <c r="G42">
        <v>2</v>
      </c>
      <c r="H42">
        <v>0.59685817361370763</v>
      </c>
      <c r="I42" t="s">
        <v>185</v>
      </c>
    </row>
    <row r="43" spans="2:9">
      <c r="B43" s="23">
        <v>40583</v>
      </c>
      <c r="C43" s="11">
        <v>1605</v>
      </c>
      <c r="E43">
        <v>1295.6444444444444</v>
      </c>
      <c r="F43">
        <v>392.64864906957411</v>
      </c>
      <c r="G43">
        <v>2</v>
      </c>
      <c r="H43">
        <v>0.78786863596400747</v>
      </c>
      <c r="I43" t="s">
        <v>185</v>
      </c>
    </row>
    <row r="44" spans="2:9">
      <c r="B44" s="23">
        <v>40584</v>
      </c>
      <c r="C44" s="11">
        <v>1538</v>
      </c>
      <c r="E44">
        <v>1295.6444444444444</v>
      </c>
      <c r="F44">
        <v>392.64864906957411</v>
      </c>
      <c r="G44">
        <v>2</v>
      </c>
      <c r="H44">
        <v>0.61723262293107295</v>
      </c>
      <c r="I44" t="s">
        <v>185</v>
      </c>
    </row>
    <row r="45" spans="2:9">
      <c r="B45" s="23">
        <v>40585</v>
      </c>
      <c r="C45" s="11">
        <v>1746</v>
      </c>
      <c r="E45">
        <v>1295.6444444444444</v>
      </c>
      <c r="F45">
        <v>392.64864906957411</v>
      </c>
      <c r="G45">
        <v>2</v>
      </c>
      <c r="H45">
        <v>1.1469683051825712</v>
      </c>
      <c r="I45" t="s">
        <v>185</v>
      </c>
    </row>
    <row r="46" spans="2:9">
      <c r="B46" s="23">
        <v>40586</v>
      </c>
      <c r="C46" s="11">
        <v>1472</v>
      </c>
      <c r="E46">
        <v>1295.6444444444444</v>
      </c>
      <c r="F46">
        <v>392.64864906957411</v>
      </c>
      <c r="G46">
        <v>2</v>
      </c>
      <c r="H46">
        <v>0.449143416062809</v>
      </c>
      <c r="I46" t="s">
        <v>185</v>
      </c>
    </row>
    <row r="47" spans="2:9">
      <c r="B47" s="23">
        <v>40587</v>
      </c>
      <c r="C47" s="11">
        <v>1589</v>
      </c>
      <c r="E47">
        <v>1295.6444444444444</v>
      </c>
      <c r="F47">
        <v>392.64864906957411</v>
      </c>
      <c r="G47">
        <v>2</v>
      </c>
      <c r="H47">
        <v>0.74711973732927683</v>
      </c>
      <c r="I47" t="s">
        <v>185</v>
      </c>
    </row>
    <row r="48" spans="2:9">
      <c r="B48" s="23">
        <v>40588</v>
      </c>
      <c r="C48" s="11">
        <v>151</v>
      </c>
      <c r="E48">
        <v>1295.6444444444444</v>
      </c>
      <c r="F48">
        <v>392.64864906957411</v>
      </c>
      <c r="G48">
        <v>2</v>
      </c>
      <c r="H48">
        <v>-2.9151875274671397</v>
      </c>
      <c r="I48" t="s">
        <v>186</v>
      </c>
    </row>
  </sheetData>
  <mergeCells count="1">
    <mergeCell ref="L10:P15"/>
  </mergeCells>
  <conditionalFormatting sqref="I1:I1048576">
    <cfRule type="containsText" dxfId="14" priority="3" operator="containsText" text="Anamoly">
      <formula>NOT(ISERROR(SEARCH("Anamoly",I1)))</formula>
    </cfRule>
  </conditionalFormatting>
  <conditionalFormatting sqref="I3:I48">
    <cfRule type="containsText" dxfId="13" priority="1" operator="containsText" text="Anomaly">
      <formula>NOT(ISERROR(SEARCH("Anomaly",I3)))</formula>
    </cfRule>
    <cfRule type="containsText" dxfId="12" priority="2" operator="containsText" text="Anamoly">
      <formula>NOT(ISERROR(SEARCH("Anamoly",I3)))</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B21"/>
  <sheetViews>
    <sheetView workbookViewId="0">
      <selection activeCell="H22" sqref="H22"/>
    </sheetView>
  </sheetViews>
  <sheetFormatPr defaultRowHeight="14.4"/>
  <sheetData>
    <row r="1" spans="1:2">
      <c r="A1" t="s">
        <v>0</v>
      </c>
    </row>
    <row r="3" spans="1:2">
      <c r="A3" t="s">
        <v>1</v>
      </c>
      <c r="B3" t="s">
        <v>2</v>
      </c>
    </row>
    <row r="4" spans="1:2">
      <c r="A4" t="s">
        <v>3</v>
      </c>
      <c r="B4" t="s">
        <v>4</v>
      </c>
    </row>
    <row r="6" spans="1:2">
      <c r="A6" t="s">
        <v>5</v>
      </c>
      <c r="B6" t="s">
        <v>6</v>
      </c>
    </row>
    <row r="7" spans="1:2">
      <c r="A7" t="s">
        <v>7</v>
      </c>
      <c r="B7" t="s">
        <v>8</v>
      </c>
    </row>
    <row r="8" spans="1:2">
      <c r="A8" t="s">
        <v>9</v>
      </c>
      <c r="B8" t="s">
        <v>10</v>
      </c>
    </row>
    <row r="9" spans="1:2">
      <c r="A9" t="s">
        <v>11</v>
      </c>
      <c r="B9" t="s">
        <v>12</v>
      </c>
    </row>
    <row r="10" spans="1:2">
      <c r="A10" t="s">
        <v>13</v>
      </c>
      <c r="B10" t="s">
        <v>14</v>
      </c>
    </row>
    <row r="11" spans="1:2">
      <c r="A11" t="s">
        <v>15</v>
      </c>
      <c r="B11" t="s">
        <v>16</v>
      </c>
    </row>
    <row r="13" spans="1:2">
      <c r="A13" t="s">
        <v>17</v>
      </c>
    </row>
    <row r="14" spans="1:2">
      <c r="A14" t="s">
        <v>18</v>
      </c>
      <c r="B14" t="s">
        <v>19</v>
      </c>
    </row>
    <row r="15" spans="1:2">
      <c r="A15" t="s">
        <v>20</v>
      </c>
      <c r="B15" t="s">
        <v>21</v>
      </c>
    </row>
    <row r="16" spans="1:2">
      <c r="A16" t="s">
        <v>22</v>
      </c>
      <c r="B16" t="s">
        <v>23</v>
      </c>
    </row>
    <row r="17" spans="1:2">
      <c r="A17" t="s">
        <v>24</v>
      </c>
      <c r="B17" t="s">
        <v>25</v>
      </c>
    </row>
    <row r="18" spans="1:2">
      <c r="A18" t="s">
        <v>26</v>
      </c>
      <c r="B18" t="s">
        <v>27</v>
      </c>
    </row>
    <row r="19" spans="1:2">
      <c r="A19" t="s">
        <v>28</v>
      </c>
      <c r="B19" t="s">
        <v>29</v>
      </c>
    </row>
    <row r="20" spans="1:2">
      <c r="A20" t="s">
        <v>30</v>
      </c>
      <c r="B20" t="s">
        <v>31</v>
      </c>
    </row>
    <row r="21" spans="1:2">
      <c r="A21" t="s">
        <v>32</v>
      </c>
      <c r="B21" t="s">
        <v>33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J611"/>
  <sheetViews>
    <sheetView workbookViewId="0">
      <pane ySplit="1" topLeftCell="A2" activePane="bottomLeft" state="frozen"/>
      <selection pane="bottomLeft" activeCell="B13" sqref="B13"/>
    </sheetView>
  </sheetViews>
  <sheetFormatPr defaultRowHeight="14.4"/>
  <cols>
    <col min="1" max="1" width="12" customWidth="1"/>
    <col min="2" max="2" width="21" customWidth="1"/>
    <col min="3" max="10" width="12" customWidth="1"/>
  </cols>
  <sheetData>
    <row r="1" spans="1:10">
      <c r="A1" s="1" t="s">
        <v>34</v>
      </c>
      <c r="B1" s="1" t="s">
        <v>35</v>
      </c>
      <c r="C1" s="1" t="s">
        <v>36</v>
      </c>
      <c r="D1" s="1" t="s">
        <v>37</v>
      </c>
      <c r="E1" s="1" t="s">
        <v>38</v>
      </c>
      <c r="F1" s="1" t="s">
        <v>39</v>
      </c>
      <c r="G1" s="1" t="s">
        <v>40</v>
      </c>
      <c r="H1" s="1" t="s">
        <v>41</v>
      </c>
      <c r="I1" s="1" t="s">
        <v>42</v>
      </c>
      <c r="J1" s="1" t="s">
        <v>43</v>
      </c>
    </row>
    <row r="2" spans="1:10">
      <c r="A2">
        <v>1</v>
      </c>
      <c r="B2" s="2">
        <v>40544</v>
      </c>
      <c r="C2">
        <v>1</v>
      </c>
      <c r="D2">
        <v>0</v>
      </c>
      <c r="E2">
        <v>1</v>
      </c>
      <c r="F2">
        <v>0</v>
      </c>
      <c r="G2" t="b">
        <v>0</v>
      </c>
      <c r="H2">
        <v>6</v>
      </c>
      <c r="I2">
        <v>1</v>
      </c>
      <c r="J2">
        <v>0.24</v>
      </c>
    </row>
    <row r="3" spans="1:10">
      <c r="A3">
        <v>2</v>
      </c>
      <c r="B3" s="2">
        <v>40544</v>
      </c>
      <c r="C3">
        <v>1</v>
      </c>
      <c r="D3">
        <v>0</v>
      </c>
      <c r="E3">
        <v>1</v>
      </c>
      <c r="F3">
        <v>1</v>
      </c>
      <c r="G3" t="b">
        <v>0</v>
      </c>
      <c r="H3">
        <v>6</v>
      </c>
      <c r="I3">
        <v>1</v>
      </c>
      <c r="J3">
        <v>0.22</v>
      </c>
    </row>
    <row r="4" spans="1:10">
      <c r="A4">
        <v>3</v>
      </c>
      <c r="B4" s="2">
        <v>40544</v>
      </c>
      <c r="C4">
        <v>1</v>
      </c>
      <c r="D4">
        <v>0</v>
      </c>
      <c r="E4">
        <v>1</v>
      </c>
      <c r="F4">
        <v>2</v>
      </c>
      <c r="G4" t="b">
        <v>0</v>
      </c>
      <c r="H4">
        <v>6</v>
      </c>
      <c r="I4">
        <v>1</v>
      </c>
      <c r="J4">
        <v>0.22</v>
      </c>
    </row>
    <row r="5" spans="1:10">
      <c r="A5">
        <v>4</v>
      </c>
      <c r="B5" s="2">
        <v>40544</v>
      </c>
      <c r="C5">
        <v>1</v>
      </c>
      <c r="D5">
        <v>0</v>
      </c>
      <c r="E5">
        <v>1</v>
      </c>
      <c r="F5">
        <v>3</v>
      </c>
      <c r="G5" t="b">
        <v>0</v>
      </c>
      <c r="H5">
        <v>6</v>
      </c>
      <c r="I5">
        <v>1</v>
      </c>
      <c r="J5">
        <v>0.24</v>
      </c>
    </row>
    <row r="6" spans="1:10">
      <c r="A6">
        <v>5</v>
      </c>
      <c r="B6" s="2">
        <v>40544</v>
      </c>
      <c r="C6">
        <v>1</v>
      </c>
      <c r="D6">
        <v>0</v>
      </c>
      <c r="E6">
        <v>1</v>
      </c>
      <c r="F6">
        <v>4</v>
      </c>
      <c r="G6" t="b">
        <v>0</v>
      </c>
      <c r="H6">
        <v>6</v>
      </c>
      <c r="I6">
        <v>1</v>
      </c>
      <c r="J6">
        <v>0.24</v>
      </c>
    </row>
    <row r="7" spans="1:10">
      <c r="A7">
        <v>6</v>
      </c>
      <c r="B7" s="2">
        <v>40544</v>
      </c>
      <c r="C7">
        <v>1</v>
      </c>
      <c r="D7">
        <v>0</v>
      </c>
      <c r="E7">
        <v>1</v>
      </c>
      <c r="F7">
        <v>5</v>
      </c>
      <c r="G7" t="b">
        <v>0</v>
      </c>
      <c r="H7">
        <v>6</v>
      </c>
      <c r="I7">
        <v>2</v>
      </c>
      <c r="J7">
        <v>0.24</v>
      </c>
    </row>
    <row r="8" spans="1:10">
      <c r="A8">
        <v>7</v>
      </c>
      <c r="B8" s="2">
        <v>40544</v>
      </c>
      <c r="C8">
        <v>1</v>
      </c>
      <c r="D8">
        <v>0</v>
      </c>
      <c r="E8">
        <v>1</v>
      </c>
      <c r="F8">
        <v>6</v>
      </c>
      <c r="G8" t="b">
        <v>0</v>
      </c>
      <c r="H8">
        <v>6</v>
      </c>
      <c r="I8">
        <v>1</v>
      </c>
      <c r="J8">
        <v>0.22</v>
      </c>
    </row>
    <row r="9" spans="1:10">
      <c r="A9">
        <v>8</v>
      </c>
      <c r="B9" s="2">
        <v>40544</v>
      </c>
      <c r="C9">
        <v>1</v>
      </c>
      <c r="D9">
        <v>0</v>
      </c>
      <c r="E9">
        <v>1</v>
      </c>
      <c r="F9">
        <v>7</v>
      </c>
      <c r="G9" t="b">
        <v>0</v>
      </c>
      <c r="H9">
        <v>6</v>
      </c>
      <c r="I9">
        <v>1</v>
      </c>
      <c r="J9">
        <v>0.2</v>
      </c>
    </row>
    <row r="10" spans="1:10">
      <c r="A10">
        <v>9</v>
      </c>
      <c r="B10" s="2">
        <v>40544</v>
      </c>
      <c r="C10">
        <v>1</v>
      </c>
      <c r="D10">
        <v>0</v>
      </c>
      <c r="E10">
        <v>1</v>
      </c>
      <c r="F10">
        <v>8</v>
      </c>
      <c r="G10" t="b">
        <v>0</v>
      </c>
      <c r="H10">
        <v>6</v>
      </c>
      <c r="I10">
        <v>1</v>
      </c>
      <c r="J10">
        <v>0.24</v>
      </c>
    </row>
    <row r="11" spans="1:10">
      <c r="A11">
        <v>10</v>
      </c>
      <c r="B11" s="2">
        <v>40544</v>
      </c>
      <c r="C11">
        <v>1</v>
      </c>
      <c r="D11">
        <v>0</v>
      </c>
      <c r="E11">
        <v>1</v>
      </c>
      <c r="F11">
        <v>9</v>
      </c>
      <c r="G11" t="b">
        <v>0</v>
      </c>
      <c r="H11">
        <v>6</v>
      </c>
      <c r="I11">
        <v>1</v>
      </c>
      <c r="J11">
        <v>0.32</v>
      </c>
    </row>
    <row r="12" spans="1:10">
      <c r="A12">
        <v>11</v>
      </c>
      <c r="B12" s="2">
        <v>40544</v>
      </c>
      <c r="C12">
        <v>1</v>
      </c>
      <c r="D12">
        <v>0</v>
      </c>
      <c r="E12">
        <v>1</v>
      </c>
      <c r="F12">
        <v>10</v>
      </c>
      <c r="G12" t="b">
        <v>0</v>
      </c>
      <c r="H12">
        <v>6</v>
      </c>
      <c r="I12">
        <v>1</v>
      </c>
      <c r="J12">
        <v>0.38</v>
      </c>
    </row>
    <row r="13" spans="1:10">
      <c r="A13">
        <v>12</v>
      </c>
      <c r="B13" s="2">
        <v>40544</v>
      </c>
      <c r="C13">
        <v>1</v>
      </c>
      <c r="D13">
        <v>0</v>
      </c>
      <c r="E13">
        <v>1</v>
      </c>
      <c r="F13">
        <v>11</v>
      </c>
      <c r="G13" t="b">
        <v>0</v>
      </c>
      <c r="H13">
        <v>6</v>
      </c>
      <c r="I13">
        <v>1</v>
      </c>
      <c r="J13">
        <v>0.36</v>
      </c>
    </row>
    <row r="14" spans="1:10">
      <c r="A14">
        <v>13</v>
      </c>
      <c r="B14" s="2">
        <v>40544</v>
      </c>
      <c r="C14">
        <v>1</v>
      </c>
      <c r="D14">
        <v>0</v>
      </c>
      <c r="E14">
        <v>1</v>
      </c>
      <c r="F14">
        <v>12</v>
      </c>
      <c r="G14" t="b">
        <v>0</v>
      </c>
      <c r="H14">
        <v>6</v>
      </c>
      <c r="I14">
        <v>1</v>
      </c>
      <c r="J14">
        <v>0.42</v>
      </c>
    </row>
    <row r="15" spans="1:10">
      <c r="A15">
        <v>14</v>
      </c>
      <c r="B15" s="2">
        <v>40544</v>
      </c>
      <c r="C15">
        <v>1</v>
      </c>
      <c r="D15">
        <v>0</v>
      </c>
      <c r="E15">
        <v>1</v>
      </c>
      <c r="F15">
        <v>13</v>
      </c>
      <c r="G15" t="b">
        <v>0</v>
      </c>
      <c r="H15">
        <v>6</v>
      </c>
      <c r="I15">
        <v>2</v>
      </c>
      <c r="J15">
        <v>0.46</v>
      </c>
    </row>
    <row r="16" spans="1:10">
      <c r="A16">
        <v>15</v>
      </c>
      <c r="B16" s="2">
        <v>40544</v>
      </c>
      <c r="C16">
        <v>1</v>
      </c>
      <c r="D16">
        <v>0</v>
      </c>
      <c r="E16">
        <v>1</v>
      </c>
      <c r="F16">
        <v>14</v>
      </c>
      <c r="G16" t="b">
        <v>0</v>
      </c>
      <c r="H16">
        <v>6</v>
      </c>
      <c r="I16">
        <v>2</v>
      </c>
      <c r="J16">
        <v>0.46</v>
      </c>
    </row>
    <row r="17" spans="1:10">
      <c r="A17">
        <v>16</v>
      </c>
      <c r="B17" s="2">
        <v>40544</v>
      </c>
      <c r="C17">
        <v>1</v>
      </c>
      <c r="D17">
        <v>0</v>
      </c>
      <c r="E17">
        <v>1</v>
      </c>
      <c r="F17">
        <v>15</v>
      </c>
      <c r="G17" t="b">
        <v>0</v>
      </c>
      <c r="H17">
        <v>6</v>
      </c>
      <c r="I17">
        <v>2</v>
      </c>
      <c r="J17">
        <v>0.44</v>
      </c>
    </row>
    <row r="18" spans="1:10">
      <c r="A18">
        <v>17</v>
      </c>
      <c r="B18" s="2">
        <v>40544</v>
      </c>
      <c r="C18">
        <v>1</v>
      </c>
      <c r="D18">
        <v>0</v>
      </c>
      <c r="E18">
        <v>1</v>
      </c>
      <c r="F18">
        <v>16</v>
      </c>
      <c r="G18" t="b">
        <v>0</v>
      </c>
      <c r="H18">
        <v>6</v>
      </c>
      <c r="I18">
        <v>2</v>
      </c>
      <c r="J18">
        <v>0.42</v>
      </c>
    </row>
    <row r="19" spans="1:10">
      <c r="A19">
        <v>18</v>
      </c>
      <c r="B19" s="2">
        <v>40544</v>
      </c>
      <c r="C19">
        <v>1</v>
      </c>
      <c r="D19">
        <v>0</v>
      </c>
      <c r="E19">
        <v>1</v>
      </c>
      <c r="F19">
        <v>17</v>
      </c>
      <c r="G19" t="b">
        <v>0</v>
      </c>
      <c r="H19">
        <v>6</v>
      </c>
      <c r="I19">
        <v>2</v>
      </c>
      <c r="J19">
        <v>0.44</v>
      </c>
    </row>
    <row r="20" spans="1:10">
      <c r="A20">
        <v>19</v>
      </c>
      <c r="B20" s="2">
        <v>40544</v>
      </c>
      <c r="C20">
        <v>1</v>
      </c>
      <c r="D20">
        <v>0</v>
      </c>
      <c r="E20">
        <v>1</v>
      </c>
      <c r="F20">
        <v>18</v>
      </c>
      <c r="G20" t="b">
        <v>0</v>
      </c>
      <c r="H20">
        <v>6</v>
      </c>
      <c r="I20">
        <v>3</v>
      </c>
      <c r="J20">
        <v>0.42</v>
      </c>
    </row>
    <row r="21" spans="1:10">
      <c r="A21">
        <v>20</v>
      </c>
      <c r="B21" s="2">
        <v>40544</v>
      </c>
      <c r="C21">
        <v>1</v>
      </c>
      <c r="D21">
        <v>0</v>
      </c>
      <c r="E21">
        <v>1</v>
      </c>
      <c r="F21">
        <v>19</v>
      </c>
      <c r="G21" t="b">
        <v>0</v>
      </c>
      <c r="H21">
        <v>6</v>
      </c>
      <c r="I21">
        <v>3</v>
      </c>
      <c r="J21">
        <v>0.42</v>
      </c>
    </row>
    <row r="22" spans="1:10">
      <c r="A22">
        <v>21</v>
      </c>
      <c r="B22" s="2">
        <v>40544</v>
      </c>
      <c r="C22">
        <v>1</v>
      </c>
      <c r="D22">
        <v>0</v>
      </c>
      <c r="E22">
        <v>1</v>
      </c>
      <c r="F22">
        <v>20</v>
      </c>
      <c r="G22" t="b">
        <v>0</v>
      </c>
      <c r="H22">
        <v>6</v>
      </c>
      <c r="I22">
        <v>2</v>
      </c>
      <c r="J22">
        <v>0.4</v>
      </c>
    </row>
    <row r="23" spans="1:10">
      <c r="A23">
        <v>22</v>
      </c>
      <c r="B23" s="2">
        <v>40544</v>
      </c>
      <c r="C23">
        <v>1</v>
      </c>
      <c r="D23">
        <v>0</v>
      </c>
      <c r="E23">
        <v>1</v>
      </c>
      <c r="F23">
        <v>21</v>
      </c>
      <c r="G23" t="b">
        <v>0</v>
      </c>
      <c r="H23">
        <v>6</v>
      </c>
      <c r="I23">
        <v>2</v>
      </c>
      <c r="J23">
        <v>0.4</v>
      </c>
    </row>
    <row r="24" spans="1:10">
      <c r="A24">
        <v>23</v>
      </c>
      <c r="B24" s="2">
        <v>40544</v>
      </c>
      <c r="C24">
        <v>1</v>
      </c>
      <c r="D24">
        <v>0</v>
      </c>
      <c r="E24">
        <v>1</v>
      </c>
      <c r="F24">
        <v>22</v>
      </c>
      <c r="G24" t="b">
        <v>0</v>
      </c>
      <c r="H24">
        <v>6</v>
      </c>
      <c r="I24">
        <v>2</v>
      </c>
      <c r="J24">
        <v>0.4</v>
      </c>
    </row>
    <row r="25" spans="1:10">
      <c r="A25">
        <v>24</v>
      </c>
      <c r="B25" s="2">
        <v>40544</v>
      </c>
      <c r="C25">
        <v>1</v>
      </c>
      <c r="D25">
        <v>0</v>
      </c>
      <c r="E25">
        <v>1</v>
      </c>
      <c r="F25">
        <v>23</v>
      </c>
      <c r="G25" t="b">
        <v>0</v>
      </c>
      <c r="H25">
        <v>6</v>
      </c>
      <c r="I25">
        <v>2</v>
      </c>
      <c r="J25">
        <v>0.46</v>
      </c>
    </row>
    <row r="26" spans="1:10">
      <c r="A26">
        <v>25</v>
      </c>
      <c r="B26" s="2">
        <v>40545</v>
      </c>
      <c r="C26">
        <v>1</v>
      </c>
      <c r="D26">
        <v>0</v>
      </c>
      <c r="E26">
        <v>1</v>
      </c>
      <c r="F26">
        <v>0</v>
      </c>
      <c r="G26" t="b">
        <v>0</v>
      </c>
      <c r="H26">
        <v>0</v>
      </c>
      <c r="I26">
        <v>2</v>
      </c>
      <c r="J26">
        <v>0.46</v>
      </c>
    </row>
    <row r="27" spans="1:10">
      <c r="A27">
        <v>26</v>
      </c>
      <c r="B27" s="2">
        <v>40545</v>
      </c>
      <c r="C27">
        <v>1</v>
      </c>
      <c r="D27">
        <v>0</v>
      </c>
      <c r="E27">
        <v>1</v>
      </c>
      <c r="F27">
        <v>1</v>
      </c>
      <c r="G27" t="b">
        <v>0</v>
      </c>
      <c r="H27">
        <v>0</v>
      </c>
      <c r="I27">
        <v>2</v>
      </c>
      <c r="J27">
        <v>0.44</v>
      </c>
    </row>
    <row r="28" spans="1:10">
      <c r="A28">
        <v>27</v>
      </c>
      <c r="B28" s="2">
        <v>40545</v>
      </c>
      <c r="C28">
        <v>1</v>
      </c>
      <c r="D28">
        <v>0</v>
      </c>
      <c r="E28">
        <v>1</v>
      </c>
      <c r="F28">
        <v>2</v>
      </c>
      <c r="G28" t="b">
        <v>0</v>
      </c>
      <c r="H28">
        <v>0</v>
      </c>
      <c r="I28">
        <v>2</v>
      </c>
      <c r="J28">
        <v>0.42</v>
      </c>
    </row>
    <row r="29" spans="1:10">
      <c r="A29">
        <v>28</v>
      </c>
      <c r="B29" s="2">
        <v>40545</v>
      </c>
      <c r="C29">
        <v>1</v>
      </c>
      <c r="D29">
        <v>0</v>
      </c>
      <c r="E29">
        <v>1</v>
      </c>
      <c r="F29">
        <v>3</v>
      </c>
      <c r="G29" t="b">
        <v>0</v>
      </c>
      <c r="H29">
        <v>0</v>
      </c>
      <c r="I29">
        <v>2</v>
      </c>
      <c r="J29">
        <v>0.46</v>
      </c>
    </row>
    <row r="30" spans="1:10">
      <c r="A30">
        <v>29</v>
      </c>
      <c r="B30" s="2">
        <v>40545</v>
      </c>
      <c r="C30">
        <v>1</v>
      </c>
      <c r="D30">
        <v>0</v>
      </c>
      <c r="E30">
        <v>1</v>
      </c>
      <c r="F30">
        <v>4</v>
      </c>
      <c r="G30" t="b">
        <v>0</v>
      </c>
      <c r="H30">
        <v>0</v>
      </c>
      <c r="I30">
        <v>2</v>
      </c>
      <c r="J30">
        <v>0.46</v>
      </c>
    </row>
    <row r="31" spans="1:10">
      <c r="A31">
        <v>30</v>
      </c>
      <c r="B31" s="2">
        <v>40545</v>
      </c>
      <c r="C31">
        <v>1</v>
      </c>
      <c r="D31">
        <v>0</v>
      </c>
      <c r="E31">
        <v>1</v>
      </c>
      <c r="F31">
        <v>6</v>
      </c>
      <c r="G31" t="b">
        <v>0</v>
      </c>
      <c r="H31">
        <v>0</v>
      </c>
      <c r="I31">
        <v>3</v>
      </c>
      <c r="J31">
        <v>0.42</v>
      </c>
    </row>
    <row r="32" spans="1:10">
      <c r="A32">
        <v>31</v>
      </c>
      <c r="B32" s="2">
        <v>40545</v>
      </c>
      <c r="C32">
        <v>1</v>
      </c>
      <c r="D32">
        <v>0</v>
      </c>
      <c r="E32">
        <v>1</v>
      </c>
      <c r="F32">
        <v>7</v>
      </c>
      <c r="G32" t="b">
        <v>0</v>
      </c>
      <c r="H32">
        <v>0</v>
      </c>
      <c r="I32">
        <v>2</v>
      </c>
      <c r="J32">
        <v>0.4</v>
      </c>
    </row>
    <row r="33" spans="1:10">
      <c r="A33">
        <v>32</v>
      </c>
      <c r="B33" s="2">
        <v>40545</v>
      </c>
      <c r="C33">
        <v>1</v>
      </c>
      <c r="D33">
        <v>0</v>
      </c>
      <c r="E33">
        <v>1</v>
      </c>
      <c r="F33">
        <v>8</v>
      </c>
      <c r="G33" t="b">
        <v>0</v>
      </c>
      <c r="H33">
        <v>0</v>
      </c>
      <c r="I33">
        <v>3</v>
      </c>
      <c r="J33">
        <v>0.4</v>
      </c>
    </row>
    <row r="34" spans="1:10">
      <c r="A34">
        <v>33</v>
      </c>
      <c r="B34" s="2">
        <v>40545</v>
      </c>
      <c r="C34">
        <v>1</v>
      </c>
      <c r="D34">
        <v>0</v>
      </c>
      <c r="E34">
        <v>1</v>
      </c>
      <c r="F34">
        <v>9</v>
      </c>
      <c r="G34" t="b">
        <v>0</v>
      </c>
      <c r="H34">
        <v>0</v>
      </c>
      <c r="I34">
        <v>2</v>
      </c>
      <c r="J34">
        <v>0.38</v>
      </c>
    </row>
    <row r="35" spans="1:10">
      <c r="A35">
        <v>34</v>
      </c>
      <c r="B35" s="2">
        <v>40545</v>
      </c>
      <c r="C35">
        <v>1</v>
      </c>
      <c r="D35">
        <v>0</v>
      </c>
      <c r="E35">
        <v>1</v>
      </c>
      <c r="F35">
        <v>10</v>
      </c>
      <c r="G35" t="b">
        <v>0</v>
      </c>
      <c r="H35">
        <v>0</v>
      </c>
      <c r="I35">
        <v>2</v>
      </c>
      <c r="J35">
        <v>0.36</v>
      </c>
    </row>
    <row r="36" spans="1:10">
      <c r="A36">
        <v>35</v>
      </c>
      <c r="B36" s="2">
        <v>40545</v>
      </c>
      <c r="C36">
        <v>1</v>
      </c>
      <c r="D36">
        <v>0</v>
      </c>
      <c r="E36">
        <v>1</v>
      </c>
      <c r="F36">
        <v>11</v>
      </c>
      <c r="G36" t="b">
        <v>0</v>
      </c>
      <c r="H36">
        <v>0</v>
      </c>
      <c r="I36">
        <v>2</v>
      </c>
      <c r="J36">
        <v>0.36</v>
      </c>
    </row>
    <row r="37" spans="1:10">
      <c r="A37">
        <v>36</v>
      </c>
      <c r="B37" s="2">
        <v>40545</v>
      </c>
      <c r="C37">
        <v>1</v>
      </c>
      <c r="D37">
        <v>0</v>
      </c>
      <c r="E37">
        <v>1</v>
      </c>
      <c r="F37">
        <v>12</v>
      </c>
      <c r="G37" t="b">
        <v>0</v>
      </c>
      <c r="H37">
        <v>0</v>
      </c>
      <c r="I37">
        <v>2</v>
      </c>
      <c r="J37">
        <v>0.36</v>
      </c>
    </row>
    <row r="38" spans="1:10">
      <c r="A38">
        <v>37</v>
      </c>
      <c r="B38" s="2">
        <v>40545</v>
      </c>
      <c r="C38">
        <v>1</v>
      </c>
      <c r="D38">
        <v>0</v>
      </c>
      <c r="E38">
        <v>1</v>
      </c>
      <c r="F38">
        <v>13</v>
      </c>
      <c r="G38" t="b">
        <v>0</v>
      </c>
      <c r="H38">
        <v>0</v>
      </c>
      <c r="I38">
        <v>2</v>
      </c>
      <c r="J38">
        <v>0.36</v>
      </c>
    </row>
    <row r="39" spans="1:10">
      <c r="A39">
        <v>38</v>
      </c>
      <c r="B39" s="2">
        <v>40545</v>
      </c>
      <c r="C39">
        <v>1</v>
      </c>
      <c r="D39">
        <v>0</v>
      </c>
      <c r="E39">
        <v>1</v>
      </c>
      <c r="F39">
        <v>14</v>
      </c>
      <c r="G39" t="b">
        <v>0</v>
      </c>
      <c r="H39">
        <v>0</v>
      </c>
      <c r="I39">
        <v>3</v>
      </c>
      <c r="J39">
        <v>0.36</v>
      </c>
    </row>
    <row r="40" spans="1:10">
      <c r="A40">
        <v>39</v>
      </c>
      <c r="B40" s="2">
        <v>40545</v>
      </c>
      <c r="C40">
        <v>1</v>
      </c>
      <c r="D40">
        <v>0</v>
      </c>
      <c r="E40">
        <v>1</v>
      </c>
      <c r="F40">
        <v>15</v>
      </c>
      <c r="G40" t="b">
        <v>0</v>
      </c>
      <c r="H40">
        <v>0</v>
      </c>
      <c r="I40">
        <v>3</v>
      </c>
      <c r="J40">
        <v>0.34</v>
      </c>
    </row>
    <row r="41" spans="1:10">
      <c r="A41">
        <v>40</v>
      </c>
      <c r="B41" s="2">
        <v>40545</v>
      </c>
      <c r="C41">
        <v>1</v>
      </c>
      <c r="D41">
        <v>0</v>
      </c>
      <c r="E41">
        <v>1</v>
      </c>
      <c r="F41">
        <v>16</v>
      </c>
      <c r="G41" t="b">
        <v>0</v>
      </c>
      <c r="H41">
        <v>0</v>
      </c>
      <c r="I41">
        <v>3</v>
      </c>
      <c r="J41">
        <v>0.34</v>
      </c>
    </row>
    <row r="42" spans="1:10">
      <c r="A42">
        <v>41</v>
      </c>
      <c r="B42" s="2">
        <v>40545</v>
      </c>
      <c r="C42">
        <v>1</v>
      </c>
      <c r="D42">
        <v>0</v>
      </c>
      <c r="E42">
        <v>1</v>
      </c>
      <c r="F42">
        <v>17</v>
      </c>
      <c r="G42" t="b">
        <v>0</v>
      </c>
      <c r="H42">
        <v>0</v>
      </c>
      <c r="I42">
        <v>1</v>
      </c>
      <c r="J42">
        <v>0.34</v>
      </c>
    </row>
    <row r="43" spans="1:10">
      <c r="A43">
        <v>42</v>
      </c>
      <c r="B43" s="2">
        <v>40545</v>
      </c>
      <c r="C43">
        <v>1</v>
      </c>
      <c r="D43">
        <v>0</v>
      </c>
      <c r="E43">
        <v>1</v>
      </c>
      <c r="F43">
        <v>18</v>
      </c>
      <c r="G43" t="b">
        <v>0</v>
      </c>
      <c r="H43">
        <v>0</v>
      </c>
      <c r="I43">
        <v>2</v>
      </c>
      <c r="J43">
        <v>0.36</v>
      </c>
    </row>
    <row r="44" spans="1:10">
      <c r="A44">
        <v>43</v>
      </c>
      <c r="B44" s="2">
        <v>40545</v>
      </c>
      <c r="C44">
        <v>1</v>
      </c>
      <c r="D44">
        <v>0</v>
      </c>
      <c r="E44">
        <v>1</v>
      </c>
      <c r="F44">
        <v>19</v>
      </c>
      <c r="G44" t="b">
        <v>0</v>
      </c>
      <c r="H44">
        <v>0</v>
      </c>
      <c r="I44">
        <v>1</v>
      </c>
      <c r="J44">
        <v>0.32</v>
      </c>
    </row>
    <row r="45" spans="1:10">
      <c r="A45">
        <v>44</v>
      </c>
      <c r="B45" s="2">
        <v>40545</v>
      </c>
      <c r="C45">
        <v>1</v>
      </c>
      <c r="D45">
        <v>0</v>
      </c>
      <c r="E45">
        <v>1</v>
      </c>
      <c r="F45">
        <v>20</v>
      </c>
      <c r="G45" t="b">
        <v>0</v>
      </c>
      <c r="H45">
        <v>0</v>
      </c>
      <c r="I45">
        <v>1</v>
      </c>
      <c r="J45">
        <v>0.3</v>
      </c>
    </row>
    <row r="46" spans="1:10">
      <c r="A46">
        <v>45</v>
      </c>
      <c r="B46" s="2">
        <v>40545</v>
      </c>
      <c r="C46">
        <v>1</v>
      </c>
      <c r="D46">
        <v>0</v>
      </c>
      <c r="E46">
        <v>1</v>
      </c>
      <c r="F46">
        <v>21</v>
      </c>
      <c r="G46" t="b">
        <v>0</v>
      </c>
      <c r="H46">
        <v>0</v>
      </c>
      <c r="I46">
        <v>1</v>
      </c>
      <c r="J46">
        <v>0.26</v>
      </c>
    </row>
    <row r="47" spans="1:10">
      <c r="A47">
        <v>46</v>
      </c>
      <c r="B47" s="2">
        <v>40545</v>
      </c>
      <c r="C47">
        <v>1</v>
      </c>
      <c r="D47">
        <v>0</v>
      </c>
      <c r="E47">
        <v>1</v>
      </c>
      <c r="F47">
        <v>22</v>
      </c>
      <c r="G47" t="b">
        <v>0</v>
      </c>
      <c r="H47">
        <v>0</v>
      </c>
      <c r="I47">
        <v>1</v>
      </c>
      <c r="J47">
        <v>0.24</v>
      </c>
    </row>
    <row r="48" spans="1:10">
      <c r="A48">
        <v>47</v>
      </c>
      <c r="B48" s="2">
        <v>40545</v>
      </c>
      <c r="C48">
        <v>1</v>
      </c>
      <c r="D48">
        <v>0</v>
      </c>
      <c r="E48">
        <v>1</v>
      </c>
      <c r="F48">
        <v>23</v>
      </c>
      <c r="G48" t="b">
        <v>0</v>
      </c>
      <c r="H48">
        <v>0</v>
      </c>
      <c r="I48">
        <v>1</v>
      </c>
      <c r="J48">
        <v>0.22</v>
      </c>
    </row>
    <row r="49" spans="1:10">
      <c r="A49">
        <v>48</v>
      </c>
      <c r="B49" s="2">
        <v>40546</v>
      </c>
      <c r="C49">
        <v>1</v>
      </c>
      <c r="D49">
        <v>0</v>
      </c>
      <c r="E49">
        <v>1</v>
      </c>
      <c r="F49">
        <v>0</v>
      </c>
      <c r="G49" t="b">
        <v>0</v>
      </c>
      <c r="H49">
        <v>1</v>
      </c>
      <c r="I49">
        <v>1</v>
      </c>
      <c r="J49">
        <v>0.22</v>
      </c>
    </row>
    <row r="50" spans="1:10">
      <c r="A50">
        <v>49</v>
      </c>
      <c r="B50" s="2">
        <v>40546</v>
      </c>
      <c r="C50">
        <v>1</v>
      </c>
      <c r="D50">
        <v>0</v>
      </c>
      <c r="E50">
        <v>1</v>
      </c>
      <c r="F50">
        <v>1</v>
      </c>
      <c r="G50" t="b">
        <v>0</v>
      </c>
      <c r="H50">
        <v>1</v>
      </c>
      <c r="I50">
        <v>1</v>
      </c>
      <c r="J50">
        <v>0.2</v>
      </c>
    </row>
    <row r="51" spans="1:10">
      <c r="A51">
        <v>50</v>
      </c>
      <c r="B51" s="2">
        <v>40546</v>
      </c>
      <c r="C51">
        <v>1</v>
      </c>
      <c r="D51">
        <v>0</v>
      </c>
      <c r="E51">
        <v>1</v>
      </c>
      <c r="F51">
        <v>4</v>
      </c>
      <c r="G51" t="b">
        <v>0</v>
      </c>
      <c r="H51">
        <v>1</v>
      </c>
      <c r="I51">
        <v>1</v>
      </c>
      <c r="J51">
        <v>0.16</v>
      </c>
    </row>
    <row r="52" spans="1:10">
      <c r="A52">
        <v>51</v>
      </c>
      <c r="B52" s="2">
        <v>40546</v>
      </c>
      <c r="C52">
        <v>1</v>
      </c>
      <c r="D52">
        <v>0</v>
      </c>
      <c r="E52">
        <v>1</v>
      </c>
      <c r="F52">
        <v>5</v>
      </c>
      <c r="G52" t="b">
        <v>0</v>
      </c>
      <c r="H52">
        <v>1</v>
      </c>
      <c r="I52">
        <v>1</v>
      </c>
      <c r="J52">
        <v>0.16</v>
      </c>
    </row>
    <row r="53" spans="1:10">
      <c r="A53">
        <v>52</v>
      </c>
      <c r="B53" s="2">
        <v>40546</v>
      </c>
      <c r="C53">
        <v>1</v>
      </c>
      <c r="D53">
        <v>0</v>
      </c>
      <c r="E53">
        <v>1</v>
      </c>
      <c r="F53">
        <v>6</v>
      </c>
      <c r="G53" t="b">
        <v>0</v>
      </c>
      <c r="H53">
        <v>1</v>
      </c>
      <c r="I53">
        <v>1</v>
      </c>
      <c r="J53">
        <v>0.14000000000000001</v>
      </c>
    </row>
    <row r="54" spans="1:10">
      <c r="A54">
        <v>53</v>
      </c>
      <c r="B54" s="2">
        <v>40546</v>
      </c>
      <c r="C54">
        <v>1</v>
      </c>
      <c r="D54">
        <v>0</v>
      </c>
      <c r="E54">
        <v>1</v>
      </c>
      <c r="F54">
        <v>7</v>
      </c>
      <c r="G54" t="b">
        <v>0</v>
      </c>
      <c r="H54">
        <v>1</v>
      </c>
      <c r="I54">
        <v>1</v>
      </c>
      <c r="J54">
        <v>0.14000000000000001</v>
      </c>
    </row>
    <row r="55" spans="1:10">
      <c r="A55">
        <v>54</v>
      </c>
      <c r="B55" s="2">
        <v>40546</v>
      </c>
      <c r="C55">
        <v>1</v>
      </c>
      <c r="D55">
        <v>0</v>
      </c>
      <c r="E55">
        <v>1</v>
      </c>
      <c r="F55">
        <v>8</v>
      </c>
      <c r="G55" t="b">
        <v>0</v>
      </c>
      <c r="H55">
        <v>1</v>
      </c>
      <c r="I55">
        <v>1</v>
      </c>
      <c r="J55">
        <v>0.14000000000000001</v>
      </c>
    </row>
    <row r="56" spans="1:10">
      <c r="A56">
        <v>55</v>
      </c>
      <c r="B56" s="2">
        <v>40546</v>
      </c>
      <c r="C56">
        <v>1</v>
      </c>
      <c r="D56">
        <v>0</v>
      </c>
      <c r="E56">
        <v>1</v>
      </c>
      <c r="F56">
        <v>9</v>
      </c>
      <c r="G56" t="b">
        <v>0</v>
      </c>
      <c r="H56">
        <v>1</v>
      </c>
      <c r="I56">
        <v>1</v>
      </c>
      <c r="J56">
        <v>0.16</v>
      </c>
    </row>
    <row r="57" spans="1:10">
      <c r="A57">
        <v>56</v>
      </c>
      <c r="B57" s="2">
        <v>40546</v>
      </c>
      <c r="C57">
        <v>1</v>
      </c>
      <c r="D57">
        <v>0</v>
      </c>
      <c r="E57">
        <v>1</v>
      </c>
      <c r="F57">
        <v>10</v>
      </c>
      <c r="G57" t="b">
        <v>0</v>
      </c>
      <c r="H57">
        <v>1</v>
      </c>
      <c r="I57">
        <v>1</v>
      </c>
      <c r="J57">
        <v>0.18</v>
      </c>
    </row>
    <row r="58" spans="1:10">
      <c r="A58">
        <v>57</v>
      </c>
      <c r="B58" s="2">
        <v>40546</v>
      </c>
      <c r="C58">
        <v>1</v>
      </c>
      <c r="D58">
        <v>0</v>
      </c>
      <c r="E58">
        <v>1</v>
      </c>
      <c r="F58">
        <v>11</v>
      </c>
      <c r="G58" t="b">
        <v>0</v>
      </c>
      <c r="H58">
        <v>1</v>
      </c>
      <c r="I58">
        <v>1</v>
      </c>
      <c r="J58">
        <v>0.2</v>
      </c>
    </row>
    <row r="59" spans="1:10">
      <c r="A59">
        <v>58</v>
      </c>
      <c r="B59" s="2">
        <v>40546</v>
      </c>
      <c r="C59">
        <v>1</v>
      </c>
      <c r="D59">
        <v>0</v>
      </c>
      <c r="E59">
        <v>1</v>
      </c>
      <c r="F59">
        <v>12</v>
      </c>
      <c r="G59" t="b">
        <v>0</v>
      </c>
      <c r="H59">
        <v>1</v>
      </c>
      <c r="I59">
        <v>1</v>
      </c>
      <c r="J59">
        <v>0.22</v>
      </c>
    </row>
    <row r="60" spans="1:10">
      <c r="A60">
        <v>59</v>
      </c>
      <c r="B60" s="2">
        <v>40546</v>
      </c>
      <c r="C60">
        <v>1</v>
      </c>
      <c r="D60">
        <v>0</v>
      </c>
      <c r="E60">
        <v>1</v>
      </c>
      <c r="F60">
        <v>13</v>
      </c>
      <c r="G60" t="b">
        <v>0</v>
      </c>
      <c r="H60">
        <v>1</v>
      </c>
      <c r="I60">
        <v>1</v>
      </c>
      <c r="J60">
        <v>0.24</v>
      </c>
    </row>
    <row r="61" spans="1:10">
      <c r="A61">
        <v>60</v>
      </c>
      <c r="B61" s="2">
        <v>40546</v>
      </c>
      <c r="C61">
        <v>1</v>
      </c>
      <c r="D61">
        <v>0</v>
      </c>
      <c r="E61">
        <v>1</v>
      </c>
      <c r="F61">
        <v>14</v>
      </c>
      <c r="G61" t="b">
        <v>0</v>
      </c>
      <c r="H61">
        <v>1</v>
      </c>
      <c r="I61">
        <v>1</v>
      </c>
      <c r="J61">
        <v>0.26</v>
      </c>
    </row>
    <row r="62" spans="1:10">
      <c r="A62">
        <v>61</v>
      </c>
      <c r="B62" s="2">
        <v>40546</v>
      </c>
      <c r="C62">
        <v>1</v>
      </c>
      <c r="D62">
        <v>0</v>
      </c>
      <c r="E62">
        <v>1</v>
      </c>
      <c r="F62">
        <v>15</v>
      </c>
      <c r="G62" t="b">
        <v>0</v>
      </c>
      <c r="H62">
        <v>1</v>
      </c>
      <c r="I62">
        <v>1</v>
      </c>
      <c r="J62">
        <v>0.26</v>
      </c>
    </row>
    <row r="63" spans="1:10">
      <c r="A63">
        <v>62</v>
      </c>
      <c r="B63" s="2">
        <v>40546</v>
      </c>
      <c r="C63">
        <v>1</v>
      </c>
      <c r="D63">
        <v>0</v>
      </c>
      <c r="E63">
        <v>1</v>
      </c>
      <c r="F63">
        <v>16</v>
      </c>
      <c r="G63" t="b">
        <v>0</v>
      </c>
      <c r="H63">
        <v>1</v>
      </c>
      <c r="I63">
        <v>1</v>
      </c>
      <c r="J63">
        <v>0.26</v>
      </c>
    </row>
    <row r="64" spans="1:10">
      <c r="A64">
        <v>63</v>
      </c>
      <c r="B64" s="2">
        <v>40546</v>
      </c>
      <c r="C64">
        <v>1</v>
      </c>
      <c r="D64">
        <v>0</v>
      </c>
      <c r="E64">
        <v>1</v>
      </c>
      <c r="F64">
        <v>17</v>
      </c>
      <c r="G64" t="b">
        <v>0</v>
      </c>
      <c r="H64">
        <v>1</v>
      </c>
      <c r="I64">
        <v>1</v>
      </c>
      <c r="J64">
        <v>0.24</v>
      </c>
    </row>
    <row r="65" spans="1:10">
      <c r="A65">
        <v>64</v>
      </c>
      <c r="B65" s="2">
        <v>40546</v>
      </c>
      <c r="C65">
        <v>1</v>
      </c>
      <c r="D65">
        <v>0</v>
      </c>
      <c r="E65">
        <v>1</v>
      </c>
      <c r="F65">
        <v>18</v>
      </c>
      <c r="G65" t="b">
        <v>0</v>
      </c>
      <c r="H65">
        <v>1</v>
      </c>
      <c r="I65">
        <v>1</v>
      </c>
      <c r="J65">
        <v>0.24</v>
      </c>
    </row>
    <row r="66" spans="1:10">
      <c r="A66">
        <v>65</v>
      </c>
      <c r="B66" s="2">
        <v>40546</v>
      </c>
      <c r="C66">
        <v>1</v>
      </c>
      <c r="D66">
        <v>0</v>
      </c>
      <c r="E66">
        <v>1</v>
      </c>
      <c r="F66">
        <v>19</v>
      </c>
      <c r="G66" t="b">
        <v>0</v>
      </c>
      <c r="H66">
        <v>1</v>
      </c>
      <c r="I66">
        <v>1</v>
      </c>
      <c r="J66">
        <v>0.2</v>
      </c>
    </row>
    <row r="67" spans="1:10">
      <c r="A67">
        <v>66</v>
      </c>
      <c r="B67" s="2">
        <v>40546</v>
      </c>
      <c r="C67">
        <v>1</v>
      </c>
      <c r="D67">
        <v>0</v>
      </c>
      <c r="E67">
        <v>1</v>
      </c>
      <c r="F67">
        <v>20</v>
      </c>
      <c r="G67" t="b">
        <v>0</v>
      </c>
      <c r="H67">
        <v>1</v>
      </c>
      <c r="I67">
        <v>1</v>
      </c>
      <c r="J67">
        <v>0.2</v>
      </c>
    </row>
    <row r="68" spans="1:10">
      <c r="A68">
        <v>67</v>
      </c>
      <c r="B68" s="2">
        <v>40546</v>
      </c>
      <c r="C68">
        <v>1</v>
      </c>
      <c r="D68">
        <v>0</v>
      </c>
      <c r="E68">
        <v>1</v>
      </c>
      <c r="F68">
        <v>21</v>
      </c>
      <c r="G68" t="b">
        <v>0</v>
      </c>
      <c r="H68">
        <v>1</v>
      </c>
      <c r="I68">
        <v>1</v>
      </c>
      <c r="J68">
        <v>0.18</v>
      </c>
    </row>
    <row r="69" spans="1:10">
      <c r="A69">
        <v>68</v>
      </c>
      <c r="B69" s="2">
        <v>40546</v>
      </c>
      <c r="C69">
        <v>1</v>
      </c>
      <c r="D69">
        <v>0</v>
      </c>
      <c r="E69">
        <v>1</v>
      </c>
      <c r="F69">
        <v>22</v>
      </c>
      <c r="G69" t="b">
        <v>0</v>
      </c>
      <c r="H69">
        <v>1</v>
      </c>
      <c r="I69">
        <v>1</v>
      </c>
      <c r="J69">
        <v>0.14000000000000001</v>
      </c>
    </row>
    <row r="70" spans="1:10">
      <c r="A70">
        <v>69</v>
      </c>
      <c r="B70" s="2">
        <v>40546</v>
      </c>
      <c r="C70">
        <v>1</v>
      </c>
      <c r="D70">
        <v>0</v>
      </c>
      <c r="E70">
        <v>1</v>
      </c>
      <c r="F70">
        <v>23</v>
      </c>
      <c r="G70" t="b">
        <v>0</v>
      </c>
      <c r="H70">
        <v>1</v>
      </c>
      <c r="I70">
        <v>1</v>
      </c>
      <c r="J70">
        <v>0.18</v>
      </c>
    </row>
    <row r="71" spans="1:10">
      <c r="A71">
        <v>70</v>
      </c>
      <c r="B71" s="2">
        <v>40547</v>
      </c>
      <c r="C71">
        <v>1</v>
      </c>
      <c r="D71">
        <v>0</v>
      </c>
      <c r="E71">
        <v>1</v>
      </c>
      <c r="F71">
        <v>0</v>
      </c>
      <c r="G71" t="b">
        <v>0</v>
      </c>
      <c r="H71">
        <v>2</v>
      </c>
      <c r="I71">
        <v>1</v>
      </c>
      <c r="J71">
        <v>0.16</v>
      </c>
    </row>
    <row r="72" spans="1:10">
      <c r="A72">
        <v>71</v>
      </c>
      <c r="B72" s="2">
        <v>40547</v>
      </c>
      <c r="C72">
        <v>1</v>
      </c>
      <c r="D72">
        <v>0</v>
      </c>
      <c r="E72">
        <v>1</v>
      </c>
      <c r="F72">
        <v>1</v>
      </c>
      <c r="G72" t="b">
        <v>0</v>
      </c>
      <c r="H72">
        <v>2</v>
      </c>
      <c r="I72">
        <v>1</v>
      </c>
      <c r="J72">
        <v>0.16</v>
      </c>
    </row>
    <row r="73" spans="1:10">
      <c r="A73">
        <v>72</v>
      </c>
      <c r="B73" s="2">
        <v>40547</v>
      </c>
      <c r="C73">
        <v>1</v>
      </c>
      <c r="D73">
        <v>0</v>
      </c>
      <c r="E73">
        <v>1</v>
      </c>
      <c r="F73">
        <v>2</v>
      </c>
      <c r="G73" t="b">
        <v>0</v>
      </c>
      <c r="H73">
        <v>2</v>
      </c>
      <c r="I73">
        <v>1</v>
      </c>
      <c r="J73">
        <v>0.14000000000000001</v>
      </c>
    </row>
    <row r="74" spans="1:10">
      <c r="A74">
        <v>73</v>
      </c>
      <c r="B74" s="2">
        <v>40547</v>
      </c>
      <c r="C74">
        <v>1</v>
      </c>
      <c r="D74">
        <v>0</v>
      </c>
      <c r="E74">
        <v>1</v>
      </c>
      <c r="F74">
        <v>4</v>
      </c>
      <c r="G74" t="b">
        <v>0</v>
      </c>
      <c r="H74">
        <v>2</v>
      </c>
      <c r="I74">
        <v>1</v>
      </c>
      <c r="J74">
        <v>0.14000000000000001</v>
      </c>
    </row>
    <row r="75" spans="1:10">
      <c r="A75">
        <v>74</v>
      </c>
      <c r="B75" s="2">
        <v>40547</v>
      </c>
      <c r="C75">
        <v>1</v>
      </c>
      <c r="D75">
        <v>0</v>
      </c>
      <c r="E75">
        <v>1</v>
      </c>
      <c r="F75">
        <v>5</v>
      </c>
      <c r="G75" t="b">
        <v>0</v>
      </c>
      <c r="H75">
        <v>2</v>
      </c>
      <c r="I75">
        <v>1</v>
      </c>
      <c r="J75">
        <v>0.12</v>
      </c>
    </row>
    <row r="76" spans="1:10">
      <c r="A76">
        <v>75</v>
      </c>
      <c r="B76" s="2">
        <v>40547</v>
      </c>
      <c r="C76">
        <v>1</v>
      </c>
      <c r="D76">
        <v>0</v>
      </c>
      <c r="E76">
        <v>1</v>
      </c>
      <c r="F76">
        <v>6</v>
      </c>
      <c r="G76" t="b">
        <v>0</v>
      </c>
      <c r="H76">
        <v>2</v>
      </c>
      <c r="I76">
        <v>1</v>
      </c>
      <c r="J76">
        <v>0.12</v>
      </c>
    </row>
    <row r="77" spans="1:10">
      <c r="A77">
        <v>76</v>
      </c>
      <c r="B77" s="2">
        <v>40547</v>
      </c>
      <c r="C77">
        <v>1</v>
      </c>
      <c r="D77">
        <v>0</v>
      </c>
      <c r="E77">
        <v>1</v>
      </c>
      <c r="F77">
        <v>7</v>
      </c>
      <c r="G77" t="b">
        <v>0</v>
      </c>
      <c r="H77">
        <v>2</v>
      </c>
      <c r="I77">
        <v>1</v>
      </c>
      <c r="J77">
        <v>0.12</v>
      </c>
    </row>
    <row r="78" spans="1:10">
      <c r="A78">
        <v>77</v>
      </c>
      <c r="B78" s="2">
        <v>40547</v>
      </c>
      <c r="C78">
        <v>1</v>
      </c>
      <c r="D78">
        <v>0</v>
      </c>
      <c r="E78">
        <v>1</v>
      </c>
      <c r="F78">
        <v>8</v>
      </c>
      <c r="G78" t="b">
        <v>0</v>
      </c>
      <c r="H78">
        <v>2</v>
      </c>
      <c r="I78">
        <v>1</v>
      </c>
      <c r="J78">
        <v>0.14000000000000001</v>
      </c>
    </row>
    <row r="79" spans="1:10">
      <c r="A79">
        <v>78</v>
      </c>
      <c r="B79" s="2">
        <v>40547</v>
      </c>
      <c r="C79">
        <v>1</v>
      </c>
      <c r="D79">
        <v>0</v>
      </c>
      <c r="E79">
        <v>1</v>
      </c>
      <c r="F79">
        <v>9</v>
      </c>
      <c r="G79" t="b">
        <v>0</v>
      </c>
      <c r="H79">
        <v>2</v>
      </c>
      <c r="I79">
        <v>1</v>
      </c>
      <c r="J79">
        <v>0.16</v>
      </c>
    </row>
    <row r="80" spans="1:10">
      <c r="A80">
        <v>79</v>
      </c>
      <c r="B80" s="2">
        <v>40547</v>
      </c>
      <c r="C80">
        <v>1</v>
      </c>
      <c r="D80">
        <v>0</v>
      </c>
      <c r="E80">
        <v>1</v>
      </c>
      <c r="F80">
        <v>10</v>
      </c>
      <c r="G80" t="b">
        <v>0</v>
      </c>
      <c r="H80">
        <v>2</v>
      </c>
      <c r="I80">
        <v>2</v>
      </c>
      <c r="J80">
        <v>0.16</v>
      </c>
    </row>
    <row r="81" spans="1:10">
      <c r="A81">
        <v>80</v>
      </c>
      <c r="B81" s="2">
        <v>40547</v>
      </c>
      <c r="C81">
        <v>1</v>
      </c>
      <c r="D81">
        <v>0</v>
      </c>
      <c r="E81">
        <v>1</v>
      </c>
      <c r="F81">
        <v>11</v>
      </c>
      <c r="G81" t="b">
        <v>0</v>
      </c>
      <c r="H81">
        <v>2</v>
      </c>
      <c r="I81">
        <v>1</v>
      </c>
      <c r="J81">
        <v>0.22</v>
      </c>
    </row>
    <row r="82" spans="1:10">
      <c r="A82">
        <v>81</v>
      </c>
      <c r="B82" s="2">
        <v>40547</v>
      </c>
      <c r="C82">
        <v>1</v>
      </c>
      <c r="D82">
        <v>0</v>
      </c>
      <c r="E82">
        <v>1</v>
      </c>
      <c r="F82">
        <v>12</v>
      </c>
      <c r="G82" t="b">
        <v>0</v>
      </c>
      <c r="H82">
        <v>2</v>
      </c>
      <c r="I82">
        <v>1</v>
      </c>
      <c r="J82">
        <v>0.22</v>
      </c>
    </row>
    <row r="83" spans="1:10">
      <c r="A83">
        <v>82</v>
      </c>
      <c r="B83" s="2">
        <v>40547</v>
      </c>
      <c r="C83">
        <v>1</v>
      </c>
      <c r="D83">
        <v>0</v>
      </c>
      <c r="E83">
        <v>1</v>
      </c>
      <c r="F83">
        <v>13</v>
      </c>
      <c r="G83" t="b">
        <v>0</v>
      </c>
      <c r="H83">
        <v>2</v>
      </c>
      <c r="I83">
        <v>1</v>
      </c>
      <c r="J83">
        <v>0.24</v>
      </c>
    </row>
    <row r="84" spans="1:10">
      <c r="A84">
        <v>83</v>
      </c>
      <c r="B84" s="2">
        <v>40547</v>
      </c>
      <c r="C84">
        <v>1</v>
      </c>
      <c r="D84">
        <v>0</v>
      </c>
      <c r="E84">
        <v>1</v>
      </c>
      <c r="F84">
        <v>14</v>
      </c>
      <c r="G84" t="b">
        <v>0</v>
      </c>
      <c r="H84">
        <v>2</v>
      </c>
      <c r="I84">
        <v>1</v>
      </c>
      <c r="J84">
        <v>0.26</v>
      </c>
    </row>
    <row r="85" spans="1:10">
      <c r="A85">
        <v>84</v>
      </c>
      <c r="B85" s="2">
        <v>40547</v>
      </c>
      <c r="C85">
        <v>1</v>
      </c>
      <c r="D85">
        <v>0</v>
      </c>
      <c r="E85">
        <v>1</v>
      </c>
      <c r="F85">
        <v>15</v>
      </c>
      <c r="G85" t="b">
        <v>0</v>
      </c>
      <c r="H85">
        <v>2</v>
      </c>
      <c r="I85">
        <v>1</v>
      </c>
      <c r="J85">
        <v>0.28000000000000003</v>
      </c>
    </row>
    <row r="86" spans="1:10">
      <c r="A86">
        <v>85</v>
      </c>
      <c r="B86" s="2">
        <v>40547</v>
      </c>
      <c r="C86">
        <v>1</v>
      </c>
      <c r="D86">
        <v>0</v>
      </c>
      <c r="E86">
        <v>1</v>
      </c>
      <c r="F86">
        <v>16</v>
      </c>
      <c r="G86" t="b">
        <v>0</v>
      </c>
      <c r="H86">
        <v>2</v>
      </c>
      <c r="I86">
        <v>1</v>
      </c>
      <c r="J86">
        <v>0.3</v>
      </c>
    </row>
    <row r="87" spans="1:10">
      <c r="A87">
        <v>86</v>
      </c>
      <c r="B87" s="2">
        <v>40547</v>
      </c>
      <c r="C87">
        <v>1</v>
      </c>
      <c r="D87">
        <v>0</v>
      </c>
      <c r="E87">
        <v>1</v>
      </c>
      <c r="F87">
        <v>17</v>
      </c>
      <c r="G87" t="b">
        <v>0</v>
      </c>
      <c r="H87">
        <v>2</v>
      </c>
      <c r="I87">
        <v>1</v>
      </c>
      <c r="J87">
        <v>0.28000000000000003</v>
      </c>
    </row>
    <row r="88" spans="1:10">
      <c r="A88">
        <v>87</v>
      </c>
      <c r="B88" s="2">
        <v>40547</v>
      </c>
      <c r="C88">
        <v>1</v>
      </c>
      <c r="D88">
        <v>0</v>
      </c>
      <c r="E88">
        <v>1</v>
      </c>
      <c r="F88">
        <v>18</v>
      </c>
      <c r="G88" t="b">
        <v>0</v>
      </c>
      <c r="H88">
        <v>2</v>
      </c>
      <c r="I88">
        <v>1</v>
      </c>
      <c r="J88">
        <v>0.26</v>
      </c>
    </row>
    <row r="89" spans="1:10">
      <c r="A89">
        <v>88</v>
      </c>
      <c r="B89" s="2">
        <v>40547</v>
      </c>
      <c r="C89">
        <v>1</v>
      </c>
      <c r="D89">
        <v>0</v>
      </c>
      <c r="E89">
        <v>1</v>
      </c>
      <c r="F89">
        <v>19</v>
      </c>
      <c r="G89" t="b">
        <v>0</v>
      </c>
      <c r="H89">
        <v>2</v>
      </c>
      <c r="I89">
        <v>1</v>
      </c>
      <c r="J89">
        <v>0.24</v>
      </c>
    </row>
    <row r="90" spans="1:10">
      <c r="A90">
        <v>89</v>
      </c>
      <c r="B90" s="2">
        <v>40547</v>
      </c>
      <c r="C90">
        <v>1</v>
      </c>
      <c r="D90">
        <v>0</v>
      </c>
      <c r="E90">
        <v>1</v>
      </c>
      <c r="F90">
        <v>20</v>
      </c>
      <c r="G90" t="b">
        <v>0</v>
      </c>
      <c r="H90">
        <v>2</v>
      </c>
      <c r="I90">
        <v>1</v>
      </c>
      <c r="J90">
        <v>0.24</v>
      </c>
    </row>
    <row r="91" spans="1:10">
      <c r="A91">
        <v>90</v>
      </c>
      <c r="B91" s="2">
        <v>40547</v>
      </c>
      <c r="C91">
        <v>1</v>
      </c>
      <c r="D91">
        <v>0</v>
      </c>
      <c r="E91">
        <v>1</v>
      </c>
      <c r="F91">
        <v>21</v>
      </c>
      <c r="G91" t="b">
        <v>0</v>
      </c>
      <c r="H91">
        <v>2</v>
      </c>
      <c r="I91">
        <v>1</v>
      </c>
      <c r="J91">
        <v>0.22</v>
      </c>
    </row>
    <row r="92" spans="1:10">
      <c r="A92">
        <v>91</v>
      </c>
      <c r="B92" s="2">
        <v>40547</v>
      </c>
      <c r="C92">
        <v>1</v>
      </c>
      <c r="D92">
        <v>0</v>
      </c>
      <c r="E92">
        <v>1</v>
      </c>
      <c r="F92">
        <v>22</v>
      </c>
      <c r="G92" t="b">
        <v>0</v>
      </c>
      <c r="H92">
        <v>2</v>
      </c>
      <c r="I92">
        <v>1</v>
      </c>
      <c r="J92">
        <v>0.22</v>
      </c>
    </row>
    <row r="93" spans="1:10">
      <c r="A93">
        <v>92</v>
      </c>
      <c r="B93" s="2">
        <v>40547</v>
      </c>
      <c r="C93">
        <v>1</v>
      </c>
      <c r="D93">
        <v>0</v>
      </c>
      <c r="E93">
        <v>1</v>
      </c>
      <c r="F93">
        <v>23</v>
      </c>
      <c r="G93" t="b">
        <v>0</v>
      </c>
      <c r="H93">
        <v>2</v>
      </c>
      <c r="I93">
        <v>1</v>
      </c>
      <c r="J93">
        <v>0.2</v>
      </c>
    </row>
    <row r="94" spans="1:10">
      <c r="A94">
        <v>93</v>
      </c>
      <c r="B94" s="2">
        <v>40548</v>
      </c>
      <c r="C94">
        <v>1</v>
      </c>
      <c r="D94">
        <v>0</v>
      </c>
      <c r="E94">
        <v>1</v>
      </c>
      <c r="F94">
        <v>0</v>
      </c>
      <c r="G94" t="b">
        <v>0</v>
      </c>
      <c r="H94">
        <v>3</v>
      </c>
      <c r="I94">
        <v>1</v>
      </c>
      <c r="J94">
        <v>0.2</v>
      </c>
    </row>
    <row r="95" spans="1:10">
      <c r="A95">
        <v>94</v>
      </c>
      <c r="B95" s="2">
        <v>40548</v>
      </c>
      <c r="C95">
        <v>1</v>
      </c>
      <c r="D95">
        <v>0</v>
      </c>
      <c r="E95">
        <v>1</v>
      </c>
      <c r="F95">
        <v>1</v>
      </c>
      <c r="G95" t="b">
        <v>0</v>
      </c>
      <c r="H95">
        <v>3</v>
      </c>
      <c r="I95">
        <v>1</v>
      </c>
      <c r="J95">
        <v>0.16</v>
      </c>
    </row>
    <row r="96" spans="1:10">
      <c r="A96">
        <v>95</v>
      </c>
      <c r="B96" s="2">
        <v>40548</v>
      </c>
      <c r="C96">
        <v>1</v>
      </c>
      <c r="D96">
        <v>0</v>
      </c>
      <c r="E96">
        <v>1</v>
      </c>
      <c r="F96">
        <v>2</v>
      </c>
      <c r="G96" t="b">
        <v>0</v>
      </c>
      <c r="H96">
        <v>3</v>
      </c>
      <c r="I96">
        <v>1</v>
      </c>
      <c r="J96">
        <v>0.16</v>
      </c>
    </row>
    <row r="97" spans="1:10">
      <c r="A97">
        <v>96</v>
      </c>
      <c r="B97" s="2">
        <v>40548</v>
      </c>
      <c r="C97">
        <v>1</v>
      </c>
      <c r="D97">
        <v>0</v>
      </c>
      <c r="E97">
        <v>1</v>
      </c>
      <c r="F97">
        <v>4</v>
      </c>
      <c r="G97" t="b">
        <v>0</v>
      </c>
      <c r="H97">
        <v>3</v>
      </c>
      <c r="I97">
        <v>1</v>
      </c>
      <c r="J97">
        <v>0.24</v>
      </c>
    </row>
    <row r="98" spans="1:10">
      <c r="A98">
        <v>97</v>
      </c>
      <c r="B98" s="2">
        <v>40548</v>
      </c>
      <c r="C98">
        <v>1</v>
      </c>
      <c r="D98">
        <v>0</v>
      </c>
      <c r="E98">
        <v>1</v>
      </c>
      <c r="F98">
        <v>5</v>
      </c>
      <c r="G98" t="b">
        <v>0</v>
      </c>
      <c r="H98">
        <v>3</v>
      </c>
      <c r="I98">
        <v>1</v>
      </c>
      <c r="J98">
        <v>0.22</v>
      </c>
    </row>
    <row r="99" spans="1:10">
      <c r="A99">
        <v>98</v>
      </c>
      <c r="B99" s="2">
        <v>40548</v>
      </c>
      <c r="C99">
        <v>1</v>
      </c>
      <c r="D99">
        <v>0</v>
      </c>
      <c r="E99">
        <v>1</v>
      </c>
      <c r="F99">
        <v>6</v>
      </c>
      <c r="G99" t="b">
        <v>0</v>
      </c>
      <c r="H99">
        <v>3</v>
      </c>
      <c r="I99">
        <v>1</v>
      </c>
      <c r="J99">
        <v>0.2</v>
      </c>
    </row>
    <row r="100" spans="1:10">
      <c r="A100">
        <v>99</v>
      </c>
      <c r="B100" s="2">
        <v>40548</v>
      </c>
      <c r="C100">
        <v>1</v>
      </c>
      <c r="D100">
        <v>0</v>
      </c>
      <c r="E100">
        <v>1</v>
      </c>
      <c r="F100">
        <v>7</v>
      </c>
      <c r="G100" t="b">
        <v>0</v>
      </c>
      <c r="H100">
        <v>3</v>
      </c>
      <c r="I100">
        <v>1</v>
      </c>
      <c r="J100">
        <v>0.18</v>
      </c>
    </row>
    <row r="101" spans="1:10">
      <c r="A101">
        <v>100</v>
      </c>
      <c r="B101" s="2">
        <v>40548</v>
      </c>
      <c r="C101">
        <v>1</v>
      </c>
      <c r="D101">
        <v>0</v>
      </c>
      <c r="E101">
        <v>1</v>
      </c>
      <c r="F101">
        <v>8</v>
      </c>
      <c r="G101" t="b">
        <v>0</v>
      </c>
      <c r="H101">
        <v>3</v>
      </c>
      <c r="I101">
        <v>1</v>
      </c>
      <c r="J101">
        <v>0.2</v>
      </c>
    </row>
    <row r="102" spans="1:10">
      <c r="A102">
        <v>101</v>
      </c>
      <c r="B102" s="2">
        <v>40548</v>
      </c>
      <c r="C102">
        <v>1</v>
      </c>
      <c r="D102">
        <v>0</v>
      </c>
      <c r="E102">
        <v>1</v>
      </c>
      <c r="F102">
        <v>9</v>
      </c>
      <c r="G102" t="b">
        <v>0</v>
      </c>
      <c r="H102">
        <v>3</v>
      </c>
      <c r="I102">
        <v>1</v>
      </c>
      <c r="J102">
        <v>0.22</v>
      </c>
    </row>
    <row r="103" spans="1:10">
      <c r="A103">
        <v>102</v>
      </c>
      <c r="B103" s="2">
        <v>40548</v>
      </c>
      <c r="C103">
        <v>1</v>
      </c>
      <c r="D103">
        <v>0</v>
      </c>
      <c r="E103">
        <v>1</v>
      </c>
      <c r="F103">
        <v>10</v>
      </c>
      <c r="G103" t="b">
        <v>0</v>
      </c>
      <c r="H103">
        <v>3</v>
      </c>
      <c r="I103">
        <v>1</v>
      </c>
      <c r="J103">
        <v>0.22</v>
      </c>
    </row>
    <row r="104" spans="1:10">
      <c r="A104">
        <v>103</v>
      </c>
      <c r="B104" s="2">
        <v>40548</v>
      </c>
      <c r="C104">
        <v>1</v>
      </c>
      <c r="D104">
        <v>0</v>
      </c>
      <c r="E104">
        <v>1</v>
      </c>
      <c r="F104">
        <v>11</v>
      </c>
      <c r="G104" t="b">
        <v>0</v>
      </c>
      <c r="H104">
        <v>3</v>
      </c>
      <c r="I104">
        <v>1</v>
      </c>
      <c r="J104">
        <v>0.26</v>
      </c>
    </row>
    <row r="105" spans="1:10">
      <c r="A105">
        <v>104</v>
      </c>
      <c r="B105" s="2">
        <v>40548</v>
      </c>
      <c r="C105">
        <v>1</v>
      </c>
      <c r="D105">
        <v>0</v>
      </c>
      <c r="E105">
        <v>1</v>
      </c>
      <c r="F105">
        <v>12</v>
      </c>
      <c r="G105" t="b">
        <v>0</v>
      </c>
      <c r="H105">
        <v>3</v>
      </c>
      <c r="I105">
        <v>1</v>
      </c>
      <c r="J105">
        <v>0.26</v>
      </c>
    </row>
    <row r="106" spans="1:10">
      <c r="A106">
        <v>105</v>
      </c>
      <c r="B106" s="2">
        <v>40548</v>
      </c>
      <c r="C106">
        <v>1</v>
      </c>
      <c r="D106">
        <v>0</v>
      </c>
      <c r="E106">
        <v>1</v>
      </c>
      <c r="F106">
        <v>13</v>
      </c>
      <c r="G106" t="b">
        <v>0</v>
      </c>
      <c r="H106">
        <v>3</v>
      </c>
      <c r="I106">
        <v>1</v>
      </c>
      <c r="J106">
        <v>0.28000000000000003</v>
      </c>
    </row>
    <row r="107" spans="1:10">
      <c r="A107">
        <v>106</v>
      </c>
      <c r="B107" s="2">
        <v>40548</v>
      </c>
      <c r="C107">
        <v>1</v>
      </c>
      <c r="D107">
        <v>0</v>
      </c>
      <c r="E107">
        <v>1</v>
      </c>
      <c r="F107">
        <v>14</v>
      </c>
      <c r="G107" t="b">
        <v>0</v>
      </c>
      <c r="H107">
        <v>3</v>
      </c>
      <c r="I107">
        <v>1</v>
      </c>
      <c r="J107">
        <v>0.3</v>
      </c>
    </row>
    <row r="108" spans="1:10">
      <c r="A108">
        <v>107</v>
      </c>
      <c r="B108" s="2">
        <v>40548</v>
      </c>
      <c r="C108">
        <v>1</v>
      </c>
      <c r="D108">
        <v>0</v>
      </c>
      <c r="E108">
        <v>1</v>
      </c>
      <c r="F108">
        <v>15</v>
      </c>
      <c r="G108" t="b">
        <v>0</v>
      </c>
      <c r="H108">
        <v>3</v>
      </c>
      <c r="I108">
        <v>1</v>
      </c>
      <c r="J108">
        <v>0.3</v>
      </c>
    </row>
    <row r="109" spans="1:10">
      <c r="A109">
        <v>108</v>
      </c>
      <c r="B109" s="2">
        <v>40548</v>
      </c>
      <c r="C109">
        <v>1</v>
      </c>
      <c r="D109">
        <v>0</v>
      </c>
      <c r="E109">
        <v>1</v>
      </c>
      <c r="F109">
        <v>16</v>
      </c>
      <c r="G109" t="b">
        <v>0</v>
      </c>
      <c r="H109">
        <v>3</v>
      </c>
      <c r="I109">
        <v>1</v>
      </c>
      <c r="J109">
        <v>0.3</v>
      </c>
    </row>
    <row r="110" spans="1:10">
      <c r="A110">
        <v>109</v>
      </c>
      <c r="B110" s="2">
        <v>40548</v>
      </c>
      <c r="C110">
        <v>1</v>
      </c>
      <c r="D110">
        <v>0</v>
      </c>
      <c r="E110">
        <v>1</v>
      </c>
      <c r="F110">
        <v>17</v>
      </c>
      <c r="G110" t="b">
        <v>0</v>
      </c>
      <c r="H110">
        <v>3</v>
      </c>
      <c r="I110">
        <v>1</v>
      </c>
      <c r="J110">
        <v>0.24</v>
      </c>
    </row>
    <row r="111" spans="1:10">
      <c r="A111">
        <v>110</v>
      </c>
      <c r="B111" s="2">
        <v>40548</v>
      </c>
      <c r="C111">
        <v>1</v>
      </c>
      <c r="D111">
        <v>0</v>
      </c>
      <c r="E111">
        <v>1</v>
      </c>
      <c r="F111">
        <v>18</v>
      </c>
      <c r="G111" t="b">
        <v>0</v>
      </c>
      <c r="H111">
        <v>3</v>
      </c>
      <c r="I111">
        <v>1</v>
      </c>
      <c r="J111">
        <v>0.24</v>
      </c>
    </row>
    <row r="112" spans="1:10">
      <c r="A112">
        <v>111</v>
      </c>
      <c r="B112" s="2">
        <v>40548</v>
      </c>
      <c r="C112">
        <v>1</v>
      </c>
      <c r="D112">
        <v>0</v>
      </c>
      <c r="E112">
        <v>1</v>
      </c>
      <c r="F112">
        <v>19</v>
      </c>
      <c r="G112" t="b">
        <v>0</v>
      </c>
      <c r="H112">
        <v>3</v>
      </c>
      <c r="I112">
        <v>1</v>
      </c>
      <c r="J112">
        <v>0.24</v>
      </c>
    </row>
    <row r="113" spans="1:10">
      <c r="A113">
        <v>112</v>
      </c>
      <c r="B113" s="2">
        <v>40548</v>
      </c>
      <c r="C113">
        <v>1</v>
      </c>
      <c r="D113">
        <v>0</v>
      </c>
      <c r="E113">
        <v>1</v>
      </c>
      <c r="F113">
        <v>20</v>
      </c>
      <c r="G113" t="b">
        <v>0</v>
      </c>
      <c r="H113">
        <v>3</v>
      </c>
      <c r="I113">
        <v>1</v>
      </c>
      <c r="J113">
        <v>0.22</v>
      </c>
    </row>
    <row r="114" spans="1:10">
      <c r="A114">
        <v>113</v>
      </c>
      <c r="B114" s="2">
        <v>40548</v>
      </c>
      <c r="C114">
        <v>1</v>
      </c>
      <c r="D114">
        <v>0</v>
      </c>
      <c r="E114">
        <v>1</v>
      </c>
      <c r="F114">
        <v>21</v>
      </c>
      <c r="G114" t="b">
        <v>0</v>
      </c>
      <c r="H114">
        <v>3</v>
      </c>
      <c r="I114">
        <v>1</v>
      </c>
      <c r="J114">
        <v>0.2</v>
      </c>
    </row>
    <row r="115" spans="1:10">
      <c r="A115">
        <v>114</v>
      </c>
      <c r="B115" s="2">
        <v>40548</v>
      </c>
      <c r="C115">
        <v>1</v>
      </c>
      <c r="D115">
        <v>0</v>
      </c>
      <c r="E115">
        <v>1</v>
      </c>
      <c r="F115">
        <v>22</v>
      </c>
      <c r="G115" t="b">
        <v>0</v>
      </c>
      <c r="H115">
        <v>3</v>
      </c>
      <c r="I115">
        <v>1</v>
      </c>
      <c r="J115">
        <v>0.18</v>
      </c>
    </row>
    <row r="116" spans="1:10">
      <c r="A116">
        <v>115</v>
      </c>
      <c r="B116" s="2">
        <v>40548</v>
      </c>
      <c r="C116">
        <v>1</v>
      </c>
      <c r="D116">
        <v>0</v>
      </c>
      <c r="E116">
        <v>1</v>
      </c>
      <c r="F116">
        <v>23</v>
      </c>
      <c r="G116" t="b">
        <v>0</v>
      </c>
      <c r="H116">
        <v>3</v>
      </c>
      <c r="I116">
        <v>1</v>
      </c>
      <c r="J116">
        <v>0.2</v>
      </c>
    </row>
    <row r="117" spans="1:10">
      <c r="A117">
        <v>116</v>
      </c>
      <c r="B117" s="2">
        <v>40549</v>
      </c>
      <c r="C117">
        <v>1</v>
      </c>
      <c r="D117">
        <v>0</v>
      </c>
      <c r="E117">
        <v>1</v>
      </c>
      <c r="F117">
        <v>0</v>
      </c>
      <c r="G117" t="b">
        <v>0</v>
      </c>
      <c r="H117">
        <v>4</v>
      </c>
      <c r="I117">
        <v>1</v>
      </c>
      <c r="J117">
        <v>0.18</v>
      </c>
    </row>
    <row r="118" spans="1:10">
      <c r="A118">
        <v>117</v>
      </c>
      <c r="B118" s="2">
        <v>40549</v>
      </c>
      <c r="C118">
        <v>1</v>
      </c>
      <c r="D118">
        <v>0</v>
      </c>
      <c r="E118">
        <v>1</v>
      </c>
      <c r="F118">
        <v>1</v>
      </c>
      <c r="G118" t="b">
        <v>0</v>
      </c>
      <c r="H118">
        <v>4</v>
      </c>
      <c r="I118">
        <v>1</v>
      </c>
      <c r="J118">
        <v>0.16</v>
      </c>
    </row>
    <row r="119" spans="1:10">
      <c r="A119">
        <v>118</v>
      </c>
      <c r="B119" s="2">
        <v>40549</v>
      </c>
      <c r="C119">
        <v>1</v>
      </c>
      <c r="D119">
        <v>0</v>
      </c>
      <c r="E119">
        <v>1</v>
      </c>
      <c r="F119">
        <v>2</v>
      </c>
      <c r="G119" t="b">
        <v>0</v>
      </c>
      <c r="H119">
        <v>4</v>
      </c>
      <c r="I119">
        <v>1</v>
      </c>
      <c r="J119">
        <v>0.16</v>
      </c>
    </row>
    <row r="120" spans="1:10">
      <c r="A120">
        <v>119</v>
      </c>
      <c r="B120" s="2">
        <v>40549</v>
      </c>
      <c r="C120">
        <v>1</v>
      </c>
      <c r="D120">
        <v>0</v>
      </c>
      <c r="E120">
        <v>1</v>
      </c>
      <c r="F120">
        <v>4</v>
      </c>
      <c r="G120" t="b">
        <v>0</v>
      </c>
      <c r="H120">
        <v>4</v>
      </c>
      <c r="I120">
        <v>2</v>
      </c>
      <c r="J120">
        <v>0.16</v>
      </c>
    </row>
    <row r="121" spans="1:10">
      <c r="A121">
        <v>120</v>
      </c>
      <c r="B121" s="2">
        <v>40549</v>
      </c>
      <c r="C121">
        <v>1</v>
      </c>
      <c r="D121">
        <v>0</v>
      </c>
      <c r="E121">
        <v>1</v>
      </c>
      <c r="F121">
        <v>5</v>
      </c>
      <c r="G121" t="b">
        <v>0</v>
      </c>
      <c r="H121">
        <v>4</v>
      </c>
      <c r="I121">
        <v>2</v>
      </c>
      <c r="J121">
        <v>0.14000000000000001</v>
      </c>
    </row>
    <row r="122" spans="1:10">
      <c r="A122">
        <v>121</v>
      </c>
      <c r="B122" s="2">
        <v>40549</v>
      </c>
      <c r="C122">
        <v>1</v>
      </c>
      <c r="D122">
        <v>0</v>
      </c>
      <c r="E122">
        <v>1</v>
      </c>
      <c r="F122">
        <v>6</v>
      </c>
      <c r="G122" t="b">
        <v>0</v>
      </c>
      <c r="H122">
        <v>4</v>
      </c>
      <c r="I122">
        <v>2</v>
      </c>
      <c r="J122">
        <v>0.14000000000000001</v>
      </c>
    </row>
    <row r="123" spans="1:10">
      <c r="A123">
        <v>122</v>
      </c>
      <c r="B123" s="2">
        <v>40549</v>
      </c>
      <c r="C123">
        <v>1</v>
      </c>
      <c r="D123">
        <v>0</v>
      </c>
      <c r="E123">
        <v>1</v>
      </c>
      <c r="F123">
        <v>7</v>
      </c>
      <c r="G123" t="b">
        <v>0</v>
      </c>
      <c r="H123">
        <v>4</v>
      </c>
      <c r="I123">
        <v>2</v>
      </c>
      <c r="J123">
        <v>0.16</v>
      </c>
    </row>
    <row r="124" spans="1:10">
      <c r="A124">
        <v>123</v>
      </c>
      <c r="B124" s="2">
        <v>40549</v>
      </c>
      <c r="C124">
        <v>1</v>
      </c>
      <c r="D124">
        <v>0</v>
      </c>
      <c r="E124">
        <v>1</v>
      </c>
      <c r="F124">
        <v>8</v>
      </c>
      <c r="G124" t="b">
        <v>0</v>
      </c>
      <c r="H124">
        <v>4</v>
      </c>
      <c r="I124">
        <v>1</v>
      </c>
      <c r="J124">
        <v>0.16</v>
      </c>
    </row>
    <row r="125" spans="1:10">
      <c r="A125">
        <v>124</v>
      </c>
      <c r="B125" s="2">
        <v>40549</v>
      </c>
      <c r="C125">
        <v>1</v>
      </c>
      <c r="D125">
        <v>0</v>
      </c>
      <c r="E125">
        <v>1</v>
      </c>
      <c r="F125">
        <v>9</v>
      </c>
      <c r="G125" t="b">
        <v>0</v>
      </c>
      <c r="H125">
        <v>4</v>
      </c>
      <c r="I125">
        <v>2</v>
      </c>
      <c r="J125">
        <v>0.18</v>
      </c>
    </row>
    <row r="126" spans="1:10">
      <c r="A126">
        <v>125</v>
      </c>
      <c r="B126" s="2">
        <v>40549</v>
      </c>
      <c r="C126">
        <v>1</v>
      </c>
      <c r="D126">
        <v>0</v>
      </c>
      <c r="E126">
        <v>1</v>
      </c>
      <c r="F126">
        <v>10</v>
      </c>
      <c r="G126" t="b">
        <v>0</v>
      </c>
      <c r="H126">
        <v>4</v>
      </c>
      <c r="I126">
        <v>1</v>
      </c>
      <c r="J126">
        <v>0.2</v>
      </c>
    </row>
    <row r="127" spans="1:10">
      <c r="A127">
        <v>126</v>
      </c>
      <c r="B127" s="2">
        <v>40549</v>
      </c>
      <c r="C127">
        <v>1</v>
      </c>
      <c r="D127">
        <v>0</v>
      </c>
      <c r="E127">
        <v>1</v>
      </c>
      <c r="F127">
        <v>11</v>
      </c>
      <c r="G127" t="b">
        <v>0</v>
      </c>
      <c r="H127">
        <v>4</v>
      </c>
      <c r="I127">
        <v>1</v>
      </c>
      <c r="J127">
        <v>0.22</v>
      </c>
    </row>
    <row r="128" spans="1:10">
      <c r="A128">
        <v>127</v>
      </c>
      <c r="B128" s="2">
        <v>40549</v>
      </c>
      <c r="C128">
        <v>1</v>
      </c>
      <c r="D128">
        <v>0</v>
      </c>
      <c r="E128">
        <v>1</v>
      </c>
      <c r="F128">
        <v>12</v>
      </c>
      <c r="G128" t="b">
        <v>0</v>
      </c>
      <c r="H128">
        <v>4</v>
      </c>
      <c r="I128">
        <v>1</v>
      </c>
      <c r="J128">
        <v>0.26</v>
      </c>
    </row>
    <row r="129" spans="1:10">
      <c r="A129">
        <v>128</v>
      </c>
      <c r="B129" s="2">
        <v>40549</v>
      </c>
      <c r="C129">
        <v>1</v>
      </c>
      <c r="D129">
        <v>0</v>
      </c>
      <c r="E129">
        <v>1</v>
      </c>
      <c r="F129">
        <v>13</v>
      </c>
      <c r="G129" t="b">
        <v>0</v>
      </c>
      <c r="H129">
        <v>4</v>
      </c>
      <c r="I129">
        <v>1</v>
      </c>
      <c r="J129">
        <v>0.26</v>
      </c>
    </row>
    <row r="130" spans="1:10">
      <c r="A130">
        <v>129</v>
      </c>
      <c r="B130" s="2">
        <v>40549</v>
      </c>
      <c r="C130">
        <v>1</v>
      </c>
      <c r="D130">
        <v>0</v>
      </c>
      <c r="E130">
        <v>1</v>
      </c>
      <c r="F130">
        <v>14</v>
      </c>
      <c r="G130" t="b">
        <v>0</v>
      </c>
      <c r="H130">
        <v>4</v>
      </c>
      <c r="I130">
        <v>1</v>
      </c>
      <c r="J130">
        <v>0.28000000000000003</v>
      </c>
    </row>
    <row r="131" spans="1:10">
      <c r="A131">
        <v>130</v>
      </c>
      <c r="B131" s="2">
        <v>40549</v>
      </c>
      <c r="C131">
        <v>1</v>
      </c>
      <c r="D131">
        <v>0</v>
      </c>
      <c r="E131">
        <v>1</v>
      </c>
      <c r="F131">
        <v>15</v>
      </c>
      <c r="G131" t="b">
        <v>0</v>
      </c>
      <c r="H131">
        <v>4</v>
      </c>
      <c r="I131">
        <v>1</v>
      </c>
      <c r="J131">
        <v>0.28000000000000003</v>
      </c>
    </row>
    <row r="132" spans="1:10">
      <c r="A132">
        <v>131</v>
      </c>
      <c r="B132" s="2">
        <v>40549</v>
      </c>
      <c r="C132">
        <v>1</v>
      </c>
      <c r="D132">
        <v>0</v>
      </c>
      <c r="E132">
        <v>1</v>
      </c>
      <c r="F132">
        <v>16</v>
      </c>
      <c r="G132" t="b">
        <v>0</v>
      </c>
      <c r="H132">
        <v>4</v>
      </c>
      <c r="I132">
        <v>1</v>
      </c>
      <c r="J132">
        <v>0.26</v>
      </c>
    </row>
    <row r="133" spans="1:10">
      <c r="A133">
        <v>132</v>
      </c>
      <c r="B133" s="2">
        <v>40549</v>
      </c>
      <c r="C133">
        <v>1</v>
      </c>
      <c r="D133">
        <v>0</v>
      </c>
      <c r="E133">
        <v>1</v>
      </c>
      <c r="F133">
        <v>17</v>
      </c>
      <c r="G133" t="b">
        <v>0</v>
      </c>
      <c r="H133">
        <v>4</v>
      </c>
      <c r="I133">
        <v>1</v>
      </c>
      <c r="J133">
        <v>0.22</v>
      </c>
    </row>
    <row r="134" spans="1:10">
      <c r="A134">
        <v>133</v>
      </c>
      <c r="B134" s="2">
        <v>40549</v>
      </c>
      <c r="C134">
        <v>1</v>
      </c>
      <c r="D134">
        <v>0</v>
      </c>
      <c r="E134">
        <v>1</v>
      </c>
      <c r="F134">
        <v>18</v>
      </c>
      <c r="G134" t="b">
        <v>0</v>
      </c>
      <c r="H134">
        <v>4</v>
      </c>
      <c r="I134">
        <v>1</v>
      </c>
      <c r="J134">
        <v>0.22</v>
      </c>
    </row>
    <row r="135" spans="1:10">
      <c r="A135">
        <v>134</v>
      </c>
      <c r="B135" s="2">
        <v>40549</v>
      </c>
      <c r="C135">
        <v>1</v>
      </c>
      <c r="D135">
        <v>0</v>
      </c>
      <c r="E135">
        <v>1</v>
      </c>
      <c r="F135">
        <v>19</v>
      </c>
      <c r="G135" t="b">
        <v>0</v>
      </c>
      <c r="H135">
        <v>4</v>
      </c>
      <c r="I135">
        <v>1</v>
      </c>
      <c r="J135">
        <v>0.22</v>
      </c>
    </row>
    <row r="136" spans="1:10">
      <c r="A136">
        <v>135</v>
      </c>
      <c r="B136" s="2">
        <v>40549</v>
      </c>
      <c r="C136">
        <v>1</v>
      </c>
      <c r="D136">
        <v>0</v>
      </c>
      <c r="E136">
        <v>1</v>
      </c>
      <c r="F136">
        <v>20</v>
      </c>
      <c r="G136" t="b">
        <v>0</v>
      </c>
      <c r="H136">
        <v>4</v>
      </c>
      <c r="I136">
        <v>1</v>
      </c>
      <c r="J136">
        <v>0.2</v>
      </c>
    </row>
    <row r="137" spans="1:10">
      <c r="A137">
        <v>136</v>
      </c>
      <c r="B137" s="2">
        <v>40549</v>
      </c>
      <c r="C137">
        <v>1</v>
      </c>
      <c r="D137">
        <v>0</v>
      </c>
      <c r="E137">
        <v>1</v>
      </c>
      <c r="F137">
        <v>21</v>
      </c>
      <c r="G137" t="b">
        <v>0</v>
      </c>
      <c r="H137">
        <v>4</v>
      </c>
      <c r="I137">
        <v>2</v>
      </c>
      <c r="J137">
        <v>0.22</v>
      </c>
    </row>
    <row r="138" spans="1:10">
      <c r="A138">
        <v>137</v>
      </c>
      <c r="B138" s="2">
        <v>40549</v>
      </c>
      <c r="C138">
        <v>1</v>
      </c>
      <c r="D138">
        <v>0</v>
      </c>
      <c r="E138">
        <v>1</v>
      </c>
      <c r="F138">
        <v>22</v>
      </c>
      <c r="G138" t="b">
        <v>0</v>
      </c>
      <c r="H138">
        <v>4</v>
      </c>
      <c r="I138">
        <v>2</v>
      </c>
      <c r="J138">
        <v>0.22</v>
      </c>
    </row>
    <row r="139" spans="1:10">
      <c r="A139">
        <v>138</v>
      </c>
      <c r="B139" s="2">
        <v>40549</v>
      </c>
      <c r="C139">
        <v>1</v>
      </c>
      <c r="D139">
        <v>0</v>
      </c>
      <c r="E139">
        <v>1</v>
      </c>
      <c r="F139">
        <v>23</v>
      </c>
      <c r="G139" t="b">
        <v>0</v>
      </c>
      <c r="H139">
        <v>4</v>
      </c>
      <c r="I139">
        <v>2</v>
      </c>
      <c r="J139">
        <v>0.2</v>
      </c>
    </row>
    <row r="140" spans="1:10">
      <c r="A140">
        <v>139</v>
      </c>
      <c r="B140" s="2">
        <v>40550</v>
      </c>
      <c r="C140">
        <v>1</v>
      </c>
      <c r="D140">
        <v>0</v>
      </c>
      <c r="E140">
        <v>1</v>
      </c>
      <c r="F140">
        <v>0</v>
      </c>
      <c r="G140" t="b">
        <v>0</v>
      </c>
      <c r="H140">
        <v>5</v>
      </c>
      <c r="I140">
        <v>2</v>
      </c>
      <c r="J140">
        <v>0.2</v>
      </c>
    </row>
    <row r="141" spans="1:10">
      <c r="A141">
        <v>140</v>
      </c>
      <c r="B141" s="2">
        <v>40550</v>
      </c>
      <c r="C141">
        <v>1</v>
      </c>
      <c r="D141">
        <v>0</v>
      </c>
      <c r="E141">
        <v>1</v>
      </c>
      <c r="F141">
        <v>1</v>
      </c>
      <c r="G141" t="b">
        <v>0</v>
      </c>
      <c r="H141">
        <v>5</v>
      </c>
      <c r="I141">
        <v>2</v>
      </c>
      <c r="J141">
        <v>0.2</v>
      </c>
    </row>
    <row r="142" spans="1:10">
      <c r="A142">
        <v>141</v>
      </c>
      <c r="B142" s="2">
        <v>40550</v>
      </c>
      <c r="C142">
        <v>1</v>
      </c>
      <c r="D142">
        <v>0</v>
      </c>
      <c r="E142">
        <v>1</v>
      </c>
      <c r="F142">
        <v>2</v>
      </c>
      <c r="G142" t="b">
        <v>0</v>
      </c>
      <c r="H142">
        <v>5</v>
      </c>
      <c r="I142">
        <v>2</v>
      </c>
      <c r="J142">
        <v>0.2</v>
      </c>
    </row>
    <row r="143" spans="1:10">
      <c r="A143">
        <v>142</v>
      </c>
      <c r="B143" s="2">
        <v>40550</v>
      </c>
      <c r="C143">
        <v>1</v>
      </c>
      <c r="D143">
        <v>0</v>
      </c>
      <c r="E143">
        <v>1</v>
      </c>
      <c r="F143">
        <v>4</v>
      </c>
      <c r="G143" t="b">
        <v>0</v>
      </c>
      <c r="H143">
        <v>5</v>
      </c>
      <c r="I143">
        <v>2</v>
      </c>
      <c r="J143">
        <v>0.2</v>
      </c>
    </row>
    <row r="144" spans="1:10">
      <c r="A144">
        <v>143</v>
      </c>
      <c r="B144" s="2">
        <v>40550</v>
      </c>
      <c r="C144">
        <v>1</v>
      </c>
      <c r="D144">
        <v>0</v>
      </c>
      <c r="E144">
        <v>1</v>
      </c>
      <c r="F144">
        <v>5</v>
      </c>
      <c r="G144" t="b">
        <v>0</v>
      </c>
      <c r="H144">
        <v>5</v>
      </c>
      <c r="I144">
        <v>3</v>
      </c>
      <c r="J144">
        <v>0.22</v>
      </c>
    </row>
    <row r="145" spans="1:10">
      <c r="A145">
        <v>144</v>
      </c>
      <c r="B145" s="2">
        <v>40550</v>
      </c>
      <c r="C145">
        <v>1</v>
      </c>
      <c r="D145">
        <v>0</v>
      </c>
      <c r="E145">
        <v>1</v>
      </c>
      <c r="F145">
        <v>6</v>
      </c>
      <c r="G145" t="b">
        <v>0</v>
      </c>
      <c r="H145">
        <v>5</v>
      </c>
      <c r="I145">
        <v>2</v>
      </c>
      <c r="J145">
        <v>0.2</v>
      </c>
    </row>
    <row r="146" spans="1:10">
      <c r="A146">
        <v>145</v>
      </c>
      <c r="B146" s="2">
        <v>40550</v>
      </c>
      <c r="C146">
        <v>1</v>
      </c>
      <c r="D146">
        <v>0</v>
      </c>
      <c r="E146">
        <v>1</v>
      </c>
      <c r="F146">
        <v>7</v>
      </c>
      <c r="G146" t="b">
        <v>0</v>
      </c>
      <c r="H146">
        <v>5</v>
      </c>
      <c r="I146">
        <v>1</v>
      </c>
      <c r="J146">
        <v>0.2</v>
      </c>
    </row>
    <row r="147" spans="1:10">
      <c r="A147">
        <v>146</v>
      </c>
      <c r="B147" s="2">
        <v>40550</v>
      </c>
      <c r="C147">
        <v>1</v>
      </c>
      <c r="D147">
        <v>0</v>
      </c>
      <c r="E147">
        <v>1</v>
      </c>
      <c r="F147">
        <v>8</v>
      </c>
      <c r="G147" t="b">
        <v>0</v>
      </c>
      <c r="H147">
        <v>5</v>
      </c>
      <c r="I147">
        <v>1</v>
      </c>
      <c r="J147">
        <v>0.2</v>
      </c>
    </row>
    <row r="148" spans="1:10">
      <c r="A148">
        <v>147</v>
      </c>
      <c r="B148" s="2">
        <v>40550</v>
      </c>
      <c r="C148">
        <v>1</v>
      </c>
      <c r="D148">
        <v>0</v>
      </c>
      <c r="E148">
        <v>1</v>
      </c>
      <c r="F148">
        <v>9</v>
      </c>
      <c r="G148" t="b">
        <v>0</v>
      </c>
      <c r="H148">
        <v>5</v>
      </c>
      <c r="I148">
        <v>1</v>
      </c>
      <c r="J148">
        <v>0.2</v>
      </c>
    </row>
    <row r="149" spans="1:10">
      <c r="A149">
        <v>148</v>
      </c>
      <c r="B149" s="2">
        <v>40550</v>
      </c>
      <c r="C149">
        <v>1</v>
      </c>
      <c r="D149">
        <v>0</v>
      </c>
      <c r="E149">
        <v>1</v>
      </c>
      <c r="F149">
        <v>10</v>
      </c>
      <c r="G149" t="b">
        <v>0</v>
      </c>
      <c r="H149">
        <v>5</v>
      </c>
      <c r="I149">
        <v>1</v>
      </c>
      <c r="J149">
        <v>0.22</v>
      </c>
    </row>
    <row r="150" spans="1:10">
      <c r="A150">
        <v>149</v>
      </c>
      <c r="B150" s="2">
        <v>40550</v>
      </c>
      <c r="C150">
        <v>1</v>
      </c>
      <c r="D150">
        <v>0</v>
      </c>
      <c r="E150">
        <v>1</v>
      </c>
      <c r="F150">
        <v>11</v>
      </c>
      <c r="G150" t="b">
        <v>0</v>
      </c>
      <c r="H150">
        <v>5</v>
      </c>
      <c r="I150">
        <v>2</v>
      </c>
      <c r="J150">
        <v>0.2</v>
      </c>
    </row>
    <row r="151" spans="1:10">
      <c r="A151">
        <v>150</v>
      </c>
      <c r="B151" s="2">
        <v>40550</v>
      </c>
      <c r="C151">
        <v>1</v>
      </c>
      <c r="D151">
        <v>0</v>
      </c>
      <c r="E151">
        <v>1</v>
      </c>
      <c r="F151">
        <v>12</v>
      </c>
      <c r="G151" t="b">
        <v>0</v>
      </c>
      <c r="H151">
        <v>5</v>
      </c>
      <c r="I151">
        <v>2</v>
      </c>
      <c r="J151">
        <v>0.2</v>
      </c>
    </row>
    <row r="152" spans="1:10">
      <c r="A152">
        <v>151</v>
      </c>
      <c r="B152" s="2">
        <v>40550</v>
      </c>
      <c r="C152">
        <v>1</v>
      </c>
      <c r="D152">
        <v>0</v>
      </c>
      <c r="E152">
        <v>1</v>
      </c>
      <c r="F152">
        <v>13</v>
      </c>
      <c r="G152" t="b">
        <v>0</v>
      </c>
      <c r="H152">
        <v>5</v>
      </c>
      <c r="I152">
        <v>2</v>
      </c>
      <c r="J152">
        <v>0.2</v>
      </c>
    </row>
    <row r="153" spans="1:10">
      <c r="A153">
        <v>152</v>
      </c>
      <c r="B153" s="2">
        <v>40550</v>
      </c>
      <c r="C153">
        <v>1</v>
      </c>
      <c r="D153">
        <v>0</v>
      </c>
      <c r="E153">
        <v>1</v>
      </c>
      <c r="F153">
        <v>14</v>
      </c>
      <c r="G153" t="b">
        <v>0</v>
      </c>
      <c r="H153">
        <v>5</v>
      </c>
      <c r="I153">
        <v>2</v>
      </c>
      <c r="J153">
        <v>0.2</v>
      </c>
    </row>
    <row r="154" spans="1:10">
      <c r="A154">
        <v>153</v>
      </c>
      <c r="B154" s="2">
        <v>40550</v>
      </c>
      <c r="C154">
        <v>1</v>
      </c>
      <c r="D154">
        <v>0</v>
      </c>
      <c r="E154">
        <v>1</v>
      </c>
      <c r="F154">
        <v>15</v>
      </c>
      <c r="G154" t="b">
        <v>0</v>
      </c>
      <c r="H154">
        <v>5</v>
      </c>
      <c r="I154">
        <v>2</v>
      </c>
      <c r="J154">
        <v>0.2</v>
      </c>
    </row>
    <row r="155" spans="1:10">
      <c r="A155">
        <v>154</v>
      </c>
      <c r="B155" s="2">
        <v>40550</v>
      </c>
      <c r="C155">
        <v>1</v>
      </c>
      <c r="D155">
        <v>0</v>
      </c>
      <c r="E155">
        <v>1</v>
      </c>
      <c r="F155">
        <v>16</v>
      </c>
      <c r="G155" t="b">
        <v>0</v>
      </c>
      <c r="H155">
        <v>5</v>
      </c>
      <c r="I155">
        <v>2</v>
      </c>
      <c r="J155">
        <v>0.2</v>
      </c>
    </row>
    <row r="156" spans="1:10">
      <c r="A156">
        <v>155</v>
      </c>
      <c r="B156" s="2">
        <v>40550</v>
      </c>
      <c r="C156">
        <v>1</v>
      </c>
      <c r="D156">
        <v>0</v>
      </c>
      <c r="E156">
        <v>1</v>
      </c>
      <c r="F156">
        <v>17</v>
      </c>
      <c r="G156" t="b">
        <v>0</v>
      </c>
      <c r="H156">
        <v>5</v>
      </c>
      <c r="I156">
        <v>2</v>
      </c>
      <c r="J156">
        <v>0.2</v>
      </c>
    </row>
    <row r="157" spans="1:10">
      <c r="A157">
        <v>156</v>
      </c>
      <c r="B157" s="2">
        <v>40550</v>
      </c>
      <c r="C157">
        <v>1</v>
      </c>
      <c r="D157">
        <v>0</v>
      </c>
      <c r="E157">
        <v>1</v>
      </c>
      <c r="F157">
        <v>18</v>
      </c>
      <c r="G157" t="b">
        <v>0</v>
      </c>
      <c r="H157">
        <v>5</v>
      </c>
      <c r="I157">
        <v>1</v>
      </c>
      <c r="J157">
        <v>0.2</v>
      </c>
    </row>
    <row r="158" spans="1:10">
      <c r="A158">
        <v>157</v>
      </c>
      <c r="B158" s="2">
        <v>40550</v>
      </c>
      <c r="C158">
        <v>1</v>
      </c>
      <c r="D158">
        <v>0</v>
      </c>
      <c r="E158">
        <v>1</v>
      </c>
      <c r="F158">
        <v>19</v>
      </c>
      <c r="G158" t="b">
        <v>0</v>
      </c>
      <c r="H158">
        <v>5</v>
      </c>
      <c r="I158">
        <v>1</v>
      </c>
      <c r="J158">
        <v>0.16</v>
      </c>
    </row>
    <row r="159" spans="1:10">
      <c r="A159">
        <v>158</v>
      </c>
      <c r="B159" s="2">
        <v>40550</v>
      </c>
      <c r="C159">
        <v>1</v>
      </c>
      <c r="D159">
        <v>0</v>
      </c>
      <c r="E159">
        <v>1</v>
      </c>
      <c r="F159">
        <v>20</v>
      </c>
      <c r="G159" t="b">
        <v>0</v>
      </c>
      <c r="H159">
        <v>5</v>
      </c>
      <c r="I159">
        <v>1</v>
      </c>
      <c r="J159">
        <v>0.18</v>
      </c>
    </row>
    <row r="160" spans="1:10">
      <c r="A160">
        <v>159</v>
      </c>
      <c r="B160" s="2">
        <v>40550</v>
      </c>
      <c r="C160">
        <v>1</v>
      </c>
      <c r="D160">
        <v>0</v>
      </c>
      <c r="E160">
        <v>1</v>
      </c>
      <c r="F160">
        <v>21</v>
      </c>
      <c r="G160" t="b">
        <v>0</v>
      </c>
      <c r="H160">
        <v>5</v>
      </c>
      <c r="I160">
        <v>1</v>
      </c>
      <c r="J160">
        <v>0.18</v>
      </c>
    </row>
    <row r="161" spans="1:10">
      <c r="A161">
        <v>160</v>
      </c>
      <c r="B161" s="2">
        <v>40550</v>
      </c>
      <c r="C161">
        <v>1</v>
      </c>
      <c r="D161">
        <v>0</v>
      </c>
      <c r="E161">
        <v>1</v>
      </c>
      <c r="F161">
        <v>22</v>
      </c>
      <c r="G161" t="b">
        <v>0</v>
      </c>
      <c r="H161">
        <v>5</v>
      </c>
      <c r="I161">
        <v>2</v>
      </c>
      <c r="J161">
        <v>0.18</v>
      </c>
    </row>
    <row r="162" spans="1:10">
      <c r="A162">
        <v>161</v>
      </c>
      <c r="B162" s="2">
        <v>40550</v>
      </c>
      <c r="C162">
        <v>1</v>
      </c>
      <c r="D162">
        <v>0</v>
      </c>
      <c r="E162">
        <v>1</v>
      </c>
      <c r="F162">
        <v>23</v>
      </c>
      <c r="G162" t="b">
        <v>0</v>
      </c>
      <c r="H162">
        <v>5</v>
      </c>
      <c r="I162">
        <v>2</v>
      </c>
      <c r="J162">
        <v>0.18</v>
      </c>
    </row>
    <row r="163" spans="1:10">
      <c r="A163">
        <v>162</v>
      </c>
      <c r="B163" s="2">
        <v>40551</v>
      </c>
      <c r="C163">
        <v>1</v>
      </c>
      <c r="D163">
        <v>0</v>
      </c>
      <c r="E163">
        <v>1</v>
      </c>
      <c r="F163">
        <v>0</v>
      </c>
      <c r="G163" t="b">
        <v>0</v>
      </c>
      <c r="H163">
        <v>6</v>
      </c>
      <c r="I163">
        <v>2</v>
      </c>
      <c r="J163">
        <v>0.18</v>
      </c>
    </row>
    <row r="164" spans="1:10">
      <c r="A164">
        <v>163</v>
      </c>
      <c r="B164" s="2">
        <v>40551</v>
      </c>
      <c r="C164">
        <v>1</v>
      </c>
      <c r="D164">
        <v>0</v>
      </c>
      <c r="E164">
        <v>1</v>
      </c>
      <c r="F164">
        <v>1</v>
      </c>
      <c r="G164" t="b">
        <v>0</v>
      </c>
      <c r="H164">
        <v>6</v>
      </c>
      <c r="I164">
        <v>2</v>
      </c>
      <c r="J164">
        <v>0.18</v>
      </c>
    </row>
    <row r="165" spans="1:10">
      <c r="A165">
        <v>164</v>
      </c>
      <c r="B165" s="2">
        <v>40551</v>
      </c>
      <c r="C165">
        <v>1</v>
      </c>
      <c r="D165">
        <v>0</v>
      </c>
      <c r="E165">
        <v>1</v>
      </c>
      <c r="F165">
        <v>2</v>
      </c>
      <c r="G165" t="b">
        <v>0</v>
      </c>
      <c r="H165">
        <v>6</v>
      </c>
      <c r="I165">
        <v>2</v>
      </c>
      <c r="J165">
        <v>0.18</v>
      </c>
    </row>
    <row r="166" spans="1:10">
      <c r="A166">
        <v>165</v>
      </c>
      <c r="B166" s="2">
        <v>40551</v>
      </c>
      <c r="C166">
        <v>1</v>
      </c>
      <c r="D166">
        <v>0</v>
      </c>
      <c r="E166">
        <v>1</v>
      </c>
      <c r="F166">
        <v>3</v>
      </c>
      <c r="G166" t="b">
        <v>0</v>
      </c>
      <c r="H166">
        <v>6</v>
      </c>
      <c r="I166">
        <v>3</v>
      </c>
      <c r="J166">
        <v>0.18</v>
      </c>
    </row>
    <row r="167" spans="1:10">
      <c r="A167">
        <v>166</v>
      </c>
      <c r="B167" s="2">
        <v>40551</v>
      </c>
      <c r="C167">
        <v>1</v>
      </c>
      <c r="D167">
        <v>0</v>
      </c>
      <c r="E167">
        <v>1</v>
      </c>
      <c r="F167">
        <v>4</v>
      </c>
      <c r="G167" t="b">
        <v>0</v>
      </c>
      <c r="H167">
        <v>6</v>
      </c>
      <c r="I167">
        <v>3</v>
      </c>
      <c r="J167">
        <v>0.18</v>
      </c>
    </row>
    <row r="168" spans="1:10">
      <c r="A168">
        <v>167</v>
      </c>
      <c r="B168" s="2">
        <v>40551</v>
      </c>
      <c r="C168">
        <v>1</v>
      </c>
      <c r="D168">
        <v>0</v>
      </c>
      <c r="E168">
        <v>1</v>
      </c>
      <c r="F168">
        <v>5</v>
      </c>
      <c r="G168" t="b">
        <v>0</v>
      </c>
      <c r="H168">
        <v>6</v>
      </c>
      <c r="I168">
        <v>2</v>
      </c>
      <c r="J168">
        <v>0.16</v>
      </c>
    </row>
    <row r="169" spans="1:10">
      <c r="A169">
        <v>168</v>
      </c>
      <c r="B169" s="2">
        <v>40551</v>
      </c>
      <c r="C169">
        <v>1</v>
      </c>
      <c r="D169">
        <v>0</v>
      </c>
      <c r="E169">
        <v>1</v>
      </c>
      <c r="F169">
        <v>6</v>
      </c>
      <c r="G169" t="b">
        <v>0</v>
      </c>
      <c r="H169">
        <v>6</v>
      </c>
      <c r="I169">
        <v>2</v>
      </c>
      <c r="J169">
        <v>0.16</v>
      </c>
    </row>
    <row r="170" spans="1:10">
      <c r="A170">
        <v>169</v>
      </c>
      <c r="B170" s="2">
        <v>40551</v>
      </c>
      <c r="C170">
        <v>1</v>
      </c>
      <c r="D170">
        <v>0</v>
      </c>
      <c r="E170">
        <v>1</v>
      </c>
      <c r="F170">
        <v>7</v>
      </c>
      <c r="G170" t="b">
        <v>0</v>
      </c>
      <c r="H170">
        <v>6</v>
      </c>
      <c r="I170">
        <v>2</v>
      </c>
      <c r="J170">
        <v>0.16</v>
      </c>
    </row>
    <row r="171" spans="1:10">
      <c r="A171">
        <v>170</v>
      </c>
      <c r="B171" s="2">
        <v>40551</v>
      </c>
      <c r="C171">
        <v>1</v>
      </c>
      <c r="D171">
        <v>0</v>
      </c>
      <c r="E171">
        <v>1</v>
      </c>
      <c r="F171">
        <v>8</v>
      </c>
      <c r="G171" t="b">
        <v>0</v>
      </c>
      <c r="H171">
        <v>6</v>
      </c>
      <c r="I171">
        <v>3</v>
      </c>
      <c r="J171">
        <v>0.16</v>
      </c>
    </row>
    <row r="172" spans="1:10">
      <c r="A172">
        <v>171</v>
      </c>
      <c r="B172" s="2">
        <v>40551</v>
      </c>
      <c r="C172">
        <v>1</v>
      </c>
      <c r="D172">
        <v>0</v>
      </c>
      <c r="E172">
        <v>1</v>
      </c>
      <c r="F172">
        <v>9</v>
      </c>
      <c r="G172" t="b">
        <v>0</v>
      </c>
      <c r="H172">
        <v>6</v>
      </c>
      <c r="I172">
        <v>3</v>
      </c>
      <c r="J172">
        <v>0.16</v>
      </c>
    </row>
    <row r="173" spans="1:10">
      <c r="A173">
        <v>172</v>
      </c>
      <c r="B173" s="2">
        <v>40551</v>
      </c>
      <c r="C173">
        <v>1</v>
      </c>
      <c r="D173">
        <v>0</v>
      </c>
      <c r="E173">
        <v>1</v>
      </c>
      <c r="F173">
        <v>10</v>
      </c>
      <c r="G173" t="b">
        <v>0</v>
      </c>
      <c r="H173">
        <v>6</v>
      </c>
      <c r="I173">
        <v>2</v>
      </c>
      <c r="J173">
        <v>0.18</v>
      </c>
    </row>
    <row r="174" spans="1:10">
      <c r="A174">
        <v>173</v>
      </c>
      <c r="B174" s="2">
        <v>40551</v>
      </c>
      <c r="C174">
        <v>1</v>
      </c>
      <c r="D174">
        <v>0</v>
      </c>
      <c r="E174">
        <v>1</v>
      </c>
      <c r="F174">
        <v>11</v>
      </c>
      <c r="G174" t="b">
        <v>0</v>
      </c>
      <c r="H174">
        <v>6</v>
      </c>
      <c r="I174">
        <v>2</v>
      </c>
      <c r="J174">
        <v>0.2</v>
      </c>
    </row>
    <row r="175" spans="1:10">
      <c r="A175">
        <v>174</v>
      </c>
      <c r="B175" s="2">
        <v>40551</v>
      </c>
      <c r="C175">
        <v>1</v>
      </c>
      <c r="D175">
        <v>0</v>
      </c>
      <c r="E175">
        <v>1</v>
      </c>
      <c r="F175">
        <v>12</v>
      </c>
      <c r="G175" t="b">
        <v>0</v>
      </c>
      <c r="H175">
        <v>6</v>
      </c>
      <c r="I175">
        <v>2</v>
      </c>
      <c r="J175">
        <v>0.2</v>
      </c>
    </row>
    <row r="176" spans="1:10">
      <c r="A176">
        <v>175</v>
      </c>
      <c r="B176" s="2">
        <v>40551</v>
      </c>
      <c r="C176">
        <v>1</v>
      </c>
      <c r="D176">
        <v>0</v>
      </c>
      <c r="E176">
        <v>1</v>
      </c>
      <c r="F176">
        <v>13</v>
      </c>
      <c r="G176" t="b">
        <v>0</v>
      </c>
      <c r="H176">
        <v>6</v>
      </c>
      <c r="I176">
        <v>1</v>
      </c>
      <c r="J176">
        <v>0.2</v>
      </c>
    </row>
    <row r="177" spans="1:10">
      <c r="A177">
        <v>176</v>
      </c>
      <c r="B177" s="2">
        <v>40551</v>
      </c>
      <c r="C177">
        <v>1</v>
      </c>
      <c r="D177">
        <v>0</v>
      </c>
      <c r="E177">
        <v>1</v>
      </c>
      <c r="F177">
        <v>14</v>
      </c>
      <c r="G177" t="b">
        <v>0</v>
      </c>
      <c r="H177">
        <v>6</v>
      </c>
      <c r="I177">
        <v>1</v>
      </c>
      <c r="J177">
        <v>0.2</v>
      </c>
    </row>
    <row r="178" spans="1:10">
      <c r="A178">
        <v>177</v>
      </c>
      <c r="B178" s="2">
        <v>40551</v>
      </c>
      <c r="C178">
        <v>1</v>
      </c>
      <c r="D178">
        <v>0</v>
      </c>
      <c r="E178">
        <v>1</v>
      </c>
      <c r="F178">
        <v>15</v>
      </c>
      <c r="G178" t="b">
        <v>0</v>
      </c>
      <c r="H178">
        <v>6</v>
      </c>
      <c r="I178">
        <v>1</v>
      </c>
      <c r="J178">
        <v>0.2</v>
      </c>
    </row>
    <row r="179" spans="1:10">
      <c r="A179">
        <v>178</v>
      </c>
      <c r="B179" s="2">
        <v>40551</v>
      </c>
      <c r="C179">
        <v>1</v>
      </c>
      <c r="D179">
        <v>0</v>
      </c>
      <c r="E179">
        <v>1</v>
      </c>
      <c r="F179">
        <v>16</v>
      </c>
      <c r="G179" t="b">
        <v>0</v>
      </c>
      <c r="H179">
        <v>6</v>
      </c>
      <c r="I179">
        <v>1</v>
      </c>
      <c r="J179">
        <v>0.18</v>
      </c>
    </row>
    <row r="180" spans="1:10">
      <c r="A180">
        <v>179</v>
      </c>
      <c r="B180" s="2">
        <v>40551</v>
      </c>
      <c r="C180">
        <v>1</v>
      </c>
      <c r="D180">
        <v>0</v>
      </c>
      <c r="E180">
        <v>1</v>
      </c>
      <c r="F180">
        <v>17</v>
      </c>
      <c r="G180" t="b">
        <v>0</v>
      </c>
      <c r="H180">
        <v>6</v>
      </c>
      <c r="I180">
        <v>1</v>
      </c>
      <c r="J180">
        <v>0.16</v>
      </c>
    </row>
    <row r="181" spans="1:10">
      <c r="A181">
        <v>180</v>
      </c>
      <c r="B181" s="2">
        <v>40551</v>
      </c>
      <c r="C181">
        <v>1</v>
      </c>
      <c r="D181">
        <v>0</v>
      </c>
      <c r="E181">
        <v>1</v>
      </c>
      <c r="F181">
        <v>18</v>
      </c>
      <c r="G181" t="b">
        <v>0</v>
      </c>
      <c r="H181">
        <v>6</v>
      </c>
      <c r="I181">
        <v>1</v>
      </c>
      <c r="J181">
        <v>0.14000000000000001</v>
      </c>
    </row>
    <row r="182" spans="1:10">
      <c r="A182">
        <v>181</v>
      </c>
      <c r="B182" s="2">
        <v>40551</v>
      </c>
      <c r="C182">
        <v>1</v>
      </c>
      <c r="D182">
        <v>0</v>
      </c>
      <c r="E182">
        <v>1</v>
      </c>
      <c r="F182">
        <v>19</v>
      </c>
      <c r="G182" t="b">
        <v>0</v>
      </c>
      <c r="H182">
        <v>6</v>
      </c>
      <c r="I182">
        <v>1</v>
      </c>
      <c r="J182">
        <v>0.14000000000000001</v>
      </c>
    </row>
    <row r="183" spans="1:10">
      <c r="A183">
        <v>182</v>
      </c>
      <c r="B183" s="2">
        <v>40551</v>
      </c>
      <c r="C183">
        <v>1</v>
      </c>
      <c r="D183">
        <v>0</v>
      </c>
      <c r="E183">
        <v>1</v>
      </c>
      <c r="F183">
        <v>20</v>
      </c>
      <c r="G183" t="b">
        <v>0</v>
      </c>
      <c r="H183">
        <v>6</v>
      </c>
      <c r="I183">
        <v>1</v>
      </c>
      <c r="J183">
        <v>0.12</v>
      </c>
    </row>
    <row r="184" spans="1:10">
      <c r="A184">
        <v>183</v>
      </c>
      <c r="B184" s="2">
        <v>40551</v>
      </c>
      <c r="C184">
        <v>1</v>
      </c>
      <c r="D184">
        <v>0</v>
      </c>
      <c r="E184">
        <v>1</v>
      </c>
      <c r="F184">
        <v>21</v>
      </c>
      <c r="G184" t="b">
        <v>0</v>
      </c>
      <c r="H184">
        <v>6</v>
      </c>
      <c r="I184">
        <v>1</v>
      </c>
      <c r="J184">
        <v>0.12</v>
      </c>
    </row>
    <row r="185" spans="1:10">
      <c r="A185">
        <v>184</v>
      </c>
      <c r="B185" s="2">
        <v>40551</v>
      </c>
      <c r="C185">
        <v>1</v>
      </c>
      <c r="D185">
        <v>0</v>
      </c>
      <c r="E185">
        <v>1</v>
      </c>
      <c r="F185">
        <v>22</v>
      </c>
      <c r="G185" t="b">
        <v>0</v>
      </c>
      <c r="H185">
        <v>6</v>
      </c>
      <c r="I185">
        <v>1</v>
      </c>
      <c r="J185">
        <v>0.12</v>
      </c>
    </row>
    <row r="186" spans="1:10">
      <c r="A186">
        <v>185</v>
      </c>
      <c r="B186" s="2">
        <v>40551</v>
      </c>
      <c r="C186">
        <v>1</v>
      </c>
      <c r="D186">
        <v>0</v>
      </c>
      <c r="E186">
        <v>1</v>
      </c>
      <c r="F186">
        <v>23</v>
      </c>
      <c r="G186" t="b">
        <v>0</v>
      </c>
      <c r="H186">
        <v>6</v>
      </c>
      <c r="I186">
        <v>1</v>
      </c>
      <c r="J186">
        <v>0.1</v>
      </c>
    </row>
    <row r="187" spans="1:10">
      <c r="A187">
        <v>186</v>
      </c>
      <c r="B187" s="2">
        <v>40552</v>
      </c>
      <c r="C187">
        <v>1</v>
      </c>
      <c r="D187">
        <v>0</v>
      </c>
      <c r="E187">
        <v>1</v>
      </c>
      <c r="F187">
        <v>0</v>
      </c>
      <c r="G187" t="b">
        <v>0</v>
      </c>
      <c r="H187">
        <v>0</v>
      </c>
      <c r="I187">
        <v>1</v>
      </c>
      <c r="J187">
        <v>0.1</v>
      </c>
    </row>
    <row r="188" spans="1:10">
      <c r="A188">
        <v>187</v>
      </c>
      <c r="B188" s="2">
        <v>40552</v>
      </c>
      <c r="C188">
        <v>1</v>
      </c>
      <c r="D188">
        <v>0</v>
      </c>
      <c r="E188">
        <v>1</v>
      </c>
      <c r="F188">
        <v>1</v>
      </c>
      <c r="G188" t="b">
        <v>0</v>
      </c>
      <c r="H188">
        <v>0</v>
      </c>
      <c r="I188">
        <v>1</v>
      </c>
      <c r="J188">
        <v>0.1</v>
      </c>
    </row>
    <row r="189" spans="1:10">
      <c r="A189">
        <v>188</v>
      </c>
      <c r="B189" s="2">
        <v>40552</v>
      </c>
      <c r="C189">
        <v>1</v>
      </c>
      <c r="D189">
        <v>0</v>
      </c>
      <c r="E189">
        <v>1</v>
      </c>
      <c r="F189">
        <v>2</v>
      </c>
      <c r="G189" t="b">
        <v>0</v>
      </c>
      <c r="H189">
        <v>0</v>
      </c>
      <c r="I189">
        <v>1</v>
      </c>
      <c r="J189">
        <v>0.1</v>
      </c>
    </row>
    <row r="190" spans="1:10">
      <c r="A190">
        <v>189</v>
      </c>
      <c r="B190" s="2">
        <v>40552</v>
      </c>
      <c r="C190">
        <v>1</v>
      </c>
      <c r="D190">
        <v>0</v>
      </c>
      <c r="E190">
        <v>1</v>
      </c>
      <c r="F190">
        <v>3</v>
      </c>
      <c r="G190" t="b">
        <v>0</v>
      </c>
      <c r="H190">
        <v>0</v>
      </c>
      <c r="I190">
        <v>1</v>
      </c>
      <c r="J190">
        <v>0.1</v>
      </c>
    </row>
    <row r="191" spans="1:10">
      <c r="A191">
        <v>190</v>
      </c>
      <c r="B191" s="2">
        <v>40552</v>
      </c>
      <c r="C191">
        <v>1</v>
      </c>
      <c r="D191">
        <v>0</v>
      </c>
      <c r="E191">
        <v>1</v>
      </c>
      <c r="F191">
        <v>4</v>
      </c>
      <c r="G191" t="b">
        <v>0</v>
      </c>
      <c r="H191">
        <v>0</v>
      </c>
      <c r="I191">
        <v>1</v>
      </c>
      <c r="J191">
        <v>0.08</v>
      </c>
    </row>
    <row r="192" spans="1:10">
      <c r="A192">
        <v>191</v>
      </c>
      <c r="B192" s="2">
        <v>40552</v>
      </c>
      <c r="C192">
        <v>1</v>
      </c>
      <c r="D192">
        <v>0</v>
      </c>
      <c r="E192">
        <v>1</v>
      </c>
      <c r="F192">
        <v>5</v>
      </c>
      <c r="G192" t="b">
        <v>0</v>
      </c>
      <c r="H192">
        <v>0</v>
      </c>
      <c r="I192">
        <v>1</v>
      </c>
      <c r="J192">
        <v>0.08</v>
      </c>
    </row>
    <row r="193" spans="1:10">
      <c r="A193">
        <v>192</v>
      </c>
      <c r="B193" s="2">
        <v>40552</v>
      </c>
      <c r="C193">
        <v>1</v>
      </c>
      <c r="D193">
        <v>0</v>
      </c>
      <c r="E193">
        <v>1</v>
      </c>
      <c r="F193">
        <v>6</v>
      </c>
      <c r="G193" t="b">
        <v>0</v>
      </c>
      <c r="H193">
        <v>0</v>
      </c>
      <c r="I193">
        <v>1</v>
      </c>
      <c r="J193">
        <v>0.1</v>
      </c>
    </row>
    <row r="194" spans="1:10">
      <c r="A194">
        <v>193</v>
      </c>
      <c r="B194" s="2">
        <v>40552</v>
      </c>
      <c r="C194">
        <v>1</v>
      </c>
      <c r="D194">
        <v>0</v>
      </c>
      <c r="E194">
        <v>1</v>
      </c>
      <c r="F194">
        <v>7</v>
      </c>
      <c r="G194" t="b">
        <v>0</v>
      </c>
      <c r="H194">
        <v>0</v>
      </c>
      <c r="I194">
        <v>1</v>
      </c>
      <c r="J194">
        <v>0.08</v>
      </c>
    </row>
    <row r="195" spans="1:10">
      <c r="A195">
        <v>194</v>
      </c>
      <c r="B195" s="2">
        <v>40552</v>
      </c>
      <c r="C195">
        <v>1</v>
      </c>
      <c r="D195">
        <v>0</v>
      </c>
      <c r="E195">
        <v>1</v>
      </c>
      <c r="F195">
        <v>8</v>
      </c>
      <c r="G195" t="b">
        <v>0</v>
      </c>
      <c r="H195">
        <v>0</v>
      </c>
      <c r="I195">
        <v>1</v>
      </c>
      <c r="J195">
        <v>0.1</v>
      </c>
    </row>
    <row r="196" spans="1:10">
      <c r="A196">
        <v>195</v>
      </c>
      <c r="B196" s="2">
        <v>40552</v>
      </c>
      <c r="C196">
        <v>1</v>
      </c>
      <c r="D196">
        <v>0</v>
      </c>
      <c r="E196">
        <v>1</v>
      </c>
      <c r="F196">
        <v>9</v>
      </c>
      <c r="G196" t="b">
        <v>0</v>
      </c>
      <c r="H196">
        <v>0</v>
      </c>
      <c r="I196">
        <v>1</v>
      </c>
      <c r="J196">
        <v>0.12</v>
      </c>
    </row>
    <row r="197" spans="1:10">
      <c r="A197">
        <v>196</v>
      </c>
      <c r="B197" s="2">
        <v>40552</v>
      </c>
      <c r="C197">
        <v>1</v>
      </c>
      <c r="D197">
        <v>0</v>
      </c>
      <c r="E197">
        <v>1</v>
      </c>
      <c r="F197">
        <v>10</v>
      </c>
      <c r="G197" t="b">
        <v>0</v>
      </c>
      <c r="H197">
        <v>0</v>
      </c>
      <c r="I197">
        <v>1</v>
      </c>
      <c r="J197">
        <v>0.14000000000000001</v>
      </c>
    </row>
    <row r="198" spans="1:10">
      <c r="A198">
        <v>197</v>
      </c>
      <c r="B198" s="2">
        <v>40552</v>
      </c>
      <c r="C198">
        <v>1</v>
      </c>
      <c r="D198">
        <v>0</v>
      </c>
      <c r="E198">
        <v>1</v>
      </c>
      <c r="F198">
        <v>11</v>
      </c>
      <c r="G198" t="b">
        <v>0</v>
      </c>
      <c r="H198">
        <v>0</v>
      </c>
      <c r="I198">
        <v>1</v>
      </c>
      <c r="J198">
        <v>0.16</v>
      </c>
    </row>
    <row r="199" spans="1:10">
      <c r="A199">
        <v>198</v>
      </c>
      <c r="B199" s="2">
        <v>40552</v>
      </c>
      <c r="C199">
        <v>1</v>
      </c>
      <c r="D199">
        <v>0</v>
      </c>
      <c r="E199">
        <v>1</v>
      </c>
      <c r="F199">
        <v>12</v>
      </c>
      <c r="G199" t="b">
        <v>0</v>
      </c>
      <c r="H199">
        <v>0</v>
      </c>
      <c r="I199">
        <v>1</v>
      </c>
      <c r="J199">
        <v>0.18</v>
      </c>
    </row>
    <row r="200" spans="1:10">
      <c r="A200">
        <v>199</v>
      </c>
      <c r="B200" s="2">
        <v>40552</v>
      </c>
      <c r="C200">
        <v>1</v>
      </c>
      <c r="D200">
        <v>0</v>
      </c>
      <c r="E200">
        <v>1</v>
      </c>
      <c r="F200">
        <v>13</v>
      </c>
      <c r="G200" t="b">
        <v>0</v>
      </c>
      <c r="H200">
        <v>0</v>
      </c>
      <c r="I200">
        <v>1</v>
      </c>
      <c r="J200">
        <v>0.2</v>
      </c>
    </row>
    <row r="201" spans="1:10">
      <c r="A201">
        <v>200</v>
      </c>
      <c r="B201" s="2">
        <v>40552</v>
      </c>
      <c r="C201">
        <v>1</v>
      </c>
      <c r="D201">
        <v>0</v>
      </c>
      <c r="E201">
        <v>1</v>
      </c>
      <c r="F201">
        <v>14</v>
      </c>
      <c r="G201" t="b">
        <v>0</v>
      </c>
      <c r="H201">
        <v>0</v>
      </c>
      <c r="I201">
        <v>1</v>
      </c>
      <c r="J201">
        <v>0.22</v>
      </c>
    </row>
    <row r="202" spans="1:10">
      <c r="A202">
        <v>201</v>
      </c>
      <c r="B202" s="2">
        <v>40552</v>
      </c>
      <c r="C202">
        <v>1</v>
      </c>
      <c r="D202">
        <v>0</v>
      </c>
      <c r="E202">
        <v>1</v>
      </c>
      <c r="F202">
        <v>15</v>
      </c>
      <c r="G202" t="b">
        <v>0</v>
      </c>
      <c r="H202">
        <v>0</v>
      </c>
      <c r="I202">
        <v>1</v>
      </c>
      <c r="J202">
        <v>0.22</v>
      </c>
    </row>
    <row r="203" spans="1:10">
      <c r="A203">
        <v>202</v>
      </c>
      <c r="B203" s="2">
        <v>40552</v>
      </c>
      <c r="C203">
        <v>1</v>
      </c>
      <c r="D203">
        <v>0</v>
      </c>
      <c r="E203">
        <v>1</v>
      </c>
      <c r="F203">
        <v>16</v>
      </c>
      <c r="G203" t="b">
        <v>0</v>
      </c>
      <c r="H203">
        <v>0</v>
      </c>
      <c r="I203">
        <v>1</v>
      </c>
      <c r="J203">
        <v>0.2</v>
      </c>
    </row>
    <row r="204" spans="1:10">
      <c r="A204">
        <v>203</v>
      </c>
      <c r="B204" s="2">
        <v>40552</v>
      </c>
      <c r="C204">
        <v>1</v>
      </c>
      <c r="D204">
        <v>0</v>
      </c>
      <c r="E204">
        <v>1</v>
      </c>
      <c r="F204">
        <v>17</v>
      </c>
      <c r="G204" t="b">
        <v>0</v>
      </c>
      <c r="H204">
        <v>0</v>
      </c>
      <c r="I204">
        <v>1</v>
      </c>
      <c r="J204">
        <v>0.18</v>
      </c>
    </row>
    <row r="205" spans="1:10">
      <c r="A205">
        <v>204</v>
      </c>
      <c r="B205" s="2">
        <v>40552</v>
      </c>
      <c r="C205">
        <v>1</v>
      </c>
      <c r="D205">
        <v>0</v>
      </c>
      <c r="E205">
        <v>1</v>
      </c>
      <c r="F205">
        <v>18</v>
      </c>
      <c r="G205" t="b">
        <v>0</v>
      </c>
      <c r="H205">
        <v>0</v>
      </c>
      <c r="I205">
        <v>1</v>
      </c>
      <c r="J205">
        <v>0.16</v>
      </c>
    </row>
    <row r="206" spans="1:10">
      <c r="A206">
        <v>205</v>
      </c>
      <c r="B206" s="2">
        <v>40552</v>
      </c>
      <c r="C206">
        <v>1</v>
      </c>
      <c r="D206">
        <v>0</v>
      </c>
      <c r="E206">
        <v>1</v>
      </c>
      <c r="F206">
        <v>19</v>
      </c>
      <c r="G206" t="b">
        <v>0</v>
      </c>
      <c r="H206">
        <v>0</v>
      </c>
      <c r="I206">
        <v>1</v>
      </c>
      <c r="J206">
        <v>0.16</v>
      </c>
    </row>
    <row r="207" spans="1:10">
      <c r="A207">
        <v>206</v>
      </c>
      <c r="B207" s="2">
        <v>40552</v>
      </c>
      <c r="C207">
        <v>1</v>
      </c>
      <c r="D207">
        <v>0</v>
      </c>
      <c r="E207">
        <v>1</v>
      </c>
      <c r="F207">
        <v>20</v>
      </c>
      <c r="G207" t="b">
        <v>0</v>
      </c>
      <c r="H207">
        <v>0</v>
      </c>
      <c r="I207">
        <v>1</v>
      </c>
      <c r="J207">
        <v>0.14000000000000001</v>
      </c>
    </row>
    <row r="208" spans="1:10">
      <c r="A208">
        <v>207</v>
      </c>
      <c r="B208" s="2">
        <v>40552</v>
      </c>
      <c r="C208">
        <v>1</v>
      </c>
      <c r="D208">
        <v>0</v>
      </c>
      <c r="E208">
        <v>1</v>
      </c>
      <c r="F208">
        <v>21</v>
      </c>
      <c r="G208" t="b">
        <v>0</v>
      </c>
      <c r="H208">
        <v>0</v>
      </c>
      <c r="I208">
        <v>1</v>
      </c>
      <c r="J208">
        <v>0.14000000000000001</v>
      </c>
    </row>
    <row r="209" spans="1:10">
      <c r="A209">
        <v>208</v>
      </c>
      <c r="B209" s="2">
        <v>40552</v>
      </c>
      <c r="C209">
        <v>1</v>
      </c>
      <c r="D209">
        <v>0</v>
      </c>
      <c r="E209">
        <v>1</v>
      </c>
      <c r="F209">
        <v>22</v>
      </c>
      <c r="G209" t="b">
        <v>0</v>
      </c>
      <c r="H209">
        <v>0</v>
      </c>
      <c r="I209">
        <v>1</v>
      </c>
      <c r="J209">
        <v>0.14000000000000001</v>
      </c>
    </row>
    <row r="210" spans="1:10">
      <c r="A210">
        <v>209</v>
      </c>
      <c r="B210" s="2">
        <v>40552</v>
      </c>
      <c r="C210">
        <v>1</v>
      </c>
      <c r="D210">
        <v>0</v>
      </c>
      <c r="E210">
        <v>1</v>
      </c>
      <c r="F210">
        <v>23</v>
      </c>
      <c r="G210" t="b">
        <v>0</v>
      </c>
      <c r="H210">
        <v>0</v>
      </c>
      <c r="I210">
        <v>1</v>
      </c>
      <c r="J210">
        <v>0.12</v>
      </c>
    </row>
    <row r="211" spans="1:10">
      <c r="A211">
        <v>210</v>
      </c>
      <c r="B211" s="2">
        <v>40553</v>
      </c>
      <c r="C211">
        <v>1</v>
      </c>
      <c r="D211">
        <v>0</v>
      </c>
      <c r="E211">
        <v>1</v>
      </c>
      <c r="F211">
        <v>0</v>
      </c>
      <c r="G211" t="b">
        <v>0</v>
      </c>
      <c r="H211">
        <v>1</v>
      </c>
      <c r="I211">
        <v>1</v>
      </c>
      <c r="J211">
        <v>0.12</v>
      </c>
    </row>
    <row r="212" spans="1:10">
      <c r="A212">
        <v>211</v>
      </c>
      <c r="B212" s="2">
        <v>40553</v>
      </c>
      <c r="C212">
        <v>1</v>
      </c>
      <c r="D212">
        <v>0</v>
      </c>
      <c r="E212">
        <v>1</v>
      </c>
      <c r="F212">
        <v>1</v>
      </c>
      <c r="G212" t="b">
        <v>0</v>
      </c>
      <c r="H212">
        <v>1</v>
      </c>
      <c r="I212">
        <v>1</v>
      </c>
      <c r="J212">
        <v>0.12</v>
      </c>
    </row>
    <row r="213" spans="1:10">
      <c r="A213">
        <v>212</v>
      </c>
      <c r="B213" s="2">
        <v>40553</v>
      </c>
      <c r="C213">
        <v>1</v>
      </c>
      <c r="D213">
        <v>0</v>
      </c>
      <c r="E213">
        <v>1</v>
      </c>
      <c r="F213">
        <v>2</v>
      </c>
      <c r="G213" t="b">
        <v>0</v>
      </c>
      <c r="H213">
        <v>1</v>
      </c>
      <c r="I213">
        <v>1</v>
      </c>
      <c r="J213">
        <v>0.12</v>
      </c>
    </row>
    <row r="214" spans="1:10">
      <c r="A214">
        <v>213</v>
      </c>
      <c r="B214" s="2">
        <v>40553</v>
      </c>
      <c r="C214">
        <v>1</v>
      </c>
      <c r="D214">
        <v>0</v>
      </c>
      <c r="E214">
        <v>1</v>
      </c>
      <c r="F214">
        <v>3</v>
      </c>
      <c r="G214" t="b">
        <v>0</v>
      </c>
      <c r="H214">
        <v>1</v>
      </c>
      <c r="I214">
        <v>1</v>
      </c>
      <c r="J214">
        <v>0.12</v>
      </c>
    </row>
    <row r="215" spans="1:10">
      <c r="A215">
        <v>214</v>
      </c>
      <c r="B215" s="2">
        <v>40553</v>
      </c>
      <c r="C215">
        <v>1</v>
      </c>
      <c r="D215">
        <v>0</v>
      </c>
      <c r="E215">
        <v>1</v>
      </c>
      <c r="F215">
        <v>4</v>
      </c>
      <c r="G215" t="b">
        <v>0</v>
      </c>
      <c r="H215">
        <v>1</v>
      </c>
      <c r="I215">
        <v>1</v>
      </c>
      <c r="J215">
        <v>0.1</v>
      </c>
    </row>
    <row r="216" spans="1:10">
      <c r="A216">
        <v>215</v>
      </c>
      <c r="B216" s="2">
        <v>40553</v>
      </c>
      <c r="C216">
        <v>1</v>
      </c>
      <c r="D216">
        <v>0</v>
      </c>
      <c r="E216">
        <v>1</v>
      </c>
      <c r="F216">
        <v>5</v>
      </c>
      <c r="G216" t="b">
        <v>0</v>
      </c>
      <c r="H216">
        <v>1</v>
      </c>
      <c r="I216">
        <v>1</v>
      </c>
      <c r="J216">
        <v>0.1</v>
      </c>
    </row>
    <row r="217" spans="1:10">
      <c r="A217">
        <v>216</v>
      </c>
      <c r="B217" s="2">
        <v>40553</v>
      </c>
      <c r="C217">
        <v>1</v>
      </c>
      <c r="D217">
        <v>0</v>
      </c>
      <c r="E217">
        <v>1</v>
      </c>
      <c r="F217">
        <v>6</v>
      </c>
      <c r="G217" t="b">
        <v>0</v>
      </c>
      <c r="H217">
        <v>1</v>
      </c>
      <c r="I217">
        <v>1</v>
      </c>
      <c r="J217">
        <v>0.12</v>
      </c>
    </row>
    <row r="218" spans="1:10">
      <c r="A218">
        <v>217</v>
      </c>
      <c r="B218" s="2">
        <v>40553</v>
      </c>
      <c r="C218">
        <v>1</v>
      </c>
      <c r="D218">
        <v>0</v>
      </c>
      <c r="E218">
        <v>1</v>
      </c>
      <c r="F218">
        <v>7</v>
      </c>
      <c r="G218" t="b">
        <v>0</v>
      </c>
      <c r="H218">
        <v>1</v>
      </c>
      <c r="I218">
        <v>1</v>
      </c>
      <c r="J218">
        <v>0.12</v>
      </c>
    </row>
    <row r="219" spans="1:10">
      <c r="A219">
        <v>218</v>
      </c>
      <c r="B219" s="2">
        <v>40553</v>
      </c>
      <c r="C219">
        <v>1</v>
      </c>
      <c r="D219">
        <v>0</v>
      </c>
      <c r="E219">
        <v>1</v>
      </c>
      <c r="F219">
        <v>8</v>
      </c>
      <c r="G219" t="b">
        <v>0</v>
      </c>
      <c r="H219">
        <v>1</v>
      </c>
      <c r="I219">
        <v>2</v>
      </c>
      <c r="J219">
        <v>0.12</v>
      </c>
    </row>
    <row r="220" spans="1:10">
      <c r="A220">
        <v>219</v>
      </c>
      <c r="B220" s="2">
        <v>40553</v>
      </c>
      <c r="C220">
        <v>1</v>
      </c>
      <c r="D220">
        <v>0</v>
      </c>
      <c r="E220">
        <v>1</v>
      </c>
      <c r="F220">
        <v>9</v>
      </c>
      <c r="G220" t="b">
        <v>0</v>
      </c>
      <c r="H220">
        <v>1</v>
      </c>
      <c r="I220">
        <v>2</v>
      </c>
      <c r="J220">
        <v>0.14000000000000001</v>
      </c>
    </row>
    <row r="221" spans="1:10">
      <c r="A221">
        <v>220</v>
      </c>
      <c r="B221" s="2">
        <v>40553</v>
      </c>
      <c r="C221">
        <v>1</v>
      </c>
      <c r="D221">
        <v>0</v>
      </c>
      <c r="E221">
        <v>1</v>
      </c>
      <c r="F221">
        <v>10</v>
      </c>
      <c r="G221" t="b">
        <v>0</v>
      </c>
      <c r="H221">
        <v>1</v>
      </c>
      <c r="I221">
        <v>2</v>
      </c>
      <c r="J221">
        <v>0.14000000000000001</v>
      </c>
    </row>
    <row r="222" spans="1:10">
      <c r="A222">
        <v>221</v>
      </c>
      <c r="B222" s="2">
        <v>40553</v>
      </c>
      <c r="C222">
        <v>1</v>
      </c>
      <c r="D222">
        <v>0</v>
      </c>
      <c r="E222">
        <v>1</v>
      </c>
      <c r="F222">
        <v>11</v>
      </c>
      <c r="G222" t="b">
        <v>0</v>
      </c>
      <c r="H222">
        <v>1</v>
      </c>
      <c r="I222">
        <v>2</v>
      </c>
      <c r="J222">
        <v>0.16</v>
      </c>
    </row>
    <row r="223" spans="1:10">
      <c r="A223">
        <v>222</v>
      </c>
      <c r="B223" s="2">
        <v>40553</v>
      </c>
      <c r="C223">
        <v>1</v>
      </c>
      <c r="D223">
        <v>0</v>
      </c>
      <c r="E223">
        <v>1</v>
      </c>
      <c r="F223">
        <v>12</v>
      </c>
      <c r="G223" t="b">
        <v>0</v>
      </c>
      <c r="H223">
        <v>1</v>
      </c>
      <c r="I223">
        <v>2</v>
      </c>
      <c r="J223">
        <v>0.2</v>
      </c>
    </row>
    <row r="224" spans="1:10">
      <c r="A224">
        <v>223</v>
      </c>
      <c r="B224" s="2">
        <v>40553</v>
      </c>
      <c r="C224">
        <v>1</v>
      </c>
      <c r="D224">
        <v>0</v>
      </c>
      <c r="E224">
        <v>1</v>
      </c>
      <c r="F224">
        <v>13</v>
      </c>
      <c r="G224" t="b">
        <v>0</v>
      </c>
      <c r="H224">
        <v>1</v>
      </c>
      <c r="I224">
        <v>2</v>
      </c>
      <c r="J224">
        <v>0.2</v>
      </c>
    </row>
    <row r="225" spans="1:10">
      <c r="A225">
        <v>224</v>
      </c>
      <c r="B225" s="2">
        <v>40553</v>
      </c>
      <c r="C225">
        <v>1</v>
      </c>
      <c r="D225">
        <v>0</v>
      </c>
      <c r="E225">
        <v>1</v>
      </c>
      <c r="F225">
        <v>14</v>
      </c>
      <c r="G225" t="b">
        <v>0</v>
      </c>
      <c r="H225">
        <v>1</v>
      </c>
      <c r="I225">
        <v>2</v>
      </c>
      <c r="J225">
        <v>0.2</v>
      </c>
    </row>
    <row r="226" spans="1:10">
      <c r="A226">
        <v>225</v>
      </c>
      <c r="B226" s="2">
        <v>40553</v>
      </c>
      <c r="C226">
        <v>1</v>
      </c>
      <c r="D226">
        <v>0</v>
      </c>
      <c r="E226">
        <v>1</v>
      </c>
      <c r="F226">
        <v>15</v>
      </c>
      <c r="G226" t="b">
        <v>0</v>
      </c>
      <c r="H226">
        <v>1</v>
      </c>
      <c r="I226">
        <v>2</v>
      </c>
      <c r="J226">
        <v>0.2</v>
      </c>
    </row>
    <row r="227" spans="1:10">
      <c r="A227">
        <v>226</v>
      </c>
      <c r="B227" s="2">
        <v>40553</v>
      </c>
      <c r="C227">
        <v>1</v>
      </c>
      <c r="D227">
        <v>0</v>
      </c>
      <c r="E227">
        <v>1</v>
      </c>
      <c r="F227">
        <v>16</v>
      </c>
      <c r="G227" t="b">
        <v>0</v>
      </c>
      <c r="H227">
        <v>1</v>
      </c>
      <c r="I227">
        <v>1</v>
      </c>
      <c r="J227">
        <v>0.2</v>
      </c>
    </row>
    <row r="228" spans="1:10">
      <c r="A228">
        <v>227</v>
      </c>
      <c r="B228" s="2">
        <v>40553</v>
      </c>
      <c r="C228">
        <v>1</v>
      </c>
      <c r="D228">
        <v>0</v>
      </c>
      <c r="E228">
        <v>1</v>
      </c>
      <c r="F228">
        <v>17</v>
      </c>
      <c r="G228" t="b">
        <v>0</v>
      </c>
      <c r="H228">
        <v>1</v>
      </c>
      <c r="I228">
        <v>1</v>
      </c>
      <c r="J228">
        <v>0.2</v>
      </c>
    </row>
    <row r="229" spans="1:10">
      <c r="A229">
        <v>228</v>
      </c>
      <c r="B229" s="2">
        <v>40553</v>
      </c>
      <c r="C229">
        <v>1</v>
      </c>
      <c r="D229">
        <v>0</v>
      </c>
      <c r="E229">
        <v>1</v>
      </c>
      <c r="F229">
        <v>18</v>
      </c>
      <c r="G229" t="b">
        <v>0</v>
      </c>
      <c r="H229">
        <v>1</v>
      </c>
      <c r="I229">
        <v>1</v>
      </c>
      <c r="J229">
        <v>0.2</v>
      </c>
    </row>
    <row r="230" spans="1:10">
      <c r="A230">
        <v>229</v>
      </c>
      <c r="B230" s="2">
        <v>40553</v>
      </c>
      <c r="C230">
        <v>1</v>
      </c>
      <c r="D230">
        <v>0</v>
      </c>
      <c r="E230">
        <v>1</v>
      </c>
      <c r="F230">
        <v>19</v>
      </c>
      <c r="G230" t="b">
        <v>0</v>
      </c>
      <c r="H230">
        <v>1</v>
      </c>
      <c r="I230">
        <v>1</v>
      </c>
      <c r="J230">
        <v>0.16</v>
      </c>
    </row>
    <row r="231" spans="1:10">
      <c r="A231">
        <v>230</v>
      </c>
      <c r="B231" s="2">
        <v>40553</v>
      </c>
      <c r="C231">
        <v>1</v>
      </c>
      <c r="D231">
        <v>0</v>
      </c>
      <c r="E231">
        <v>1</v>
      </c>
      <c r="F231">
        <v>20</v>
      </c>
      <c r="G231" t="b">
        <v>0</v>
      </c>
      <c r="H231">
        <v>1</v>
      </c>
      <c r="I231">
        <v>1</v>
      </c>
      <c r="J231">
        <v>0.16</v>
      </c>
    </row>
    <row r="232" spans="1:10">
      <c r="A232">
        <v>231</v>
      </c>
      <c r="B232" s="2">
        <v>40553</v>
      </c>
      <c r="C232">
        <v>1</v>
      </c>
      <c r="D232">
        <v>0</v>
      </c>
      <c r="E232">
        <v>1</v>
      </c>
      <c r="F232">
        <v>21</v>
      </c>
      <c r="G232" t="b">
        <v>0</v>
      </c>
      <c r="H232">
        <v>1</v>
      </c>
      <c r="I232">
        <v>1</v>
      </c>
      <c r="J232">
        <v>0.14000000000000001</v>
      </c>
    </row>
    <row r="233" spans="1:10">
      <c r="A233">
        <v>232</v>
      </c>
      <c r="B233" s="2">
        <v>40553</v>
      </c>
      <c r="C233">
        <v>1</v>
      </c>
      <c r="D233">
        <v>0</v>
      </c>
      <c r="E233">
        <v>1</v>
      </c>
      <c r="F233">
        <v>22</v>
      </c>
      <c r="G233" t="b">
        <v>0</v>
      </c>
      <c r="H233">
        <v>1</v>
      </c>
      <c r="I233">
        <v>1</v>
      </c>
      <c r="J233">
        <v>0.14000000000000001</v>
      </c>
    </row>
    <row r="234" spans="1:10">
      <c r="A234">
        <v>233</v>
      </c>
      <c r="B234" s="2">
        <v>40553</v>
      </c>
      <c r="C234">
        <v>1</v>
      </c>
      <c r="D234">
        <v>0</v>
      </c>
      <c r="E234">
        <v>1</v>
      </c>
      <c r="F234">
        <v>23</v>
      </c>
      <c r="G234" t="b">
        <v>0</v>
      </c>
      <c r="H234">
        <v>1</v>
      </c>
      <c r="I234">
        <v>1</v>
      </c>
      <c r="J234">
        <v>0.14000000000000001</v>
      </c>
    </row>
    <row r="235" spans="1:10">
      <c r="A235">
        <v>234</v>
      </c>
      <c r="B235" s="2">
        <v>40554</v>
      </c>
      <c r="C235">
        <v>1</v>
      </c>
      <c r="D235">
        <v>0</v>
      </c>
      <c r="E235">
        <v>1</v>
      </c>
      <c r="F235">
        <v>0</v>
      </c>
      <c r="G235" t="b">
        <v>0</v>
      </c>
      <c r="H235">
        <v>2</v>
      </c>
      <c r="I235">
        <v>1</v>
      </c>
      <c r="J235">
        <v>0.14000000000000001</v>
      </c>
    </row>
    <row r="236" spans="1:10">
      <c r="A236">
        <v>235</v>
      </c>
      <c r="B236" s="2">
        <v>40554</v>
      </c>
      <c r="C236">
        <v>1</v>
      </c>
      <c r="D236">
        <v>0</v>
      </c>
      <c r="E236">
        <v>1</v>
      </c>
      <c r="F236">
        <v>1</v>
      </c>
      <c r="G236" t="b">
        <v>0</v>
      </c>
      <c r="H236">
        <v>2</v>
      </c>
      <c r="I236">
        <v>1</v>
      </c>
      <c r="J236">
        <v>0.14000000000000001</v>
      </c>
    </row>
    <row r="237" spans="1:10">
      <c r="A237">
        <v>236</v>
      </c>
      <c r="B237" s="2">
        <v>40554</v>
      </c>
      <c r="C237">
        <v>1</v>
      </c>
      <c r="D237">
        <v>0</v>
      </c>
      <c r="E237">
        <v>1</v>
      </c>
      <c r="F237">
        <v>2</v>
      </c>
      <c r="G237" t="b">
        <v>0</v>
      </c>
      <c r="H237">
        <v>2</v>
      </c>
      <c r="I237">
        <v>2</v>
      </c>
      <c r="J237">
        <v>0.16</v>
      </c>
    </row>
    <row r="238" spans="1:10">
      <c r="A238">
        <v>237</v>
      </c>
      <c r="B238" s="2">
        <v>40554</v>
      </c>
      <c r="C238">
        <v>1</v>
      </c>
      <c r="D238">
        <v>0</v>
      </c>
      <c r="E238">
        <v>1</v>
      </c>
      <c r="F238">
        <v>5</v>
      </c>
      <c r="G238" t="b">
        <v>0</v>
      </c>
      <c r="H238">
        <v>2</v>
      </c>
      <c r="I238">
        <v>2</v>
      </c>
      <c r="J238">
        <v>0.16</v>
      </c>
    </row>
    <row r="239" spans="1:10">
      <c r="A239">
        <v>238</v>
      </c>
      <c r="B239" s="2">
        <v>40554</v>
      </c>
      <c r="C239">
        <v>1</v>
      </c>
      <c r="D239">
        <v>0</v>
      </c>
      <c r="E239">
        <v>1</v>
      </c>
      <c r="F239">
        <v>6</v>
      </c>
      <c r="G239" t="b">
        <v>0</v>
      </c>
      <c r="H239">
        <v>2</v>
      </c>
      <c r="I239">
        <v>2</v>
      </c>
      <c r="J239">
        <v>0.16</v>
      </c>
    </row>
    <row r="240" spans="1:10">
      <c r="A240">
        <v>239</v>
      </c>
      <c r="B240" s="2">
        <v>40554</v>
      </c>
      <c r="C240">
        <v>1</v>
      </c>
      <c r="D240">
        <v>0</v>
      </c>
      <c r="E240">
        <v>1</v>
      </c>
      <c r="F240">
        <v>7</v>
      </c>
      <c r="G240" t="b">
        <v>0</v>
      </c>
      <c r="H240">
        <v>2</v>
      </c>
      <c r="I240">
        <v>2</v>
      </c>
      <c r="J240">
        <v>0.16</v>
      </c>
    </row>
    <row r="241" spans="1:10">
      <c r="A241">
        <v>240</v>
      </c>
      <c r="B241" s="2">
        <v>40554</v>
      </c>
      <c r="C241">
        <v>1</v>
      </c>
      <c r="D241">
        <v>0</v>
      </c>
      <c r="E241">
        <v>1</v>
      </c>
      <c r="F241">
        <v>8</v>
      </c>
      <c r="G241" t="b">
        <v>0</v>
      </c>
      <c r="H241">
        <v>2</v>
      </c>
      <c r="I241">
        <v>2</v>
      </c>
      <c r="J241">
        <v>0.18</v>
      </c>
    </row>
    <row r="242" spans="1:10">
      <c r="A242">
        <v>241</v>
      </c>
      <c r="B242" s="2">
        <v>40554</v>
      </c>
      <c r="C242">
        <v>1</v>
      </c>
      <c r="D242">
        <v>0</v>
      </c>
      <c r="E242">
        <v>1</v>
      </c>
      <c r="F242">
        <v>9</v>
      </c>
      <c r="G242" t="b">
        <v>0</v>
      </c>
      <c r="H242">
        <v>2</v>
      </c>
      <c r="I242">
        <v>2</v>
      </c>
      <c r="J242">
        <v>0.18</v>
      </c>
    </row>
    <row r="243" spans="1:10">
      <c r="A243">
        <v>242</v>
      </c>
      <c r="B243" s="2">
        <v>40554</v>
      </c>
      <c r="C243">
        <v>1</v>
      </c>
      <c r="D243">
        <v>0</v>
      </c>
      <c r="E243">
        <v>1</v>
      </c>
      <c r="F243">
        <v>10</v>
      </c>
      <c r="G243" t="b">
        <v>0</v>
      </c>
      <c r="H243">
        <v>2</v>
      </c>
      <c r="I243">
        <v>2</v>
      </c>
      <c r="J243">
        <v>0.2</v>
      </c>
    </row>
    <row r="244" spans="1:10">
      <c r="A244">
        <v>243</v>
      </c>
      <c r="B244" s="2">
        <v>40554</v>
      </c>
      <c r="C244">
        <v>1</v>
      </c>
      <c r="D244">
        <v>0</v>
      </c>
      <c r="E244">
        <v>1</v>
      </c>
      <c r="F244">
        <v>11</v>
      </c>
      <c r="G244" t="b">
        <v>0</v>
      </c>
      <c r="H244">
        <v>2</v>
      </c>
      <c r="I244">
        <v>2</v>
      </c>
      <c r="J244">
        <v>0.2</v>
      </c>
    </row>
    <row r="245" spans="1:10">
      <c r="A245">
        <v>244</v>
      </c>
      <c r="B245" s="2">
        <v>40554</v>
      </c>
      <c r="C245">
        <v>1</v>
      </c>
      <c r="D245">
        <v>0</v>
      </c>
      <c r="E245">
        <v>1</v>
      </c>
      <c r="F245">
        <v>12</v>
      </c>
      <c r="G245" t="b">
        <v>0</v>
      </c>
      <c r="H245">
        <v>2</v>
      </c>
      <c r="I245">
        <v>2</v>
      </c>
      <c r="J245">
        <v>0.2</v>
      </c>
    </row>
    <row r="246" spans="1:10">
      <c r="A246">
        <v>245</v>
      </c>
      <c r="B246" s="2">
        <v>40554</v>
      </c>
      <c r="C246">
        <v>1</v>
      </c>
      <c r="D246">
        <v>0</v>
      </c>
      <c r="E246">
        <v>1</v>
      </c>
      <c r="F246">
        <v>13</v>
      </c>
      <c r="G246" t="b">
        <v>0</v>
      </c>
      <c r="H246">
        <v>2</v>
      </c>
      <c r="I246">
        <v>2</v>
      </c>
      <c r="J246">
        <v>0.2</v>
      </c>
    </row>
    <row r="247" spans="1:10">
      <c r="A247">
        <v>246</v>
      </c>
      <c r="B247" s="2">
        <v>40554</v>
      </c>
      <c r="C247">
        <v>1</v>
      </c>
      <c r="D247">
        <v>0</v>
      </c>
      <c r="E247">
        <v>1</v>
      </c>
      <c r="F247">
        <v>14</v>
      </c>
      <c r="G247" t="b">
        <v>0</v>
      </c>
      <c r="H247">
        <v>2</v>
      </c>
      <c r="I247">
        <v>2</v>
      </c>
      <c r="J247">
        <v>0.2</v>
      </c>
    </row>
    <row r="248" spans="1:10">
      <c r="A248">
        <v>247</v>
      </c>
      <c r="B248" s="2">
        <v>40554</v>
      </c>
      <c r="C248">
        <v>1</v>
      </c>
      <c r="D248">
        <v>0</v>
      </c>
      <c r="E248">
        <v>1</v>
      </c>
      <c r="F248">
        <v>15</v>
      </c>
      <c r="G248" t="b">
        <v>0</v>
      </c>
      <c r="H248">
        <v>2</v>
      </c>
      <c r="I248">
        <v>2</v>
      </c>
      <c r="J248">
        <v>0.16</v>
      </c>
    </row>
    <row r="249" spans="1:10">
      <c r="A249">
        <v>248</v>
      </c>
      <c r="B249" s="2">
        <v>40554</v>
      </c>
      <c r="C249">
        <v>1</v>
      </c>
      <c r="D249">
        <v>0</v>
      </c>
      <c r="E249">
        <v>1</v>
      </c>
      <c r="F249">
        <v>16</v>
      </c>
      <c r="G249" t="b">
        <v>0</v>
      </c>
      <c r="H249">
        <v>2</v>
      </c>
      <c r="I249">
        <v>2</v>
      </c>
      <c r="J249">
        <v>0.16</v>
      </c>
    </row>
    <row r="250" spans="1:10">
      <c r="A250">
        <v>249</v>
      </c>
      <c r="B250" s="2">
        <v>40554</v>
      </c>
      <c r="C250">
        <v>1</v>
      </c>
      <c r="D250">
        <v>0</v>
      </c>
      <c r="E250">
        <v>1</v>
      </c>
      <c r="F250">
        <v>17</v>
      </c>
      <c r="G250" t="b">
        <v>0</v>
      </c>
      <c r="H250">
        <v>2</v>
      </c>
      <c r="I250">
        <v>2</v>
      </c>
      <c r="J250">
        <v>0.16</v>
      </c>
    </row>
    <row r="251" spans="1:10">
      <c r="A251">
        <v>250</v>
      </c>
      <c r="B251" s="2">
        <v>40554</v>
      </c>
      <c r="C251">
        <v>1</v>
      </c>
      <c r="D251">
        <v>0</v>
      </c>
      <c r="E251">
        <v>1</v>
      </c>
      <c r="F251">
        <v>18</v>
      </c>
      <c r="G251" t="b">
        <v>0</v>
      </c>
      <c r="H251">
        <v>2</v>
      </c>
      <c r="I251">
        <v>3</v>
      </c>
      <c r="J251">
        <v>0.16</v>
      </c>
    </row>
    <row r="252" spans="1:10">
      <c r="A252">
        <v>251</v>
      </c>
      <c r="B252" s="2">
        <v>40554</v>
      </c>
      <c r="C252">
        <v>1</v>
      </c>
      <c r="D252">
        <v>0</v>
      </c>
      <c r="E252">
        <v>1</v>
      </c>
      <c r="F252">
        <v>19</v>
      </c>
      <c r="G252" t="b">
        <v>0</v>
      </c>
      <c r="H252">
        <v>2</v>
      </c>
      <c r="I252">
        <v>3</v>
      </c>
      <c r="J252">
        <v>0.16</v>
      </c>
    </row>
    <row r="253" spans="1:10">
      <c r="A253">
        <v>252</v>
      </c>
      <c r="B253" s="2">
        <v>40554</v>
      </c>
      <c r="C253">
        <v>1</v>
      </c>
      <c r="D253">
        <v>0</v>
      </c>
      <c r="E253">
        <v>1</v>
      </c>
      <c r="F253">
        <v>20</v>
      </c>
      <c r="G253" t="b">
        <v>0</v>
      </c>
      <c r="H253">
        <v>2</v>
      </c>
      <c r="I253">
        <v>3</v>
      </c>
      <c r="J253">
        <v>0.16</v>
      </c>
    </row>
    <row r="254" spans="1:10">
      <c r="A254">
        <v>253</v>
      </c>
      <c r="B254" s="2">
        <v>40554</v>
      </c>
      <c r="C254">
        <v>1</v>
      </c>
      <c r="D254">
        <v>0</v>
      </c>
      <c r="E254">
        <v>1</v>
      </c>
      <c r="F254">
        <v>21</v>
      </c>
      <c r="G254" t="b">
        <v>0</v>
      </c>
      <c r="H254">
        <v>2</v>
      </c>
      <c r="I254">
        <v>3</v>
      </c>
      <c r="J254">
        <v>0.16</v>
      </c>
    </row>
    <row r="255" spans="1:10">
      <c r="A255">
        <v>254</v>
      </c>
      <c r="B255" s="2">
        <v>40554</v>
      </c>
      <c r="C255">
        <v>1</v>
      </c>
      <c r="D255">
        <v>0</v>
      </c>
      <c r="E255">
        <v>1</v>
      </c>
      <c r="F255">
        <v>22</v>
      </c>
      <c r="G255" t="b">
        <v>0</v>
      </c>
      <c r="H255">
        <v>2</v>
      </c>
      <c r="I255">
        <v>3</v>
      </c>
      <c r="J255">
        <v>0.16</v>
      </c>
    </row>
    <row r="256" spans="1:10">
      <c r="A256">
        <v>255</v>
      </c>
      <c r="B256" s="2">
        <v>40554</v>
      </c>
      <c r="C256">
        <v>1</v>
      </c>
      <c r="D256">
        <v>0</v>
      </c>
      <c r="E256">
        <v>1</v>
      </c>
      <c r="F256">
        <v>23</v>
      </c>
      <c r="G256" t="b">
        <v>0</v>
      </c>
      <c r="H256">
        <v>2</v>
      </c>
      <c r="I256">
        <v>3</v>
      </c>
      <c r="J256">
        <v>0.16</v>
      </c>
    </row>
    <row r="257" spans="1:10">
      <c r="A257">
        <v>256</v>
      </c>
      <c r="B257" s="2">
        <v>40555</v>
      </c>
      <c r="C257">
        <v>1</v>
      </c>
      <c r="D257">
        <v>0</v>
      </c>
      <c r="E257">
        <v>1</v>
      </c>
      <c r="F257">
        <v>0</v>
      </c>
      <c r="G257" t="b">
        <v>0</v>
      </c>
      <c r="H257">
        <v>3</v>
      </c>
      <c r="I257">
        <v>2</v>
      </c>
      <c r="J257">
        <v>0.16</v>
      </c>
    </row>
    <row r="258" spans="1:10">
      <c r="A258">
        <v>257</v>
      </c>
      <c r="B258" s="2">
        <v>40555</v>
      </c>
      <c r="C258">
        <v>1</v>
      </c>
      <c r="D258">
        <v>0</v>
      </c>
      <c r="E258">
        <v>1</v>
      </c>
      <c r="F258">
        <v>1</v>
      </c>
      <c r="G258" t="b">
        <v>0</v>
      </c>
      <c r="H258">
        <v>3</v>
      </c>
      <c r="I258">
        <v>2</v>
      </c>
      <c r="J258">
        <v>0.16</v>
      </c>
    </row>
    <row r="259" spans="1:10">
      <c r="A259">
        <v>258</v>
      </c>
      <c r="B259" s="2">
        <v>40555</v>
      </c>
      <c r="C259">
        <v>1</v>
      </c>
      <c r="D259">
        <v>0</v>
      </c>
      <c r="E259">
        <v>1</v>
      </c>
      <c r="F259">
        <v>2</v>
      </c>
      <c r="G259" t="b">
        <v>0</v>
      </c>
      <c r="H259">
        <v>3</v>
      </c>
      <c r="I259">
        <v>1</v>
      </c>
      <c r="J259">
        <v>0.14000000000000001</v>
      </c>
    </row>
    <row r="260" spans="1:10">
      <c r="A260">
        <v>259</v>
      </c>
      <c r="B260" s="2">
        <v>40555</v>
      </c>
      <c r="C260">
        <v>1</v>
      </c>
      <c r="D260">
        <v>0</v>
      </c>
      <c r="E260">
        <v>1</v>
      </c>
      <c r="F260">
        <v>5</v>
      </c>
      <c r="G260" t="b">
        <v>0</v>
      </c>
      <c r="H260">
        <v>3</v>
      </c>
      <c r="I260">
        <v>1</v>
      </c>
      <c r="J260">
        <v>0.14000000000000001</v>
      </c>
    </row>
    <row r="261" spans="1:10">
      <c r="A261">
        <v>260</v>
      </c>
      <c r="B261" s="2">
        <v>40555</v>
      </c>
      <c r="C261">
        <v>1</v>
      </c>
      <c r="D261">
        <v>0</v>
      </c>
      <c r="E261">
        <v>1</v>
      </c>
      <c r="F261">
        <v>6</v>
      </c>
      <c r="G261" t="b">
        <v>0</v>
      </c>
      <c r="H261">
        <v>3</v>
      </c>
      <c r="I261">
        <v>1</v>
      </c>
      <c r="J261">
        <v>0.12</v>
      </c>
    </row>
    <row r="262" spans="1:10">
      <c r="A262">
        <v>261</v>
      </c>
      <c r="B262" s="2">
        <v>40555</v>
      </c>
      <c r="C262">
        <v>1</v>
      </c>
      <c r="D262">
        <v>0</v>
      </c>
      <c r="E262">
        <v>1</v>
      </c>
      <c r="F262">
        <v>7</v>
      </c>
      <c r="G262" t="b">
        <v>0</v>
      </c>
      <c r="H262">
        <v>3</v>
      </c>
      <c r="I262">
        <v>1</v>
      </c>
      <c r="J262">
        <v>0.14000000000000001</v>
      </c>
    </row>
    <row r="263" spans="1:10">
      <c r="A263">
        <v>262</v>
      </c>
      <c r="B263" s="2">
        <v>40555</v>
      </c>
      <c r="C263">
        <v>1</v>
      </c>
      <c r="D263">
        <v>0</v>
      </c>
      <c r="E263">
        <v>1</v>
      </c>
      <c r="F263">
        <v>8</v>
      </c>
      <c r="G263" t="b">
        <v>0</v>
      </c>
      <c r="H263">
        <v>3</v>
      </c>
      <c r="I263">
        <v>1</v>
      </c>
      <c r="J263">
        <v>0.16</v>
      </c>
    </row>
    <row r="264" spans="1:10">
      <c r="A264">
        <v>263</v>
      </c>
      <c r="B264" s="2">
        <v>40555</v>
      </c>
      <c r="C264">
        <v>1</v>
      </c>
      <c r="D264">
        <v>0</v>
      </c>
      <c r="E264">
        <v>1</v>
      </c>
      <c r="F264">
        <v>9</v>
      </c>
      <c r="G264" t="b">
        <v>0</v>
      </c>
      <c r="H264">
        <v>3</v>
      </c>
      <c r="I264">
        <v>1</v>
      </c>
      <c r="J264">
        <v>0.16</v>
      </c>
    </row>
    <row r="265" spans="1:10">
      <c r="A265">
        <v>264</v>
      </c>
      <c r="B265" s="2">
        <v>40555</v>
      </c>
      <c r="C265">
        <v>1</v>
      </c>
      <c r="D265">
        <v>0</v>
      </c>
      <c r="E265">
        <v>1</v>
      </c>
      <c r="F265">
        <v>10</v>
      </c>
      <c r="G265" t="b">
        <v>0</v>
      </c>
      <c r="H265">
        <v>3</v>
      </c>
      <c r="I265">
        <v>1</v>
      </c>
      <c r="J265">
        <v>0.18</v>
      </c>
    </row>
    <row r="266" spans="1:10">
      <c r="A266">
        <v>265</v>
      </c>
      <c r="B266" s="2">
        <v>40555</v>
      </c>
      <c r="C266">
        <v>1</v>
      </c>
      <c r="D266">
        <v>0</v>
      </c>
      <c r="E266">
        <v>1</v>
      </c>
      <c r="F266">
        <v>11</v>
      </c>
      <c r="G266" t="b">
        <v>0</v>
      </c>
      <c r="H266">
        <v>3</v>
      </c>
      <c r="I266">
        <v>1</v>
      </c>
      <c r="J266">
        <v>0.2</v>
      </c>
    </row>
    <row r="267" spans="1:10">
      <c r="A267">
        <v>266</v>
      </c>
      <c r="B267" s="2">
        <v>40555</v>
      </c>
      <c r="C267">
        <v>1</v>
      </c>
      <c r="D267">
        <v>0</v>
      </c>
      <c r="E267">
        <v>1</v>
      </c>
      <c r="F267">
        <v>12</v>
      </c>
      <c r="G267" t="b">
        <v>0</v>
      </c>
      <c r="H267">
        <v>3</v>
      </c>
      <c r="I267">
        <v>1</v>
      </c>
      <c r="J267">
        <v>0.2</v>
      </c>
    </row>
    <row r="268" spans="1:10">
      <c r="A268">
        <v>267</v>
      </c>
      <c r="B268" s="2">
        <v>40555</v>
      </c>
      <c r="C268">
        <v>1</v>
      </c>
      <c r="D268">
        <v>0</v>
      </c>
      <c r="E268">
        <v>1</v>
      </c>
      <c r="F268">
        <v>13</v>
      </c>
      <c r="G268" t="b">
        <v>0</v>
      </c>
      <c r="H268">
        <v>3</v>
      </c>
      <c r="I268">
        <v>1</v>
      </c>
      <c r="J268">
        <v>0.22</v>
      </c>
    </row>
    <row r="269" spans="1:10">
      <c r="A269">
        <v>268</v>
      </c>
      <c r="B269" s="2">
        <v>40555</v>
      </c>
      <c r="C269">
        <v>1</v>
      </c>
      <c r="D269">
        <v>0</v>
      </c>
      <c r="E269">
        <v>1</v>
      </c>
      <c r="F269">
        <v>14</v>
      </c>
      <c r="G269" t="b">
        <v>0</v>
      </c>
      <c r="H269">
        <v>3</v>
      </c>
      <c r="I269">
        <v>1</v>
      </c>
      <c r="J269">
        <v>0.2</v>
      </c>
    </row>
    <row r="270" spans="1:10">
      <c r="A270">
        <v>269</v>
      </c>
      <c r="B270" s="2">
        <v>40555</v>
      </c>
      <c r="C270">
        <v>1</v>
      </c>
      <c r="D270">
        <v>0</v>
      </c>
      <c r="E270">
        <v>1</v>
      </c>
      <c r="F270">
        <v>15</v>
      </c>
      <c r="G270" t="b">
        <v>0</v>
      </c>
      <c r="H270">
        <v>3</v>
      </c>
      <c r="I270">
        <v>1</v>
      </c>
      <c r="J270">
        <v>0.2</v>
      </c>
    </row>
    <row r="271" spans="1:10">
      <c r="A271">
        <v>270</v>
      </c>
      <c r="B271" s="2">
        <v>40555</v>
      </c>
      <c r="C271">
        <v>1</v>
      </c>
      <c r="D271">
        <v>0</v>
      </c>
      <c r="E271">
        <v>1</v>
      </c>
      <c r="F271">
        <v>16</v>
      </c>
      <c r="G271" t="b">
        <v>0</v>
      </c>
      <c r="H271">
        <v>3</v>
      </c>
      <c r="I271">
        <v>1</v>
      </c>
      <c r="J271">
        <v>0.22</v>
      </c>
    </row>
    <row r="272" spans="1:10">
      <c r="A272">
        <v>271</v>
      </c>
      <c r="B272" s="2">
        <v>40555</v>
      </c>
      <c r="C272">
        <v>1</v>
      </c>
      <c r="D272">
        <v>0</v>
      </c>
      <c r="E272">
        <v>1</v>
      </c>
      <c r="F272">
        <v>17</v>
      </c>
      <c r="G272" t="b">
        <v>0</v>
      </c>
      <c r="H272">
        <v>3</v>
      </c>
      <c r="I272">
        <v>1</v>
      </c>
      <c r="J272">
        <v>0.2</v>
      </c>
    </row>
    <row r="273" spans="1:10">
      <c r="A273">
        <v>272</v>
      </c>
      <c r="B273" s="2">
        <v>40555</v>
      </c>
      <c r="C273">
        <v>1</v>
      </c>
      <c r="D273">
        <v>0</v>
      </c>
      <c r="E273">
        <v>1</v>
      </c>
      <c r="F273">
        <v>18</v>
      </c>
      <c r="G273" t="b">
        <v>0</v>
      </c>
      <c r="H273">
        <v>3</v>
      </c>
      <c r="I273">
        <v>1</v>
      </c>
      <c r="J273">
        <v>0.2</v>
      </c>
    </row>
    <row r="274" spans="1:10">
      <c r="A274">
        <v>273</v>
      </c>
      <c r="B274" s="2">
        <v>40555</v>
      </c>
      <c r="C274">
        <v>1</v>
      </c>
      <c r="D274">
        <v>0</v>
      </c>
      <c r="E274">
        <v>1</v>
      </c>
      <c r="F274">
        <v>19</v>
      </c>
      <c r="G274" t="b">
        <v>0</v>
      </c>
      <c r="H274">
        <v>3</v>
      </c>
      <c r="I274">
        <v>1</v>
      </c>
      <c r="J274">
        <v>0.18</v>
      </c>
    </row>
    <row r="275" spans="1:10">
      <c r="A275">
        <v>274</v>
      </c>
      <c r="B275" s="2">
        <v>40555</v>
      </c>
      <c r="C275">
        <v>1</v>
      </c>
      <c r="D275">
        <v>0</v>
      </c>
      <c r="E275">
        <v>1</v>
      </c>
      <c r="F275">
        <v>20</v>
      </c>
      <c r="G275" t="b">
        <v>0</v>
      </c>
      <c r="H275">
        <v>3</v>
      </c>
      <c r="I275">
        <v>1</v>
      </c>
      <c r="J275">
        <v>0.16</v>
      </c>
    </row>
    <row r="276" spans="1:10">
      <c r="A276">
        <v>275</v>
      </c>
      <c r="B276" s="2">
        <v>40555</v>
      </c>
      <c r="C276">
        <v>1</v>
      </c>
      <c r="D276">
        <v>0</v>
      </c>
      <c r="E276">
        <v>1</v>
      </c>
      <c r="F276">
        <v>21</v>
      </c>
      <c r="G276" t="b">
        <v>0</v>
      </c>
      <c r="H276">
        <v>3</v>
      </c>
      <c r="I276">
        <v>1</v>
      </c>
      <c r="J276">
        <v>0.16</v>
      </c>
    </row>
    <row r="277" spans="1:10">
      <c r="A277">
        <v>276</v>
      </c>
      <c r="B277" s="2">
        <v>40555</v>
      </c>
      <c r="C277">
        <v>1</v>
      </c>
      <c r="D277">
        <v>0</v>
      </c>
      <c r="E277">
        <v>1</v>
      </c>
      <c r="F277">
        <v>22</v>
      </c>
      <c r="G277" t="b">
        <v>0</v>
      </c>
      <c r="H277">
        <v>3</v>
      </c>
      <c r="I277">
        <v>1</v>
      </c>
      <c r="J277">
        <v>0.16</v>
      </c>
    </row>
    <row r="278" spans="1:10">
      <c r="A278">
        <v>277</v>
      </c>
      <c r="B278" s="2">
        <v>40555</v>
      </c>
      <c r="C278">
        <v>1</v>
      </c>
      <c r="D278">
        <v>0</v>
      </c>
      <c r="E278">
        <v>1</v>
      </c>
      <c r="F278">
        <v>23</v>
      </c>
      <c r="G278" t="b">
        <v>0</v>
      </c>
      <c r="H278">
        <v>3</v>
      </c>
      <c r="I278">
        <v>1</v>
      </c>
      <c r="J278">
        <v>0.14000000000000001</v>
      </c>
    </row>
    <row r="279" spans="1:10">
      <c r="A279">
        <v>278</v>
      </c>
      <c r="B279" s="2">
        <v>40556</v>
      </c>
      <c r="C279">
        <v>1</v>
      </c>
      <c r="D279">
        <v>0</v>
      </c>
      <c r="E279">
        <v>1</v>
      </c>
      <c r="F279">
        <v>0</v>
      </c>
      <c r="G279" t="b">
        <v>0</v>
      </c>
      <c r="H279">
        <v>4</v>
      </c>
      <c r="I279">
        <v>1</v>
      </c>
      <c r="J279">
        <v>0.14000000000000001</v>
      </c>
    </row>
    <row r="280" spans="1:10">
      <c r="A280">
        <v>279</v>
      </c>
      <c r="B280" s="2">
        <v>40556</v>
      </c>
      <c r="C280">
        <v>1</v>
      </c>
      <c r="D280">
        <v>0</v>
      </c>
      <c r="E280">
        <v>1</v>
      </c>
      <c r="F280">
        <v>1</v>
      </c>
      <c r="G280" t="b">
        <v>0</v>
      </c>
      <c r="H280">
        <v>4</v>
      </c>
      <c r="I280">
        <v>1</v>
      </c>
      <c r="J280">
        <v>0.14000000000000001</v>
      </c>
    </row>
    <row r="281" spans="1:10">
      <c r="A281">
        <v>280</v>
      </c>
      <c r="B281" s="2">
        <v>40556</v>
      </c>
      <c r="C281">
        <v>1</v>
      </c>
      <c r="D281">
        <v>0</v>
      </c>
      <c r="E281">
        <v>1</v>
      </c>
      <c r="F281">
        <v>2</v>
      </c>
      <c r="G281" t="b">
        <v>0</v>
      </c>
      <c r="H281">
        <v>4</v>
      </c>
      <c r="I281">
        <v>1</v>
      </c>
      <c r="J281">
        <v>0.14000000000000001</v>
      </c>
    </row>
    <row r="282" spans="1:10">
      <c r="A282">
        <v>281</v>
      </c>
      <c r="B282" s="2">
        <v>40556</v>
      </c>
      <c r="C282">
        <v>1</v>
      </c>
      <c r="D282">
        <v>0</v>
      </c>
      <c r="E282">
        <v>1</v>
      </c>
      <c r="F282">
        <v>3</v>
      </c>
      <c r="G282" t="b">
        <v>0</v>
      </c>
      <c r="H282">
        <v>4</v>
      </c>
      <c r="I282">
        <v>1</v>
      </c>
      <c r="J282">
        <v>0.14000000000000001</v>
      </c>
    </row>
    <row r="283" spans="1:10">
      <c r="A283">
        <v>282</v>
      </c>
      <c r="B283" s="2">
        <v>40556</v>
      </c>
      <c r="C283">
        <v>1</v>
      </c>
      <c r="D283">
        <v>0</v>
      </c>
      <c r="E283">
        <v>1</v>
      </c>
      <c r="F283">
        <v>4</v>
      </c>
      <c r="G283" t="b">
        <v>0</v>
      </c>
      <c r="H283">
        <v>4</v>
      </c>
      <c r="I283">
        <v>1</v>
      </c>
      <c r="J283">
        <v>0.14000000000000001</v>
      </c>
    </row>
    <row r="284" spans="1:10">
      <c r="A284">
        <v>283</v>
      </c>
      <c r="B284" s="2">
        <v>40556</v>
      </c>
      <c r="C284">
        <v>1</v>
      </c>
      <c r="D284">
        <v>0</v>
      </c>
      <c r="E284">
        <v>1</v>
      </c>
      <c r="F284">
        <v>5</v>
      </c>
      <c r="G284" t="b">
        <v>0</v>
      </c>
      <c r="H284">
        <v>4</v>
      </c>
      <c r="I284">
        <v>1</v>
      </c>
      <c r="J284">
        <v>0.14000000000000001</v>
      </c>
    </row>
    <row r="285" spans="1:10">
      <c r="A285">
        <v>284</v>
      </c>
      <c r="B285" s="2">
        <v>40556</v>
      </c>
      <c r="C285">
        <v>1</v>
      </c>
      <c r="D285">
        <v>0</v>
      </c>
      <c r="E285">
        <v>1</v>
      </c>
      <c r="F285">
        <v>6</v>
      </c>
      <c r="G285" t="b">
        <v>0</v>
      </c>
      <c r="H285">
        <v>4</v>
      </c>
      <c r="I285">
        <v>1</v>
      </c>
      <c r="J285">
        <v>0.12</v>
      </c>
    </row>
    <row r="286" spans="1:10">
      <c r="A286">
        <v>285</v>
      </c>
      <c r="B286" s="2">
        <v>40556</v>
      </c>
      <c r="C286">
        <v>1</v>
      </c>
      <c r="D286">
        <v>0</v>
      </c>
      <c r="E286">
        <v>1</v>
      </c>
      <c r="F286">
        <v>7</v>
      </c>
      <c r="G286" t="b">
        <v>0</v>
      </c>
      <c r="H286">
        <v>4</v>
      </c>
      <c r="I286">
        <v>1</v>
      </c>
      <c r="J286">
        <v>0.12</v>
      </c>
    </row>
    <row r="287" spans="1:10">
      <c r="A287">
        <v>286</v>
      </c>
      <c r="B287" s="2">
        <v>40556</v>
      </c>
      <c r="C287">
        <v>1</v>
      </c>
      <c r="D287">
        <v>0</v>
      </c>
      <c r="E287">
        <v>1</v>
      </c>
      <c r="F287">
        <v>8</v>
      </c>
      <c r="G287" t="b">
        <v>0</v>
      </c>
      <c r="H287">
        <v>4</v>
      </c>
      <c r="I287">
        <v>1</v>
      </c>
      <c r="J287">
        <v>0.14000000000000001</v>
      </c>
    </row>
    <row r="288" spans="1:10">
      <c r="A288">
        <v>287</v>
      </c>
      <c r="B288" s="2">
        <v>40556</v>
      </c>
      <c r="C288">
        <v>1</v>
      </c>
      <c r="D288">
        <v>0</v>
      </c>
      <c r="E288">
        <v>1</v>
      </c>
      <c r="F288">
        <v>9</v>
      </c>
      <c r="G288" t="b">
        <v>0</v>
      </c>
      <c r="H288">
        <v>4</v>
      </c>
      <c r="I288">
        <v>1</v>
      </c>
      <c r="J288">
        <v>0.14000000000000001</v>
      </c>
    </row>
    <row r="289" spans="1:10">
      <c r="A289">
        <v>288</v>
      </c>
      <c r="B289" s="2">
        <v>40556</v>
      </c>
      <c r="C289">
        <v>1</v>
      </c>
      <c r="D289">
        <v>0</v>
      </c>
      <c r="E289">
        <v>1</v>
      </c>
      <c r="F289">
        <v>10</v>
      </c>
      <c r="G289" t="b">
        <v>0</v>
      </c>
      <c r="H289">
        <v>4</v>
      </c>
      <c r="I289">
        <v>2</v>
      </c>
      <c r="J289">
        <v>0.16</v>
      </c>
    </row>
    <row r="290" spans="1:10">
      <c r="A290">
        <v>289</v>
      </c>
      <c r="B290" s="2">
        <v>40556</v>
      </c>
      <c r="C290">
        <v>1</v>
      </c>
      <c r="D290">
        <v>0</v>
      </c>
      <c r="E290">
        <v>1</v>
      </c>
      <c r="F290">
        <v>11</v>
      </c>
      <c r="G290" t="b">
        <v>0</v>
      </c>
      <c r="H290">
        <v>4</v>
      </c>
      <c r="I290">
        <v>2</v>
      </c>
      <c r="J290">
        <v>0.2</v>
      </c>
    </row>
    <row r="291" spans="1:10">
      <c r="A291">
        <v>290</v>
      </c>
      <c r="B291" s="2">
        <v>40556</v>
      </c>
      <c r="C291">
        <v>1</v>
      </c>
      <c r="D291">
        <v>0</v>
      </c>
      <c r="E291">
        <v>1</v>
      </c>
      <c r="F291">
        <v>12</v>
      </c>
      <c r="G291" t="b">
        <v>0</v>
      </c>
      <c r="H291">
        <v>4</v>
      </c>
      <c r="I291">
        <v>1</v>
      </c>
      <c r="J291">
        <v>0.2</v>
      </c>
    </row>
    <row r="292" spans="1:10">
      <c r="A292">
        <v>291</v>
      </c>
      <c r="B292" s="2">
        <v>40556</v>
      </c>
      <c r="C292">
        <v>1</v>
      </c>
      <c r="D292">
        <v>0</v>
      </c>
      <c r="E292">
        <v>1</v>
      </c>
      <c r="F292">
        <v>13</v>
      </c>
      <c r="G292" t="b">
        <v>0</v>
      </c>
      <c r="H292">
        <v>4</v>
      </c>
      <c r="I292">
        <v>1</v>
      </c>
      <c r="J292">
        <v>0.22</v>
      </c>
    </row>
    <row r="293" spans="1:10">
      <c r="A293">
        <v>292</v>
      </c>
      <c r="B293" s="2">
        <v>40556</v>
      </c>
      <c r="C293">
        <v>1</v>
      </c>
      <c r="D293">
        <v>0</v>
      </c>
      <c r="E293">
        <v>1</v>
      </c>
      <c r="F293">
        <v>14</v>
      </c>
      <c r="G293" t="b">
        <v>0</v>
      </c>
      <c r="H293">
        <v>4</v>
      </c>
      <c r="I293">
        <v>1</v>
      </c>
      <c r="J293">
        <v>0.22</v>
      </c>
    </row>
    <row r="294" spans="1:10">
      <c r="A294">
        <v>293</v>
      </c>
      <c r="B294" s="2">
        <v>40556</v>
      </c>
      <c r="C294">
        <v>1</v>
      </c>
      <c r="D294">
        <v>0</v>
      </c>
      <c r="E294">
        <v>1</v>
      </c>
      <c r="F294">
        <v>15</v>
      </c>
      <c r="G294" t="b">
        <v>0</v>
      </c>
      <c r="H294">
        <v>4</v>
      </c>
      <c r="I294">
        <v>1</v>
      </c>
      <c r="J294">
        <v>0.24</v>
      </c>
    </row>
    <row r="295" spans="1:10">
      <c r="A295">
        <v>294</v>
      </c>
      <c r="B295" s="2">
        <v>40556</v>
      </c>
      <c r="C295">
        <v>1</v>
      </c>
      <c r="D295">
        <v>0</v>
      </c>
      <c r="E295">
        <v>1</v>
      </c>
      <c r="F295">
        <v>16</v>
      </c>
      <c r="G295" t="b">
        <v>0</v>
      </c>
      <c r="H295">
        <v>4</v>
      </c>
      <c r="I295">
        <v>1</v>
      </c>
      <c r="J295">
        <v>0.24</v>
      </c>
    </row>
    <row r="296" spans="1:10">
      <c r="A296">
        <v>295</v>
      </c>
      <c r="B296" s="2">
        <v>40556</v>
      </c>
      <c r="C296">
        <v>1</v>
      </c>
      <c r="D296">
        <v>0</v>
      </c>
      <c r="E296">
        <v>1</v>
      </c>
      <c r="F296">
        <v>17</v>
      </c>
      <c r="G296" t="b">
        <v>0</v>
      </c>
      <c r="H296">
        <v>4</v>
      </c>
      <c r="I296">
        <v>1</v>
      </c>
      <c r="J296">
        <v>0.2</v>
      </c>
    </row>
    <row r="297" spans="1:10">
      <c r="A297">
        <v>296</v>
      </c>
      <c r="B297" s="2">
        <v>40556</v>
      </c>
      <c r="C297">
        <v>1</v>
      </c>
      <c r="D297">
        <v>0</v>
      </c>
      <c r="E297">
        <v>1</v>
      </c>
      <c r="F297">
        <v>18</v>
      </c>
      <c r="G297" t="b">
        <v>0</v>
      </c>
      <c r="H297">
        <v>4</v>
      </c>
      <c r="I297">
        <v>1</v>
      </c>
      <c r="J297">
        <v>0.2</v>
      </c>
    </row>
    <row r="298" spans="1:10">
      <c r="A298">
        <v>297</v>
      </c>
      <c r="B298" s="2">
        <v>40556</v>
      </c>
      <c r="C298">
        <v>1</v>
      </c>
      <c r="D298">
        <v>0</v>
      </c>
      <c r="E298">
        <v>1</v>
      </c>
      <c r="F298">
        <v>19</v>
      </c>
      <c r="G298" t="b">
        <v>0</v>
      </c>
      <c r="H298">
        <v>4</v>
      </c>
      <c r="I298">
        <v>1</v>
      </c>
      <c r="J298">
        <v>0.16</v>
      </c>
    </row>
    <row r="299" spans="1:10">
      <c r="A299">
        <v>298</v>
      </c>
      <c r="B299" s="2">
        <v>40556</v>
      </c>
      <c r="C299">
        <v>1</v>
      </c>
      <c r="D299">
        <v>0</v>
      </c>
      <c r="E299">
        <v>1</v>
      </c>
      <c r="F299">
        <v>20</v>
      </c>
      <c r="G299" t="b">
        <v>0</v>
      </c>
      <c r="H299">
        <v>4</v>
      </c>
      <c r="I299">
        <v>1</v>
      </c>
      <c r="J299">
        <v>0.16</v>
      </c>
    </row>
    <row r="300" spans="1:10">
      <c r="A300">
        <v>299</v>
      </c>
      <c r="B300" s="2">
        <v>40556</v>
      </c>
      <c r="C300">
        <v>1</v>
      </c>
      <c r="D300">
        <v>0</v>
      </c>
      <c r="E300">
        <v>1</v>
      </c>
      <c r="F300">
        <v>21</v>
      </c>
      <c r="G300" t="b">
        <v>0</v>
      </c>
      <c r="H300">
        <v>4</v>
      </c>
      <c r="I300">
        <v>1</v>
      </c>
      <c r="J300">
        <v>0.14000000000000001</v>
      </c>
    </row>
    <row r="301" spans="1:10">
      <c r="A301">
        <v>300</v>
      </c>
      <c r="B301" s="2">
        <v>40556</v>
      </c>
      <c r="C301">
        <v>1</v>
      </c>
      <c r="D301">
        <v>0</v>
      </c>
      <c r="E301">
        <v>1</v>
      </c>
      <c r="F301">
        <v>22</v>
      </c>
      <c r="G301" t="b">
        <v>0</v>
      </c>
      <c r="H301">
        <v>4</v>
      </c>
      <c r="I301">
        <v>1</v>
      </c>
      <c r="J301">
        <v>0.14000000000000001</v>
      </c>
    </row>
    <row r="302" spans="1:10">
      <c r="A302">
        <v>301</v>
      </c>
      <c r="B302" s="2">
        <v>40556</v>
      </c>
      <c r="C302">
        <v>1</v>
      </c>
      <c r="D302">
        <v>0</v>
      </c>
      <c r="E302">
        <v>1</v>
      </c>
      <c r="F302">
        <v>23</v>
      </c>
      <c r="G302" t="b">
        <v>0</v>
      </c>
      <c r="H302">
        <v>4</v>
      </c>
      <c r="I302">
        <v>1</v>
      </c>
      <c r="J302">
        <v>0.12</v>
      </c>
    </row>
    <row r="303" spans="1:10">
      <c r="A303">
        <v>302</v>
      </c>
      <c r="B303" s="2">
        <v>40557</v>
      </c>
      <c r="C303">
        <v>1</v>
      </c>
      <c r="D303">
        <v>0</v>
      </c>
      <c r="E303">
        <v>1</v>
      </c>
      <c r="F303">
        <v>0</v>
      </c>
      <c r="G303" t="b">
        <v>0</v>
      </c>
      <c r="H303">
        <v>5</v>
      </c>
      <c r="I303">
        <v>1</v>
      </c>
      <c r="J303">
        <v>0.12</v>
      </c>
    </row>
    <row r="304" spans="1:10">
      <c r="A304">
        <v>303</v>
      </c>
      <c r="B304" s="2">
        <v>40557</v>
      </c>
      <c r="C304">
        <v>1</v>
      </c>
      <c r="D304">
        <v>0</v>
      </c>
      <c r="E304">
        <v>1</v>
      </c>
      <c r="F304">
        <v>1</v>
      </c>
      <c r="G304" t="b">
        <v>0</v>
      </c>
      <c r="H304">
        <v>5</v>
      </c>
      <c r="I304">
        <v>1</v>
      </c>
      <c r="J304">
        <v>0.1</v>
      </c>
    </row>
    <row r="305" spans="1:10">
      <c r="A305">
        <v>304</v>
      </c>
      <c r="B305" s="2">
        <v>40557</v>
      </c>
      <c r="C305">
        <v>1</v>
      </c>
      <c r="D305">
        <v>0</v>
      </c>
      <c r="E305">
        <v>1</v>
      </c>
      <c r="F305">
        <v>2</v>
      </c>
      <c r="G305" t="b">
        <v>0</v>
      </c>
      <c r="H305">
        <v>5</v>
      </c>
      <c r="I305">
        <v>1</v>
      </c>
      <c r="J305">
        <v>0.1</v>
      </c>
    </row>
    <row r="306" spans="1:10">
      <c r="A306">
        <v>305</v>
      </c>
      <c r="B306" s="2">
        <v>40557</v>
      </c>
      <c r="C306">
        <v>1</v>
      </c>
      <c r="D306">
        <v>0</v>
      </c>
      <c r="E306">
        <v>1</v>
      </c>
      <c r="F306">
        <v>3</v>
      </c>
      <c r="G306" t="b">
        <v>0</v>
      </c>
      <c r="H306">
        <v>5</v>
      </c>
      <c r="I306">
        <v>1</v>
      </c>
      <c r="J306">
        <v>0.1</v>
      </c>
    </row>
    <row r="307" spans="1:10">
      <c r="A307">
        <v>306</v>
      </c>
      <c r="B307" s="2">
        <v>40557</v>
      </c>
      <c r="C307">
        <v>1</v>
      </c>
      <c r="D307">
        <v>0</v>
      </c>
      <c r="E307">
        <v>1</v>
      </c>
      <c r="F307">
        <v>5</v>
      </c>
      <c r="G307" t="b">
        <v>0</v>
      </c>
      <c r="H307">
        <v>5</v>
      </c>
      <c r="I307">
        <v>1</v>
      </c>
      <c r="J307">
        <v>0.1</v>
      </c>
    </row>
    <row r="308" spans="1:10">
      <c r="A308">
        <v>307</v>
      </c>
      <c r="B308" s="2">
        <v>40557</v>
      </c>
      <c r="C308">
        <v>1</v>
      </c>
      <c r="D308">
        <v>0</v>
      </c>
      <c r="E308">
        <v>1</v>
      </c>
      <c r="F308">
        <v>6</v>
      </c>
      <c r="G308" t="b">
        <v>0</v>
      </c>
      <c r="H308">
        <v>5</v>
      </c>
      <c r="I308">
        <v>1</v>
      </c>
      <c r="J308">
        <v>0.1</v>
      </c>
    </row>
    <row r="309" spans="1:10">
      <c r="A309">
        <v>308</v>
      </c>
      <c r="B309" s="2">
        <v>40557</v>
      </c>
      <c r="C309">
        <v>1</v>
      </c>
      <c r="D309">
        <v>0</v>
      </c>
      <c r="E309">
        <v>1</v>
      </c>
      <c r="F309">
        <v>7</v>
      </c>
      <c r="G309" t="b">
        <v>0</v>
      </c>
      <c r="H309">
        <v>5</v>
      </c>
      <c r="I309">
        <v>1</v>
      </c>
      <c r="J309">
        <v>0.1</v>
      </c>
    </row>
    <row r="310" spans="1:10">
      <c r="A310">
        <v>309</v>
      </c>
      <c r="B310" s="2">
        <v>40557</v>
      </c>
      <c r="C310">
        <v>1</v>
      </c>
      <c r="D310">
        <v>0</v>
      </c>
      <c r="E310">
        <v>1</v>
      </c>
      <c r="F310">
        <v>8</v>
      </c>
      <c r="G310" t="b">
        <v>0</v>
      </c>
      <c r="H310">
        <v>5</v>
      </c>
      <c r="I310">
        <v>1</v>
      </c>
      <c r="J310">
        <v>0.12</v>
      </c>
    </row>
    <row r="311" spans="1:10">
      <c r="A311">
        <v>310</v>
      </c>
      <c r="B311" s="2">
        <v>40557</v>
      </c>
      <c r="C311">
        <v>1</v>
      </c>
      <c r="D311">
        <v>0</v>
      </c>
      <c r="E311">
        <v>1</v>
      </c>
      <c r="F311">
        <v>9</v>
      </c>
      <c r="G311" t="b">
        <v>0</v>
      </c>
      <c r="H311">
        <v>5</v>
      </c>
      <c r="I311">
        <v>1</v>
      </c>
      <c r="J311">
        <v>0.14000000000000001</v>
      </c>
    </row>
    <row r="312" spans="1:10">
      <c r="A312">
        <v>311</v>
      </c>
      <c r="B312" s="2">
        <v>40557</v>
      </c>
      <c r="C312">
        <v>1</v>
      </c>
      <c r="D312">
        <v>0</v>
      </c>
      <c r="E312">
        <v>1</v>
      </c>
      <c r="F312">
        <v>10</v>
      </c>
      <c r="G312" t="b">
        <v>0</v>
      </c>
      <c r="H312">
        <v>5</v>
      </c>
      <c r="I312">
        <v>1</v>
      </c>
      <c r="J312">
        <v>0.18</v>
      </c>
    </row>
    <row r="313" spans="1:10">
      <c r="A313">
        <v>312</v>
      </c>
      <c r="B313" s="2">
        <v>40557</v>
      </c>
      <c r="C313">
        <v>1</v>
      </c>
      <c r="D313">
        <v>0</v>
      </c>
      <c r="E313">
        <v>1</v>
      </c>
      <c r="F313">
        <v>11</v>
      </c>
      <c r="G313" t="b">
        <v>0</v>
      </c>
      <c r="H313">
        <v>5</v>
      </c>
      <c r="I313">
        <v>1</v>
      </c>
      <c r="J313">
        <v>0.18</v>
      </c>
    </row>
    <row r="314" spans="1:10">
      <c r="A314">
        <v>313</v>
      </c>
      <c r="B314" s="2">
        <v>40557</v>
      </c>
      <c r="C314">
        <v>1</v>
      </c>
      <c r="D314">
        <v>0</v>
      </c>
      <c r="E314">
        <v>1</v>
      </c>
      <c r="F314">
        <v>12</v>
      </c>
      <c r="G314" t="b">
        <v>0</v>
      </c>
      <c r="H314">
        <v>5</v>
      </c>
      <c r="I314">
        <v>1</v>
      </c>
      <c r="J314">
        <v>0.2</v>
      </c>
    </row>
    <row r="315" spans="1:10">
      <c r="A315">
        <v>314</v>
      </c>
      <c r="B315" s="2">
        <v>40557</v>
      </c>
      <c r="C315">
        <v>1</v>
      </c>
      <c r="D315">
        <v>0</v>
      </c>
      <c r="E315">
        <v>1</v>
      </c>
      <c r="F315">
        <v>13</v>
      </c>
      <c r="G315" t="b">
        <v>0</v>
      </c>
      <c r="H315">
        <v>5</v>
      </c>
      <c r="I315">
        <v>1</v>
      </c>
      <c r="J315">
        <v>0.22</v>
      </c>
    </row>
    <row r="316" spans="1:10">
      <c r="A316">
        <v>315</v>
      </c>
      <c r="B316" s="2">
        <v>40557</v>
      </c>
      <c r="C316">
        <v>1</v>
      </c>
      <c r="D316">
        <v>0</v>
      </c>
      <c r="E316">
        <v>1</v>
      </c>
      <c r="F316">
        <v>14</v>
      </c>
      <c r="G316" t="b">
        <v>0</v>
      </c>
      <c r="H316">
        <v>5</v>
      </c>
      <c r="I316">
        <v>1</v>
      </c>
      <c r="J316">
        <v>0.22</v>
      </c>
    </row>
    <row r="317" spans="1:10">
      <c r="A317">
        <v>316</v>
      </c>
      <c r="B317" s="2">
        <v>40557</v>
      </c>
      <c r="C317">
        <v>1</v>
      </c>
      <c r="D317">
        <v>0</v>
      </c>
      <c r="E317">
        <v>1</v>
      </c>
      <c r="F317">
        <v>15</v>
      </c>
      <c r="G317" t="b">
        <v>0</v>
      </c>
      <c r="H317">
        <v>5</v>
      </c>
      <c r="I317">
        <v>1</v>
      </c>
      <c r="J317">
        <v>0.24</v>
      </c>
    </row>
    <row r="318" spans="1:10">
      <c r="A318">
        <v>317</v>
      </c>
      <c r="B318" s="2">
        <v>40557</v>
      </c>
      <c r="C318">
        <v>1</v>
      </c>
      <c r="D318">
        <v>0</v>
      </c>
      <c r="E318">
        <v>1</v>
      </c>
      <c r="F318">
        <v>16</v>
      </c>
      <c r="G318" t="b">
        <v>0</v>
      </c>
      <c r="H318">
        <v>5</v>
      </c>
      <c r="I318">
        <v>1</v>
      </c>
      <c r="J318">
        <v>0.22</v>
      </c>
    </row>
    <row r="319" spans="1:10">
      <c r="A319">
        <v>318</v>
      </c>
      <c r="B319" s="2">
        <v>40557</v>
      </c>
      <c r="C319">
        <v>1</v>
      </c>
      <c r="D319">
        <v>0</v>
      </c>
      <c r="E319">
        <v>1</v>
      </c>
      <c r="F319">
        <v>17</v>
      </c>
      <c r="G319" t="b">
        <v>0</v>
      </c>
      <c r="H319">
        <v>5</v>
      </c>
      <c r="I319">
        <v>1</v>
      </c>
      <c r="J319">
        <v>0.22</v>
      </c>
    </row>
    <row r="320" spans="1:10">
      <c r="A320">
        <v>319</v>
      </c>
      <c r="B320" s="2">
        <v>40557</v>
      </c>
      <c r="C320">
        <v>1</v>
      </c>
      <c r="D320">
        <v>0</v>
      </c>
      <c r="E320">
        <v>1</v>
      </c>
      <c r="F320">
        <v>18</v>
      </c>
      <c r="G320" t="b">
        <v>0</v>
      </c>
      <c r="H320">
        <v>5</v>
      </c>
      <c r="I320">
        <v>1</v>
      </c>
      <c r="J320">
        <v>0.2</v>
      </c>
    </row>
    <row r="321" spans="1:10">
      <c r="A321">
        <v>320</v>
      </c>
      <c r="B321" s="2">
        <v>40557</v>
      </c>
      <c r="C321">
        <v>1</v>
      </c>
      <c r="D321">
        <v>0</v>
      </c>
      <c r="E321">
        <v>1</v>
      </c>
      <c r="F321">
        <v>19</v>
      </c>
      <c r="G321" t="b">
        <v>0</v>
      </c>
      <c r="H321">
        <v>5</v>
      </c>
      <c r="I321">
        <v>1</v>
      </c>
      <c r="J321">
        <v>0.16</v>
      </c>
    </row>
    <row r="322" spans="1:10">
      <c r="A322">
        <v>321</v>
      </c>
      <c r="B322" s="2">
        <v>40557</v>
      </c>
      <c r="C322">
        <v>1</v>
      </c>
      <c r="D322">
        <v>0</v>
      </c>
      <c r="E322">
        <v>1</v>
      </c>
      <c r="F322">
        <v>20</v>
      </c>
      <c r="G322" t="b">
        <v>0</v>
      </c>
      <c r="H322">
        <v>5</v>
      </c>
      <c r="I322">
        <v>1</v>
      </c>
      <c r="J322">
        <v>0.18</v>
      </c>
    </row>
    <row r="323" spans="1:10">
      <c r="A323">
        <v>322</v>
      </c>
      <c r="B323" s="2">
        <v>40557</v>
      </c>
      <c r="C323">
        <v>1</v>
      </c>
      <c r="D323">
        <v>0</v>
      </c>
      <c r="E323">
        <v>1</v>
      </c>
      <c r="F323">
        <v>21</v>
      </c>
      <c r="G323" t="b">
        <v>0</v>
      </c>
      <c r="H323">
        <v>5</v>
      </c>
      <c r="I323">
        <v>1</v>
      </c>
      <c r="J323">
        <v>0.16</v>
      </c>
    </row>
    <row r="324" spans="1:10">
      <c r="A324">
        <v>323</v>
      </c>
      <c r="B324" s="2">
        <v>40557</v>
      </c>
      <c r="C324">
        <v>1</v>
      </c>
      <c r="D324">
        <v>0</v>
      </c>
      <c r="E324">
        <v>1</v>
      </c>
      <c r="F324">
        <v>22</v>
      </c>
      <c r="G324" t="b">
        <v>0</v>
      </c>
      <c r="H324">
        <v>5</v>
      </c>
      <c r="I324">
        <v>2</v>
      </c>
      <c r="J324">
        <v>0.16</v>
      </c>
    </row>
    <row r="325" spans="1:10">
      <c r="A325">
        <v>324</v>
      </c>
      <c r="B325" s="2">
        <v>40557</v>
      </c>
      <c r="C325">
        <v>1</v>
      </c>
      <c r="D325">
        <v>0</v>
      </c>
      <c r="E325">
        <v>1</v>
      </c>
      <c r="F325">
        <v>23</v>
      </c>
      <c r="G325" t="b">
        <v>0</v>
      </c>
      <c r="H325">
        <v>5</v>
      </c>
      <c r="I325">
        <v>2</v>
      </c>
      <c r="J325">
        <v>0.18</v>
      </c>
    </row>
    <row r="326" spans="1:10">
      <c r="A326">
        <v>325</v>
      </c>
      <c r="B326" s="2">
        <v>40558</v>
      </c>
      <c r="C326">
        <v>1</v>
      </c>
      <c r="D326">
        <v>0</v>
      </c>
      <c r="E326">
        <v>1</v>
      </c>
      <c r="F326">
        <v>0</v>
      </c>
      <c r="G326" t="b">
        <v>0</v>
      </c>
      <c r="H326">
        <v>6</v>
      </c>
      <c r="I326">
        <v>1</v>
      </c>
      <c r="J326">
        <v>0.18</v>
      </c>
    </row>
    <row r="327" spans="1:10">
      <c r="A327">
        <v>326</v>
      </c>
      <c r="B327" s="2">
        <v>40558</v>
      </c>
      <c r="C327">
        <v>1</v>
      </c>
      <c r="D327">
        <v>0</v>
      </c>
      <c r="E327">
        <v>1</v>
      </c>
      <c r="F327">
        <v>1</v>
      </c>
      <c r="G327" t="b">
        <v>0</v>
      </c>
      <c r="H327">
        <v>6</v>
      </c>
      <c r="I327">
        <v>2</v>
      </c>
      <c r="J327">
        <v>0.16</v>
      </c>
    </row>
    <row r="328" spans="1:10">
      <c r="A328">
        <v>327</v>
      </c>
      <c r="B328" s="2">
        <v>40558</v>
      </c>
      <c r="C328">
        <v>1</v>
      </c>
      <c r="D328">
        <v>0</v>
      </c>
      <c r="E328">
        <v>1</v>
      </c>
      <c r="F328">
        <v>2</v>
      </c>
      <c r="G328" t="b">
        <v>0</v>
      </c>
      <c r="H328">
        <v>6</v>
      </c>
      <c r="I328">
        <v>2</v>
      </c>
      <c r="J328">
        <v>0.16</v>
      </c>
    </row>
    <row r="329" spans="1:10">
      <c r="A329">
        <v>328</v>
      </c>
      <c r="B329" s="2">
        <v>40558</v>
      </c>
      <c r="C329">
        <v>1</v>
      </c>
      <c r="D329">
        <v>0</v>
      </c>
      <c r="E329">
        <v>1</v>
      </c>
      <c r="F329">
        <v>3</v>
      </c>
      <c r="G329" t="b">
        <v>0</v>
      </c>
      <c r="H329">
        <v>6</v>
      </c>
      <c r="I329">
        <v>2</v>
      </c>
      <c r="J329">
        <v>0.16</v>
      </c>
    </row>
    <row r="330" spans="1:10">
      <c r="A330">
        <v>329</v>
      </c>
      <c r="B330" s="2">
        <v>40558</v>
      </c>
      <c r="C330">
        <v>1</v>
      </c>
      <c r="D330">
        <v>0</v>
      </c>
      <c r="E330">
        <v>1</v>
      </c>
      <c r="F330">
        <v>4</v>
      </c>
      <c r="G330" t="b">
        <v>0</v>
      </c>
      <c r="H330">
        <v>6</v>
      </c>
      <c r="I330">
        <v>2</v>
      </c>
      <c r="J330">
        <v>0.16</v>
      </c>
    </row>
    <row r="331" spans="1:10">
      <c r="A331">
        <v>330</v>
      </c>
      <c r="B331" s="2">
        <v>40558</v>
      </c>
      <c r="C331">
        <v>1</v>
      </c>
      <c r="D331">
        <v>0</v>
      </c>
      <c r="E331">
        <v>1</v>
      </c>
      <c r="F331">
        <v>5</v>
      </c>
      <c r="G331" t="b">
        <v>0</v>
      </c>
      <c r="H331">
        <v>6</v>
      </c>
      <c r="I331">
        <v>1</v>
      </c>
      <c r="J331">
        <v>0.16</v>
      </c>
    </row>
    <row r="332" spans="1:10">
      <c r="A332">
        <v>331</v>
      </c>
      <c r="B332" s="2">
        <v>40558</v>
      </c>
      <c r="C332">
        <v>1</v>
      </c>
      <c r="D332">
        <v>0</v>
      </c>
      <c r="E332">
        <v>1</v>
      </c>
      <c r="F332">
        <v>6</v>
      </c>
      <c r="G332" t="b">
        <v>0</v>
      </c>
      <c r="H332">
        <v>6</v>
      </c>
      <c r="I332">
        <v>1</v>
      </c>
      <c r="J332">
        <v>0.14000000000000001</v>
      </c>
    </row>
    <row r="333" spans="1:10">
      <c r="A333">
        <v>332</v>
      </c>
      <c r="B333" s="2">
        <v>40558</v>
      </c>
      <c r="C333">
        <v>1</v>
      </c>
      <c r="D333">
        <v>0</v>
      </c>
      <c r="E333">
        <v>1</v>
      </c>
      <c r="F333">
        <v>7</v>
      </c>
      <c r="G333" t="b">
        <v>0</v>
      </c>
      <c r="H333">
        <v>6</v>
      </c>
      <c r="I333">
        <v>1</v>
      </c>
      <c r="J333">
        <v>0.14000000000000001</v>
      </c>
    </row>
    <row r="334" spans="1:10">
      <c r="A334">
        <v>333</v>
      </c>
      <c r="B334" s="2">
        <v>40558</v>
      </c>
      <c r="C334">
        <v>1</v>
      </c>
      <c r="D334">
        <v>0</v>
      </c>
      <c r="E334">
        <v>1</v>
      </c>
      <c r="F334">
        <v>8</v>
      </c>
      <c r="G334" t="b">
        <v>0</v>
      </c>
      <c r="H334">
        <v>6</v>
      </c>
      <c r="I334">
        <v>1</v>
      </c>
      <c r="J334">
        <v>0.14000000000000001</v>
      </c>
    </row>
    <row r="335" spans="1:10">
      <c r="A335">
        <v>334</v>
      </c>
      <c r="B335" s="2">
        <v>40558</v>
      </c>
      <c r="C335">
        <v>1</v>
      </c>
      <c r="D335">
        <v>0</v>
      </c>
      <c r="E335">
        <v>1</v>
      </c>
      <c r="F335">
        <v>9</v>
      </c>
      <c r="G335" t="b">
        <v>0</v>
      </c>
      <c r="H335">
        <v>6</v>
      </c>
      <c r="I335">
        <v>1</v>
      </c>
      <c r="J335">
        <v>0.16</v>
      </c>
    </row>
    <row r="336" spans="1:10">
      <c r="A336">
        <v>335</v>
      </c>
      <c r="B336" s="2">
        <v>40558</v>
      </c>
      <c r="C336">
        <v>1</v>
      </c>
      <c r="D336">
        <v>0</v>
      </c>
      <c r="E336">
        <v>1</v>
      </c>
      <c r="F336">
        <v>10</v>
      </c>
      <c r="G336" t="b">
        <v>0</v>
      </c>
      <c r="H336">
        <v>6</v>
      </c>
      <c r="I336">
        <v>1</v>
      </c>
      <c r="J336">
        <v>0.18</v>
      </c>
    </row>
    <row r="337" spans="1:10">
      <c r="A337">
        <v>336</v>
      </c>
      <c r="B337" s="2">
        <v>40558</v>
      </c>
      <c r="C337">
        <v>1</v>
      </c>
      <c r="D337">
        <v>0</v>
      </c>
      <c r="E337">
        <v>1</v>
      </c>
      <c r="F337">
        <v>11</v>
      </c>
      <c r="G337" t="b">
        <v>0</v>
      </c>
      <c r="H337">
        <v>6</v>
      </c>
      <c r="I337">
        <v>1</v>
      </c>
      <c r="J337">
        <v>0.2</v>
      </c>
    </row>
    <row r="338" spans="1:10">
      <c r="A338">
        <v>337</v>
      </c>
      <c r="B338" s="2">
        <v>40558</v>
      </c>
      <c r="C338">
        <v>1</v>
      </c>
      <c r="D338">
        <v>0</v>
      </c>
      <c r="E338">
        <v>1</v>
      </c>
      <c r="F338">
        <v>12</v>
      </c>
      <c r="G338" t="b">
        <v>0</v>
      </c>
      <c r="H338">
        <v>6</v>
      </c>
      <c r="I338">
        <v>1</v>
      </c>
      <c r="J338">
        <v>0.24</v>
      </c>
    </row>
    <row r="339" spans="1:10">
      <c r="A339">
        <v>338</v>
      </c>
      <c r="B339" s="2">
        <v>40558</v>
      </c>
      <c r="C339">
        <v>1</v>
      </c>
      <c r="D339">
        <v>0</v>
      </c>
      <c r="E339">
        <v>1</v>
      </c>
      <c r="F339">
        <v>13</v>
      </c>
      <c r="G339" t="b">
        <v>0</v>
      </c>
      <c r="H339">
        <v>6</v>
      </c>
      <c r="I339">
        <v>1</v>
      </c>
      <c r="J339">
        <v>0.28000000000000003</v>
      </c>
    </row>
    <row r="340" spans="1:10">
      <c r="A340">
        <v>339</v>
      </c>
      <c r="B340" s="2">
        <v>40558</v>
      </c>
      <c r="C340">
        <v>1</v>
      </c>
      <c r="D340">
        <v>0</v>
      </c>
      <c r="E340">
        <v>1</v>
      </c>
      <c r="F340">
        <v>14</v>
      </c>
      <c r="G340" t="b">
        <v>0</v>
      </c>
      <c r="H340">
        <v>6</v>
      </c>
      <c r="I340">
        <v>1</v>
      </c>
      <c r="J340">
        <v>0.3</v>
      </c>
    </row>
    <row r="341" spans="1:10">
      <c r="A341">
        <v>340</v>
      </c>
      <c r="B341" s="2">
        <v>40558</v>
      </c>
      <c r="C341">
        <v>1</v>
      </c>
      <c r="D341">
        <v>0</v>
      </c>
      <c r="E341">
        <v>1</v>
      </c>
      <c r="F341">
        <v>15</v>
      </c>
      <c r="G341" t="b">
        <v>0</v>
      </c>
      <c r="H341">
        <v>6</v>
      </c>
      <c r="I341">
        <v>2</v>
      </c>
      <c r="J341">
        <v>0.32</v>
      </c>
    </row>
    <row r="342" spans="1:10">
      <c r="A342">
        <v>341</v>
      </c>
      <c r="B342" s="2">
        <v>40558</v>
      </c>
      <c r="C342">
        <v>1</v>
      </c>
      <c r="D342">
        <v>0</v>
      </c>
      <c r="E342">
        <v>1</v>
      </c>
      <c r="F342">
        <v>16</v>
      </c>
      <c r="G342" t="b">
        <v>0</v>
      </c>
      <c r="H342">
        <v>6</v>
      </c>
      <c r="I342">
        <v>2</v>
      </c>
      <c r="J342">
        <v>0.34</v>
      </c>
    </row>
    <row r="343" spans="1:10">
      <c r="A343">
        <v>342</v>
      </c>
      <c r="B343" s="2">
        <v>40558</v>
      </c>
      <c r="C343">
        <v>1</v>
      </c>
      <c r="D343">
        <v>0</v>
      </c>
      <c r="E343">
        <v>1</v>
      </c>
      <c r="F343">
        <v>17</v>
      </c>
      <c r="G343" t="b">
        <v>0</v>
      </c>
      <c r="H343">
        <v>6</v>
      </c>
      <c r="I343">
        <v>2</v>
      </c>
      <c r="J343">
        <v>0.32</v>
      </c>
    </row>
    <row r="344" spans="1:10">
      <c r="A344">
        <v>343</v>
      </c>
      <c r="B344" s="2">
        <v>40558</v>
      </c>
      <c r="C344">
        <v>1</v>
      </c>
      <c r="D344">
        <v>0</v>
      </c>
      <c r="E344">
        <v>1</v>
      </c>
      <c r="F344">
        <v>18</v>
      </c>
      <c r="G344" t="b">
        <v>0</v>
      </c>
      <c r="H344">
        <v>6</v>
      </c>
      <c r="I344">
        <v>2</v>
      </c>
      <c r="J344">
        <v>0.3</v>
      </c>
    </row>
    <row r="345" spans="1:10">
      <c r="A345">
        <v>344</v>
      </c>
      <c r="B345" s="2">
        <v>40558</v>
      </c>
      <c r="C345">
        <v>1</v>
      </c>
      <c r="D345">
        <v>0</v>
      </c>
      <c r="E345">
        <v>1</v>
      </c>
      <c r="F345">
        <v>19</v>
      </c>
      <c r="G345" t="b">
        <v>0</v>
      </c>
      <c r="H345">
        <v>6</v>
      </c>
      <c r="I345">
        <v>2</v>
      </c>
      <c r="J345">
        <v>0.32</v>
      </c>
    </row>
    <row r="346" spans="1:10">
      <c r="A346">
        <v>345</v>
      </c>
      <c r="B346" s="2">
        <v>40558</v>
      </c>
      <c r="C346">
        <v>1</v>
      </c>
      <c r="D346">
        <v>0</v>
      </c>
      <c r="E346">
        <v>1</v>
      </c>
      <c r="F346">
        <v>20</v>
      </c>
      <c r="G346" t="b">
        <v>0</v>
      </c>
      <c r="H346">
        <v>6</v>
      </c>
      <c r="I346">
        <v>2</v>
      </c>
      <c r="J346">
        <v>0.32</v>
      </c>
    </row>
    <row r="347" spans="1:10">
      <c r="A347">
        <v>346</v>
      </c>
      <c r="B347" s="2">
        <v>40558</v>
      </c>
      <c r="C347">
        <v>1</v>
      </c>
      <c r="D347">
        <v>0</v>
      </c>
      <c r="E347">
        <v>1</v>
      </c>
      <c r="F347">
        <v>21</v>
      </c>
      <c r="G347" t="b">
        <v>0</v>
      </c>
      <c r="H347">
        <v>6</v>
      </c>
      <c r="I347">
        <v>2</v>
      </c>
      <c r="J347">
        <v>0.32</v>
      </c>
    </row>
    <row r="348" spans="1:10">
      <c r="A348">
        <v>347</v>
      </c>
      <c r="B348" s="2">
        <v>40558</v>
      </c>
      <c r="C348">
        <v>1</v>
      </c>
      <c r="D348">
        <v>0</v>
      </c>
      <c r="E348">
        <v>1</v>
      </c>
      <c r="F348">
        <v>22</v>
      </c>
      <c r="G348" t="b">
        <v>0</v>
      </c>
      <c r="H348">
        <v>6</v>
      </c>
      <c r="I348">
        <v>2</v>
      </c>
      <c r="J348">
        <v>0.3</v>
      </c>
    </row>
    <row r="349" spans="1:10">
      <c r="A349">
        <v>348</v>
      </c>
      <c r="B349" s="2">
        <v>40558</v>
      </c>
      <c r="C349">
        <v>1</v>
      </c>
      <c r="D349">
        <v>0</v>
      </c>
      <c r="E349">
        <v>1</v>
      </c>
      <c r="F349">
        <v>23</v>
      </c>
      <c r="G349" t="b">
        <v>0</v>
      </c>
      <c r="H349">
        <v>6</v>
      </c>
      <c r="I349">
        <v>1</v>
      </c>
      <c r="J349">
        <v>0.3</v>
      </c>
    </row>
    <row r="350" spans="1:10">
      <c r="A350">
        <v>349</v>
      </c>
      <c r="B350" s="2">
        <v>40559</v>
      </c>
      <c r="C350">
        <v>1</v>
      </c>
      <c r="D350">
        <v>0</v>
      </c>
      <c r="E350">
        <v>1</v>
      </c>
      <c r="F350">
        <v>0</v>
      </c>
      <c r="G350" t="b">
        <v>0</v>
      </c>
      <c r="H350">
        <v>0</v>
      </c>
      <c r="I350">
        <v>1</v>
      </c>
      <c r="J350">
        <v>0.26</v>
      </c>
    </row>
    <row r="351" spans="1:10">
      <c r="A351">
        <v>350</v>
      </c>
      <c r="B351" s="2">
        <v>40559</v>
      </c>
      <c r="C351">
        <v>1</v>
      </c>
      <c r="D351">
        <v>0</v>
      </c>
      <c r="E351">
        <v>1</v>
      </c>
      <c r="F351">
        <v>1</v>
      </c>
      <c r="G351" t="b">
        <v>0</v>
      </c>
      <c r="H351">
        <v>0</v>
      </c>
      <c r="I351">
        <v>1</v>
      </c>
      <c r="J351">
        <v>0.26</v>
      </c>
    </row>
    <row r="352" spans="1:10">
      <c r="A352">
        <v>351</v>
      </c>
      <c r="B352" s="2">
        <v>40559</v>
      </c>
      <c r="C352">
        <v>1</v>
      </c>
      <c r="D352">
        <v>0</v>
      </c>
      <c r="E352">
        <v>1</v>
      </c>
      <c r="F352">
        <v>2</v>
      </c>
      <c r="G352" t="b">
        <v>0</v>
      </c>
      <c r="H352">
        <v>0</v>
      </c>
      <c r="I352">
        <v>1</v>
      </c>
      <c r="J352">
        <v>0.26</v>
      </c>
    </row>
    <row r="353" spans="1:10">
      <c r="A353">
        <v>352</v>
      </c>
      <c r="B353" s="2">
        <v>40559</v>
      </c>
      <c r="C353">
        <v>1</v>
      </c>
      <c r="D353">
        <v>0</v>
      </c>
      <c r="E353">
        <v>1</v>
      </c>
      <c r="F353">
        <v>3</v>
      </c>
      <c r="G353" t="b">
        <v>0</v>
      </c>
      <c r="H353">
        <v>0</v>
      </c>
      <c r="I353">
        <v>1</v>
      </c>
      <c r="J353">
        <v>0.22</v>
      </c>
    </row>
    <row r="354" spans="1:10">
      <c r="A354">
        <v>353</v>
      </c>
      <c r="B354" s="2">
        <v>40559</v>
      </c>
      <c r="C354">
        <v>1</v>
      </c>
      <c r="D354">
        <v>0</v>
      </c>
      <c r="E354">
        <v>1</v>
      </c>
      <c r="F354">
        <v>4</v>
      </c>
      <c r="G354" t="b">
        <v>0</v>
      </c>
      <c r="H354">
        <v>0</v>
      </c>
      <c r="I354">
        <v>1</v>
      </c>
      <c r="J354">
        <v>0.26</v>
      </c>
    </row>
    <row r="355" spans="1:10">
      <c r="A355">
        <v>354</v>
      </c>
      <c r="B355" s="2">
        <v>40559</v>
      </c>
      <c r="C355">
        <v>1</v>
      </c>
      <c r="D355">
        <v>0</v>
      </c>
      <c r="E355">
        <v>1</v>
      </c>
      <c r="F355">
        <v>5</v>
      </c>
      <c r="G355" t="b">
        <v>0</v>
      </c>
      <c r="H355">
        <v>0</v>
      </c>
      <c r="I355">
        <v>2</v>
      </c>
      <c r="J355">
        <v>0.26</v>
      </c>
    </row>
    <row r="356" spans="1:10">
      <c r="A356">
        <v>355</v>
      </c>
      <c r="B356" s="2">
        <v>40559</v>
      </c>
      <c r="C356">
        <v>1</v>
      </c>
      <c r="D356">
        <v>0</v>
      </c>
      <c r="E356">
        <v>1</v>
      </c>
      <c r="F356">
        <v>6</v>
      </c>
      <c r="G356" t="b">
        <v>0</v>
      </c>
      <c r="H356">
        <v>0</v>
      </c>
      <c r="I356">
        <v>2</v>
      </c>
      <c r="J356">
        <v>0.26</v>
      </c>
    </row>
    <row r="357" spans="1:10">
      <c r="A357">
        <v>356</v>
      </c>
      <c r="B357" s="2">
        <v>40559</v>
      </c>
      <c r="C357">
        <v>1</v>
      </c>
      <c r="D357">
        <v>0</v>
      </c>
      <c r="E357">
        <v>1</v>
      </c>
      <c r="F357">
        <v>7</v>
      </c>
      <c r="G357" t="b">
        <v>0</v>
      </c>
      <c r="H357">
        <v>0</v>
      </c>
      <c r="I357">
        <v>2</v>
      </c>
      <c r="J357">
        <v>0.24</v>
      </c>
    </row>
    <row r="358" spans="1:10">
      <c r="A358">
        <v>357</v>
      </c>
      <c r="B358" s="2">
        <v>40559</v>
      </c>
      <c r="C358">
        <v>1</v>
      </c>
      <c r="D358">
        <v>0</v>
      </c>
      <c r="E358">
        <v>1</v>
      </c>
      <c r="F358">
        <v>8</v>
      </c>
      <c r="G358" t="b">
        <v>0</v>
      </c>
      <c r="H358">
        <v>0</v>
      </c>
      <c r="I358">
        <v>1</v>
      </c>
      <c r="J358">
        <v>0.22</v>
      </c>
    </row>
    <row r="359" spans="1:10">
      <c r="A359">
        <v>358</v>
      </c>
      <c r="B359" s="2">
        <v>40559</v>
      </c>
      <c r="C359">
        <v>1</v>
      </c>
      <c r="D359">
        <v>0</v>
      </c>
      <c r="E359">
        <v>1</v>
      </c>
      <c r="F359">
        <v>9</v>
      </c>
      <c r="G359" t="b">
        <v>0</v>
      </c>
      <c r="H359">
        <v>0</v>
      </c>
      <c r="I359">
        <v>1</v>
      </c>
      <c r="J359">
        <v>0.22</v>
      </c>
    </row>
    <row r="360" spans="1:10">
      <c r="A360">
        <v>359</v>
      </c>
      <c r="B360" s="2">
        <v>40559</v>
      </c>
      <c r="C360">
        <v>1</v>
      </c>
      <c r="D360">
        <v>0</v>
      </c>
      <c r="E360">
        <v>1</v>
      </c>
      <c r="F360">
        <v>10</v>
      </c>
      <c r="G360" t="b">
        <v>0</v>
      </c>
      <c r="H360">
        <v>0</v>
      </c>
      <c r="I360">
        <v>1</v>
      </c>
      <c r="J360">
        <v>0.22</v>
      </c>
    </row>
    <row r="361" spans="1:10">
      <c r="A361">
        <v>360</v>
      </c>
      <c r="B361" s="2">
        <v>40559</v>
      </c>
      <c r="C361">
        <v>1</v>
      </c>
      <c r="D361">
        <v>0</v>
      </c>
      <c r="E361">
        <v>1</v>
      </c>
      <c r="F361">
        <v>11</v>
      </c>
      <c r="G361" t="b">
        <v>0</v>
      </c>
      <c r="H361">
        <v>0</v>
      </c>
      <c r="I361">
        <v>1</v>
      </c>
      <c r="J361">
        <v>0.24</v>
      </c>
    </row>
    <row r="362" spans="1:10">
      <c r="A362">
        <v>361</v>
      </c>
      <c r="B362" s="2">
        <v>40559</v>
      </c>
      <c r="C362">
        <v>1</v>
      </c>
      <c r="D362">
        <v>0</v>
      </c>
      <c r="E362">
        <v>1</v>
      </c>
      <c r="F362">
        <v>12</v>
      </c>
      <c r="G362" t="b">
        <v>0</v>
      </c>
      <c r="H362">
        <v>0</v>
      </c>
      <c r="I362">
        <v>1</v>
      </c>
      <c r="J362">
        <v>0.24</v>
      </c>
    </row>
    <row r="363" spans="1:10">
      <c r="A363">
        <v>362</v>
      </c>
      <c r="B363" s="2">
        <v>40559</v>
      </c>
      <c r="C363">
        <v>1</v>
      </c>
      <c r="D363">
        <v>0</v>
      </c>
      <c r="E363">
        <v>1</v>
      </c>
      <c r="F363">
        <v>13</v>
      </c>
      <c r="G363" t="b">
        <v>0</v>
      </c>
      <c r="H363">
        <v>0</v>
      </c>
      <c r="I363">
        <v>1</v>
      </c>
      <c r="J363">
        <v>0.26</v>
      </c>
    </row>
    <row r="364" spans="1:10">
      <c r="A364">
        <v>363</v>
      </c>
      <c r="B364" s="2">
        <v>40559</v>
      </c>
      <c r="C364">
        <v>1</v>
      </c>
      <c r="D364">
        <v>0</v>
      </c>
      <c r="E364">
        <v>1</v>
      </c>
      <c r="F364">
        <v>14</v>
      </c>
      <c r="G364" t="b">
        <v>0</v>
      </c>
      <c r="H364">
        <v>0</v>
      </c>
      <c r="I364">
        <v>1</v>
      </c>
      <c r="J364">
        <v>0.28000000000000003</v>
      </c>
    </row>
    <row r="365" spans="1:10">
      <c r="A365">
        <v>364</v>
      </c>
      <c r="B365" s="2">
        <v>40559</v>
      </c>
      <c r="C365">
        <v>1</v>
      </c>
      <c r="D365">
        <v>0</v>
      </c>
      <c r="E365">
        <v>1</v>
      </c>
      <c r="F365">
        <v>15</v>
      </c>
      <c r="G365" t="b">
        <v>0</v>
      </c>
      <c r="H365">
        <v>0</v>
      </c>
      <c r="I365">
        <v>1</v>
      </c>
      <c r="J365">
        <v>0.26</v>
      </c>
    </row>
    <row r="366" spans="1:10">
      <c r="A366">
        <v>365</v>
      </c>
      <c r="B366" s="2">
        <v>40559</v>
      </c>
      <c r="C366">
        <v>1</v>
      </c>
      <c r="D366">
        <v>0</v>
      </c>
      <c r="E366">
        <v>1</v>
      </c>
      <c r="F366">
        <v>16</v>
      </c>
      <c r="G366" t="b">
        <v>0</v>
      </c>
      <c r="H366">
        <v>0</v>
      </c>
      <c r="I366">
        <v>1</v>
      </c>
      <c r="J366">
        <v>0.24</v>
      </c>
    </row>
    <row r="367" spans="1:10">
      <c r="A367">
        <v>366</v>
      </c>
      <c r="B367" s="2">
        <v>40559</v>
      </c>
      <c r="C367">
        <v>1</v>
      </c>
      <c r="D367">
        <v>0</v>
      </c>
      <c r="E367">
        <v>1</v>
      </c>
      <c r="F367">
        <v>17</v>
      </c>
      <c r="G367" t="b">
        <v>0</v>
      </c>
      <c r="H367">
        <v>0</v>
      </c>
      <c r="I367">
        <v>1</v>
      </c>
      <c r="J367">
        <v>0.22</v>
      </c>
    </row>
    <row r="368" spans="1:10">
      <c r="A368">
        <v>367</v>
      </c>
      <c r="B368" s="2">
        <v>40559</v>
      </c>
      <c r="C368">
        <v>1</v>
      </c>
      <c r="D368">
        <v>0</v>
      </c>
      <c r="E368">
        <v>1</v>
      </c>
      <c r="F368">
        <v>18</v>
      </c>
      <c r="G368" t="b">
        <v>0</v>
      </c>
      <c r="H368">
        <v>0</v>
      </c>
      <c r="I368">
        <v>1</v>
      </c>
      <c r="J368">
        <v>0.2</v>
      </c>
    </row>
    <row r="369" spans="1:10">
      <c r="A369">
        <v>368</v>
      </c>
      <c r="B369" s="2">
        <v>40559</v>
      </c>
      <c r="C369">
        <v>1</v>
      </c>
      <c r="D369">
        <v>0</v>
      </c>
      <c r="E369">
        <v>1</v>
      </c>
      <c r="F369">
        <v>19</v>
      </c>
      <c r="G369" t="b">
        <v>0</v>
      </c>
      <c r="H369">
        <v>0</v>
      </c>
      <c r="I369">
        <v>1</v>
      </c>
      <c r="J369">
        <v>0.18</v>
      </c>
    </row>
    <row r="370" spans="1:10">
      <c r="A370">
        <v>369</v>
      </c>
      <c r="B370" s="2">
        <v>40559</v>
      </c>
      <c r="C370">
        <v>1</v>
      </c>
      <c r="D370">
        <v>0</v>
      </c>
      <c r="E370">
        <v>1</v>
      </c>
      <c r="F370">
        <v>20</v>
      </c>
      <c r="G370" t="b">
        <v>0</v>
      </c>
      <c r="H370">
        <v>0</v>
      </c>
      <c r="I370">
        <v>1</v>
      </c>
      <c r="J370">
        <v>0.18</v>
      </c>
    </row>
    <row r="371" spans="1:10">
      <c r="A371">
        <v>370</v>
      </c>
      <c r="B371" s="2">
        <v>40559</v>
      </c>
      <c r="C371">
        <v>1</v>
      </c>
      <c r="D371">
        <v>0</v>
      </c>
      <c r="E371">
        <v>1</v>
      </c>
      <c r="F371">
        <v>21</v>
      </c>
      <c r="G371" t="b">
        <v>0</v>
      </c>
      <c r="H371">
        <v>0</v>
      </c>
      <c r="I371">
        <v>1</v>
      </c>
      <c r="J371">
        <v>0.18</v>
      </c>
    </row>
    <row r="372" spans="1:10">
      <c r="A372">
        <v>371</v>
      </c>
      <c r="B372" s="2">
        <v>40559</v>
      </c>
      <c r="C372">
        <v>1</v>
      </c>
      <c r="D372">
        <v>0</v>
      </c>
      <c r="E372">
        <v>1</v>
      </c>
      <c r="F372">
        <v>22</v>
      </c>
      <c r="G372" t="b">
        <v>0</v>
      </c>
      <c r="H372">
        <v>0</v>
      </c>
      <c r="I372">
        <v>2</v>
      </c>
      <c r="J372">
        <v>0.2</v>
      </c>
    </row>
    <row r="373" spans="1:10">
      <c r="A373">
        <v>372</v>
      </c>
      <c r="B373" s="2">
        <v>40559</v>
      </c>
      <c r="C373">
        <v>1</v>
      </c>
      <c r="D373">
        <v>0</v>
      </c>
      <c r="E373">
        <v>1</v>
      </c>
      <c r="F373">
        <v>23</v>
      </c>
      <c r="G373" t="b">
        <v>0</v>
      </c>
      <c r="H373">
        <v>0</v>
      </c>
      <c r="I373">
        <v>2</v>
      </c>
      <c r="J373">
        <v>0.2</v>
      </c>
    </row>
    <row r="374" spans="1:10">
      <c r="A374">
        <v>373</v>
      </c>
      <c r="B374" s="2">
        <v>40560</v>
      </c>
      <c r="C374">
        <v>1</v>
      </c>
      <c r="D374">
        <v>0</v>
      </c>
      <c r="E374">
        <v>1</v>
      </c>
      <c r="F374">
        <v>0</v>
      </c>
      <c r="G374" t="b">
        <v>1</v>
      </c>
      <c r="H374">
        <v>1</v>
      </c>
      <c r="I374">
        <v>2</v>
      </c>
      <c r="J374">
        <v>0.2</v>
      </c>
    </row>
    <row r="375" spans="1:10">
      <c r="A375">
        <v>374</v>
      </c>
      <c r="B375" s="2">
        <v>40560</v>
      </c>
      <c r="C375">
        <v>1</v>
      </c>
      <c r="D375">
        <v>0</v>
      </c>
      <c r="E375">
        <v>1</v>
      </c>
      <c r="F375">
        <v>1</v>
      </c>
      <c r="G375" t="b">
        <v>1</v>
      </c>
      <c r="H375">
        <v>1</v>
      </c>
      <c r="I375">
        <v>2</v>
      </c>
      <c r="J375">
        <v>0.2</v>
      </c>
    </row>
    <row r="376" spans="1:10">
      <c r="A376">
        <v>375</v>
      </c>
      <c r="B376" s="2">
        <v>40560</v>
      </c>
      <c r="C376">
        <v>1</v>
      </c>
      <c r="D376">
        <v>0</v>
      </c>
      <c r="E376">
        <v>1</v>
      </c>
      <c r="F376">
        <v>2</v>
      </c>
      <c r="G376" t="b">
        <v>1</v>
      </c>
      <c r="H376">
        <v>1</v>
      </c>
      <c r="I376">
        <v>2</v>
      </c>
      <c r="J376">
        <v>0.18</v>
      </c>
    </row>
    <row r="377" spans="1:10">
      <c r="A377">
        <v>376</v>
      </c>
      <c r="B377" s="2">
        <v>40560</v>
      </c>
      <c r="C377">
        <v>1</v>
      </c>
      <c r="D377">
        <v>0</v>
      </c>
      <c r="E377">
        <v>1</v>
      </c>
      <c r="F377">
        <v>3</v>
      </c>
      <c r="G377" t="b">
        <v>1</v>
      </c>
      <c r="H377">
        <v>1</v>
      </c>
      <c r="I377">
        <v>2</v>
      </c>
      <c r="J377">
        <v>0.18</v>
      </c>
    </row>
    <row r="378" spans="1:10">
      <c r="A378">
        <v>377</v>
      </c>
      <c r="B378" s="2">
        <v>40560</v>
      </c>
      <c r="C378">
        <v>1</v>
      </c>
      <c r="D378">
        <v>0</v>
      </c>
      <c r="E378">
        <v>1</v>
      </c>
      <c r="F378">
        <v>4</v>
      </c>
      <c r="G378" t="b">
        <v>1</v>
      </c>
      <c r="H378">
        <v>1</v>
      </c>
      <c r="I378">
        <v>2</v>
      </c>
      <c r="J378">
        <v>0.18</v>
      </c>
    </row>
    <row r="379" spans="1:10">
      <c r="A379">
        <v>378</v>
      </c>
      <c r="B379" s="2">
        <v>40560</v>
      </c>
      <c r="C379">
        <v>1</v>
      </c>
      <c r="D379">
        <v>0</v>
      </c>
      <c r="E379">
        <v>1</v>
      </c>
      <c r="F379">
        <v>5</v>
      </c>
      <c r="G379" t="b">
        <v>1</v>
      </c>
      <c r="H379">
        <v>1</v>
      </c>
      <c r="I379">
        <v>2</v>
      </c>
      <c r="J379">
        <v>0.18</v>
      </c>
    </row>
    <row r="380" spans="1:10">
      <c r="A380">
        <v>379</v>
      </c>
      <c r="B380" s="2">
        <v>40560</v>
      </c>
      <c r="C380">
        <v>1</v>
      </c>
      <c r="D380">
        <v>0</v>
      </c>
      <c r="E380">
        <v>1</v>
      </c>
      <c r="F380">
        <v>6</v>
      </c>
      <c r="G380" t="b">
        <v>1</v>
      </c>
      <c r="H380">
        <v>1</v>
      </c>
      <c r="I380">
        <v>2</v>
      </c>
      <c r="J380">
        <v>0.18</v>
      </c>
    </row>
    <row r="381" spans="1:10">
      <c r="A381">
        <v>380</v>
      </c>
      <c r="B381" s="2">
        <v>40560</v>
      </c>
      <c r="C381">
        <v>1</v>
      </c>
      <c r="D381">
        <v>0</v>
      </c>
      <c r="E381">
        <v>1</v>
      </c>
      <c r="F381">
        <v>7</v>
      </c>
      <c r="G381" t="b">
        <v>1</v>
      </c>
      <c r="H381">
        <v>1</v>
      </c>
      <c r="I381">
        <v>2</v>
      </c>
      <c r="J381">
        <v>0.16</v>
      </c>
    </row>
    <row r="382" spans="1:10">
      <c r="A382">
        <v>381</v>
      </c>
      <c r="B382" s="2">
        <v>40560</v>
      </c>
      <c r="C382">
        <v>1</v>
      </c>
      <c r="D382">
        <v>0</v>
      </c>
      <c r="E382">
        <v>1</v>
      </c>
      <c r="F382">
        <v>8</v>
      </c>
      <c r="G382" t="b">
        <v>1</v>
      </c>
      <c r="H382">
        <v>1</v>
      </c>
      <c r="I382">
        <v>2</v>
      </c>
      <c r="J382">
        <v>0.16</v>
      </c>
    </row>
    <row r="383" spans="1:10">
      <c r="A383">
        <v>382</v>
      </c>
      <c r="B383" s="2">
        <v>40560</v>
      </c>
      <c r="C383">
        <v>1</v>
      </c>
      <c r="D383">
        <v>0</v>
      </c>
      <c r="E383">
        <v>1</v>
      </c>
      <c r="F383">
        <v>9</v>
      </c>
      <c r="G383" t="b">
        <v>1</v>
      </c>
      <c r="H383">
        <v>1</v>
      </c>
      <c r="I383">
        <v>2</v>
      </c>
      <c r="J383">
        <v>0.16</v>
      </c>
    </row>
    <row r="384" spans="1:10">
      <c r="A384">
        <v>383</v>
      </c>
      <c r="B384" s="2">
        <v>40560</v>
      </c>
      <c r="C384">
        <v>1</v>
      </c>
      <c r="D384">
        <v>0</v>
      </c>
      <c r="E384">
        <v>1</v>
      </c>
      <c r="F384">
        <v>10</v>
      </c>
      <c r="G384" t="b">
        <v>1</v>
      </c>
      <c r="H384">
        <v>1</v>
      </c>
      <c r="I384">
        <v>2</v>
      </c>
      <c r="J384">
        <v>0.16</v>
      </c>
    </row>
    <row r="385" spans="1:10">
      <c r="A385">
        <v>384</v>
      </c>
      <c r="B385" s="2">
        <v>40560</v>
      </c>
      <c r="C385">
        <v>1</v>
      </c>
      <c r="D385">
        <v>0</v>
      </c>
      <c r="E385">
        <v>1</v>
      </c>
      <c r="F385">
        <v>11</v>
      </c>
      <c r="G385" t="b">
        <v>1</v>
      </c>
      <c r="H385">
        <v>1</v>
      </c>
      <c r="I385">
        <v>2</v>
      </c>
      <c r="J385">
        <v>0.16</v>
      </c>
    </row>
    <row r="386" spans="1:10">
      <c r="A386">
        <v>385</v>
      </c>
      <c r="B386" s="2">
        <v>40560</v>
      </c>
      <c r="C386">
        <v>1</v>
      </c>
      <c r="D386">
        <v>0</v>
      </c>
      <c r="E386">
        <v>1</v>
      </c>
      <c r="F386">
        <v>12</v>
      </c>
      <c r="G386" t="b">
        <v>1</v>
      </c>
      <c r="H386">
        <v>1</v>
      </c>
      <c r="I386">
        <v>2</v>
      </c>
      <c r="J386">
        <v>0.18</v>
      </c>
    </row>
    <row r="387" spans="1:10">
      <c r="A387">
        <v>386</v>
      </c>
      <c r="B387" s="2">
        <v>40560</v>
      </c>
      <c r="C387">
        <v>1</v>
      </c>
      <c r="D387">
        <v>0</v>
      </c>
      <c r="E387">
        <v>1</v>
      </c>
      <c r="F387">
        <v>13</v>
      </c>
      <c r="G387" t="b">
        <v>1</v>
      </c>
      <c r="H387">
        <v>1</v>
      </c>
      <c r="I387">
        <v>2</v>
      </c>
      <c r="J387">
        <v>0.18</v>
      </c>
    </row>
    <row r="388" spans="1:10">
      <c r="A388">
        <v>387</v>
      </c>
      <c r="B388" s="2">
        <v>40560</v>
      </c>
      <c r="C388">
        <v>1</v>
      </c>
      <c r="D388">
        <v>0</v>
      </c>
      <c r="E388">
        <v>1</v>
      </c>
      <c r="F388">
        <v>14</v>
      </c>
      <c r="G388" t="b">
        <v>1</v>
      </c>
      <c r="H388">
        <v>1</v>
      </c>
      <c r="I388">
        <v>2</v>
      </c>
      <c r="J388">
        <v>0.18</v>
      </c>
    </row>
    <row r="389" spans="1:10">
      <c r="A389">
        <v>388</v>
      </c>
      <c r="B389" s="2">
        <v>40560</v>
      </c>
      <c r="C389">
        <v>1</v>
      </c>
      <c r="D389">
        <v>0</v>
      </c>
      <c r="E389">
        <v>1</v>
      </c>
      <c r="F389">
        <v>15</v>
      </c>
      <c r="G389" t="b">
        <v>1</v>
      </c>
      <c r="H389">
        <v>1</v>
      </c>
      <c r="I389">
        <v>2</v>
      </c>
      <c r="J389">
        <v>0.2</v>
      </c>
    </row>
    <row r="390" spans="1:10">
      <c r="A390">
        <v>389</v>
      </c>
      <c r="B390" s="2">
        <v>40560</v>
      </c>
      <c r="C390">
        <v>1</v>
      </c>
      <c r="D390">
        <v>0</v>
      </c>
      <c r="E390">
        <v>1</v>
      </c>
      <c r="F390">
        <v>16</v>
      </c>
      <c r="G390" t="b">
        <v>1</v>
      </c>
      <c r="H390">
        <v>1</v>
      </c>
      <c r="I390">
        <v>2</v>
      </c>
      <c r="J390">
        <v>0.2</v>
      </c>
    </row>
    <row r="391" spans="1:10">
      <c r="A391">
        <v>390</v>
      </c>
      <c r="B391" s="2">
        <v>40560</v>
      </c>
      <c r="C391">
        <v>1</v>
      </c>
      <c r="D391">
        <v>0</v>
      </c>
      <c r="E391">
        <v>1</v>
      </c>
      <c r="F391">
        <v>17</v>
      </c>
      <c r="G391" t="b">
        <v>1</v>
      </c>
      <c r="H391">
        <v>1</v>
      </c>
      <c r="I391">
        <v>1</v>
      </c>
      <c r="J391">
        <v>0.2</v>
      </c>
    </row>
    <row r="392" spans="1:10">
      <c r="A392">
        <v>391</v>
      </c>
      <c r="B392" s="2">
        <v>40560</v>
      </c>
      <c r="C392">
        <v>1</v>
      </c>
      <c r="D392">
        <v>0</v>
      </c>
      <c r="E392">
        <v>1</v>
      </c>
      <c r="F392">
        <v>18</v>
      </c>
      <c r="G392" t="b">
        <v>1</v>
      </c>
      <c r="H392">
        <v>1</v>
      </c>
      <c r="I392">
        <v>2</v>
      </c>
      <c r="J392">
        <v>0.18</v>
      </c>
    </row>
    <row r="393" spans="1:10">
      <c r="A393">
        <v>392</v>
      </c>
      <c r="B393" s="2">
        <v>40560</v>
      </c>
      <c r="C393">
        <v>1</v>
      </c>
      <c r="D393">
        <v>0</v>
      </c>
      <c r="E393">
        <v>1</v>
      </c>
      <c r="F393">
        <v>19</v>
      </c>
      <c r="G393" t="b">
        <v>1</v>
      </c>
      <c r="H393">
        <v>1</v>
      </c>
      <c r="I393">
        <v>3</v>
      </c>
      <c r="J393">
        <v>0.18</v>
      </c>
    </row>
    <row r="394" spans="1:10">
      <c r="A394">
        <v>393</v>
      </c>
      <c r="B394" s="2">
        <v>40560</v>
      </c>
      <c r="C394">
        <v>1</v>
      </c>
      <c r="D394">
        <v>0</v>
      </c>
      <c r="E394">
        <v>1</v>
      </c>
      <c r="F394">
        <v>20</v>
      </c>
      <c r="G394" t="b">
        <v>1</v>
      </c>
      <c r="H394">
        <v>1</v>
      </c>
      <c r="I394">
        <v>3</v>
      </c>
      <c r="J394">
        <v>0.16</v>
      </c>
    </row>
    <row r="395" spans="1:10">
      <c r="A395">
        <v>394</v>
      </c>
      <c r="B395" s="2">
        <v>40560</v>
      </c>
      <c r="C395">
        <v>1</v>
      </c>
      <c r="D395">
        <v>0</v>
      </c>
      <c r="E395">
        <v>1</v>
      </c>
      <c r="F395">
        <v>21</v>
      </c>
      <c r="G395" t="b">
        <v>1</v>
      </c>
      <c r="H395">
        <v>1</v>
      </c>
      <c r="I395">
        <v>3</v>
      </c>
      <c r="J395">
        <v>0.16</v>
      </c>
    </row>
    <row r="396" spans="1:10">
      <c r="A396">
        <v>395</v>
      </c>
      <c r="B396" s="2">
        <v>40560</v>
      </c>
      <c r="C396">
        <v>1</v>
      </c>
      <c r="D396">
        <v>0</v>
      </c>
      <c r="E396">
        <v>1</v>
      </c>
      <c r="F396">
        <v>22</v>
      </c>
      <c r="G396" t="b">
        <v>1</v>
      </c>
      <c r="H396">
        <v>1</v>
      </c>
      <c r="I396">
        <v>3</v>
      </c>
      <c r="J396">
        <v>0.14000000000000001</v>
      </c>
    </row>
    <row r="397" spans="1:10">
      <c r="A397">
        <v>396</v>
      </c>
      <c r="B397" s="2">
        <v>40560</v>
      </c>
      <c r="C397">
        <v>1</v>
      </c>
      <c r="D397">
        <v>0</v>
      </c>
      <c r="E397">
        <v>1</v>
      </c>
      <c r="F397">
        <v>23</v>
      </c>
      <c r="G397" t="b">
        <v>1</v>
      </c>
      <c r="H397">
        <v>1</v>
      </c>
      <c r="I397">
        <v>3</v>
      </c>
      <c r="J397">
        <v>0.16</v>
      </c>
    </row>
    <row r="398" spans="1:10">
      <c r="A398">
        <v>397</v>
      </c>
      <c r="B398" s="2">
        <v>40561</v>
      </c>
      <c r="C398">
        <v>1</v>
      </c>
      <c r="D398">
        <v>0</v>
      </c>
      <c r="E398">
        <v>1</v>
      </c>
      <c r="F398">
        <v>12</v>
      </c>
      <c r="G398" t="b">
        <v>0</v>
      </c>
      <c r="H398">
        <v>2</v>
      </c>
      <c r="I398">
        <v>2</v>
      </c>
      <c r="J398">
        <v>0.2</v>
      </c>
    </row>
    <row r="399" spans="1:10">
      <c r="A399">
        <v>398</v>
      </c>
      <c r="B399" s="2">
        <v>40561</v>
      </c>
      <c r="C399">
        <v>1</v>
      </c>
      <c r="D399">
        <v>0</v>
      </c>
      <c r="E399">
        <v>1</v>
      </c>
      <c r="F399">
        <v>13</v>
      </c>
      <c r="G399" t="b">
        <v>0</v>
      </c>
      <c r="H399">
        <v>2</v>
      </c>
      <c r="I399">
        <v>2</v>
      </c>
      <c r="J399">
        <v>0.2</v>
      </c>
    </row>
    <row r="400" spans="1:10">
      <c r="A400">
        <v>399</v>
      </c>
      <c r="B400" s="2">
        <v>40561</v>
      </c>
      <c r="C400">
        <v>1</v>
      </c>
      <c r="D400">
        <v>0</v>
      </c>
      <c r="E400">
        <v>1</v>
      </c>
      <c r="F400">
        <v>14</v>
      </c>
      <c r="G400" t="b">
        <v>0</v>
      </c>
      <c r="H400">
        <v>2</v>
      </c>
      <c r="I400">
        <v>2</v>
      </c>
      <c r="J400">
        <v>0.22</v>
      </c>
    </row>
    <row r="401" spans="1:10">
      <c r="A401">
        <v>400</v>
      </c>
      <c r="B401" s="2">
        <v>40561</v>
      </c>
      <c r="C401">
        <v>1</v>
      </c>
      <c r="D401">
        <v>0</v>
      </c>
      <c r="E401">
        <v>1</v>
      </c>
      <c r="F401">
        <v>15</v>
      </c>
      <c r="G401" t="b">
        <v>0</v>
      </c>
      <c r="H401">
        <v>2</v>
      </c>
      <c r="I401">
        <v>2</v>
      </c>
      <c r="J401">
        <v>0.22</v>
      </c>
    </row>
    <row r="402" spans="1:10">
      <c r="A402">
        <v>401</v>
      </c>
      <c r="B402" s="2">
        <v>40561</v>
      </c>
      <c r="C402">
        <v>1</v>
      </c>
      <c r="D402">
        <v>0</v>
      </c>
      <c r="E402">
        <v>1</v>
      </c>
      <c r="F402">
        <v>16</v>
      </c>
      <c r="G402" t="b">
        <v>0</v>
      </c>
      <c r="H402">
        <v>2</v>
      </c>
      <c r="I402">
        <v>2</v>
      </c>
      <c r="J402">
        <v>0.22</v>
      </c>
    </row>
    <row r="403" spans="1:10">
      <c r="A403">
        <v>402</v>
      </c>
      <c r="B403" s="2">
        <v>40561</v>
      </c>
      <c r="C403">
        <v>1</v>
      </c>
      <c r="D403">
        <v>0</v>
      </c>
      <c r="E403">
        <v>1</v>
      </c>
      <c r="F403">
        <v>17</v>
      </c>
      <c r="G403" t="b">
        <v>0</v>
      </c>
      <c r="H403">
        <v>2</v>
      </c>
      <c r="I403">
        <v>2</v>
      </c>
      <c r="J403">
        <v>0.22</v>
      </c>
    </row>
    <row r="404" spans="1:10">
      <c r="A404">
        <v>403</v>
      </c>
      <c r="B404" s="2">
        <v>40561</v>
      </c>
      <c r="C404">
        <v>1</v>
      </c>
      <c r="D404">
        <v>0</v>
      </c>
      <c r="E404">
        <v>1</v>
      </c>
      <c r="F404">
        <v>18</v>
      </c>
      <c r="G404" t="b">
        <v>0</v>
      </c>
      <c r="H404">
        <v>2</v>
      </c>
      <c r="I404">
        <v>2</v>
      </c>
      <c r="J404">
        <v>0.22</v>
      </c>
    </row>
    <row r="405" spans="1:10">
      <c r="A405">
        <v>404</v>
      </c>
      <c r="B405" s="2">
        <v>40561</v>
      </c>
      <c r="C405">
        <v>1</v>
      </c>
      <c r="D405">
        <v>0</v>
      </c>
      <c r="E405">
        <v>1</v>
      </c>
      <c r="F405">
        <v>19</v>
      </c>
      <c r="G405" t="b">
        <v>0</v>
      </c>
      <c r="H405">
        <v>2</v>
      </c>
      <c r="I405">
        <v>2</v>
      </c>
      <c r="J405">
        <v>0.22</v>
      </c>
    </row>
    <row r="406" spans="1:10">
      <c r="A406">
        <v>405</v>
      </c>
      <c r="B406" s="2">
        <v>40561</v>
      </c>
      <c r="C406">
        <v>1</v>
      </c>
      <c r="D406">
        <v>0</v>
      </c>
      <c r="E406">
        <v>1</v>
      </c>
      <c r="F406">
        <v>20</v>
      </c>
      <c r="G406" t="b">
        <v>0</v>
      </c>
      <c r="H406">
        <v>2</v>
      </c>
      <c r="I406">
        <v>2</v>
      </c>
      <c r="J406">
        <v>0.22</v>
      </c>
    </row>
    <row r="407" spans="1:10">
      <c r="A407">
        <v>406</v>
      </c>
      <c r="B407" s="2">
        <v>40561</v>
      </c>
      <c r="C407">
        <v>1</v>
      </c>
      <c r="D407">
        <v>0</v>
      </c>
      <c r="E407">
        <v>1</v>
      </c>
      <c r="F407">
        <v>21</v>
      </c>
      <c r="G407" t="b">
        <v>0</v>
      </c>
      <c r="H407">
        <v>2</v>
      </c>
      <c r="I407">
        <v>2</v>
      </c>
      <c r="J407">
        <v>0.22</v>
      </c>
    </row>
    <row r="408" spans="1:10">
      <c r="A408">
        <v>407</v>
      </c>
      <c r="B408" s="2">
        <v>40561</v>
      </c>
      <c r="C408">
        <v>1</v>
      </c>
      <c r="D408">
        <v>0</v>
      </c>
      <c r="E408">
        <v>1</v>
      </c>
      <c r="F408">
        <v>22</v>
      </c>
      <c r="G408" t="b">
        <v>0</v>
      </c>
      <c r="H408">
        <v>2</v>
      </c>
      <c r="I408">
        <v>2</v>
      </c>
      <c r="J408">
        <v>0.22</v>
      </c>
    </row>
    <row r="409" spans="1:10">
      <c r="A409">
        <v>408</v>
      </c>
      <c r="B409" s="2">
        <v>40561</v>
      </c>
      <c r="C409">
        <v>1</v>
      </c>
      <c r="D409">
        <v>0</v>
      </c>
      <c r="E409">
        <v>1</v>
      </c>
      <c r="F409">
        <v>23</v>
      </c>
      <c r="G409" t="b">
        <v>0</v>
      </c>
      <c r="H409">
        <v>2</v>
      </c>
      <c r="I409">
        <v>2</v>
      </c>
      <c r="J409">
        <v>0.22</v>
      </c>
    </row>
    <row r="410" spans="1:10">
      <c r="A410">
        <v>409</v>
      </c>
      <c r="B410" s="2">
        <v>40562</v>
      </c>
      <c r="C410">
        <v>1</v>
      </c>
      <c r="D410">
        <v>0</v>
      </c>
      <c r="E410">
        <v>1</v>
      </c>
      <c r="F410">
        <v>0</v>
      </c>
      <c r="G410" t="b">
        <v>0</v>
      </c>
      <c r="H410">
        <v>3</v>
      </c>
      <c r="I410">
        <v>2</v>
      </c>
      <c r="J410">
        <v>0.22</v>
      </c>
    </row>
    <row r="411" spans="1:10">
      <c r="A411">
        <v>410</v>
      </c>
      <c r="B411" s="2">
        <v>40562</v>
      </c>
      <c r="C411">
        <v>1</v>
      </c>
      <c r="D411">
        <v>0</v>
      </c>
      <c r="E411">
        <v>1</v>
      </c>
      <c r="F411">
        <v>1</v>
      </c>
      <c r="G411" t="b">
        <v>0</v>
      </c>
      <c r="H411">
        <v>3</v>
      </c>
      <c r="I411">
        <v>3</v>
      </c>
      <c r="J411">
        <v>0.22</v>
      </c>
    </row>
    <row r="412" spans="1:10">
      <c r="A412">
        <v>411</v>
      </c>
      <c r="B412" s="2">
        <v>40562</v>
      </c>
      <c r="C412">
        <v>1</v>
      </c>
      <c r="D412">
        <v>0</v>
      </c>
      <c r="E412">
        <v>1</v>
      </c>
      <c r="F412">
        <v>2</v>
      </c>
      <c r="G412" t="b">
        <v>0</v>
      </c>
      <c r="H412">
        <v>3</v>
      </c>
      <c r="I412">
        <v>3</v>
      </c>
      <c r="J412">
        <v>0.22</v>
      </c>
    </row>
    <row r="413" spans="1:10">
      <c r="A413">
        <v>412</v>
      </c>
      <c r="B413" s="2">
        <v>40562</v>
      </c>
      <c r="C413">
        <v>1</v>
      </c>
      <c r="D413">
        <v>0</v>
      </c>
      <c r="E413">
        <v>1</v>
      </c>
      <c r="F413">
        <v>4</v>
      </c>
      <c r="G413" t="b">
        <v>0</v>
      </c>
      <c r="H413">
        <v>3</v>
      </c>
      <c r="I413">
        <v>3</v>
      </c>
      <c r="J413">
        <v>0.22</v>
      </c>
    </row>
    <row r="414" spans="1:10">
      <c r="A414">
        <v>413</v>
      </c>
      <c r="B414" s="2">
        <v>40562</v>
      </c>
      <c r="C414">
        <v>1</v>
      </c>
      <c r="D414">
        <v>0</v>
      </c>
      <c r="E414">
        <v>1</v>
      </c>
      <c r="F414">
        <v>5</v>
      </c>
      <c r="G414" t="b">
        <v>0</v>
      </c>
      <c r="H414">
        <v>3</v>
      </c>
      <c r="I414">
        <v>2</v>
      </c>
      <c r="J414">
        <v>0.22</v>
      </c>
    </row>
    <row r="415" spans="1:10">
      <c r="A415">
        <v>414</v>
      </c>
      <c r="B415" s="2">
        <v>40562</v>
      </c>
      <c r="C415">
        <v>1</v>
      </c>
      <c r="D415">
        <v>0</v>
      </c>
      <c r="E415">
        <v>1</v>
      </c>
      <c r="F415">
        <v>6</v>
      </c>
      <c r="G415" t="b">
        <v>0</v>
      </c>
      <c r="H415">
        <v>3</v>
      </c>
      <c r="I415">
        <v>2</v>
      </c>
      <c r="J415">
        <v>0.22</v>
      </c>
    </row>
    <row r="416" spans="1:10">
      <c r="A416">
        <v>415</v>
      </c>
      <c r="B416" s="2">
        <v>40562</v>
      </c>
      <c r="C416">
        <v>1</v>
      </c>
      <c r="D416">
        <v>0</v>
      </c>
      <c r="E416">
        <v>1</v>
      </c>
      <c r="F416">
        <v>7</v>
      </c>
      <c r="G416" t="b">
        <v>0</v>
      </c>
      <c r="H416">
        <v>3</v>
      </c>
      <c r="I416">
        <v>2</v>
      </c>
      <c r="J416">
        <v>0.24</v>
      </c>
    </row>
    <row r="417" spans="1:10">
      <c r="A417">
        <v>416</v>
      </c>
      <c r="B417" s="2">
        <v>40562</v>
      </c>
      <c r="C417">
        <v>1</v>
      </c>
      <c r="D417">
        <v>0</v>
      </c>
      <c r="E417">
        <v>1</v>
      </c>
      <c r="F417">
        <v>8</v>
      </c>
      <c r="G417" t="b">
        <v>0</v>
      </c>
      <c r="H417">
        <v>3</v>
      </c>
      <c r="I417">
        <v>2</v>
      </c>
      <c r="J417">
        <v>0.24</v>
      </c>
    </row>
    <row r="418" spans="1:10">
      <c r="A418">
        <v>417</v>
      </c>
      <c r="B418" s="2">
        <v>40562</v>
      </c>
      <c r="C418">
        <v>1</v>
      </c>
      <c r="D418">
        <v>0</v>
      </c>
      <c r="E418">
        <v>1</v>
      </c>
      <c r="F418">
        <v>9</v>
      </c>
      <c r="G418" t="b">
        <v>0</v>
      </c>
      <c r="H418">
        <v>3</v>
      </c>
      <c r="I418">
        <v>2</v>
      </c>
      <c r="J418">
        <v>0.24</v>
      </c>
    </row>
    <row r="419" spans="1:10">
      <c r="A419">
        <v>418</v>
      </c>
      <c r="B419" s="2">
        <v>40562</v>
      </c>
      <c r="C419">
        <v>1</v>
      </c>
      <c r="D419">
        <v>0</v>
      </c>
      <c r="E419">
        <v>1</v>
      </c>
      <c r="F419">
        <v>10</v>
      </c>
      <c r="G419" t="b">
        <v>0</v>
      </c>
      <c r="H419">
        <v>3</v>
      </c>
      <c r="I419">
        <v>2</v>
      </c>
      <c r="J419">
        <v>0.26</v>
      </c>
    </row>
    <row r="420" spans="1:10">
      <c r="A420">
        <v>419</v>
      </c>
      <c r="B420" s="2">
        <v>40562</v>
      </c>
      <c r="C420">
        <v>1</v>
      </c>
      <c r="D420">
        <v>0</v>
      </c>
      <c r="E420">
        <v>1</v>
      </c>
      <c r="F420">
        <v>11</v>
      </c>
      <c r="G420" t="b">
        <v>0</v>
      </c>
      <c r="H420">
        <v>3</v>
      </c>
      <c r="I420">
        <v>2</v>
      </c>
      <c r="J420">
        <v>0.28000000000000003</v>
      </c>
    </row>
    <row r="421" spans="1:10">
      <c r="A421">
        <v>420</v>
      </c>
      <c r="B421" s="2">
        <v>40562</v>
      </c>
      <c r="C421">
        <v>1</v>
      </c>
      <c r="D421">
        <v>0</v>
      </c>
      <c r="E421">
        <v>1</v>
      </c>
      <c r="F421">
        <v>12</v>
      </c>
      <c r="G421" t="b">
        <v>0</v>
      </c>
      <c r="H421">
        <v>3</v>
      </c>
      <c r="I421">
        <v>2</v>
      </c>
      <c r="J421">
        <v>0.3</v>
      </c>
    </row>
    <row r="422" spans="1:10">
      <c r="A422">
        <v>421</v>
      </c>
      <c r="B422" s="2">
        <v>40562</v>
      </c>
      <c r="C422">
        <v>1</v>
      </c>
      <c r="D422">
        <v>0</v>
      </c>
      <c r="E422">
        <v>1</v>
      </c>
      <c r="F422">
        <v>13</v>
      </c>
      <c r="G422" t="b">
        <v>0</v>
      </c>
      <c r="H422">
        <v>3</v>
      </c>
      <c r="I422">
        <v>1</v>
      </c>
      <c r="J422">
        <v>0.4</v>
      </c>
    </row>
    <row r="423" spans="1:10">
      <c r="A423">
        <v>422</v>
      </c>
      <c r="B423" s="2">
        <v>40562</v>
      </c>
      <c r="C423">
        <v>1</v>
      </c>
      <c r="D423">
        <v>0</v>
      </c>
      <c r="E423">
        <v>1</v>
      </c>
      <c r="F423">
        <v>14</v>
      </c>
      <c r="G423" t="b">
        <v>0</v>
      </c>
      <c r="H423">
        <v>3</v>
      </c>
      <c r="I423">
        <v>1</v>
      </c>
      <c r="J423">
        <v>0.4</v>
      </c>
    </row>
    <row r="424" spans="1:10">
      <c r="A424">
        <v>423</v>
      </c>
      <c r="B424" s="2">
        <v>40562</v>
      </c>
      <c r="C424">
        <v>1</v>
      </c>
      <c r="D424">
        <v>0</v>
      </c>
      <c r="E424">
        <v>1</v>
      </c>
      <c r="F424">
        <v>15</v>
      </c>
      <c r="G424" t="b">
        <v>0</v>
      </c>
      <c r="H424">
        <v>3</v>
      </c>
      <c r="I424">
        <v>1</v>
      </c>
      <c r="J424">
        <v>0.4</v>
      </c>
    </row>
    <row r="425" spans="1:10">
      <c r="A425">
        <v>424</v>
      </c>
      <c r="B425" s="2">
        <v>40562</v>
      </c>
      <c r="C425">
        <v>1</v>
      </c>
      <c r="D425">
        <v>0</v>
      </c>
      <c r="E425">
        <v>1</v>
      </c>
      <c r="F425">
        <v>16</v>
      </c>
      <c r="G425" t="b">
        <v>0</v>
      </c>
      <c r="H425">
        <v>3</v>
      </c>
      <c r="I425">
        <v>1</v>
      </c>
      <c r="J425">
        <v>0.38</v>
      </c>
    </row>
    <row r="426" spans="1:10">
      <c r="A426">
        <v>425</v>
      </c>
      <c r="B426" s="2">
        <v>40562</v>
      </c>
      <c r="C426">
        <v>1</v>
      </c>
      <c r="D426">
        <v>0</v>
      </c>
      <c r="E426">
        <v>1</v>
      </c>
      <c r="F426">
        <v>17</v>
      </c>
      <c r="G426" t="b">
        <v>0</v>
      </c>
      <c r="H426">
        <v>3</v>
      </c>
      <c r="I426">
        <v>1</v>
      </c>
      <c r="J426">
        <v>0.36</v>
      </c>
    </row>
    <row r="427" spans="1:10">
      <c r="A427">
        <v>426</v>
      </c>
      <c r="B427" s="2">
        <v>40562</v>
      </c>
      <c r="C427">
        <v>1</v>
      </c>
      <c r="D427">
        <v>0</v>
      </c>
      <c r="E427">
        <v>1</v>
      </c>
      <c r="F427">
        <v>18</v>
      </c>
      <c r="G427" t="b">
        <v>0</v>
      </c>
      <c r="H427">
        <v>3</v>
      </c>
      <c r="I427">
        <v>1</v>
      </c>
      <c r="J427">
        <v>0.34</v>
      </c>
    </row>
    <row r="428" spans="1:10">
      <c r="A428">
        <v>427</v>
      </c>
      <c r="B428" s="2">
        <v>40562</v>
      </c>
      <c r="C428">
        <v>1</v>
      </c>
      <c r="D428">
        <v>0</v>
      </c>
      <c r="E428">
        <v>1</v>
      </c>
      <c r="F428">
        <v>19</v>
      </c>
      <c r="G428" t="b">
        <v>0</v>
      </c>
      <c r="H428">
        <v>3</v>
      </c>
      <c r="I428">
        <v>1</v>
      </c>
      <c r="J428">
        <v>0.32</v>
      </c>
    </row>
    <row r="429" spans="1:10">
      <c r="A429">
        <v>428</v>
      </c>
      <c r="B429" s="2">
        <v>40562</v>
      </c>
      <c r="C429">
        <v>1</v>
      </c>
      <c r="D429">
        <v>0</v>
      </c>
      <c r="E429">
        <v>1</v>
      </c>
      <c r="F429">
        <v>20</v>
      </c>
      <c r="G429" t="b">
        <v>0</v>
      </c>
      <c r="H429">
        <v>3</v>
      </c>
      <c r="I429">
        <v>1</v>
      </c>
      <c r="J429">
        <v>0.32</v>
      </c>
    </row>
    <row r="430" spans="1:10">
      <c r="A430">
        <v>429</v>
      </c>
      <c r="B430" s="2">
        <v>40562</v>
      </c>
      <c r="C430">
        <v>1</v>
      </c>
      <c r="D430">
        <v>0</v>
      </c>
      <c r="E430">
        <v>1</v>
      </c>
      <c r="F430">
        <v>21</v>
      </c>
      <c r="G430" t="b">
        <v>0</v>
      </c>
      <c r="H430">
        <v>3</v>
      </c>
      <c r="I430">
        <v>1</v>
      </c>
      <c r="J430">
        <v>0.32</v>
      </c>
    </row>
    <row r="431" spans="1:10">
      <c r="A431">
        <v>430</v>
      </c>
      <c r="B431" s="2">
        <v>40562</v>
      </c>
      <c r="C431">
        <v>1</v>
      </c>
      <c r="D431">
        <v>0</v>
      </c>
      <c r="E431">
        <v>1</v>
      </c>
      <c r="F431">
        <v>22</v>
      </c>
      <c r="G431" t="b">
        <v>0</v>
      </c>
      <c r="H431">
        <v>3</v>
      </c>
      <c r="I431">
        <v>1</v>
      </c>
      <c r="J431">
        <v>0.3</v>
      </c>
    </row>
    <row r="432" spans="1:10">
      <c r="A432">
        <v>431</v>
      </c>
      <c r="B432" s="2">
        <v>40562</v>
      </c>
      <c r="C432">
        <v>1</v>
      </c>
      <c r="D432">
        <v>0</v>
      </c>
      <c r="E432">
        <v>1</v>
      </c>
      <c r="F432">
        <v>23</v>
      </c>
      <c r="G432" t="b">
        <v>0</v>
      </c>
      <c r="H432">
        <v>3</v>
      </c>
      <c r="I432">
        <v>1</v>
      </c>
      <c r="J432">
        <v>0.3</v>
      </c>
    </row>
    <row r="433" spans="1:10">
      <c r="A433">
        <v>432</v>
      </c>
      <c r="B433" s="2">
        <v>40563</v>
      </c>
      <c r="C433">
        <v>1</v>
      </c>
      <c r="D433">
        <v>0</v>
      </c>
      <c r="E433">
        <v>1</v>
      </c>
      <c r="F433">
        <v>0</v>
      </c>
      <c r="G433" t="b">
        <v>0</v>
      </c>
      <c r="H433">
        <v>4</v>
      </c>
      <c r="I433">
        <v>1</v>
      </c>
      <c r="J433">
        <v>0.26</v>
      </c>
    </row>
    <row r="434" spans="1:10">
      <c r="A434">
        <v>433</v>
      </c>
      <c r="B434" s="2">
        <v>40563</v>
      </c>
      <c r="C434">
        <v>1</v>
      </c>
      <c r="D434">
        <v>0</v>
      </c>
      <c r="E434">
        <v>1</v>
      </c>
      <c r="F434">
        <v>1</v>
      </c>
      <c r="G434" t="b">
        <v>0</v>
      </c>
      <c r="H434">
        <v>4</v>
      </c>
      <c r="I434">
        <v>1</v>
      </c>
      <c r="J434">
        <v>0.26</v>
      </c>
    </row>
    <row r="435" spans="1:10">
      <c r="A435">
        <v>434</v>
      </c>
      <c r="B435" s="2">
        <v>40563</v>
      </c>
      <c r="C435">
        <v>1</v>
      </c>
      <c r="D435">
        <v>0</v>
      </c>
      <c r="E435">
        <v>1</v>
      </c>
      <c r="F435">
        <v>2</v>
      </c>
      <c r="G435" t="b">
        <v>0</v>
      </c>
      <c r="H435">
        <v>4</v>
      </c>
      <c r="I435">
        <v>1</v>
      </c>
      <c r="J435">
        <v>0.26</v>
      </c>
    </row>
    <row r="436" spans="1:10">
      <c r="A436">
        <v>435</v>
      </c>
      <c r="B436" s="2">
        <v>40563</v>
      </c>
      <c r="C436">
        <v>1</v>
      </c>
      <c r="D436">
        <v>0</v>
      </c>
      <c r="E436">
        <v>1</v>
      </c>
      <c r="F436">
        <v>3</v>
      </c>
      <c r="G436" t="b">
        <v>0</v>
      </c>
      <c r="H436">
        <v>4</v>
      </c>
      <c r="I436">
        <v>1</v>
      </c>
      <c r="J436">
        <v>0.26</v>
      </c>
    </row>
    <row r="437" spans="1:10">
      <c r="A437">
        <v>436</v>
      </c>
      <c r="B437" s="2">
        <v>40563</v>
      </c>
      <c r="C437">
        <v>1</v>
      </c>
      <c r="D437">
        <v>0</v>
      </c>
      <c r="E437">
        <v>1</v>
      </c>
      <c r="F437">
        <v>4</v>
      </c>
      <c r="G437" t="b">
        <v>0</v>
      </c>
      <c r="H437">
        <v>4</v>
      </c>
      <c r="I437">
        <v>1</v>
      </c>
      <c r="J437">
        <v>0.26</v>
      </c>
    </row>
    <row r="438" spans="1:10">
      <c r="A438">
        <v>437</v>
      </c>
      <c r="B438" s="2">
        <v>40563</v>
      </c>
      <c r="C438">
        <v>1</v>
      </c>
      <c r="D438">
        <v>0</v>
      </c>
      <c r="E438">
        <v>1</v>
      </c>
      <c r="F438">
        <v>5</v>
      </c>
      <c r="G438" t="b">
        <v>0</v>
      </c>
      <c r="H438">
        <v>4</v>
      </c>
      <c r="I438">
        <v>1</v>
      </c>
      <c r="J438">
        <v>0.24</v>
      </c>
    </row>
    <row r="439" spans="1:10">
      <c r="A439">
        <v>438</v>
      </c>
      <c r="B439" s="2">
        <v>40563</v>
      </c>
      <c r="C439">
        <v>1</v>
      </c>
      <c r="D439">
        <v>0</v>
      </c>
      <c r="E439">
        <v>1</v>
      </c>
      <c r="F439">
        <v>6</v>
      </c>
      <c r="G439" t="b">
        <v>0</v>
      </c>
      <c r="H439">
        <v>4</v>
      </c>
      <c r="I439">
        <v>1</v>
      </c>
      <c r="J439">
        <v>0.22</v>
      </c>
    </row>
    <row r="440" spans="1:10">
      <c r="A440">
        <v>439</v>
      </c>
      <c r="B440" s="2">
        <v>40563</v>
      </c>
      <c r="C440">
        <v>1</v>
      </c>
      <c r="D440">
        <v>0</v>
      </c>
      <c r="E440">
        <v>1</v>
      </c>
      <c r="F440">
        <v>7</v>
      </c>
      <c r="G440" t="b">
        <v>0</v>
      </c>
      <c r="H440">
        <v>4</v>
      </c>
      <c r="I440">
        <v>1</v>
      </c>
      <c r="J440">
        <v>0.22</v>
      </c>
    </row>
    <row r="441" spans="1:10">
      <c r="A441">
        <v>440</v>
      </c>
      <c r="B441" s="2">
        <v>40563</v>
      </c>
      <c r="C441">
        <v>1</v>
      </c>
      <c r="D441">
        <v>0</v>
      </c>
      <c r="E441">
        <v>1</v>
      </c>
      <c r="F441">
        <v>8</v>
      </c>
      <c r="G441" t="b">
        <v>0</v>
      </c>
      <c r="H441">
        <v>4</v>
      </c>
      <c r="I441">
        <v>1</v>
      </c>
      <c r="J441">
        <v>0.22</v>
      </c>
    </row>
    <row r="442" spans="1:10">
      <c r="A442">
        <v>441</v>
      </c>
      <c r="B442" s="2">
        <v>40563</v>
      </c>
      <c r="C442">
        <v>1</v>
      </c>
      <c r="D442">
        <v>0</v>
      </c>
      <c r="E442">
        <v>1</v>
      </c>
      <c r="F442">
        <v>9</v>
      </c>
      <c r="G442" t="b">
        <v>0</v>
      </c>
      <c r="H442">
        <v>4</v>
      </c>
      <c r="I442">
        <v>2</v>
      </c>
      <c r="J442">
        <v>0.24</v>
      </c>
    </row>
    <row r="443" spans="1:10">
      <c r="A443">
        <v>442</v>
      </c>
      <c r="B443" s="2">
        <v>40563</v>
      </c>
      <c r="C443">
        <v>1</v>
      </c>
      <c r="D443">
        <v>0</v>
      </c>
      <c r="E443">
        <v>1</v>
      </c>
      <c r="F443">
        <v>10</v>
      </c>
      <c r="G443" t="b">
        <v>0</v>
      </c>
      <c r="H443">
        <v>4</v>
      </c>
      <c r="I443">
        <v>1</v>
      </c>
      <c r="J443">
        <v>0.26</v>
      </c>
    </row>
    <row r="444" spans="1:10">
      <c r="A444">
        <v>443</v>
      </c>
      <c r="B444" s="2">
        <v>40563</v>
      </c>
      <c r="C444">
        <v>1</v>
      </c>
      <c r="D444">
        <v>0</v>
      </c>
      <c r="E444">
        <v>1</v>
      </c>
      <c r="F444">
        <v>11</v>
      </c>
      <c r="G444" t="b">
        <v>0</v>
      </c>
      <c r="H444">
        <v>4</v>
      </c>
      <c r="I444">
        <v>2</v>
      </c>
      <c r="J444">
        <v>0.28000000000000003</v>
      </c>
    </row>
    <row r="445" spans="1:10">
      <c r="A445">
        <v>444</v>
      </c>
      <c r="B445" s="2">
        <v>40563</v>
      </c>
      <c r="C445">
        <v>1</v>
      </c>
      <c r="D445">
        <v>0</v>
      </c>
      <c r="E445">
        <v>1</v>
      </c>
      <c r="F445">
        <v>12</v>
      </c>
      <c r="G445" t="b">
        <v>0</v>
      </c>
      <c r="H445">
        <v>4</v>
      </c>
      <c r="I445">
        <v>2</v>
      </c>
      <c r="J445">
        <v>0.3</v>
      </c>
    </row>
    <row r="446" spans="1:10">
      <c r="A446">
        <v>445</v>
      </c>
      <c r="B446" s="2">
        <v>40563</v>
      </c>
      <c r="C446">
        <v>1</v>
      </c>
      <c r="D446">
        <v>0</v>
      </c>
      <c r="E446">
        <v>1</v>
      </c>
      <c r="F446">
        <v>13</v>
      </c>
      <c r="G446" t="b">
        <v>0</v>
      </c>
      <c r="H446">
        <v>4</v>
      </c>
      <c r="I446">
        <v>2</v>
      </c>
      <c r="J446">
        <v>0.28000000000000003</v>
      </c>
    </row>
    <row r="447" spans="1:10">
      <c r="A447">
        <v>446</v>
      </c>
      <c r="B447" s="2">
        <v>40563</v>
      </c>
      <c r="C447">
        <v>1</v>
      </c>
      <c r="D447">
        <v>0</v>
      </c>
      <c r="E447">
        <v>1</v>
      </c>
      <c r="F447">
        <v>14</v>
      </c>
      <c r="G447" t="b">
        <v>0</v>
      </c>
      <c r="H447">
        <v>4</v>
      </c>
      <c r="I447">
        <v>2</v>
      </c>
      <c r="J447">
        <v>0.3</v>
      </c>
    </row>
    <row r="448" spans="1:10">
      <c r="A448">
        <v>447</v>
      </c>
      <c r="B448" s="2">
        <v>40563</v>
      </c>
      <c r="C448">
        <v>1</v>
      </c>
      <c r="D448">
        <v>0</v>
      </c>
      <c r="E448">
        <v>1</v>
      </c>
      <c r="F448">
        <v>15</v>
      </c>
      <c r="G448" t="b">
        <v>0</v>
      </c>
      <c r="H448">
        <v>4</v>
      </c>
      <c r="I448">
        <v>2</v>
      </c>
      <c r="J448">
        <v>0.32</v>
      </c>
    </row>
    <row r="449" spans="1:10">
      <c r="A449">
        <v>448</v>
      </c>
      <c r="B449" s="2">
        <v>40563</v>
      </c>
      <c r="C449">
        <v>1</v>
      </c>
      <c r="D449">
        <v>0</v>
      </c>
      <c r="E449">
        <v>1</v>
      </c>
      <c r="F449">
        <v>16</v>
      </c>
      <c r="G449" t="b">
        <v>0</v>
      </c>
      <c r="H449">
        <v>4</v>
      </c>
      <c r="I449">
        <v>2</v>
      </c>
      <c r="J449">
        <v>0.3</v>
      </c>
    </row>
    <row r="450" spans="1:10">
      <c r="A450">
        <v>449</v>
      </c>
      <c r="B450" s="2">
        <v>40563</v>
      </c>
      <c r="C450">
        <v>1</v>
      </c>
      <c r="D450">
        <v>0</v>
      </c>
      <c r="E450">
        <v>1</v>
      </c>
      <c r="F450">
        <v>17</v>
      </c>
      <c r="G450" t="b">
        <v>0</v>
      </c>
      <c r="H450">
        <v>4</v>
      </c>
      <c r="I450">
        <v>2</v>
      </c>
      <c r="J450">
        <v>0.3</v>
      </c>
    </row>
    <row r="451" spans="1:10">
      <c r="A451">
        <v>450</v>
      </c>
      <c r="B451" s="2">
        <v>40563</v>
      </c>
      <c r="C451">
        <v>1</v>
      </c>
      <c r="D451">
        <v>0</v>
      </c>
      <c r="E451">
        <v>1</v>
      </c>
      <c r="F451">
        <v>18</v>
      </c>
      <c r="G451" t="b">
        <v>0</v>
      </c>
      <c r="H451">
        <v>4</v>
      </c>
      <c r="I451">
        <v>2</v>
      </c>
      <c r="J451">
        <v>0.26</v>
      </c>
    </row>
    <row r="452" spans="1:10">
      <c r="A452">
        <v>451</v>
      </c>
      <c r="B452" s="2">
        <v>40563</v>
      </c>
      <c r="C452">
        <v>1</v>
      </c>
      <c r="D452">
        <v>0</v>
      </c>
      <c r="E452">
        <v>1</v>
      </c>
      <c r="F452">
        <v>19</v>
      </c>
      <c r="G452" t="b">
        <v>0</v>
      </c>
      <c r="H452">
        <v>4</v>
      </c>
      <c r="I452">
        <v>1</v>
      </c>
      <c r="J452">
        <v>0.26</v>
      </c>
    </row>
    <row r="453" spans="1:10">
      <c r="A453">
        <v>452</v>
      </c>
      <c r="B453" s="2">
        <v>40563</v>
      </c>
      <c r="C453">
        <v>1</v>
      </c>
      <c r="D453">
        <v>0</v>
      </c>
      <c r="E453">
        <v>1</v>
      </c>
      <c r="F453">
        <v>20</v>
      </c>
      <c r="G453" t="b">
        <v>0</v>
      </c>
      <c r="H453">
        <v>4</v>
      </c>
      <c r="I453">
        <v>2</v>
      </c>
      <c r="J453">
        <v>0.26</v>
      </c>
    </row>
    <row r="454" spans="1:10">
      <c r="A454">
        <v>453</v>
      </c>
      <c r="B454" s="2">
        <v>40563</v>
      </c>
      <c r="C454">
        <v>1</v>
      </c>
      <c r="D454">
        <v>0</v>
      </c>
      <c r="E454">
        <v>1</v>
      </c>
      <c r="F454">
        <v>21</v>
      </c>
      <c r="G454" t="b">
        <v>0</v>
      </c>
      <c r="H454">
        <v>4</v>
      </c>
      <c r="I454">
        <v>2</v>
      </c>
      <c r="J454">
        <v>0.24</v>
      </c>
    </row>
    <row r="455" spans="1:10">
      <c r="A455">
        <v>454</v>
      </c>
      <c r="B455" s="2">
        <v>40563</v>
      </c>
      <c r="C455">
        <v>1</v>
      </c>
      <c r="D455">
        <v>0</v>
      </c>
      <c r="E455">
        <v>1</v>
      </c>
      <c r="F455">
        <v>22</v>
      </c>
      <c r="G455" t="b">
        <v>0</v>
      </c>
      <c r="H455">
        <v>4</v>
      </c>
      <c r="I455">
        <v>2</v>
      </c>
      <c r="J455">
        <v>0.24</v>
      </c>
    </row>
    <row r="456" spans="1:10">
      <c r="A456">
        <v>455</v>
      </c>
      <c r="B456" s="2">
        <v>40563</v>
      </c>
      <c r="C456">
        <v>1</v>
      </c>
      <c r="D456">
        <v>0</v>
      </c>
      <c r="E456">
        <v>1</v>
      </c>
      <c r="F456">
        <v>23</v>
      </c>
      <c r="G456" t="b">
        <v>0</v>
      </c>
      <c r="H456">
        <v>4</v>
      </c>
      <c r="I456">
        <v>2</v>
      </c>
      <c r="J456">
        <v>0.24</v>
      </c>
    </row>
    <row r="457" spans="1:10">
      <c r="A457">
        <v>456</v>
      </c>
      <c r="B457" s="2">
        <v>40564</v>
      </c>
      <c r="C457">
        <v>1</v>
      </c>
      <c r="D457">
        <v>0</v>
      </c>
      <c r="E457">
        <v>1</v>
      </c>
      <c r="F457">
        <v>0</v>
      </c>
      <c r="G457" t="b">
        <v>0</v>
      </c>
      <c r="H457">
        <v>5</v>
      </c>
      <c r="I457">
        <v>2</v>
      </c>
      <c r="J457">
        <v>0.24</v>
      </c>
    </row>
    <row r="458" spans="1:10">
      <c r="A458">
        <v>457</v>
      </c>
      <c r="B458" s="2">
        <v>40564</v>
      </c>
      <c r="C458">
        <v>1</v>
      </c>
      <c r="D458">
        <v>0</v>
      </c>
      <c r="E458">
        <v>1</v>
      </c>
      <c r="F458">
        <v>1</v>
      </c>
      <c r="G458" t="b">
        <v>0</v>
      </c>
      <c r="H458">
        <v>5</v>
      </c>
      <c r="I458">
        <v>2</v>
      </c>
      <c r="J458">
        <v>0.24</v>
      </c>
    </row>
    <row r="459" spans="1:10">
      <c r="A459">
        <v>458</v>
      </c>
      <c r="B459" s="2">
        <v>40564</v>
      </c>
      <c r="C459">
        <v>1</v>
      </c>
      <c r="D459">
        <v>0</v>
      </c>
      <c r="E459">
        <v>1</v>
      </c>
      <c r="F459">
        <v>2</v>
      </c>
      <c r="G459" t="b">
        <v>0</v>
      </c>
      <c r="H459">
        <v>5</v>
      </c>
      <c r="I459">
        <v>3</v>
      </c>
      <c r="J459">
        <v>0.24</v>
      </c>
    </row>
    <row r="460" spans="1:10">
      <c r="A460">
        <v>459</v>
      </c>
      <c r="B460" s="2">
        <v>40564</v>
      </c>
      <c r="C460">
        <v>1</v>
      </c>
      <c r="D460">
        <v>0</v>
      </c>
      <c r="E460">
        <v>1</v>
      </c>
      <c r="F460">
        <v>3</v>
      </c>
      <c r="G460" t="b">
        <v>0</v>
      </c>
      <c r="H460">
        <v>5</v>
      </c>
      <c r="I460">
        <v>3</v>
      </c>
      <c r="J460">
        <v>0.22</v>
      </c>
    </row>
    <row r="461" spans="1:10">
      <c r="A461">
        <v>460</v>
      </c>
      <c r="B461" s="2">
        <v>40564</v>
      </c>
      <c r="C461">
        <v>1</v>
      </c>
      <c r="D461">
        <v>0</v>
      </c>
      <c r="E461">
        <v>1</v>
      </c>
      <c r="F461">
        <v>4</v>
      </c>
      <c r="G461" t="b">
        <v>0</v>
      </c>
      <c r="H461">
        <v>5</v>
      </c>
      <c r="I461">
        <v>2</v>
      </c>
      <c r="J461">
        <v>0.22</v>
      </c>
    </row>
    <row r="462" spans="1:10">
      <c r="A462">
        <v>461</v>
      </c>
      <c r="B462" s="2">
        <v>40564</v>
      </c>
      <c r="C462">
        <v>1</v>
      </c>
      <c r="D462">
        <v>0</v>
      </c>
      <c r="E462">
        <v>1</v>
      </c>
      <c r="F462">
        <v>5</v>
      </c>
      <c r="G462" t="b">
        <v>0</v>
      </c>
      <c r="H462">
        <v>5</v>
      </c>
      <c r="I462">
        <v>1</v>
      </c>
      <c r="J462">
        <v>0.24</v>
      </c>
    </row>
    <row r="463" spans="1:10">
      <c r="A463">
        <v>462</v>
      </c>
      <c r="B463" s="2">
        <v>40564</v>
      </c>
      <c r="C463">
        <v>1</v>
      </c>
      <c r="D463">
        <v>0</v>
      </c>
      <c r="E463">
        <v>1</v>
      </c>
      <c r="F463">
        <v>6</v>
      </c>
      <c r="G463" t="b">
        <v>0</v>
      </c>
      <c r="H463">
        <v>5</v>
      </c>
      <c r="I463">
        <v>1</v>
      </c>
      <c r="J463">
        <v>0.22</v>
      </c>
    </row>
    <row r="464" spans="1:10">
      <c r="A464">
        <v>463</v>
      </c>
      <c r="B464" s="2">
        <v>40564</v>
      </c>
      <c r="C464">
        <v>1</v>
      </c>
      <c r="D464">
        <v>0</v>
      </c>
      <c r="E464">
        <v>1</v>
      </c>
      <c r="F464">
        <v>7</v>
      </c>
      <c r="G464" t="b">
        <v>0</v>
      </c>
      <c r="H464">
        <v>5</v>
      </c>
      <c r="I464">
        <v>1</v>
      </c>
      <c r="J464">
        <v>0.2</v>
      </c>
    </row>
    <row r="465" spans="1:10">
      <c r="A465">
        <v>464</v>
      </c>
      <c r="B465" s="2">
        <v>40564</v>
      </c>
      <c r="C465">
        <v>1</v>
      </c>
      <c r="D465">
        <v>0</v>
      </c>
      <c r="E465">
        <v>1</v>
      </c>
      <c r="F465">
        <v>8</v>
      </c>
      <c r="G465" t="b">
        <v>0</v>
      </c>
      <c r="H465">
        <v>5</v>
      </c>
      <c r="I465">
        <v>1</v>
      </c>
      <c r="J465">
        <v>0.2</v>
      </c>
    </row>
    <row r="466" spans="1:10">
      <c r="A466">
        <v>465</v>
      </c>
      <c r="B466" s="2">
        <v>40564</v>
      </c>
      <c r="C466">
        <v>1</v>
      </c>
      <c r="D466">
        <v>0</v>
      </c>
      <c r="E466">
        <v>1</v>
      </c>
      <c r="F466">
        <v>9</v>
      </c>
      <c r="G466" t="b">
        <v>0</v>
      </c>
      <c r="H466">
        <v>5</v>
      </c>
      <c r="I466">
        <v>1</v>
      </c>
      <c r="J466">
        <v>0.2</v>
      </c>
    </row>
    <row r="467" spans="1:10">
      <c r="A467">
        <v>466</v>
      </c>
      <c r="B467" s="2">
        <v>40564</v>
      </c>
      <c r="C467">
        <v>1</v>
      </c>
      <c r="D467">
        <v>0</v>
      </c>
      <c r="E467">
        <v>1</v>
      </c>
      <c r="F467">
        <v>10</v>
      </c>
      <c r="G467" t="b">
        <v>0</v>
      </c>
      <c r="H467">
        <v>5</v>
      </c>
      <c r="I467">
        <v>1</v>
      </c>
      <c r="J467">
        <v>0.2</v>
      </c>
    </row>
    <row r="468" spans="1:10">
      <c r="A468">
        <v>467</v>
      </c>
      <c r="B468" s="2">
        <v>40564</v>
      </c>
      <c r="C468">
        <v>1</v>
      </c>
      <c r="D468">
        <v>0</v>
      </c>
      <c r="E468">
        <v>1</v>
      </c>
      <c r="F468">
        <v>11</v>
      </c>
      <c r="G468" t="b">
        <v>0</v>
      </c>
      <c r="H468">
        <v>5</v>
      </c>
      <c r="I468">
        <v>1</v>
      </c>
      <c r="J468">
        <v>0.22</v>
      </c>
    </row>
    <row r="469" spans="1:10">
      <c r="A469">
        <v>468</v>
      </c>
      <c r="B469" s="2">
        <v>40564</v>
      </c>
      <c r="C469">
        <v>1</v>
      </c>
      <c r="D469">
        <v>0</v>
      </c>
      <c r="E469">
        <v>1</v>
      </c>
      <c r="F469">
        <v>12</v>
      </c>
      <c r="G469" t="b">
        <v>0</v>
      </c>
      <c r="H469">
        <v>5</v>
      </c>
      <c r="I469">
        <v>1</v>
      </c>
      <c r="J469">
        <v>0.22</v>
      </c>
    </row>
    <row r="470" spans="1:10">
      <c r="A470">
        <v>469</v>
      </c>
      <c r="B470" s="2">
        <v>40564</v>
      </c>
      <c r="C470">
        <v>1</v>
      </c>
      <c r="D470">
        <v>0</v>
      </c>
      <c r="E470">
        <v>1</v>
      </c>
      <c r="F470">
        <v>13</v>
      </c>
      <c r="G470" t="b">
        <v>0</v>
      </c>
      <c r="H470">
        <v>5</v>
      </c>
      <c r="I470">
        <v>1</v>
      </c>
      <c r="J470">
        <v>0.2</v>
      </c>
    </row>
    <row r="471" spans="1:10">
      <c r="A471">
        <v>470</v>
      </c>
      <c r="B471" s="2">
        <v>40564</v>
      </c>
      <c r="C471">
        <v>1</v>
      </c>
      <c r="D471">
        <v>0</v>
      </c>
      <c r="E471">
        <v>1</v>
      </c>
      <c r="F471">
        <v>14</v>
      </c>
      <c r="G471" t="b">
        <v>0</v>
      </c>
      <c r="H471">
        <v>5</v>
      </c>
      <c r="I471">
        <v>1</v>
      </c>
      <c r="J471">
        <v>0.2</v>
      </c>
    </row>
    <row r="472" spans="1:10">
      <c r="A472">
        <v>471</v>
      </c>
      <c r="B472" s="2">
        <v>40564</v>
      </c>
      <c r="C472">
        <v>1</v>
      </c>
      <c r="D472">
        <v>0</v>
      </c>
      <c r="E472">
        <v>1</v>
      </c>
      <c r="F472">
        <v>15</v>
      </c>
      <c r="G472" t="b">
        <v>0</v>
      </c>
      <c r="H472">
        <v>5</v>
      </c>
      <c r="I472">
        <v>1</v>
      </c>
      <c r="J472">
        <v>0.16</v>
      </c>
    </row>
    <row r="473" spans="1:10">
      <c r="A473">
        <v>472</v>
      </c>
      <c r="B473" s="2">
        <v>40564</v>
      </c>
      <c r="C473">
        <v>1</v>
      </c>
      <c r="D473">
        <v>0</v>
      </c>
      <c r="E473">
        <v>1</v>
      </c>
      <c r="F473">
        <v>16</v>
      </c>
      <c r="G473" t="b">
        <v>0</v>
      </c>
      <c r="H473">
        <v>5</v>
      </c>
      <c r="I473">
        <v>1</v>
      </c>
      <c r="J473">
        <v>0.16</v>
      </c>
    </row>
    <row r="474" spans="1:10">
      <c r="A474">
        <v>473</v>
      </c>
      <c r="B474" s="2">
        <v>40564</v>
      </c>
      <c r="C474">
        <v>1</v>
      </c>
      <c r="D474">
        <v>0</v>
      </c>
      <c r="E474">
        <v>1</v>
      </c>
      <c r="F474">
        <v>17</v>
      </c>
      <c r="G474" t="b">
        <v>0</v>
      </c>
      <c r="H474">
        <v>5</v>
      </c>
      <c r="I474">
        <v>1</v>
      </c>
      <c r="J474">
        <v>0.14000000000000001</v>
      </c>
    </row>
    <row r="475" spans="1:10">
      <c r="A475">
        <v>474</v>
      </c>
      <c r="B475" s="2">
        <v>40564</v>
      </c>
      <c r="C475">
        <v>1</v>
      </c>
      <c r="D475">
        <v>0</v>
      </c>
      <c r="E475">
        <v>1</v>
      </c>
      <c r="F475">
        <v>18</v>
      </c>
      <c r="G475" t="b">
        <v>0</v>
      </c>
      <c r="H475">
        <v>5</v>
      </c>
      <c r="I475">
        <v>1</v>
      </c>
      <c r="J475">
        <v>0.12</v>
      </c>
    </row>
    <row r="476" spans="1:10">
      <c r="A476">
        <v>475</v>
      </c>
      <c r="B476" s="2">
        <v>40564</v>
      </c>
      <c r="C476">
        <v>1</v>
      </c>
      <c r="D476">
        <v>0</v>
      </c>
      <c r="E476">
        <v>1</v>
      </c>
      <c r="F476">
        <v>19</v>
      </c>
      <c r="G476" t="b">
        <v>0</v>
      </c>
      <c r="H476">
        <v>5</v>
      </c>
      <c r="I476">
        <v>1</v>
      </c>
      <c r="J476">
        <v>0.12</v>
      </c>
    </row>
    <row r="477" spans="1:10">
      <c r="A477">
        <v>476</v>
      </c>
      <c r="B477" s="2">
        <v>40564</v>
      </c>
      <c r="C477">
        <v>1</v>
      </c>
      <c r="D477">
        <v>0</v>
      </c>
      <c r="E477">
        <v>1</v>
      </c>
      <c r="F477">
        <v>20</v>
      </c>
      <c r="G477" t="b">
        <v>0</v>
      </c>
      <c r="H477">
        <v>5</v>
      </c>
      <c r="I477">
        <v>1</v>
      </c>
      <c r="J477">
        <v>0.1</v>
      </c>
    </row>
    <row r="478" spans="1:10">
      <c r="A478">
        <v>477</v>
      </c>
      <c r="B478" s="2">
        <v>40564</v>
      </c>
      <c r="C478">
        <v>1</v>
      </c>
      <c r="D478">
        <v>0</v>
      </c>
      <c r="E478">
        <v>1</v>
      </c>
      <c r="F478">
        <v>21</v>
      </c>
      <c r="G478" t="b">
        <v>0</v>
      </c>
      <c r="H478">
        <v>5</v>
      </c>
      <c r="I478">
        <v>1</v>
      </c>
      <c r="J478">
        <v>0.08</v>
      </c>
    </row>
    <row r="479" spans="1:10">
      <c r="A479">
        <v>478</v>
      </c>
      <c r="B479" s="2">
        <v>40564</v>
      </c>
      <c r="C479">
        <v>1</v>
      </c>
      <c r="D479">
        <v>0</v>
      </c>
      <c r="E479">
        <v>1</v>
      </c>
      <c r="F479">
        <v>22</v>
      </c>
      <c r="G479" t="b">
        <v>0</v>
      </c>
      <c r="H479">
        <v>5</v>
      </c>
      <c r="I479">
        <v>1</v>
      </c>
      <c r="J479">
        <v>0.06</v>
      </c>
    </row>
    <row r="480" spans="1:10">
      <c r="A480">
        <v>479</v>
      </c>
      <c r="B480" s="2">
        <v>40564</v>
      </c>
      <c r="C480">
        <v>1</v>
      </c>
      <c r="D480">
        <v>0</v>
      </c>
      <c r="E480">
        <v>1</v>
      </c>
      <c r="F480">
        <v>23</v>
      </c>
      <c r="G480" t="b">
        <v>0</v>
      </c>
      <c r="H480">
        <v>5</v>
      </c>
      <c r="I480">
        <v>1</v>
      </c>
      <c r="J480">
        <v>0.06</v>
      </c>
    </row>
    <row r="481" spans="1:10">
      <c r="A481">
        <v>480</v>
      </c>
      <c r="B481" s="2">
        <v>40565</v>
      </c>
      <c r="C481">
        <v>1</v>
      </c>
      <c r="D481">
        <v>0</v>
      </c>
      <c r="E481">
        <v>1</v>
      </c>
      <c r="F481">
        <v>0</v>
      </c>
      <c r="G481" t="b">
        <v>0</v>
      </c>
      <c r="H481">
        <v>6</v>
      </c>
      <c r="I481">
        <v>1</v>
      </c>
      <c r="J481">
        <v>0.04</v>
      </c>
    </row>
    <row r="482" spans="1:10">
      <c r="A482">
        <v>481</v>
      </c>
      <c r="B482" s="2">
        <v>40565</v>
      </c>
      <c r="C482">
        <v>1</v>
      </c>
      <c r="D482">
        <v>0</v>
      </c>
      <c r="E482">
        <v>1</v>
      </c>
      <c r="F482">
        <v>1</v>
      </c>
      <c r="G482" t="b">
        <v>0</v>
      </c>
      <c r="H482">
        <v>6</v>
      </c>
      <c r="I482">
        <v>2</v>
      </c>
      <c r="J482">
        <v>0.04</v>
      </c>
    </row>
    <row r="483" spans="1:10">
      <c r="A483">
        <v>482</v>
      </c>
      <c r="B483" s="2">
        <v>40565</v>
      </c>
      <c r="C483">
        <v>1</v>
      </c>
      <c r="D483">
        <v>0</v>
      </c>
      <c r="E483">
        <v>1</v>
      </c>
      <c r="F483">
        <v>2</v>
      </c>
      <c r="G483" t="b">
        <v>0</v>
      </c>
      <c r="H483">
        <v>6</v>
      </c>
      <c r="I483">
        <v>2</v>
      </c>
      <c r="J483">
        <v>0.04</v>
      </c>
    </row>
    <row r="484" spans="1:10">
      <c r="A484">
        <v>483</v>
      </c>
      <c r="B484" s="2">
        <v>40565</v>
      </c>
      <c r="C484">
        <v>1</v>
      </c>
      <c r="D484">
        <v>0</v>
      </c>
      <c r="E484">
        <v>1</v>
      </c>
      <c r="F484">
        <v>3</v>
      </c>
      <c r="G484" t="b">
        <v>0</v>
      </c>
      <c r="H484">
        <v>6</v>
      </c>
      <c r="I484">
        <v>2</v>
      </c>
      <c r="J484">
        <v>0.04</v>
      </c>
    </row>
    <row r="485" spans="1:10">
      <c r="A485">
        <v>484</v>
      </c>
      <c r="B485" s="2">
        <v>40565</v>
      </c>
      <c r="C485">
        <v>1</v>
      </c>
      <c r="D485">
        <v>0</v>
      </c>
      <c r="E485">
        <v>1</v>
      </c>
      <c r="F485">
        <v>4</v>
      </c>
      <c r="G485" t="b">
        <v>0</v>
      </c>
      <c r="H485">
        <v>6</v>
      </c>
      <c r="I485">
        <v>2</v>
      </c>
      <c r="J485">
        <v>0.02</v>
      </c>
    </row>
    <row r="486" spans="1:10">
      <c r="A486">
        <v>485</v>
      </c>
      <c r="B486" s="2">
        <v>40565</v>
      </c>
      <c r="C486">
        <v>1</v>
      </c>
      <c r="D486">
        <v>0</v>
      </c>
      <c r="E486">
        <v>1</v>
      </c>
      <c r="F486">
        <v>6</v>
      </c>
      <c r="G486" t="b">
        <v>0</v>
      </c>
      <c r="H486">
        <v>6</v>
      </c>
      <c r="I486">
        <v>2</v>
      </c>
      <c r="J486">
        <v>0.02</v>
      </c>
    </row>
    <row r="487" spans="1:10">
      <c r="A487">
        <v>486</v>
      </c>
      <c r="B487" s="2">
        <v>40565</v>
      </c>
      <c r="C487">
        <v>1</v>
      </c>
      <c r="D487">
        <v>0</v>
      </c>
      <c r="E487">
        <v>1</v>
      </c>
      <c r="F487">
        <v>7</v>
      </c>
      <c r="G487" t="b">
        <v>0</v>
      </c>
      <c r="H487">
        <v>6</v>
      </c>
      <c r="I487">
        <v>1</v>
      </c>
      <c r="J487">
        <v>0.02</v>
      </c>
    </row>
    <row r="488" spans="1:10">
      <c r="A488">
        <v>487</v>
      </c>
      <c r="B488" s="2">
        <v>40565</v>
      </c>
      <c r="C488">
        <v>1</v>
      </c>
      <c r="D488">
        <v>0</v>
      </c>
      <c r="E488">
        <v>1</v>
      </c>
      <c r="F488">
        <v>8</v>
      </c>
      <c r="G488" t="b">
        <v>0</v>
      </c>
      <c r="H488">
        <v>6</v>
      </c>
      <c r="I488">
        <v>1</v>
      </c>
      <c r="J488">
        <v>0.02</v>
      </c>
    </row>
    <row r="489" spans="1:10">
      <c r="A489">
        <v>488</v>
      </c>
      <c r="B489" s="2">
        <v>40565</v>
      </c>
      <c r="C489">
        <v>1</v>
      </c>
      <c r="D489">
        <v>0</v>
      </c>
      <c r="E489">
        <v>1</v>
      </c>
      <c r="F489">
        <v>9</v>
      </c>
      <c r="G489" t="b">
        <v>0</v>
      </c>
      <c r="H489">
        <v>6</v>
      </c>
      <c r="I489">
        <v>1</v>
      </c>
      <c r="J489">
        <v>0.04</v>
      </c>
    </row>
    <row r="490" spans="1:10">
      <c r="A490">
        <v>489</v>
      </c>
      <c r="B490" s="2">
        <v>40565</v>
      </c>
      <c r="C490">
        <v>1</v>
      </c>
      <c r="D490">
        <v>0</v>
      </c>
      <c r="E490">
        <v>1</v>
      </c>
      <c r="F490">
        <v>10</v>
      </c>
      <c r="G490" t="b">
        <v>0</v>
      </c>
      <c r="H490">
        <v>6</v>
      </c>
      <c r="I490">
        <v>2</v>
      </c>
      <c r="J490">
        <v>0.04</v>
      </c>
    </row>
    <row r="491" spans="1:10">
      <c r="A491">
        <v>490</v>
      </c>
      <c r="B491" s="2">
        <v>40565</v>
      </c>
      <c r="C491">
        <v>1</v>
      </c>
      <c r="D491">
        <v>0</v>
      </c>
      <c r="E491">
        <v>1</v>
      </c>
      <c r="F491">
        <v>11</v>
      </c>
      <c r="G491" t="b">
        <v>0</v>
      </c>
      <c r="H491">
        <v>6</v>
      </c>
      <c r="I491">
        <v>2</v>
      </c>
      <c r="J491">
        <v>0.06</v>
      </c>
    </row>
    <row r="492" spans="1:10">
      <c r="A492">
        <v>491</v>
      </c>
      <c r="B492" s="2">
        <v>40565</v>
      </c>
      <c r="C492">
        <v>1</v>
      </c>
      <c r="D492">
        <v>0</v>
      </c>
      <c r="E492">
        <v>1</v>
      </c>
      <c r="F492">
        <v>12</v>
      </c>
      <c r="G492" t="b">
        <v>0</v>
      </c>
      <c r="H492">
        <v>6</v>
      </c>
      <c r="I492">
        <v>2</v>
      </c>
      <c r="J492">
        <v>0.06</v>
      </c>
    </row>
    <row r="493" spans="1:10">
      <c r="A493">
        <v>492</v>
      </c>
      <c r="B493" s="2">
        <v>40565</v>
      </c>
      <c r="C493">
        <v>1</v>
      </c>
      <c r="D493">
        <v>0</v>
      </c>
      <c r="E493">
        <v>1</v>
      </c>
      <c r="F493">
        <v>13</v>
      </c>
      <c r="G493" t="b">
        <v>0</v>
      </c>
      <c r="H493">
        <v>6</v>
      </c>
      <c r="I493">
        <v>1</v>
      </c>
      <c r="J493">
        <v>0.08</v>
      </c>
    </row>
    <row r="494" spans="1:10">
      <c r="A494">
        <v>493</v>
      </c>
      <c r="B494" s="2">
        <v>40565</v>
      </c>
      <c r="C494">
        <v>1</v>
      </c>
      <c r="D494">
        <v>0</v>
      </c>
      <c r="E494">
        <v>1</v>
      </c>
      <c r="F494">
        <v>14</v>
      </c>
      <c r="G494" t="b">
        <v>0</v>
      </c>
      <c r="H494">
        <v>6</v>
      </c>
      <c r="I494">
        <v>1</v>
      </c>
      <c r="J494">
        <v>0.1</v>
      </c>
    </row>
    <row r="495" spans="1:10">
      <c r="A495">
        <v>494</v>
      </c>
      <c r="B495" s="2">
        <v>40565</v>
      </c>
      <c r="C495">
        <v>1</v>
      </c>
      <c r="D495">
        <v>0</v>
      </c>
      <c r="E495">
        <v>1</v>
      </c>
      <c r="F495">
        <v>15</v>
      </c>
      <c r="G495" t="b">
        <v>0</v>
      </c>
      <c r="H495">
        <v>6</v>
      </c>
      <c r="I495">
        <v>1</v>
      </c>
      <c r="J495">
        <v>0.12</v>
      </c>
    </row>
    <row r="496" spans="1:10">
      <c r="A496">
        <v>495</v>
      </c>
      <c r="B496" s="2">
        <v>40565</v>
      </c>
      <c r="C496">
        <v>1</v>
      </c>
      <c r="D496">
        <v>0</v>
      </c>
      <c r="E496">
        <v>1</v>
      </c>
      <c r="F496">
        <v>16</v>
      </c>
      <c r="G496" t="b">
        <v>0</v>
      </c>
      <c r="H496">
        <v>6</v>
      </c>
      <c r="I496">
        <v>1</v>
      </c>
      <c r="J496">
        <v>0.12</v>
      </c>
    </row>
    <row r="497" spans="1:10">
      <c r="A497">
        <v>496</v>
      </c>
      <c r="B497" s="2">
        <v>40565</v>
      </c>
      <c r="C497">
        <v>1</v>
      </c>
      <c r="D497">
        <v>0</v>
      </c>
      <c r="E497">
        <v>1</v>
      </c>
      <c r="F497">
        <v>17</v>
      </c>
      <c r="G497" t="b">
        <v>0</v>
      </c>
      <c r="H497">
        <v>6</v>
      </c>
      <c r="I497">
        <v>1</v>
      </c>
      <c r="J497">
        <v>0.12</v>
      </c>
    </row>
    <row r="498" spans="1:10">
      <c r="A498">
        <v>497</v>
      </c>
      <c r="B498" s="2">
        <v>40565</v>
      </c>
      <c r="C498">
        <v>1</v>
      </c>
      <c r="D498">
        <v>0</v>
      </c>
      <c r="E498">
        <v>1</v>
      </c>
      <c r="F498">
        <v>18</v>
      </c>
      <c r="G498" t="b">
        <v>0</v>
      </c>
      <c r="H498">
        <v>6</v>
      </c>
      <c r="I498">
        <v>1</v>
      </c>
      <c r="J498">
        <v>0.08</v>
      </c>
    </row>
    <row r="499" spans="1:10">
      <c r="A499">
        <v>498</v>
      </c>
      <c r="B499" s="2">
        <v>40565</v>
      </c>
      <c r="C499">
        <v>1</v>
      </c>
      <c r="D499">
        <v>0</v>
      </c>
      <c r="E499">
        <v>1</v>
      </c>
      <c r="F499">
        <v>19</v>
      </c>
      <c r="G499" t="b">
        <v>0</v>
      </c>
      <c r="H499">
        <v>6</v>
      </c>
      <c r="I499">
        <v>1</v>
      </c>
      <c r="J499">
        <v>0.08</v>
      </c>
    </row>
    <row r="500" spans="1:10">
      <c r="A500">
        <v>499</v>
      </c>
      <c r="B500" s="2">
        <v>40565</v>
      </c>
      <c r="C500">
        <v>1</v>
      </c>
      <c r="D500">
        <v>0</v>
      </c>
      <c r="E500">
        <v>1</v>
      </c>
      <c r="F500">
        <v>20</v>
      </c>
      <c r="G500" t="b">
        <v>0</v>
      </c>
      <c r="H500">
        <v>6</v>
      </c>
      <c r="I500">
        <v>1</v>
      </c>
      <c r="J500">
        <v>0.06</v>
      </c>
    </row>
    <row r="501" spans="1:10">
      <c r="A501">
        <v>500</v>
      </c>
      <c r="B501" s="2">
        <v>40565</v>
      </c>
      <c r="C501">
        <v>1</v>
      </c>
      <c r="D501">
        <v>0</v>
      </c>
      <c r="E501">
        <v>1</v>
      </c>
      <c r="F501">
        <v>21</v>
      </c>
      <c r="G501" t="b">
        <v>0</v>
      </c>
      <c r="H501">
        <v>6</v>
      </c>
      <c r="I501">
        <v>1</v>
      </c>
      <c r="J501">
        <v>0.06</v>
      </c>
    </row>
    <row r="502" spans="1:10">
      <c r="A502">
        <v>501</v>
      </c>
      <c r="B502" s="2">
        <v>40565</v>
      </c>
      <c r="C502">
        <v>1</v>
      </c>
      <c r="D502">
        <v>0</v>
      </c>
      <c r="E502">
        <v>1</v>
      </c>
      <c r="F502">
        <v>22</v>
      </c>
      <c r="G502" t="b">
        <v>0</v>
      </c>
      <c r="H502">
        <v>6</v>
      </c>
      <c r="I502">
        <v>1</v>
      </c>
      <c r="J502">
        <v>0.06</v>
      </c>
    </row>
    <row r="503" spans="1:10">
      <c r="A503">
        <v>502</v>
      </c>
      <c r="B503" s="2">
        <v>40565</v>
      </c>
      <c r="C503">
        <v>1</v>
      </c>
      <c r="D503">
        <v>0</v>
      </c>
      <c r="E503">
        <v>1</v>
      </c>
      <c r="F503">
        <v>23</v>
      </c>
      <c r="G503" t="b">
        <v>0</v>
      </c>
      <c r="H503">
        <v>6</v>
      </c>
      <c r="I503">
        <v>1</v>
      </c>
      <c r="J503">
        <v>0.04</v>
      </c>
    </row>
    <row r="504" spans="1:10">
      <c r="A504">
        <v>503</v>
      </c>
      <c r="B504" s="2">
        <v>40566</v>
      </c>
      <c r="C504">
        <v>1</v>
      </c>
      <c r="D504">
        <v>0</v>
      </c>
      <c r="E504">
        <v>1</v>
      </c>
      <c r="F504">
        <v>0</v>
      </c>
      <c r="G504" t="b">
        <v>0</v>
      </c>
      <c r="H504">
        <v>0</v>
      </c>
      <c r="I504">
        <v>1</v>
      </c>
      <c r="J504">
        <v>0.04</v>
      </c>
    </row>
    <row r="505" spans="1:10">
      <c r="A505">
        <v>504</v>
      </c>
      <c r="B505" s="2">
        <v>40566</v>
      </c>
      <c r="C505">
        <v>1</v>
      </c>
      <c r="D505">
        <v>0</v>
      </c>
      <c r="E505">
        <v>1</v>
      </c>
      <c r="F505">
        <v>1</v>
      </c>
      <c r="G505" t="b">
        <v>0</v>
      </c>
      <c r="H505">
        <v>0</v>
      </c>
      <c r="I505">
        <v>1</v>
      </c>
      <c r="J505">
        <v>0.04</v>
      </c>
    </row>
    <row r="506" spans="1:10">
      <c r="A506">
        <v>505</v>
      </c>
      <c r="B506" s="2">
        <v>40566</v>
      </c>
      <c r="C506">
        <v>1</v>
      </c>
      <c r="D506">
        <v>0</v>
      </c>
      <c r="E506">
        <v>1</v>
      </c>
      <c r="F506">
        <v>2</v>
      </c>
      <c r="G506" t="b">
        <v>0</v>
      </c>
      <c r="H506">
        <v>0</v>
      </c>
      <c r="I506">
        <v>1</v>
      </c>
      <c r="J506">
        <v>0.02</v>
      </c>
    </row>
    <row r="507" spans="1:10">
      <c r="A507">
        <v>506</v>
      </c>
      <c r="B507" s="2">
        <v>40566</v>
      </c>
      <c r="C507">
        <v>1</v>
      </c>
      <c r="D507">
        <v>0</v>
      </c>
      <c r="E507">
        <v>1</v>
      </c>
      <c r="F507">
        <v>3</v>
      </c>
      <c r="G507" t="b">
        <v>0</v>
      </c>
      <c r="H507">
        <v>0</v>
      </c>
      <c r="I507">
        <v>1</v>
      </c>
      <c r="J507">
        <v>0.02</v>
      </c>
    </row>
    <row r="508" spans="1:10">
      <c r="A508">
        <v>507</v>
      </c>
      <c r="B508" s="2">
        <v>40566</v>
      </c>
      <c r="C508">
        <v>1</v>
      </c>
      <c r="D508">
        <v>0</v>
      </c>
      <c r="E508">
        <v>1</v>
      </c>
      <c r="F508">
        <v>5</v>
      </c>
      <c r="G508" t="b">
        <v>0</v>
      </c>
      <c r="H508">
        <v>0</v>
      </c>
      <c r="I508">
        <v>2</v>
      </c>
      <c r="J508">
        <v>0.04</v>
      </c>
    </row>
    <row r="509" spans="1:10">
      <c r="A509">
        <v>508</v>
      </c>
      <c r="B509" s="2">
        <v>40566</v>
      </c>
      <c r="C509">
        <v>1</v>
      </c>
      <c r="D509">
        <v>0</v>
      </c>
      <c r="E509">
        <v>1</v>
      </c>
      <c r="F509">
        <v>6</v>
      </c>
      <c r="G509" t="b">
        <v>0</v>
      </c>
      <c r="H509">
        <v>0</v>
      </c>
      <c r="I509">
        <v>2</v>
      </c>
      <c r="J509">
        <v>0.04</v>
      </c>
    </row>
    <row r="510" spans="1:10">
      <c r="A510">
        <v>509</v>
      </c>
      <c r="B510" s="2">
        <v>40566</v>
      </c>
      <c r="C510">
        <v>1</v>
      </c>
      <c r="D510">
        <v>0</v>
      </c>
      <c r="E510">
        <v>1</v>
      </c>
      <c r="F510">
        <v>7</v>
      </c>
      <c r="G510" t="b">
        <v>0</v>
      </c>
      <c r="H510">
        <v>0</v>
      </c>
      <c r="I510">
        <v>1</v>
      </c>
      <c r="J510">
        <v>0.08</v>
      </c>
    </row>
    <row r="511" spans="1:10">
      <c r="A511">
        <v>510</v>
      </c>
      <c r="B511" s="2">
        <v>40566</v>
      </c>
      <c r="C511">
        <v>1</v>
      </c>
      <c r="D511">
        <v>0</v>
      </c>
      <c r="E511">
        <v>1</v>
      </c>
      <c r="F511">
        <v>8</v>
      </c>
      <c r="G511" t="b">
        <v>0</v>
      </c>
      <c r="H511">
        <v>0</v>
      </c>
      <c r="I511">
        <v>1</v>
      </c>
      <c r="J511">
        <v>0.06</v>
      </c>
    </row>
    <row r="512" spans="1:10">
      <c r="A512">
        <v>511</v>
      </c>
      <c r="B512" s="2">
        <v>40566</v>
      </c>
      <c r="C512">
        <v>1</v>
      </c>
      <c r="D512">
        <v>0</v>
      </c>
      <c r="E512">
        <v>1</v>
      </c>
      <c r="F512">
        <v>9</v>
      </c>
      <c r="G512" t="b">
        <v>0</v>
      </c>
      <c r="H512">
        <v>0</v>
      </c>
      <c r="I512">
        <v>1</v>
      </c>
      <c r="J512">
        <v>0.1</v>
      </c>
    </row>
    <row r="513" spans="1:10">
      <c r="A513">
        <v>512</v>
      </c>
      <c r="B513" s="2">
        <v>40566</v>
      </c>
      <c r="C513">
        <v>1</v>
      </c>
      <c r="D513">
        <v>0</v>
      </c>
      <c r="E513">
        <v>1</v>
      </c>
      <c r="F513">
        <v>10</v>
      </c>
      <c r="G513" t="b">
        <v>0</v>
      </c>
      <c r="H513">
        <v>0</v>
      </c>
      <c r="I513">
        <v>1</v>
      </c>
      <c r="J513">
        <v>0.14000000000000001</v>
      </c>
    </row>
    <row r="514" spans="1:10">
      <c r="A514">
        <v>513</v>
      </c>
      <c r="B514" s="2">
        <v>40566</v>
      </c>
      <c r="C514">
        <v>1</v>
      </c>
      <c r="D514">
        <v>0</v>
      </c>
      <c r="E514">
        <v>1</v>
      </c>
      <c r="F514">
        <v>11</v>
      </c>
      <c r="G514" t="b">
        <v>0</v>
      </c>
      <c r="H514">
        <v>0</v>
      </c>
      <c r="I514">
        <v>1</v>
      </c>
      <c r="J514">
        <v>0.14000000000000001</v>
      </c>
    </row>
    <row r="515" spans="1:10">
      <c r="A515">
        <v>514</v>
      </c>
      <c r="B515" s="2">
        <v>40566</v>
      </c>
      <c r="C515">
        <v>1</v>
      </c>
      <c r="D515">
        <v>0</v>
      </c>
      <c r="E515">
        <v>1</v>
      </c>
      <c r="F515">
        <v>12</v>
      </c>
      <c r="G515" t="b">
        <v>0</v>
      </c>
      <c r="H515">
        <v>0</v>
      </c>
      <c r="I515">
        <v>1</v>
      </c>
      <c r="J515">
        <v>0.16</v>
      </c>
    </row>
    <row r="516" spans="1:10">
      <c r="A516">
        <v>515</v>
      </c>
      <c r="B516" s="2">
        <v>40566</v>
      </c>
      <c r="C516">
        <v>1</v>
      </c>
      <c r="D516">
        <v>0</v>
      </c>
      <c r="E516">
        <v>1</v>
      </c>
      <c r="F516">
        <v>13</v>
      </c>
      <c r="G516" t="b">
        <v>0</v>
      </c>
      <c r="H516">
        <v>0</v>
      </c>
      <c r="I516">
        <v>1</v>
      </c>
      <c r="J516">
        <v>0.14000000000000001</v>
      </c>
    </row>
    <row r="517" spans="1:10">
      <c r="A517">
        <v>516</v>
      </c>
      <c r="B517" s="2">
        <v>40566</v>
      </c>
      <c r="C517">
        <v>1</v>
      </c>
      <c r="D517">
        <v>0</v>
      </c>
      <c r="E517">
        <v>1</v>
      </c>
      <c r="F517">
        <v>14</v>
      </c>
      <c r="G517" t="b">
        <v>0</v>
      </c>
      <c r="H517">
        <v>0</v>
      </c>
      <c r="I517">
        <v>1</v>
      </c>
      <c r="J517">
        <v>0.16</v>
      </c>
    </row>
    <row r="518" spans="1:10">
      <c r="A518">
        <v>517</v>
      </c>
      <c r="B518" s="2">
        <v>40566</v>
      </c>
      <c r="C518">
        <v>1</v>
      </c>
      <c r="D518">
        <v>0</v>
      </c>
      <c r="E518">
        <v>1</v>
      </c>
      <c r="F518">
        <v>15</v>
      </c>
      <c r="G518" t="b">
        <v>0</v>
      </c>
      <c r="H518">
        <v>0</v>
      </c>
      <c r="I518">
        <v>1</v>
      </c>
      <c r="J518">
        <v>0.16</v>
      </c>
    </row>
    <row r="519" spans="1:10">
      <c r="A519">
        <v>518</v>
      </c>
      <c r="B519" s="2">
        <v>40566</v>
      </c>
      <c r="C519">
        <v>1</v>
      </c>
      <c r="D519">
        <v>0</v>
      </c>
      <c r="E519">
        <v>1</v>
      </c>
      <c r="F519">
        <v>16</v>
      </c>
      <c r="G519" t="b">
        <v>0</v>
      </c>
      <c r="H519">
        <v>0</v>
      </c>
      <c r="I519">
        <v>1</v>
      </c>
      <c r="J519">
        <v>0.16</v>
      </c>
    </row>
    <row r="520" spans="1:10">
      <c r="A520">
        <v>519</v>
      </c>
      <c r="B520" s="2">
        <v>40566</v>
      </c>
      <c r="C520">
        <v>1</v>
      </c>
      <c r="D520">
        <v>0</v>
      </c>
      <c r="E520">
        <v>1</v>
      </c>
      <c r="F520">
        <v>17</v>
      </c>
      <c r="G520" t="b">
        <v>0</v>
      </c>
      <c r="H520">
        <v>0</v>
      </c>
      <c r="I520">
        <v>1</v>
      </c>
      <c r="J520">
        <v>0.14000000000000001</v>
      </c>
    </row>
    <row r="521" spans="1:10">
      <c r="A521">
        <v>520</v>
      </c>
      <c r="B521" s="2">
        <v>40566</v>
      </c>
      <c r="C521">
        <v>1</v>
      </c>
      <c r="D521">
        <v>0</v>
      </c>
      <c r="E521">
        <v>1</v>
      </c>
      <c r="F521">
        <v>18</v>
      </c>
      <c r="G521" t="b">
        <v>0</v>
      </c>
      <c r="H521">
        <v>0</v>
      </c>
      <c r="I521">
        <v>1</v>
      </c>
      <c r="J521">
        <v>0.12</v>
      </c>
    </row>
    <row r="522" spans="1:10">
      <c r="A522">
        <v>521</v>
      </c>
      <c r="B522" s="2">
        <v>40566</v>
      </c>
      <c r="C522">
        <v>1</v>
      </c>
      <c r="D522">
        <v>0</v>
      </c>
      <c r="E522">
        <v>1</v>
      </c>
      <c r="F522">
        <v>19</v>
      </c>
      <c r="G522" t="b">
        <v>0</v>
      </c>
      <c r="H522">
        <v>0</v>
      </c>
      <c r="I522">
        <v>1</v>
      </c>
      <c r="J522">
        <v>0.12</v>
      </c>
    </row>
    <row r="523" spans="1:10">
      <c r="A523">
        <v>522</v>
      </c>
      <c r="B523" s="2">
        <v>40566</v>
      </c>
      <c r="C523">
        <v>1</v>
      </c>
      <c r="D523">
        <v>0</v>
      </c>
      <c r="E523">
        <v>1</v>
      </c>
      <c r="F523">
        <v>20</v>
      </c>
      <c r="G523" t="b">
        <v>0</v>
      </c>
      <c r="H523">
        <v>0</v>
      </c>
      <c r="I523">
        <v>1</v>
      </c>
      <c r="J523">
        <v>0.1</v>
      </c>
    </row>
    <row r="524" spans="1:10">
      <c r="A524">
        <v>523</v>
      </c>
      <c r="B524" s="2">
        <v>40566</v>
      </c>
      <c r="C524">
        <v>1</v>
      </c>
      <c r="D524">
        <v>0</v>
      </c>
      <c r="E524">
        <v>1</v>
      </c>
      <c r="F524">
        <v>21</v>
      </c>
      <c r="G524" t="b">
        <v>0</v>
      </c>
      <c r="H524">
        <v>0</v>
      </c>
      <c r="I524">
        <v>1</v>
      </c>
      <c r="J524">
        <v>0.1</v>
      </c>
    </row>
    <row r="525" spans="1:10">
      <c r="A525">
        <v>524</v>
      </c>
      <c r="B525" s="2">
        <v>40566</v>
      </c>
      <c r="C525">
        <v>1</v>
      </c>
      <c r="D525">
        <v>0</v>
      </c>
      <c r="E525">
        <v>1</v>
      </c>
      <c r="F525">
        <v>22</v>
      </c>
      <c r="G525" t="b">
        <v>0</v>
      </c>
      <c r="H525">
        <v>0</v>
      </c>
      <c r="I525">
        <v>1</v>
      </c>
      <c r="J525">
        <v>0.08</v>
      </c>
    </row>
    <row r="526" spans="1:10">
      <c r="A526">
        <v>525</v>
      </c>
      <c r="B526" s="2">
        <v>40566</v>
      </c>
      <c r="C526">
        <v>1</v>
      </c>
      <c r="D526">
        <v>0</v>
      </c>
      <c r="E526">
        <v>1</v>
      </c>
      <c r="F526">
        <v>23</v>
      </c>
      <c r="G526" t="b">
        <v>0</v>
      </c>
      <c r="H526">
        <v>0</v>
      </c>
      <c r="I526">
        <v>1</v>
      </c>
      <c r="J526">
        <v>0.06</v>
      </c>
    </row>
    <row r="527" spans="1:10">
      <c r="A527">
        <v>526</v>
      </c>
      <c r="B527" s="2">
        <v>40567</v>
      </c>
      <c r="C527">
        <v>1</v>
      </c>
      <c r="D527">
        <v>0</v>
      </c>
      <c r="E527">
        <v>1</v>
      </c>
      <c r="F527">
        <v>0</v>
      </c>
      <c r="G527" t="b">
        <v>0</v>
      </c>
      <c r="H527">
        <v>1</v>
      </c>
      <c r="I527">
        <v>1</v>
      </c>
      <c r="J527">
        <v>0.06</v>
      </c>
    </row>
    <row r="528" spans="1:10">
      <c r="A528">
        <v>527</v>
      </c>
      <c r="B528" s="2">
        <v>40567</v>
      </c>
      <c r="C528">
        <v>1</v>
      </c>
      <c r="D528">
        <v>0</v>
      </c>
      <c r="E528">
        <v>1</v>
      </c>
      <c r="F528">
        <v>1</v>
      </c>
      <c r="G528" t="b">
        <v>0</v>
      </c>
      <c r="H528">
        <v>1</v>
      </c>
      <c r="I528">
        <v>1</v>
      </c>
      <c r="J528">
        <v>0.04</v>
      </c>
    </row>
    <row r="529" spans="1:10">
      <c r="A529">
        <v>528</v>
      </c>
      <c r="B529" s="2">
        <v>40567</v>
      </c>
      <c r="C529">
        <v>1</v>
      </c>
      <c r="D529">
        <v>0</v>
      </c>
      <c r="E529">
        <v>1</v>
      </c>
      <c r="F529">
        <v>3</v>
      </c>
      <c r="G529" t="b">
        <v>0</v>
      </c>
      <c r="H529">
        <v>1</v>
      </c>
      <c r="I529">
        <v>1</v>
      </c>
      <c r="J529">
        <v>0.04</v>
      </c>
    </row>
    <row r="530" spans="1:10">
      <c r="A530">
        <v>529</v>
      </c>
      <c r="B530" s="2">
        <v>40567</v>
      </c>
      <c r="C530">
        <v>1</v>
      </c>
      <c r="D530">
        <v>0</v>
      </c>
      <c r="E530">
        <v>1</v>
      </c>
      <c r="F530">
        <v>4</v>
      </c>
      <c r="G530" t="b">
        <v>0</v>
      </c>
      <c r="H530">
        <v>1</v>
      </c>
      <c r="I530">
        <v>1</v>
      </c>
      <c r="J530">
        <v>0.02</v>
      </c>
    </row>
    <row r="531" spans="1:10">
      <c r="A531">
        <v>530</v>
      </c>
      <c r="B531" s="2">
        <v>40567</v>
      </c>
      <c r="C531">
        <v>1</v>
      </c>
      <c r="D531">
        <v>0</v>
      </c>
      <c r="E531">
        <v>1</v>
      </c>
      <c r="F531">
        <v>5</v>
      </c>
      <c r="G531" t="b">
        <v>0</v>
      </c>
      <c r="H531">
        <v>1</v>
      </c>
      <c r="I531">
        <v>1</v>
      </c>
      <c r="J531">
        <v>0.02</v>
      </c>
    </row>
    <row r="532" spans="1:10">
      <c r="A532">
        <v>531</v>
      </c>
      <c r="B532" s="2">
        <v>40567</v>
      </c>
      <c r="C532">
        <v>1</v>
      </c>
      <c r="D532">
        <v>0</v>
      </c>
      <c r="E532">
        <v>1</v>
      </c>
      <c r="F532">
        <v>6</v>
      </c>
      <c r="G532" t="b">
        <v>0</v>
      </c>
      <c r="H532">
        <v>1</v>
      </c>
      <c r="I532">
        <v>1</v>
      </c>
      <c r="J532">
        <v>0.02</v>
      </c>
    </row>
    <row r="533" spans="1:10">
      <c r="A533">
        <v>532</v>
      </c>
      <c r="B533" s="2">
        <v>40567</v>
      </c>
      <c r="C533">
        <v>1</v>
      </c>
      <c r="D533">
        <v>0</v>
      </c>
      <c r="E533">
        <v>1</v>
      </c>
      <c r="F533">
        <v>7</v>
      </c>
      <c r="G533" t="b">
        <v>0</v>
      </c>
      <c r="H533">
        <v>1</v>
      </c>
      <c r="I533">
        <v>1</v>
      </c>
      <c r="J533">
        <v>0.02</v>
      </c>
    </row>
    <row r="534" spans="1:10">
      <c r="A534">
        <v>533</v>
      </c>
      <c r="B534" s="2">
        <v>40567</v>
      </c>
      <c r="C534">
        <v>1</v>
      </c>
      <c r="D534">
        <v>0</v>
      </c>
      <c r="E534">
        <v>1</v>
      </c>
      <c r="F534">
        <v>8</v>
      </c>
      <c r="G534" t="b">
        <v>0</v>
      </c>
      <c r="H534">
        <v>1</v>
      </c>
      <c r="I534">
        <v>1</v>
      </c>
      <c r="J534">
        <v>0.04</v>
      </c>
    </row>
    <row r="535" spans="1:10">
      <c r="A535">
        <v>534</v>
      </c>
      <c r="B535" s="2">
        <v>40567</v>
      </c>
      <c r="C535">
        <v>1</v>
      </c>
      <c r="D535">
        <v>0</v>
      </c>
      <c r="E535">
        <v>1</v>
      </c>
      <c r="F535">
        <v>9</v>
      </c>
      <c r="G535" t="b">
        <v>0</v>
      </c>
      <c r="H535">
        <v>1</v>
      </c>
      <c r="I535">
        <v>1</v>
      </c>
      <c r="J535">
        <v>0.06</v>
      </c>
    </row>
    <row r="536" spans="1:10">
      <c r="A536">
        <v>535</v>
      </c>
      <c r="B536" s="2">
        <v>40567</v>
      </c>
      <c r="C536">
        <v>1</v>
      </c>
      <c r="D536">
        <v>0</v>
      </c>
      <c r="E536">
        <v>1</v>
      </c>
      <c r="F536">
        <v>10</v>
      </c>
      <c r="G536" t="b">
        <v>0</v>
      </c>
      <c r="H536">
        <v>1</v>
      </c>
      <c r="I536">
        <v>1</v>
      </c>
      <c r="J536">
        <v>0.1</v>
      </c>
    </row>
    <row r="537" spans="1:10">
      <c r="A537">
        <v>536</v>
      </c>
      <c r="B537" s="2">
        <v>40567</v>
      </c>
      <c r="C537">
        <v>1</v>
      </c>
      <c r="D537">
        <v>0</v>
      </c>
      <c r="E537">
        <v>1</v>
      </c>
      <c r="F537">
        <v>11</v>
      </c>
      <c r="G537" t="b">
        <v>0</v>
      </c>
      <c r="H537">
        <v>1</v>
      </c>
      <c r="I537">
        <v>1</v>
      </c>
      <c r="J537">
        <v>0.1</v>
      </c>
    </row>
    <row r="538" spans="1:10">
      <c r="A538">
        <v>537</v>
      </c>
      <c r="B538" s="2">
        <v>40567</v>
      </c>
      <c r="C538">
        <v>1</v>
      </c>
      <c r="D538">
        <v>0</v>
      </c>
      <c r="E538">
        <v>1</v>
      </c>
      <c r="F538">
        <v>12</v>
      </c>
      <c r="G538" t="b">
        <v>0</v>
      </c>
      <c r="H538">
        <v>1</v>
      </c>
      <c r="I538">
        <v>2</v>
      </c>
      <c r="J538">
        <v>0.12</v>
      </c>
    </row>
    <row r="539" spans="1:10">
      <c r="A539">
        <v>538</v>
      </c>
      <c r="B539" s="2">
        <v>40567</v>
      </c>
      <c r="C539">
        <v>1</v>
      </c>
      <c r="D539">
        <v>0</v>
      </c>
      <c r="E539">
        <v>1</v>
      </c>
      <c r="F539">
        <v>13</v>
      </c>
      <c r="G539" t="b">
        <v>0</v>
      </c>
      <c r="H539">
        <v>1</v>
      </c>
      <c r="I539">
        <v>2</v>
      </c>
      <c r="J539">
        <v>0.14000000000000001</v>
      </c>
    </row>
    <row r="540" spans="1:10">
      <c r="A540">
        <v>539</v>
      </c>
      <c r="B540" s="2">
        <v>40567</v>
      </c>
      <c r="C540">
        <v>1</v>
      </c>
      <c r="D540">
        <v>0</v>
      </c>
      <c r="E540">
        <v>1</v>
      </c>
      <c r="F540">
        <v>14</v>
      </c>
      <c r="G540" t="b">
        <v>0</v>
      </c>
      <c r="H540">
        <v>1</v>
      </c>
      <c r="I540">
        <v>2</v>
      </c>
      <c r="J540">
        <v>0.14000000000000001</v>
      </c>
    </row>
    <row r="541" spans="1:10">
      <c r="A541">
        <v>540</v>
      </c>
      <c r="B541" s="2">
        <v>40567</v>
      </c>
      <c r="C541">
        <v>1</v>
      </c>
      <c r="D541">
        <v>0</v>
      </c>
      <c r="E541">
        <v>1</v>
      </c>
      <c r="F541">
        <v>15</v>
      </c>
      <c r="G541" t="b">
        <v>0</v>
      </c>
      <c r="H541">
        <v>1</v>
      </c>
      <c r="I541">
        <v>1</v>
      </c>
      <c r="J541">
        <v>0.16</v>
      </c>
    </row>
    <row r="542" spans="1:10">
      <c r="A542">
        <v>541</v>
      </c>
      <c r="B542" s="2">
        <v>40567</v>
      </c>
      <c r="C542">
        <v>1</v>
      </c>
      <c r="D542">
        <v>0</v>
      </c>
      <c r="E542">
        <v>1</v>
      </c>
      <c r="F542">
        <v>16</v>
      </c>
      <c r="G542" t="b">
        <v>0</v>
      </c>
      <c r="H542">
        <v>1</v>
      </c>
      <c r="I542">
        <v>1</v>
      </c>
      <c r="J542">
        <v>0.16</v>
      </c>
    </row>
    <row r="543" spans="1:10">
      <c r="A543">
        <v>542</v>
      </c>
      <c r="B543" s="2">
        <v>40567</v>
      </c>
      <c r="C543">
        <v>1</v>
      </c>
      <c r="D543">
        <v>0</v>
      </c>
      <c r="E543">
        <v>1</v>
      </c>
      <c r="F543">
        <v>17</v>
      </c>
      <c r="G543" t="b">
        <v>0</v>
      </c>
      <c r="H543">
        <v>1</v>
      </c>
      <c r="I543">
        <v>1</v>
      </c>
      <c r="J543">
        <v>0.14000000000000001</v>
      </c>
    </row>
    <row r="544" spans="1:10">
      <c r="A544">
        <v>543</v>
      </c>
      <c r="B544" s="2">
        <v>40567</v>
      </c>
      <c r="C544">
        <v>1</v>
      </c>
      <c r="D544">
        <v>0</v>
      </c>
      <c r="E544">
        <v>1</v>
      </c>
      <c r="F544">
        <v>18</v>
      </c>
      <c r="G544" t="b">
        <v>0</v>
      </c>
      <c r="H544">
        <v>1</v>
      </c>
      <c r="I544">
        <v>1</v>
      </c>
      <c r="J544">
        <v>0.14000000000000001</v>
      </c>
    </row>
    <row r="545" spans="1:10">
      <c r="A545">
        <v>544</v>
      </c>
      <c r="B545" s="2">
        <v>40567</v>
      </c>
      <c r="C545">
        <v>1</v>
      </c>
      <c r="D545">
        <v>0</v>
      </c>
      <c r="E545">
        <v>1</v>
      </c>
      <c r="F545">
        <v>19</v>
      </c>
      <c r="G545" t="b">
        <v>0</v>
      </c>
      <c r="H545">
        <v>1</v>
      </c>
      <c r="I545">
        <v>1</v>
      </c>
      <c r="J545">
        <v>0.14000000000000001</v>
      </c>
    </row>
    <row r="546" spans="1:10">
      <c r="A546">
        <v>545</v>
      </c>
      <c r="B546" s="2">
        <v>40567</v>
      </c>
      <c r="C546">
        <v>1</v>
      </c>
      <c r="D546">
        <v>0</v>
      </c>
      <c r="E546">
        <v>1</v>
      </c>
      <c r="F546">
        <v>20</v>
      </c>
      <c r="G546" t="b">
        <v>0</v>
      </c>
      <c r="H546">
        <v>1</v>
      </c>
      <c r="I546">
        <v>1</v>
      </c>
      <c r="J546">
        <v>0.14000000000000001</v>
      </c>
    </row>
    <row r="547" spans="1:10">
      <c r="A547">
        <v>546</v>
      </c>
      <c r="B547" s="2">
        <v>40567</v>
      </c>
      <c r="C547">
        <v>1</v>
      </c>
      <c r="D547">
        <v>0</v>
      </c>
      <c r="E547">
        <v>1</v>
      </c>
      <c r="F547">
        <v>21</v>
      </c>
      <c r="G547" t="b">
        <v>0</v>
      </c>
      <c r="H547">
        <v>1</v>
      </c>
      <c r="I547">
        <v>1</v>
      </c>
      <c r="J547">
        <v>0.14000000000000001</v>
      </c>
    </row>
    <row r="548" spans="1:10">
      <c r="A548">
        <v>547</v>
      </c>
      <c r="B548" s="2">
        <v>40567</v>
      </c>
      <c r="C548">
        <v>1</v>
      </c>
      <c r="D548">
        <v>0</v>
      </c>
      <c r="E548">
        <v>1</v>
      </c>
      <c r="F548">
        <v>22</v>
      </c>
      <c r="G548" t="b">
        <v>0</v>
      </c>
      <c r="H548">
        <v>1</v>
      </c>
      <c r="I548">
        <v>2</v>
      </c>
      <c r="J548">
        <v>0.14000000000000001</v>
      </c>
    </row>
    <row r="549" spans="1:10">
      <c r="A549">
        <v>548</v>
      </c>
      <c r="B549" s="2">
        <v>40567</v>
      </c>
      <c r="C549">
        <v>1</v>
      </c>
      <c r="D549">
        <v>0</v>
      </c>
      <c r="E549">
        <v>1</v>
      </c>
      <c r="F549">
        <v>23</v>
      </c>
      <c r="G549" t="b">
        <v>0</v>
      </c>
      <c r="H549">
        <v>1</v>
      </c>
      <c r="I549">
        <v>2</v>
      </c>
      <c r="J549">
        <v>0.16</v>
      </c>
    </row>
    <row r="550" spans="1:10">
      <c r="A550">
        <v>549</v>
      </c>
      <c r="B550" s="2">
        <v>40568</v>
      </c>
      <c r="C550">
        <v>1</v>
      </c>
      <c r="D550">
        <v>0</v>
      </c>
      <c r="E550">
        <v>1</v>
      </c>
      <c r="F550">
        <v>0</v>
      </c>
      <c r="G550" t="b">
        <v>0</v>
      </c>
      <c r="H550">
        <v>2</v>
      </c>
      <c r="I550">
        <v>2</v>
      </c>
      <c r="J550">
        <v>0.16</v>
      </c>
    </row>
    <row r="551" spans="1:10">
      <c r="A551">
        <v>550</v>
      </c>
      <c r="B551" s="2">
        <v>40568</v>
      </c>
      <c r="C551">
        <v>1</v>
      </c>
      <c r="D551">
        <v>0</v>
      </c>
      <c r="E551">
        <v>1</v>
      </c>
      <c r="F551">
        <v>1</v>
      </c>
      <c r="G551" t="b">
        <v>0</v>
      </c>
      <c r="H551">
        <v>2</v>
      </c>
      <c r="I551">
        <v>2</v>
      </c>
      <c r="J551">
        <v>0.16</v>
      </c>
    </row>
    <row r="552" spans="1:10">
      <c r="A552">
        <v>551</v>
      </c>
      <c r="B552" s="2">
        <v>40568</v>
      </c>
      <c r="C552">
        <v>1</v>
      </c>
      <c r="D552">
        <v>0</v>
      </c>
      <c r="E552">
        <v>1</v>
      </c>
      <c r="F552">
        <v>2</v>
      </c>
      <c r="G552" t="b">
        <v>0</v>
      </c>
      <c r="H552">
        <v>2</v>
      </c>
      <c r="I552">
        <v>1</v>
      </c>
      <c r="J552">
        <v>0.16</v>
      </c>
    </row>
    <row r="553" spans="1:10">
      <c r="A553">
        <v>552</v>
      </c>
      <c r="B553" s="2">
        <v>40568</v>
      </c>
      <c r="C553">
        <v>1</v>
      </c>
      <c r="D553">
        <v>0</v>
      </c>
      <c r="E553">
        <v>1</v>
      </c>
      <c r="F553">
        <v>4</v>
      </c>
      <c r="G553" t="b">
        <v>0</v>
      </c>
      <c r="H553">
        <v>2</v>
      </c>
      <c r="I553">
        <v>1</v>
      </c>
      <c r="J553">
        <v>0.14000000000000001</v>
      </c>
    </row>
    <row r="554" spans="1:10">
      <c r="A554">
        <v>553</v>
      </c>
      <c r="B554" s="2">
        <v>40568</v>
      </c>
      <c r="C554">
        <v>1</v>
      </c>
      <c r="D554">
        <v>0</v>
      </c>
      <c r="E554">
        <v>1</v>
      </c>
      <c r="F554">
        <v>5</v>
      </c>
      <c r="G554" t="b">
        <v>0</v>
      </c>
      <c r="H554">
        <v>2</v>
      </c>
      <c r="I554">
        <v>1</v>
      </c>
      <c r="J554">
        <v>0.14000000000000001</v>
      </c>
    </row>
    <row r="555" spans="1:10">
      <c r="A555">
        <v>554</v>
      </c>
      <c r="B555" s="2">
        <v>40568</v>
      </c>
      <c r="C555">
        <v>1</v>
      </c>
      <c r="D555">
        <v>0</v>
      </c>
      <c r="E555">
        <v>1</v>
      </c>
      <c r="F555">
        <v>6</v>
      </c>
      <c r="G555" t="b">
        <v>0</v>
      </c>
      <c r="H555">
        <v>2</v>
      </c>
      <c r="I555">
        <v>1</v>
      </c>
      <c r="J555">
        <v>0.16</v>
      </c>
    </row>
    <row r="556" spans="1:10">
      <c r="A556">
        <v>555</v>
      </c>
      <c r="B556" s="2">
        <v>40568</v>
      </c>
      <c r="C556">
        <v>1</v>
      </c>
      <c r="D556">
        <v>0</v>
      </c>
      <c r="E556">
        <v>1</v>
      </c>
      <c r="F556">
        <v>7</v>
      </c>
      <c r="G556" t="b">
        <v>0</v>
      </c>
      <c r="H556">
        <v>2</v>
      </c>
      <c r="I556">
        <v>1</v>
      </c>
      <c r="J556">
        <v>0.16</v>
      </c>
    </row>
    <row r="557" spans="1:10">
      <c r="A557">
        <v>556</v>
      </c>
      <c r="B557" s="2">
        <v>40568</v>
      </c>
      <c r="C557">
        <v>1</v>
      </c>
      <c r="D557">
        <v>0</v>
      </c>
      <c r="E557">
        <v>1</v>
      </c>
      <c r="F557">
        <v>8</v>
      </c>
      <c r="G557" t="b">
        <v>0</v>
      </c>
      <c r="H557">
        <v>2</v>
      </c>
      <c r="I557">
        <v>2</v>
      </c>
      <c r="J557">
        <v>0.16</v>
      </c>
    </row>
    <row r="558" spans="1:10">
      <c r="A558">
        <v>557</v>
      </c>
      <c r="B558" s="2">
        <v>40568</v>
      </c>
      <c r="C558">
        <v>1</v>
      </c>
      <c r="D558">
        <v>0</v>
      </c>
      <c r="E558">
        <v>1</v>
      </c>
      <c r="F558">
        <v>9</v>
      </c>
      <c r="G558" t="b">
        <v>0</v>
      </c>
      <c r="H558">
        <v>2</v>
      </c>
      <c r="I558">
        <v>2</v>
      </c>
      <c r="J558">
        <v>0.2</v>
      </c>
    </row>
    <row r="559" spans="1:10">
      <c r="A559">
        <v>558</v>
      </c>
      <c r="B559" s="2">
        <v>40568</v>
      </c>
      <c r="C559">
        <v>1</v>
      </c>
      <c r="D559">
        <v>0</v>
      </c>
      <c r="E559">
        <v>1</v>
      </c>
      <c r="F559">
        <v>10</v>
      </c>
      <c r="G559" t="b">
        <v>0</v>
      </c>
      <c r="H559">
        <v>2</v>
      </c>
      <c r="I559">
        <v>2</v>
      </c>
      <c r="J559">
        <v>0.22</v>
      </c>
    </row>
    <row r="560" spans="1:10">
      <c r="A560">
        <v>559</v>
      </c>
      <c r="B560" s="2">
        <v>40568</v>
      </c>
      <c r="C560">
        <v>1</v>
      </c>
      <c r="D560">
        <v>0</v>
      </c>
      <c r="E560">
        <v>1</v>
      </c>
      <c r="F560">
        <v>11</v>
      </c>
      <c r="G560" t="b">
        <v>0</v>
      </c>
      <c r="H560">
        <v>2</v>
      </c>
      <c r="I560">
        <v>2</v>
      </c>
      <c r="J560">
        <v>0.24</v>
      </c>
    </row>
    <row r="561" spans="1:10">
      <c r="A561">
        <v>560</v>
      </c>
      <c r="B561" s="2">
        <v>40568</v>
      </c>
      <c r="C561">
        <v>1</v>
      </c>
      <c r="D561">
        <v>0</v>
      </c>
      <c r="E561">
        <v>1</v>
      </c>
      <c r="F561">
        <v>12</v>
      </c>
      <c r="G561" t="b">
        <v>0</v>
      </c>
      <c r="H561">
        <v>2</v>
      </c>
      <c r="I561">
        <v>2</v>
      </c>
      <c r="J561">
        <v>0.26</v>
      </c>
    </row>
    <row r="562" spans="1:10">
      <c r="A562">
        <v>561</v>
      </c>
      <c r="B562" s="2">
        <v>40568</v>
      </c>
      <c r="C562">
        <v>1</v>
      </c>
      <c r="D562">
        <v>0</v>
      </c>
      <c r="E562">
        <v>1</v>
      </c>
      <c r="F562">
        <v>13</v>
      </c>
      <c r="G562" t="b">
        <v>0</v>
      </c>
      <c r="H562">
        <v>2</v>
      </c>
      <c r="I562">
        <v>2</v>
      </c>
      <c r="J562">
        <v>0.26</v>
      </c>
    </row>
    <row r="563" spans="1:10">
      <c r="A563">
        <v>562</v>
      </c>
      <c r="B563" s="2">
        <v>40568</v>
      </c>
      <c r="C563">
        <v>1</v>
      </c>
      <c r="D563">
        <v>0</v>
      </c>
      <c r="E563">
        <v>1</v>
      </c>
      <c r="F563">
        <v>14</v>
      </c>
      <c r="G563" t="b">
        <v>0</v>
      </c>
      <c r="H563">
        <v>2</v>
      </c>
      <c r="I563">
        <v>2</v>
      </c>
      <c r="J563">
        <v>0.3</v>
      </c>
    </row>
    <row r="564" spans="1:10">
      <c r="A564">
        <v>563</v>
      </c>
      <c r="B564" s="2">
        <v>40568</v>
      </c>
      <c r="C564">
        <v>1</v>
      </c>
      <c r="D564">
        <v>0</v>
      </c>
      <c r="E564">
        <v>1</v>
      </c>
      <c r="F564">
        <v>15</v>
      </c>
      <c r="G564" t="b">
        <v>0</v>
      </c>
      <c r="H564">
        <v>2</v>
      </c>
      <c r="I564">
        <v>2</v>
      </c>
      <c r="J564">
        <v>0.32</v>
      </c>
    </row>
    <row r="565" spans="1:10">
      <c r="A565">
        <v>564</v>
      </c>
      <c r="B565" s="2">
        <v>40568</v>
      </c>
      <c r="C565">
        <v>1</v>
      </c>
      <c r="D565">
        <v>0</v>
      </c>
      <c r="E565">
        <v>1</v>
      </c>
      <c r="F565">
        <v>16</v>
      </c>
      <c r="G565" t="b">
        <v>0</v>
      </c>
      <c r="H565">
        <v>2</v>
      </c>
      <c r="I565">
        <v>2</v>
      </c>
      <c r="J565">
        <v>0.32</v>
      </c>
    </row>
    <row r="566" spans="1:10">
      <c r="A566">
        <v>565</v>
      </c>
      <c r="B566" s="2">
        <v>40568</v>
      </c>
      <c r="C566">
        <v>1</v>
      </c>
      <c r="D566">
        <v>0</v>
      </c>
      <c r="E566">
        <v>1</v>
      </c>
      <c r="F566">
        <v>17</v>
      </c>
      <c r="G566" t="b">
        <v>0</v>
      </c>
      <c r="H566">
        <v>2</v>
      </c>
      <c r="I566">
        <v>1</v>
      </c>
      <c r="J566">
        <v>0.3</v>
      </c>
    </row>
    <row r="567" spans="1:10">
      <c r="A567">
        <v>566</v>
      </c>
      <c r="B567" s="2">
        <v>40568</v>
      </c>
      <c r="C567">
        <v>1</v>
      </c>
      <c r="D567">
        <v>0</v>
      </c>
      <c r="E567">
        <v>1</v>
      </c>
      <c r="F567">
        <v>18</v>
      </c>
      <c r="G567" t="b">
        <v>0</v>
      </c>
      <c r="H567">
        <v>2</v>
      </c>
      <c r="I567">
        <v>2</v>
      </c>
      <c r="J567">
        <v>0.3</v>
      </c>
    </row>
    <row r="568" spans="1:10">
      <c r="A568">
        <v>567</v>
      </c>
      <c r="B568" s="2">
        <v>40568</v>
      </c>
      <c r="C568">
        <v>1</v>
      </c>
      <c r="D568">
        <v>0</v>
      </c>
      <c r="E568">
        <v>1</v>
      </c>
      <c r="F568">
        <v>19</v>
      </c>
      <c r="G568" t="b">
        <v>0</v>
      </c>
      <c r="H568">
        <v>2</v>
      </c>
      <c r="I568">
        <v>2</v>
      </c>
      <c r="J568">
        <v>0.26</v>
      </c>
    </row>
    <row r="569" spans="1:10">
      <c r="A569">
        <v>568</v>
      </c>
      <c r="B569" s="2">
        <v>40568</v>
      </c>
      <c r="C569">
        <v>1</v>
      </c>
      <c r="D569">
        <v>0</v>
      </c>
      <c r="E569">
        <v>1</v>
      </c>
      <c r="F569">
        <v>20</v>
      </c>
      <c r="G569" t="b">
        <v>0</v>
      </c>
      <c r="H569">
        <v>2</v>
      </c>
      <c r="I569">
        <v>1</v>
      </c>
      <c r="J569">
        <v>0.24</v>
      </c>
    </row>
    <row r="570" spans="1:10">
      <c r="A570">
        <v>569</v>
      </c>
      <c r="B570" s="2">
        <v>40568</v>
      </c>
      <c r="C570">
        <v>1</v>
      </c>
      <c r="D570">
        <v>0</v>
      </c>
      <c r="E570">
        <v>1</v>
      </c>
      <c r="F570">
        <v>21</v>
      </c>
      <c r="G570" t="b">
        <v>0</v>
      </c>
      <c r="H570">
        <v>2</v>
      </c>
      <c r="I570">
        <v>1</v>
      </c>
      <c r="J570">
        <v>0.24</v>
      </c>
    </row>
    <row r="571" spans="1:10">
      <c r="A571">
        <v>570</v>
      </c>
      <c r="B571" s="2">
        <v>40568</v>
      </c>
      <c r="C571">
        <v>1</v>
      </c>
      <c r="D571">
        <v>0</v>
      </c>
      <c r="E571">
        <v>1</v>
      </c>
      <c r="F571">
        <v>22</v>
      </c>
      <c r="G571" t="b">
        <v>0</v>
      </c>
      <c r="H571">
        <v>2</v>
      </c>
      <c r="I571">
        <v>1</v>
      </c>
      <c r="J571">
        <v>0.22</v>
      </c>
    </row>
    <row r="572" spans="1:10">
      <c r="A572">
        <v>571</v>
      </c>
      <c r="B572" s="2">
        <v>40568</v>
      </c>
      <c r="C572">
        <v>1</v>
      </c>
      <c r="D572">
        <v>0</v>
      </c>
      <c r="E572">
        <v>1</v>
      </c>
      <c r="F572">
        <v>23</v>
      </c>
      <c r="G572" t="b">
        <v>0</v>
      </c>
      <c r="H572">
        <v>2</v>
      </c>
      <c r="I572">
        <v>2</v>
      </c>
      <c r="J572">
        <v>0.22</v>
      </c>
    </row>
    <row r="573" spans="1:10">
      <c r="A573">
        <v>572</v>
      </c>
      <c r="B573" s="2">
        <v>40569</v>
      </c>
      <c r="C573">
        <v>1</v>
      </c>
      <c r="D573">
        <v>0</v>
      </c>
      <c r="E573">
        <v>1</v>
      </c>
      <c r="F573">
        <v>0</v>
      </c>
      <c r="G573" t="b">
        <v>0</v>
      </c>
      <c r="H573">
        <v>3</v>
      </c>
      <c r="I573">
        <v>2</v>
      </c>
      <c r="J573">
        <v>0.22</v>
      </c>
    </row>
    <row r="574" spans="1:10">
      <c r="A574">
        <v>573</v>
      </c>
      <c r="B574" s="2">
        <v>40569</v>
      </c>
      <c r="C574">
        <v>1</v>
      </c>
      <c r="D574">
        <v>0</v>
      </c>
      <c r="E574">
        <v>1</v>
      </c>
      <c r="F574">
        <v>1</v>
      </c>
      <c r="G574" t="b">
        <v>0</v>
      </c>
      <c r="H574">
        <v>3</v>
      </c>
      <c r="I574">
        <v>2</v>
      </c>
      <c r="J574">
        <v>0.24</v>
      </c>
    </row>
    <row r="575" spans="1:10">
      <c r="A575">
        <v>574</v>
      </c>
      <c r="B575" s="2">
        <v>40569</v>
      </c>
      <c r="C575">
        <v>1</v>
      </c>
      <c r="D575">
        <v>0</v>
      </c>
      <c r="E575">
        <v>1</v>
      </c>
      <c r="F575">
        <v>2</v>
      </c>
      <c r="G575" t="b">
        <v>0</v>
      </c>
      <c r="H575">
        <v>3</v>
      </c>
      <c r="I575">
        <v>3</v>
      </c>
      <c r="J575">
        <v>0.22</v>
      </c>
    </row>
    <row r="576" spans="1:10">
      <c r="A576">
        <v>575</v>
      </c>
      <c r="B576" s="2">
        <v>40569</v>
      </c>
      <c r="C576">
        <v>1</v>
      </c>
      <c r="D576">
        <v>0</v>
      </c>
      <c r="E576">
        <v>1</v>
      </c>
      <c r="F576">
        <v>5</v>
      </c>
      <c r="G576" t="b">
        <v>0</v>
      </c>
      <c r="H576">
        <v>3</v>
      </c>
      <c r="I576">
        <v>3</v>
      </c>
      <c r="J576">
        <v>0.2</v>
      </c>
    </row>
    <row r="577" spans="1:10">
      <c r="A577">
        <v>576</v>
      </c>
      <c r="B577" s="2">
        <v>40569</v>
      </c>
      <c r="C577">
        <v>1</v>
      </c>
      <c r="D577">
        <v>0</v>
      </c>
      <c r="E577">
        <v>1</v>
      </c>
      <c r="F577">
        <v>6</v>
      </c>
      <c r="G577" t="b">
        <v>0</v>
      </c>
      <c r="H577">
        <v>3</v>
      </c>
      <c r="I577">
        <v>3</v>
      </c>
      <c r="J577">
        <v>0.2</v>
      </c>
    </row>
    <row r="578" spans="1:10">
      <c r="A578">
        <v>577</v>
      </c>
      <c r="B578" s="2">
        <v>40569</v>
      </c>
      <c r="C578">
        <v>1</v>
      </c>
      <c r="D578">
        <v>0</v>
      </c>
      <c r="E578">
        <v>1</v>
      </c>
      <c r="F578">
        <v>7</v>
      </c>
      <c r="G578" t="b">
        <v>0</v>
      </c>
      <c r="H578">
        <v>3</v>
      </c>
      <c r="I578">
        <v>3</v>
      </c>
      <c r="J578">
        <v>0.22</v>
      </c>
    </row>
    <row r="579" spans="1:10">
      <c r="A579">
        <v>578</v>
      </c>
      <c r="B579" s="2">
        <v>40569</v>
      </c>
      <c r="C579">
        <v>1</v>
      </c>
      <c r="D579">
        <v>0</v>
      </c>
      <c r="E579">
        <v>1</v>
      </c>
      <c r="F579">
        <v>8</v>
      </c>
      <c r="G579" t="b">
        <v>0</v>
      </c>
      <c r="H579">
        <v>3</v>
      </c>
      <c r="I579">
        <v>3</v>
      </c>
      <c r="J579">
        <v>0.22</v>
      </c>
    </row>
    <row r="580" spans="1:10">
      <c r="A580">
        <v>579</v>
      </c>
      <c r="B580" s="2">
        <v>40569</v>
      </c>
      <c r="C580">
        <v>1</v>
      </c>
      <c r="D580">
        <v>0</v>
      </c>
      <c r="E580">
        <v>1</v>
      </c>
      <c r="F580">
        <v>9</v>
      </c>
      <c r="G580" t="b">
        <v>0</v>
      </c>
      <c r="H580">
        <v>3</v>
      </c>
      <c r="I580">
        <v>3</v>
      </c>
      <c r="J580">
        <v>0.22</v>
      </c>
    </row>
    <row r="581" spans="1:10">
      <c r="A581">
        <v>580</v>
      </c>
      <c r="B581" s="2">
        <v>40569</v>
      </c>
      <c r="C581">
        <v>1</v>
      </c>
      <c r="D581">
        <v>0</v>
      </c>
      <c r="E581">
        <v>1</v>
      </c>
      <c r="F581">
        <v>10</v>
      </c>
      <c r="G581" t="b">
        <v>0</v>
      </c>
      <c r="H581">
        <v>3</v>
      </c>
      <c r="I581">
        <v>3</v>
      </c>
      <c r="J581">
        <v>0.22</v>
      </c>
    </row>
    <row r="582" spans="1:10">
      <c r="A582">
        <v>581</v>
      </c>
      <c r="B582" s="2">
        <v>40569</v>
      </c>
      <c r="C582">
        <v>1</v>
      </c>
      <c r="D582">
        <v>0</v>
      </c>
      <c r="E582">
        <v>1</v>
      </c>
      <c r="F582">
        <v>11</v>
      </c>
      <c r="G582" t="b">
        <v>0</v>
      </c>
      <c r="H582">
        <v>3</v>
      </c>
      <c r="I582">
        <v>3</v>
      </c>
      <c r="J582">
        <v>0.22</v>
      </c>
    </row>
    <row r="583" spans="1:10">
      <c r="A583">
        <v>582</v>
      </c>
      <c r="B583" s="2">
        <v>40569</v>
      </c>
      <c r="C583">
        <v>1</v>
      </c>
      <c r="D583">
        <v>0</v>
      </c>
      <c r="E583">
        <v>1</v>
      </c>
      <c r="F583">
        <v>12</v>
      </c>
      <c r="G583" t="b">
        <v>0</v>
      </c>
      <c r="H583">
        <v>3</v>
      </c>
      <c r="I583">
        <v>3</v>
      </c>
      <c r="J583">
        <v>0.22</v>
      </c>
    </row>
    <row r="584" spans="1:10">
      <c r="A584">
        <v>583</v>
      </c>
      <c r="B584" s="2">
        <v>40569</v>
      </c>
      <c r="C584">
        <v>1</v>
      </c>
      <c r="D584">
        <v>0</v>
      </c>
      <c r="E584">
        <v>1</v>
      </c>
      <c r="F584">
        <v>13</v>
      </c>
      <c r="G584" t="b">
        <v>0</v>
      </c>
      <c r="H584">
        <v>3</v>
      </c>
      <c r="I584">
        <v>3</v>
      </c>
      <c r="J584">
        <v>0.22</v>
      </c>
    </row>
    <row r="585" spans="1:10">
      <c r="A585">
        <v>584</v>
      </c>
      <c r="B585" s="2">
        <v>40569</v>
      </c>
      <c r="C585">
        <v>1</v>
      </c>
      <c r="D585">
        <v>0</v>
      </c>
      <c r="E585">
        <v>1</v>
      </c>
      <c r="F585">
        <v>14</v>
      </c>
      <c r="G585" t="b">
        <v>0</v>
      </c>
      <c r="H585">
        <v>3</v>
      </c>
      <c r="I585">
        <v>3</v>
      </c>
      <c r="J585">
        <v>0.22</v>
      </c>
    </row>
    <row r="586" spans="1:10">
      <c r="A586">
        <v>585</v>
      </c>
      <c r="B586" s="2">
        <v>40569</v>
      </c>
      <c r="C586">
        <v>1</v>
      </c>
      <c r="D586">
        <v>0</v>
      </c>
      <c r="E586">
        <v>1</v>
      </c>
      <c r="F586">
        <v>15</v>
      </c>
      <c r="G586" t="b">
        <v>0</v>
      </c>
      <c r="H586">
        <v>3</v>
      </c>
      <c r="I586">
        <v>3</v>
      </c>
      <c r="J586">
        <v>0.22</v>
      </c>
    </row>
    <row r="587" spans="1:10">
      <c r="A587">
        <v>586</v>
      </c>
      <c r="B587" s="2">
        <v>40569</v>
      </c>
      <c r="C587">
        <v>1</v>
      </c>
      <c r="D587">
        <v>0</v>
      </c>
      <c r="E587">
        <v>1</v>
      </c>
      <c r="F587">
        <v>16</v>
      </c>
      <c r="G587" t="b">
        <v>0</v>
      </c>
      <c r="H587">
        <v>3</v>
      </c>
      <c r="I587">
        <v>4</v>
      </c>
      <c r="J587">
        <v>0.22</v>
      </c>
    </row>
    <row r="588" spans="1:10">
      <c r="A588">
        <v>587</v>
      </c>
      <c r="B588" s="2">
        <v>40569</v>
      </c>
      <c r="C588">
        <v>1</v>
      </c>
      <c r="D588">
        <v>0</v>
      </c>
      <c r="E588">
        <v>1</v>
      </c>
      <c r="F588">
        <v>17</v>
      </c>
      <c r="G588" t="b">
        <v>0</v>
      </c>
      <c r="H588">
        <v>3</v>
      </c>
      <c r="I588">
        <v>3</v>
      </c>
      <c r="J588">
        <v>0.2</v>
      </c>
    </row>
    <row r="589" spans="1:10">
      <c r="A589">
        <v>588</v>
      </c>
      <c r="B589" s="2">
        <v>40570</v>
      </c>
      <c r="C589">
        <v>1</v>
      </c>
      <c r="D589">
        <v>0</v>
      </c>
      <c r="E589">
        <v>1</v>
      </c>
      <c r="F589">
        <v>16</v>
      </c>
      <c r="G589" t="b">
        <v>0</v>
      </c>
      <c r="H589">
        <v>4</v>
      </c>
      <c r="I589">
        <v>1</v>
      </c>
      <c r="J589">
        <v>0.22</v>
      </c>
    </row>
    <row r="590" spans="1:10">
      <c r="A590">
        <v>589</v>
      </c>
      <c r="B590" s="2">
        <v>40570</v>
      </c>
      <c r="C590">
        <v>1</v>
      </c>
      <c r="D590">
        <v>0</v>
      </c>
      <c r="E590">
        <v>1</v>
      </c>
      <c r="F590">
        <v>17</v>
      </c>
      <c r="G590" t="b">
        <v>0</v>
      </c>
      <c r="H590">
        <v>4</v>
      </c>
      <c r="I590">
        <v>1</v>
      </c>
      <c r="J590">
        <v>0.22</v>
      </c>
    </row>
    <row r="591" spans="1:10">
      <c r="A591">
        <v>590</v>
      </c>
      <c r="B591" s="2">
        <v>40570</v>
      </c>
      <c r="C591">
        <v>1</v>
      </c>
      <c r="D591">
        <v>0</v>
      </c>
      <c r="E591">
        <v>1</v>
      </c>
      <c r="F591">
        <v>18</v>
      </c>
      <c r="G591" t="b">
        <v>0</v>
      </c>
      <c r="H591">
        <v>4</v>
      </c>
      <c r="I591">
        <v>1</v>
      </c>
      <c r="J591">
        <v>0.2</v>
      </c>
    </row>
    <row r="592" spans="1:10">
      <c r="A592">
        <v>591</v>
      </c>
      <c r="B592" s="2">
        <v>40570</v>
      </c>
      <c r="C592">
        <v>1</v>
      </c>
      <c r="D592">
        <v>0</v>
      </c>
      <c r="E592">
        <v>1</v>
      </c>
      <c r="F592">
        <v>19</v>
      </c>
      <c r="G592" t="b">
        <v>0</v>
      </c>
      <c r="H592">
        <v>4</v>
      </c>
      <c r="I592">
        <v>1</v>
      </c>
      <c r="J592">
        <v>0.2</v>
      </c>
    </row>
    <row r="593" spans="1:10">
      <c r="A593">
        <v>592</v>
      </c>
      <c r="B593" s="2">
        <v>40570</v>
      </c>
      <c r="C593">
        <v>1</v>
      </c>
      <c r="D593">
        <v>0</v>
      </c>
      <c r="E593">
        <v>1</v>
      </c>
      <c r="F593">
        <v>20</v>
      </c>
      <c r="G593" t="b">
        <v>0</v>
      </c>
      <c r="H593">
        <v>4</v>
      </c>
      <c r="I593">
        <v>1</v>
      </c>
      <c r="J593">
        <v>0.18</v>
      </c>
    </row>
    <row r="594" spans="1:10">
      <c r="A594">
        <v>593</v>
      </c>
      <c r="B594" s="2">
        <v>40570</v>
      </c>
      <c r="C594">
        <v>1</v>
      </c>
      <c r="D594">
        <v>0</v>
      </c>
      <c r="E594">
        <v>1</v>
      </c>
      <c r="F594">
        <v>21</v>
      </c>
      <c r="G594" t="b">
        <v>0</v>
      </c>
      <c r="H594">
        <v>4</v>
      </c>
      <c r="I594">
        <v>1</v>
      </c>
      <c r="J594">
        <v>0.18</v>
      </c>
    </row>
    <row r="595" spans="1:10">
      <c r="A595">
        <v>594</v>
      </c>
      <c r="B595" s="2">
        <v>40570</v>
      </c>
      <c r="C595">
        <v>1</v>
      </c>
      <c r="D595">
        <v>0</v>
      </c>
      <c r="E595">
        <v>1</v>
      </c>
      <c r="F595">
        <v>22</v>
      </c>
      <c r="G595" t="b">
        <v>0</v>
      </c>
      <c r="H595">
        <v>4</v>
      </c>
      <c r="I595">
        <v>1</v>
      </c>
      <c r="J595">
        <v>0.18</v>
      </c>
    </row>
    <row r="596" spans="1:10">
      <c r="A596">
        <v>595</v>
      </c>
      <c r="B596" s="2">
        <v>40570</v>
      </c>
      <c r="C596">
        <v>1</v>
      </c>
      <c r="D596">
        <v>0</v>
      </c>
      <c r="E596">
        <v>1</v>
      </c>
      <c r="F596">
        <v>23</v>
      </c>
      <c r="G596" t="b">
        <v>0</v>
      </c>
      <c r="H596">
        <v>4</v>
      </c>
      <c r="I596">
        <v>1</v>
      </c>
      <c r="J596">
        <v>0.18</v>
      </c>
    </row>
    <row r="597" spans="1:10">
      <c r="A597">
        <v>596</v>
      </c>
      <c r="B597" s="2">
        <v>40571</v>
      </c>
      <c r="C597">
        <v>1</v>
      </c>
      <c r="D597">
        <v>0</v>
      </c>
      <c r="E597">
        <v>1</v>
      </c>
      <c r="F597">
        <v>0</v>
      </c>
      <c r="G597" t="b">
        <v>0</v>
      </c>
      <c r="H597">
        <v>5</v>
      </c>
      <c r="I597">
        <v>2</v>
      </c>
      <c r="J597">
        <v>0.2</v>
      </c>
    </row>
    <row r="598" spans="1:10">
      <c r="A598">
        <v>597</v>
      </c>
      <c r="B598" s="2">
        <v>40571</v>
      </c>
      <c r="C598">
        <v>1</v>
      </c>
      <c r="D598">
        <v>0</v>
      </c>
      <c r="E598">
        <v>1</v>
      </c>
      <c r="F598">
        <v>1</v>
      </c>
      <c r="G598" t="b">
        <v>0</v>
      </c>
      <c r="H598">
        <v>5</v>
      </c>
      <c r="I598">
        <v>2</v>
      </c>
      <c r="J598">
        <v>0.2</v>
      </c>
    </row>
    <row r="599" spans="1:10">
      <c r="A599">
        <v>598</v>
      </c>
      <c r="B599" s="2">
        <v>40571</v>
      </c>
      <c r="C599">
        <v>1</v>
      </c>
      <c r="D599">
        <v>0</v>
      </c>
      <c r="E599">
        <v>1</v>
      </c>
      <c r="F599">
        <v>2</v>
      </c>
      <c r="G599" t="b">
        <v>0</v>
      </c>
      <c r="H599">
        <v>5</v>
      </c>
      <c r="I599">
        <v>2</v>
      </c>
      <c r="J599">
        <v>0.2</v>
      </c>
    </row>
    <row r="600" spans="1:10">
      <c r="A600">
        <v>599</v>
      </c>
      <c r="B600" s="2">
        <v>40571</v>
      </c>
      <c r="C600">
        <v>1</v>
      </c>
      <c r="D600">
        <v>0</v>
      </c>
      <c r="E600">
        <v>1</v>
      </c>
      <c r="F600">
        <v>3</v>
      </c>
      <c r="G600" t="b">
        <v>0</v>
      </c>
      <c r="H600">
        <v>5</v>
      </c>
      <c r="I600">
        <v>2</v>
      </c>
      <c r="J600">
        <v>0.2</v>
      </c>
    </row>
    <row r="601" spans="1:10">
      <c r="A601">
        <v>600</v>
      </c>
      <c r="B601" s="2">
        <v>40571</v>
      </c>
      <c r="C601">
        <v>1</v>
      </c>
      <c r="D601">
        <v>0</v>
      </c>
      <c r="E601">
        <v>1</v>
      </c>
      <c r="F601">
        <v>5</v>
      </c>
      <c r="G601" t="b">
        <v>0</v>
      </c>
      <c r="H601">
        <v>5</v>
      </c>
      <c r="I601">
        <v>2</v>
      </c>
      <c r="J601">
        <v>0.18</v>
      </c>
    </row>
    <row r="602" spans="1:10">
      <c r="A602">
        <v>601</v>
      </c>
      <c r="B602" s="2">
        <v>40571</v>
      </c>
      <c r="C602">
        <v>1</v>
      </c>
      <c r="D602">
        <v>0</v>
      </c>
      <c r="E602">
        <v>1</v>
      </c>
      <c r="F602">
        <v>6</v>
      </c>
      <c r="G602" t="b">
        <v>0</v>
      </c>
      <c r="H602">
        <v>5</v>
      </c>
      <c r="I602">
        <v>2</v>
      </c>
      <c r="J602">
        <v>0.18</v>
      </c>
    </row>
    <row r="603" spans="1:10">
      <c r="A603">
        <v>602</v>
      </c>
      <c r="B603" s="2">
        <v>40571</v>
      </c>
      <c r="C603">
        <v>1</v>
      </c>
      <c r="D603">
        <v>0</v>
      </c>
      <c r="E603">
        <v>1</v>
      </c>
      <c r="F603">
        <v>7</v>
      </c>
      <c r="G603" t="b">
        <v>0</v>
      </c>
      <c r="H603">
        <v>5</v>
      </c>
      <c r="I603">
        <v>2</v>
      </c>
      <c r="J603">
        <v>0.16</v>
      </c>
    </row>
    <row r="604" spans="1:10">
      <c r="A604">
        <v>603</v>
      </c>
      <c r="B604" s="2">
        <v>40571</v>
      </c>
      <c r="C604">
        <v>1</v>
      </c>
      <c r="D604">
        <v>0</v>
      </c>
      <c r="E604">
        <v>1</v>
      </c>
      <c r="F604">
        <v>8</v>
      </c>
      <c r="G604" t="b">
        <v>0</v>
      </c>
      <c r="H604">
        <v>5</v>
      </c>
      <c r="I604">
        <v>2</v>
      </c>
      <c r="J604">
        <v>0.16</v>
      </c>
    </row>
    <row r="605" spans="1:10">
      <c r="A605">
        <v>604</v>
      </c>
      <c r="B605" s="2">
        <v>40571</v>
      </c>
      <c r="C605">
        <v>1</v>
      </c>
      <c r="D605">
        <v>0</v>
      </c>
      <c r="E605">
        <v>1</v>
      </c>
      <c r="F605">
        <v>9</v>
      </c>
      <c r="G605" t="b">
        <v>0</v>
      </c>
      <c r="H605">
        <v>5</v>
      </c>
      <c r="I605">
        <v>3</v>
      </c>
      <c r="J605">
        <v>0.18</v>
      </c>
    </row>
    <row r="606" spans="1:10">
      <c r="A606">
        <v>605</v>
      </c>
      <c r="B606" s="2">
        <v>40571</v>
      </c>
      <c r="C606">
        <v>1</v>
      </c>
      <c r="D606">
        <v>0</v>
      </c>
      <c r="E606">
        <v>1</v>
      </c>
      <c r="F606">
        <v>10</v>
      </c>
      <c r="G606" t="b">
        <v>0</v>
      </c>
      <c r="H606">
        <v>5</v>
      </c>
      <c r="I606">
        <v>3</v>
      </c>
      <c r="J606">
        <v>0.18</v>
      </c>
    </row>
    <row r="607" spans="1:10">
      <c r="A607">
        <v>606</v>
      </c>
      <c r="B607" s="2">
        <v>40571</v>
      </c>
      <c r="C607">
        <v>1</v>
      </c>
      <c r="D607">
        <v>0</v>
      </c>
      <c r="E607">
        <v>1</v>
      </c>
      <c r="F607">
        <v>11</v>
      </c>
      <c r="G607" t="b">
        <v>0</v>
      </c>
      <c r="H607">
        <v>5</v>
      </c>
      <c r="I607">
        <v>3</v>
      </c>
      <c r="J607">
        <v>0.18</v>
      </c>
    </row>
    <row r="608" spans="1:10">
      <c r="A608">
        <v>607</v>
      </c>
      <c r="B608" s="2">
        <v>40571</v>
      </c>
      <c r="C608">
        <v>1</v>
      </c>
      <c r="D608">
        <v>0</v>
      </c>
      <c r="E608">
        <v>1</v>
      </c>
      <c r="F608">
        <v>12</v>
      </c>
      <c r="G608" t="b">
        <v>0</v>
      </c>
      <c r="H608">
        <v>5</v>
      </c>
      <c r="I608">
        <v>3</v>
      </c>
      <c r="J608">
        <v>0.18</v>
      </c>
    </row>
    <row r="609" spans="1:10">
      <c r="A609">
        <v>608</v>
      </c>
      <c r="B609" s="2">
        <v>40571</v>
      </c>
      <c r="C609">
        <v>1</v>
      </c>
      <c r="D609">
        <v>0</v>
      </c>
      <c r="E609">
        <v>1</v>
      </c>
      <c r="F609">
        <v>13</v>
      </c>
      <c r="G609" t="b">
        <v>0</v>
      </c>
      <c r="H609">
        <v>5</v>
      </c>
      <c r="I609">
        <v>3</v>
      </c>
      <c r="J609">
        <v>0.18</v>
      </c>
    </row>
    <row r="610" spans="1:10">
      <c r="A610">
        <v>609</v>
      </c>
      <c r="B610" s="2">
        <v>40571</v>
      </c>
      <c r="C610">
        <v>1</v>
      </c>
      <c r="D610">
        <v>0</v>
      </c>
      <c r="E610">
        <v>1</v>
      </c>
      <c r="F610">
        <v>14</v>
      </c>
      <c r="G610" t="b">
        <v>0</v>
      </c>
      <c r="H610">
        <v>5</v>
      </c>
      <c r="I610">
        <v>3</v>
      </c>
      <c r="J610">
        <v>0.22</v>
      </c>
    </row>
    <row r="611" spans="1:10">
      <c r="A611">
        <v>610</v>
      </c>
      <c r="B611" s="2">
        <v>40571</v>
      </c>
      <c r="C611">
        <v>1</v>
      </c>
      <c r="D611">
        <v>0</v>
      </c>
      <c r="E611">
        <v>1</v>
      </c>
      <c r="F611">
        <v>15</v>
      </c>
      <c r="G611" t="b">
        <v>0</v>
      </c>
      <c r="H611">
        <v>5</v>
      </c>
      <c r="I611">
        <v>2</v>
      </c>
      <c r="J611">
        <v>0.2</v>
      </c>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611"/>
  <sheetViews>
    <sheetView workbookViewId="0">
      <pane ySplit="1" topLeftCell="A2" activePane="bottomLeft" state="frozen"/>
      <selection pane="bottomLeft" activeCell="B3" sqref="B3"/>
    </sheetView>
  </sheetViews>
  <sheetFormatPr defaultRowHeight="14.4"/>
  <cols>
    <col min="1" max="8" width="12" customWidth="1"/>
  </cols>
  <sheetData>
    <row r="1" spans="1:8">
      <c r="A1" s="1" t="s">
        <v>44</v>
      </c>
      <c r="B1" s="1" t="s">
        <v>34</v>
      </c>
      <c r="C1" s="1" t="s">
        <v>45</v>
      </c>
      <c r="D1" s="1" t="s">
        <v>46</v>
      </c>
      <c r="E1" s="1" t="s">
        <v>47</v>
      </c>
      <c r="F1" s="1" t="s">
        <v>48</v>
      </c>
      <c r="G1" s="1" t="s">
        <v>49</v>
      </c>
      <c r="H1" s="1" t="s">
        <v>50</v>
      </c>
    </row>
    <row r="2" spans="1:8">
      <c r="A2">
        <v>0</v>
      </c>
      <c r="B2">
        <v>1</v>
      </c>
      <c r="C2">
        <v>0.28789999999999999</v>
      </c>
      <c r="D2">
        <v>0.81</v>
      </c>
      <c r="E2">
        <v>0</v>
      </c>
      <c r="F2">
        <v>3</v>
      </c>
      <c r="G2">
        <v>13</v>
      </c>
      <c r="H2">
        <v>16</v>
      </c>
    </row>
    <row r="3" spans="1:8">
      <c r="A3">
        <v>1</v>
      </c>
      <c r="B3">
        <v>2</v>
      </c>
      <c r="C3">
        <v>0.2727</v>
      </c>
      <c r="D3">
        <v>0.8</v>
      </c>
      <c r="E3">
        <v>0</v>
      </c>
      <c r="F3">
        <v>8</v>
      </c>
      <c r="G3">
        <v>32</v>
      </c>
      <c r="H3">
        <v>40</v>
      </c>
    </row>
    <row r="4" spans="1:8">
      <c r="A4">
        <v>2</v>
      </c>
      <c r="B4">
        <v>3</v>
      </c>
      <c r="C4">
        <v>0.2727</v>
      </c>
      <c r="D4">
        <v>0.8</v>
      </c>
      <c r="E4">
        <v>0</v>
      </c>
      <c r="F4">
        <v>5</v>
      </c>
      <c r="G4">
        <v>27</v>
      </c>
      <c r="H4">
        <v>32</v>
      </c>
    </row>
    <row r="5" spans="1:8">
      <c r="A5">
        <v>3</v>
      </c>
      <c r="B5">
        <v>4</v>
      </c>
      <c r="C5">
        <v>0.28789999999999999</v>
      </c>
      <c r="D5">
        <v>0.75</v>
      </c>
      <c r="E5">
        <v>0</v>
      </c>
      <c r="F5">
        <v>3</v>
      </c>
      <c r="G5">
        <v>10</v>
      </c>
      <c r="H5">
        <v>13</v>
      </c>
    </row>
    <row r="6" spans="1:8">
      <c r="A6">
        <v>4</v>
      </c>
      <c r="B6">
        <v>5</v>
      </c>
      <c r="C6">
        <v>0.28789999999999999</v>
      </c>
      <c r="D6">
        <v>0.75</v>
      </c>
      <c r="E6">
        <v>0</v>
      </c>
      <c r="F6">
        <v>0</v>
      </c>
      <c r="G6">
        <v>1</v>
      </c>
      <c r="H6">
        <v>1</v>
      </c>
    </row>
    <row r="7" spans="1:8">
      <c r="A7">
        <v>5</v>
      </c>
      <c r="B7">
        <v>6</v>
      </c>
      <c r="C7">
        <v>0.2576</v>
      </c>
      <c r="D7">
        <v>0.75</v>
      </c>
      <c r="E7">
        <v>8.9599999999999999E-2</v>
      </c>
      <c r="F7">
        <v>0</v>
      </c>
      <c r="G7">
        <v>1</v>
      </c>
      <c r="H7">
        <v>1</v>
      </c>
    </row>
    <row r="8" spans="1:8">
      <c r="A8">
        <v>6</v>
      </c>
      <c r="B8">
        <v>7</v>
      </c>
      <c r="C8">
        <v>0.2727</v>
      </c>
      <c r="D8">
        <v>0.8</v>
      </c>
      <c r="E8">
        <v>0</v>
      </c>
      <c r="F8">
        <v>2</v>
      </c>
      <c r="G8">
        <v>0</v>
      </c>
      <c r="H8">
        <v>2</v>
      </c>
    </row>
    <row r="9" spans="1:8">
      <c r="A9">
        <v>7</v>
      </c>
      <c r="B9">
        <v>8</v>
      </c>
      <c r="C9">
        <v>0.2576</v>
      </c>
      <c r="D9">
        <v>0.86</v>
      </c>
      <c r="E9">
        <v>0</v>
      </c>
      <c r="F9">
        <v>1</v>
      </c>
      <c r="G9">
        <v>2</v>
      </c>
      <c r="H9">
        <v>3</v>
      </c>
    </row>
    <row r="10" spans="1:8">
      <c r="A10">
        <v>8</v>
      </c>
      <c r="B10">
        <v>9</v>
      </c>
      <c r="D10">
        <v>0.75</v>
      </c>
      <c r="E10">
        <v>0</v>
      </c>
      <c r="F10">
        <v>1</v>
      </c>
      <c r="G10">
        <v>7</v>
      </c>
      <c r="H10">
        <v>8</v>
      </c>
    </row>
    <row r="11" spans="1:8">
      <c r="A11">
        <v>9</v>
      </c>
      <c r="B11">
        <v>10</v>
      </c>
      <c r="C11">
        <v>0.34849999999999998</v>
      </c>
      <c r="D11">
        <v>0.76</v>
      </c>
      <c r="E11">
        <v>0</v>
      </c>
      <c r="F11">
        <v>8</v>
      </c>
      <c r="G11">
        <v>6</v>
      </c>
      <c r="H11">
        <v>14</v>
      </c>
    </row>
    <row r="12" spans="1:8">
      <c r="A12">
        <v>10</v>
      </c>
      <c r="B12">
        <v>11</v>
      </c>
      <c r="C12">
        <v>0.39389999999999997</v>
      </c>
      <c r="D12">
        <v>0.76</v>
      </c>
      <c r="E12">
        <v>0.25369999999999998</v>
      </c>
      <c r="F12">
        <v>12</v>
      </c>
      <c r="G12">
        <v>24</v>
      </c>
      <c r="H12">
        <v>36</v>
      </c>
    </row>
    <row r="13" spans="1:8">
      <c r="A13">
        <v>11</v>
      </c>
      <c r="B13">
        <v>12</v>
      </c>
      <c r="C13">
        <v>0.33329999999999999</v>
      </c>
      <c r="D13">
        <v>0.81</v>
      </c>
      <c r="E13">
        <v>0.28360000000000002</v>
      </c>
      <c r="F13">
        <v>26</v>
      </c>
      <c r="G13">
        <v>30</v>
      </c>
      <c r="H13">
        <v>56</v>
      </c>
    </row>
    <row r="14" spans="1:8">
      <c r="A14">
        <v>12</v>
      </c>
      <c r="B14">
        <v>13</v>
      </c>
      <c r="C14">
        <v>0.42420000000000002</v>
      </c>
      <c r="D14">
        <v>0.77</v>
      </c>
      <c r="E14">
        <v>0.28360000000000002</v>
      </c>
      <c r="F14">
        <v>29</v>
      </c>
      <c r="G14">
        <v>55</v>
      </c>
      <c r="H14">
        <v>84</v>
      </c>
    </row>
    <row r="15" spans="1:8">
      <c r="A15">
        <v>13</v>
      </c>
      <c r="B15">
        <v>14</v>
      </c>
      <c r="C15">
        <v>0.45450000000000002</v>
      </c>
      <c r="D15">
        <v>0.72</v>
      </c>
      <c r="E15">
        <v>0.29849999999999999</v>
      </c>
      <c r="F15">
        <v>47</v>
      </c>
      <c r="G15">
        <v>47</v>
      </c>
      <c r="H15">
        <v>94</v>
      </c>
    </row>
    <row r="16" spans="1:8">
      <c r="A16">
        <v>14</v>
      </c>
      <c r="B16">
        <v>15</v>
      </c>
      <c r="C16">
        <v>0.45450000000000002</v>
      </c>
      <c r="D16">
        <v>0.72</v>
      </c>
      <c r="E16">
        <v>0.28360000000000002</v>
      </c>
      <c r="F16">
        <v>35</v>
      </c>
      <c r="G16">
        <v>71</v>
      </c>
      <c r="H16">
        <v>106</v>
      </c>
    </row>
    <row r="17" spans="1:8">
      <c r="A17">
        <v>15</v>
      </c>
      <c r="B17">
        <v>16</v>
      </c>
      <c r="C17">
        <v>0.43940000000000001</v>
      </c>
      <c r="D17">
        <v>0.77</v>
      </c>
      <c r="E17">
        <v>0.29849999999999999</v>
      </c>
      <c r="F17">
        <v>40</v>
      </c>
      <c r="G17">
        <v>70</v>
      </c>
      <c r="H17">
        <v>110</v>
      </c>
    </row>
    <row r="18" spans="1:8">
      <c r="A18">
        <v>16</v>
      </c>
      <c r="B18">
        <v>17</v>
      </c>
      <c r="C18">
        <v>0.42420000000000002</v>
      </c>
      <c r="D18">
        <v>0.82</v>
      </c>
      <c r="E18">
        <v>0.29849999999999999</v>
      </c>
      <c r="F18">
        <v>41</v>
      </c>
      <c r="G18">
        <v>52</v>
      </c>
      <c r="H18">
        <v>93</v>
      </c>
    </row>
    <row r="19" spans="1:8">
      <c r="A19">
        <v>17</v>
      </c>
      <c r="B19">
        <v>18</v>
      </c>
      <c r="D19">
        <v>0.82</v>
      </c>
      <c r="E19">
        <v>0.28360000000000002</v>
      </c>
      <c r="F19">
        <v>15</v>
      </c>
      <c r="G19">
        <v>52</v>
      </c>
      <c r="H19">
        <v>67</v>
      </c>
    </row>
    <row r="20" spans="1:8">
      <c r="A20">
        <v>18</v>
      </c>
      <c r="B20">
        <v>19</v>
      </c>
      <c r="C20">
        <v>0.42420000000000002</v>
      </c>
      <c r="D20">
        <v>0.88</v>
      </c>
      <c r="E20">
        <v>0.25369999999999998</v>
      </c>
      <c r="F20">
        <v>9</v>
      </c>
      <c r="G20">
        <v>26</v>
      </c>
      <c r="H20">
        <v>35</v>
      </c>
    </row>
    <row r="21" spans="1:8">
      <c r="A21">
        <v>19</v>
      </c>
      <c r="B21">
        <v>20</v>
      </c>
      <c r="C21">
        <v>0.42420000000000002</v>
      </c>
      <c r="D21">
        <v>0.88</v>
      </c>
      <c r="E21">
        <v>0.25369999999999998</v>
      </c>
      <c r="F21">
        <v>6</v>
      </c>
      <c r="G21">
        <v>31</v>
      </c>
      <c r="H21">
        <v>37</v>
      </c>
    </row>
    <row r="22" spans="1:8">
      <c r="A22">
        <v>20</v>
      </c>
      <c r="B22">
        <v>21</v>
      </c>
      <c r="C22">
        <v>0.40910000000000002</v>
      </c>
      <c r="D22">
        <v>0.87</v>
      </c>
      <c r="E22">
        <v>0.25369999999999998</v>
      </c>
      <c r="F22">
        <v>11</v>
      </c>
      <c r="G22">
        <v>25</v>
      </c>
      <c r="H22">
        <v>36</v>
      </c>
    </row>
    <row r="23" spans="1:8">
      <c r="A23">
        <v>21</v>
      </c>
      <c r="B23">
        <v>22</v>
      </c>
      <c r="C23">
        <v>0.40910000000000002</v>
      </c>
      <c r="D23">
        <v>0.87</v>
      </c>
      <c r="E23">
        <v>0.19400000000000001</v>
      </c>
      <c r="F23">
        <v>3</v>
      </c>
      <c r="G23">
        <v>31</v>
      </c>
      <c r="H23">
        <v>34</v>
      </c>
    </row>
    <row r="24" spans="1:8">
      <c r="A24">
        <v>22</v>
      </c>
      <c r="B24">
        <v>23</v>
      </c>
      <c r="C24">
        <v>0.40910000000000002</v>
      </c>
      <c r="D24">
        <v>0.94</v>
      </c>
      <c r="E24">
        <v>0.22389999999999999</v>
      </c>
      <c r="F24">
        <v>11</v>
      </c>
      <c r="G24">
        <v>17</v>
      </c>
      <c r="H24">
        <v>28</v>
      </c>
    </row>
    <row r="25" spans="1:8">
      <c r="A25">
        <v>23</v>
      </c>
      <c r="B25">
        <v>24</v>
      </c>
      <c r="D25">
        <v>0.88</v>
      </c>
      <c r="E25">
        <v>0.29849999999999999</v>
      </c>
      <c r="F25">
        <v>15</v>
      </c>
      <c r="G25">
        <v>24</v>
      </c>
      <c r="H25">
        <v>39</v>
      </c>
    </row>
    <row r="26" spans="1:8">
      <c r="A26">
        <v>24</v>
      </c>
      <c r="B26">
        <v>25</v>
      </c>
      <c r="C26">
        <v>0.45450000000000002</v>
      </c>
      <c r="D26">
        <v>0.88</v>
      </c>
      <c r="E26">
        <v>0.29849999999999999</v>
      </c>
      <c r="F26">
        <v>4</v>
      </c>
      <c r="G26">
        <v>13</v>
      </c>
      <c r="H26">
        <v>17</v>
      </c>
    </row>
    <row r="27" spans="1:8">
      <c r="A27">
        <v>25</v>
      </c>
      <c r="B27">
        <v>26</v>
      </c>
      <c r="C27">
        <v>0.43940000000000001</v>
      </c>
      <c r="D27">
        <v>0.94</v>
      </c>
      <c r="E27">
        <v>0.25369999999999998</v>
      </c>
      <c r="F27">
        <v>1</v>
      </c>
      <c r="G27">
        <v>16</v>
      </c>
      <c r="H27">
        <v>17</v>
      </c>
    </row>
    <row r="28" spans="1:8">
      <c r="A28">
        <v>26</v>
      </c>
      <c r="B28">
        <v>27</v>
      </c>
      <c r="C28">
        <v>0.42420000000000002</v>
      </c>
      <c r="D28">
        <v>1</v>
      </c>
      <c r="E28">
        <v>0.28360000000000002</v>
      </c>
      <c r="F28">
        <v>1</v>
      </c>
      <c r="G28">
        <v>8</v>
      </c>
      <c r="H28">
        <v>9</v>
      </c>
    </row>
    <row r="29" spans="1:8">
      <c r="A29">
        <v>27</v>
      </c>
      <c r="B29">
        <v>28</v>
      </c>
      <c r="C29">
        <v>0.45450000000000002</v>
      </c>
      <c r="D29">
        <v>0.94</v>
      </c>
      <c r="E29">
        <v>0.19400000000000001</v>
      </c>
      <c r="F29">
        <v>2</v>
      </c>
      <c r="G29">
        <v>4</v>
      </c>
      <c r="H29">
        <v>6</v>
      </c>
    </row>
    <row r="30" spans="1:8">
      <c r="A30">
        <v>28</v>
      </c>
      <c r="B30">
        <v>29</v>
      </c>
      <c r="D30">
        <v>0.94</v>
      </c>
      <c r="E30">
        <v>0.19400000000000001</v>
      </c>
      <c r="F30">
        <v>2</v>
      </c>
      <c r="G30">
        <v>1</v>
      </c>
      <c r="H30">
        <v>3</v>
      </c>
    </row>
    <row r="31" spans="1:8">
      <c r="A31">
        <v>29</v>
      </c>
      <c r="B31">
        <v>30</v>
      </c>
      <c r="C31">
        <v>0.42420000000000002</v>
      </c>
      <c r="D31">
        <v>0.77</v>
      </c>
      <c r="E31">
        <v>0.29849999999999999</v>
      </c>
      <c r="F31">
        <v>0</v>
      </c>
      <c r="G31">
        <v>2</v>
      </c>
      <c r="H31">
        <v>2</v>
      </c>
    </row>
    <row r="32" spans="1:8">
      <c r="A32">
        <v>30</v>
      </c>
      <c r="B32">
        <v>31</v>
      </c>
      <c r="C32">
        <v>0.40910000000000002</v>
      </c>
      <c r="D32">
        <v>0.76</v>
      </c>
      <c r="E32">
        <v>0.19400000000000001</v>
      </c>
      <c r="F32">
        <v>0</v>
      </c>
      <c r="G32">
        <v>1</v>
      </c>
      <c r="H32">
        <v>1</v>
      </c>
    </row>
    <row r="33" spans="1:8">
      <c r="A33">
        <v>31</v>
      </c>
      <c r="B33">
        <v>32</v>
      </c>
      <c r="C33">
        <v>0.40910000000000002</v>
      </c>
      <c r="D33">
        <v>0.71</v>
      </c>
      <c r="E33">
        <v>0.22389999999999999</v>
      </c>
      <c r="F33">
        <v>0</v>
      </c>
      <c r="G33">
        <v>8</v>
      </c>
      <c r="H33">
        <v>8</v>
      </c>
    </row>
    <row r="34" spans="1:8">
      <c r="A34">
        <v>32</v>
      </c>
      <c r="B34">
        <v>33</v>
      </c>
      <c r="D34">
        <v>0.76</v>
      </c>
      <c r="E34">
        <v>0.22389999999999999</v>
      </c>
      <c r="F34">
        <v>1</v>
      </c>
      <c r="G34">
        <v>19</v>
      </c>
      <c r="H34">
        <v>20</v>
      </c>
    </row>
    <row r="35" spans="1:8">
      <c r="A35">
        <v>33</v>
      </c>
      <c r="B35">
        <v>34</v>
      </c>
      <c r="C35">
        <v>0.34849999999999998</v>
      </c>
      <c r="D35">
        <v>0.81</v>
      </c>
      <c r="E35">
        <v>0.22389999999999999</v>
      </c>
      <c r="F35">
        <v>7</v>
      </c>
      <c r="G35">
        <v>46</v>
      </c>
      <c r="H35">
        <v>53</v>
      </c>
    </row>
    <row r="36" spans="1:8">
      <c r="A36">
        <v>34</v>
      </c>
      <c r="B36">
        <v>35</v>
      </c>
      <c r="C36">
        <v>0.33329999999999999</v>
      </c>
      <c r="D36">
        <v>0.71</v>
      </c>
      <c r="E36">
        <v>0.25369999999999998</v>
      </c>
      <c r="F36">
        <v>16</v>
      </c>
      <c r="G36">
        <v>54</v>
      </c>
      <c r="H36">
        <v>70</v>
      </c>
    </row>
    <row r="37" spans="1:8">
      <c r="A37">
        <v>35</v>
      </c>
      <c r="B37">
        <v>36</v>
      </c>
      <c r="C37">
        <v>0.33329999999999999</v>
      </c>
      <c r="D37">
        <v>0.66</v>
      </c>
      <c r="E37">
        <v>0.29849999999999999</v>
      </c>
      <c r="F37">
        <v>20</v>
      </c>
      <c r="G37">
        <v>73</v>
      </c>
      <c r="H37">
        <v>93</v>
      </c>
    </row>
    <row r="38" spans="1:8">
      <c r="A38">
        <v>36</v>
      </c>
      <c r="B38">
        <v>37</v>
      </c>
      <c r="C38">
        <v>0.34849999999999998</v>
      </c>
      <c r="D38">
        <v>0.66</v>
      </c>
      <c r="E38">
        <v>0.1343</v>
      </c>
      <c r="F38">
        <v>11</v>
      </c>
      <c r="G38">
        <v>64</v>
      </c>
      <c r="H38">
        <v>75</v>
      </c>
    </row>
    <row r="39" spans="1:8">
      <c r="A39">
        <v>37</v>
      </c>
      <c r="B39">
        <v>38</v>
      </c>
      <c r="D39">
        <v>0.76</v>
      </c>
      <c r="E39">
        <v>0.19400000000000001</v>
      </c>
      <c r="F39">
        <v>4</v>
      </c>
      <c r="G39">
        <v>55</v>
      </c>
      <c r="H39">
        <v>59</v>
      </c>
    </row>
    <row r="40" spans="1:8">
      <c r="A40">
        <v>38</v>
      </c>
      <c r="B40">
        <v>39</v>
      </c>
      <c r="C40">
        <v>0.33329999999999999</v>
      </c>
      <c r="D40">
        <v>0.81</v>
      </c>
      <c r="E40">
        <v>0.16420000000000001</v>
      </c>
      <c r="F40">
        <v>19</v>
      </c>
      <c r="G40">
        <v>55</v>
      </c>
      <c r="H40">
        <v>74</v>
      </c>
    </row>
    <row r="41" spans="1:8">
      <c r="A41">
        <v>39</v>
      </c>
      <c r="B41">
        <v>40</v>
      </c>
      <c r="C41">
        <v>0.33329999999999999</v>
      </c>
      <c r="D41">
        <v>0.71</v>
      </c>
      <c r="E41">
        <v>0.16420000000000001</v>
      </c>
      <c r="F41">
        <v>9</v>
      </c>
      <c r="G41">
        <v>67</v>
      </c>
      <c r="H41">
        <v>76</v>
      </c>
    </row>
    <row r="42" spans="1:8">
      <c r="A42">
        <v>40</v>
      </c>
      <c r="B42">
        <v>41</v>
      </c>
      <c r="C42">
        <v>0.33329999999999999</v>
      </c>
      <c r="D42">
        <v>0.56999999999999995</v>
      </c>
      <c r="E42">
        <v>0.19400000000000001</v>
      </c>
      <c r="F42">
        <v>7</v>
      </c>
      <c r="G42">
        <v>58</v>
      </c>
      <c r="H42">
        <v>65</v>
      </c>
    </row>
    <row r="43" spans="1:8">
      <c r="A43">
        <v>41</v>
      </c>
      <c r="B43">
        <v>42</v>
      </c>
      <c r="C43">
        <v>0.33329999999999999</v>
      </c>
      <c r="D43">
        <v>0.46</v>
      </c>
      <c r="E43">
        <v>0.32840000000000003</v>
      </c>
      <c r="F43">
        <v>10</v>
      </c>
      <c r="G43">
        <v>43</v>
      </c>
      <c r="H43">
        <v>53</v>
      </c>
    </row>
    <row r="44" spans="1:8">
      <c r="A44">
        <v>42</v>
      </c>
      <c r="B44">
        <v>43</v>
      </c>
      <c r="C44">
        <v>0.28789999999999999</v>
      </c>
      <c r="D44">
        <v>0.42</v>
      </c>
      <c r="E44">
        <v>0.44779999999999998</v>
      </c>
      <c r="F44">
        <v>1</v>
      </c>
      <c r="G44">
        <v>29</v>
      </c>
      <c r="H44">
        <v>30</v>
      </c>
    </row>
    <row r="45" spans="1:8">
      <c r="A45">
        <v>43</v>
      </c>
      <c r="B45">
        <v>44</v>
      </c>
      <c r="D45">
        <v>0.39</v>
      </c>
      <c r="E45">
        <v>0.35820000000000002</v>
      </c>
      <c r="F45">
        <v>5</v>
      </c>
      <c r="G45">
        <v>17</v>
      </c>
      <c r="H45">
        <v>22</v>
      </c>
    </row>
    <row r="46" spans="1:8">
      <c r="A46">
        <v>44</v>
      </c>
      <c r="B46">
        <v>45</v>
      </c>
      <c r="C46">
        <v>0.2273</v>
      </c>
      <c r="D46">
        <v>0.44</v>
      </c>
      <c r="E46">
        <v>0.32840000000000003</v>
      </c>
      <c r="F46">
        <v>11</v>
      </c>
      <c r="G46">
        <v>20</v>
      </c>
      <c r="H46">
        <v>31</v>
      </c>
    </row>
    <row r="47" spans="1:8">
      <c r="A47">
        <v>45</v>
      </c>
      <c r="B47">
        <v>46</v>
      </c>
      <c r="C47">
        <v>0.21210000000000001</v>
      </c>
      <c r="D47">
        <v>0.44</v>
      </c>
      <c r="E47">
        <v>0.29849999999999999</v>
      </c>
      <c r="F47">
        <v>0</v>
      </c>
      <c r="G47">
        <v>9</v>
      </c>
      <c r="H47">
        <v>9</v>
      </c>
    </row>
    <row r="48" spans="1:8">
      <c r="A48">
        <v>46</v>
      </c>
      <c r="B48">
        <v>47</v>
      </c>
      <c r="C48">
        <v>0.2273</v>
      </c>
      <c r="D48">
        <v>0.47</v>
      </c>
      <c r="E48">
        <v>0.16420000000000001</v>
      </c>
      <c r="F48">
        <v>0</v>
      </c>
      <c r="G48">
        <v>8</v>
      </c>
      <c r="H48">
        <v>8</v>
      </c>
    </row>
    <row r="49" spans="1:8">
      <c r="A49">
        <v>47</v>
      </c>
      <c r="B49">
        <v>48</v>
      </c>
      <c r="C49">
        <v>0.19700000000000001</v>
      </c>
      <c r="D49">
        <v>0.44</v>
      </c>
      <c r="E49">
        <v>0.35820000000000002</v>
      </c>
      <c r="F49">
        <v>0</v>
      </c>
      <c r="G49">
        <v>5</v>
      </c>
      <c r="H49">
        <v>5</v>
      </c>
    </row>
    <row r="50" spans="1:8">
      <c r="A50">
        <v>48</v>
      </c>
      <c r="B50">
        <v>49</v>
      </c>
      <c r="D50">
        <v>0.44</v>
      </c>
      <c r="E50">
        <v>0.41789999999999999</v>
      </c>
      <c r="F50">
        <v>0</v>
      </c>
      <c r="G50">
        <v>2</v>
      </c>
      <c r="H50">
        <v>2</v>
      </c>
    </row>
    <row r="51" spans="1:8">
      <c r="A51">
        <v>49</v>
      </c>
      <c r="B51">
        <v>50</v>
      </c>
      <c r="C51">
        <v>0.13639999999999999</v>
      </c>
      <c r="D51">
        <v>0.47</v>
      </c>
      <c r="E51">
        <v>0.3881</v>
      </c>
      <c r="F51">
        <v>0</v>
      </c>
      <c r="G51">
        <v>1</v>
      </c>
      <c r="H51">
        <v>1</v>
      </c>
    </row>
    <row r="52" spans="1:8">
      <c r="A52">
        <v>50</v>
      </c>
      <c r="B52">
        <v>51</v>
      </c>
      <c r="C52">
        <v>0.13639999999999999</v>
      </c>
      <c r="D52">
        <v>0.47</v>
      </c>
      <c r="E52">
        <v>0.28360000000000002</v>
      </c>
      <c r="F52">
        <v>0</v>
      </c>
      <c r="G52">
        <v>3</v>
      </c>
      <c r="H52">
        <v>3</v>
      </c>
    </row>
    <row r="53" spans="1:8">
      <c r="A53">
        <v>51</v>
      </c>
      <c r="B53">
        <v>52</v>
      </c>
      <c r="C53">
        <v>0.1061</v>
      </c>
      <c r="D53">
        <v>0.5</v>
      </c>
      <c r="E53">
        <v>0.3881</v>
      </c>
      <c r="F53">
        <v>0</v>
      </c>
      <c r="G53">
        <v>30</v>
      </c>
      <c r="H53">
        <v>30</v>
      </c>
    </row>
    <row r="54" spans="1:8">
      <c r="A54">
        <v>52</v>
      </c>
      <c r="B54">
        <v>53</v>
      </c>
      <c r="C54">
        <v>0.13639999999999999</v>
      </c>
      <c r="D54">
        <v>0.5</v>
      </c>
      <c r="E54">
        <v>0.19400000000000001</v>
      </c>
      <c r="F54">
        <v>1</v>
      </c>
      <c r="G54">
        <v>63</v>
      </c>
      <c r="H54">
        <v>64</v>
      </c>
    </row>
    <row r="55" spans="1:8">
      <c r="A55">
        <v>53</v>
      </c>
      <c r="B55">
        <v>54</v>
      </c>
      <c r="C55">
        <v>0.1212</v>
      </c>
      <c r="D55">
        <v>0.5</v>
      </c>
      <c r="E55">
        <v>0.28360000000000002</v>
      </c>
      <c r="F55">
        <v>1</v>
      </c>
      <c r="G55">
        <v>153</v>
      </c>
      <c r="H55">
        <v>154</v>
      </c>
    </row>
    <row r="56" spans="1:8">
      <c r="A56">
        <v>54</v>
      </c>
      <c r="B56">
        <v>55</v>
      </c>
      <c r="C56">
        <v>0.13639999999999999</v>
      </c>
      <c r="D56">
        <v>0.43</v>
      </c>
      <c r="E56">
        <v>0.3881</v>
      </c>
      <c r="F56">
        <v>7</v>
      </c>
      <c r="G56">
        <v>81</v>
      </c>
      <c r="H56">
        <v>88</v>
      </c>
    </row>
    <row r="57" spans="1:8">
      <c r="A57">
        <v>55</v>
      </c>
      <c r="B57">
        <v>56</v>
      </c>
      <c r="C57">
        <v>0.16669999999999999</v>
      </c>
      <c r="D57">
        <v>0.43</v>
      </c>
      <c r="E57">
        <v>0.25369999999999998</v>
      </c>
      <c r="F57">
        <v>11</v>
      </c>
      <c r="G57">
        <v>33</v>
      </c>
      <c r="H57">
        <v>44</v>
      </c>
    </row>
    <row r="58" spans="1:8">
      <c r="A58">
        <v>56</v>
      </c>
      <c r="B58">
        <v>57</v>
      </c>
      <c r="C58">
        <v>0.18179999999999999</v>
      </c>
      <c r="D58">
        <v>0.4</v>
      </c>
      <c r="E58">
        <v>0.32840000000000003</v>
      </c>
      <c r="F58">
        <v>10</v>
      </c>
      <c r="G58">
        <v>41</v>
      </c>
      <c r="H58">
        <v>51</v>
      </c>
    </row>
    <row r="59" spans="1:8">
      <c r="A59">
        <v>57</v>
      </c>
      <c r="B59">
        <v>58</v>
      </c>
      <c r="C59">
        <v>0.21210000000000001</v>
      </c>
      <c r="D59">
        <v>0.35</v>
      </c>
      <c r="E59">
        <v>0.29849999999999999</v>
      </c>
      <c r="F59">
        <v>13</v>
      </c>
      <c r="G59">
        <v>48</v>
      </c>
      <c r="H59">
        <v>61</v>
      </c>
    </row>
    <row r="60" spans="1:8">
      <c r="A60">
        <v>58</v>
      </c>
      <c r="B60">
        <v>59</v>
      </c>
      <c r="D60">
        <v>0.35</v>
      </c>
      <c r="E60">
        <v>0.28360000000000002</v>
      </c>
      <c r="F60">
        <v>8</v>
      </c>
      <c r="G60">
        <v>53</v>
      </c>
      <c r="H60">
        <v>61</v>
      </c>
    </row>
    <row r="61" spans="1:8">
      <c r="A61">
        <v>59</v>
      </c>
      <c r="B61">
        <v>60</v>
      </c>
      <c r="C61">
        <v>0.2424</v>
      </c>
      <c r="D61">
        <v>0.3</v>
      </c>
      <c r="E61">
        <v>0.28360000000000002</v>
      </c>
      <c r="F61">
        <v>11</v>
      </c>
      <c r="G61">
        <v>66</v>
      </c>
      <c r="H61">
        <v>77</v>
      </c>
    </row>
    <row r="62" spans="1:8">
      <c r="A62">
        <v>60</v>
      </c>
      <c r="B62">
        <v>61</v>
      </c>
      <c r="C62">
        <v>0.2424</v>
      </c>
      <c r="D62">
        <v>0.3</v>
      </c>
      <c r="E62">
        <v>0.25369999999999998</v>
      </c>
      <c r="F62">
        <v>14</v>
      </c>
      <c r="G62">
        <v>58</v>
      </c>
      <c r="H62">
        <v>72</v>
      </c>
    </row>
    <row r="63" spans="1:8">
      <c r="A63">
        <v>61</v>
      </c>
      <c r="B63">
        <v>62</v>
      </c>
      <c r="C63">
        <v>0.2424</v>
      </c>
      <c r="D63">
        <v>0.3</v>
      </c>
      <c r="E63">
        <v>0.25369999999999998</v>
      </c>
      <c r="F63">
        <v>9</v>
      </c>
      <c r="G63">
        <v>67</v>
      </c>
      <c r="H63">
        <v>76</v>
      </c>
    </row>
    <row r="64" spans="1:8">
      <c r="A64">
        <v>62</v>
      </c>
      <c r="B64">
        <v>63</v>
      </c>
      <c r="C64">
        <v>0.2273</v>
      </c>
      <c r="D64">
        <v>0.3</v>
      </c>
      <c r="E64">
        <v>0.22389999999999999</v>
      </c>
      <c r="F64">
        <v>11</v>
      </c>
      <c r="G64">
        <v>146</v>
      </c>
      <c r="H64">
        <v>157</v>
      </c>
    </row>
    <row r="65" spans="1:8">
      <c r="A65">
        <v>63</v>
      </c>
      <c r="B65">
        <v>64</v>
      </c>
      <c r="C65">
        <v>0.2576</v>
      </c>
      <c r="D65">
        <v>0.32</v>
      </c>
      <c r="E65">
        <v>0.1045</v>
      </c>
      <c r="F65">
        <v>9</v>
      </c>
      <c r="G65">
        <v>148</v>
      </c>
      <c r="H65">
        <v>157</v>
      </c>
    </row>
    <row r="66" spans="1:8">
      <c r="A66">
        <v>64</v>
      </c>
      <c r="B66">
        <v>65</v>
      </c>
      <c r="C66">
        <v>0.2576</v>
      </c>
      <c r="D66">
        <v>0.47</v>
      </c>
      <c r="E66">
        <v>0</v>
      </c>
      <c r="F66">
        <v>8</v>
      </c>
      <c r="G66">
        <v>102</v>
      </c>
      <c r="H66">
        <v>110</v>
      </c>
    </row>
    <row r="67" spans="1:8">
      <c r="A67">
        <v>65</v>
      </c>
      <c r="B67">
        <v>66</v>
      </c>
      <c r="D67">
        <v>0.47</v>
      </c>
      <c r="E67">
        <v>0.1045</v>
      </c>
      <c r="F67">
        <v>3</v>
      </c>
      <c r="G67">
        <v>49</v>
      </c>
      <c r="H67">
        <v>52</v>
      </c>
    </row>
    <row r="68" spans="1:8">
      <c r="A68">
        <v>66</v>
      </c>
      <c r="B68">
        <v>67</v>
      </c>
      <c r="C68">
        <v>0.19700000000000001</v>
      </c>
      <c r="D68">
        <v>0.64</v>
      </c>
      <c r="E68">
        <v>0.1343</v>
      </c>
      <c r="F68">
        <v>3</v>
      </c>
      <c r="G68">
        <v>49</v>
      </c>
      <c r="H68">
        <v>52</v>
      </c>
    </row>
    <row r="69" spans="1:8">
      <c r="A69">
        <v>67</v>
      </c>
      <c r="B69">
        <v>68</v>
      </c>
      <c r="C69">
        <v>0.1515</v>
      </c>
      <c r="D69">
        <v>0.69</v>
      </c>
      <c r="E69">
        <v>0.1343</v>
      </c>
      <c r="F69">
        <v>0</v>
      </c>
      <c r="G69">
        <v>20</v>
      </c>
      <c r="H69">
        <v>20</v>
      </c>
    </row>
    <row r="70" spans="1:8">
      <c r="A70">
        <v>68</v>
      </c>
      <c r="B70">
        <v>69</v>
      </c>
      <c r="C70">
        <v>0.21210000000000001</v>
      </c>
      <c r="D70">
        <v>0.55000000000000004</v>
      </c>
      <c r="E70">
        <v>0.1045</v>
      </c>
      <c r="F70">
        <v>1</v>
      </c>
      <c r="G70">
        <v>11</v>
      </c>
      <c r="H70">
        <v>12</v>
      </c>
    </row>
    <row r="71" spans="1:8">
      <c r="A71">
        <v>69</v>
      </c>
      <c r="B71">
        <v>70</v>
      </c>
      <c r="D71">
        <v>0.55000000000000004</v>
      </c>
      <c r="E71">
        <v>0.1045</v>
      </c>
      <c r="F71">
        <v>0</v>
      </c>
      <c r="G71">
        <v>5</v>
      </c>
      <c r="H71">
        <v>5</v>
      </c>
    </row>
    <row r="72" spans="1:8">
      <c r="A72">
        <v>70</v>
      </c>
      <c r="B72">
        <v>71</v>
      </c>
      <c r="C72">
        <v>0.18179999999999999</v>
      </c>
      <c r="D72">
        <v>0.59</v>
      </c>
      <c r="E72">
        <v>0.1045</v>
      </c>
      <c r="F72">
        <v>0</v>
      </c>
      <c r="G72">
        <v>2</v>
      </c>
      <c r="H72">
        <v>2</v>
      </c>
    </row>
    <row r="73" spans="1:8">
      <c r="A73">
        <v>71</v>
      </c>
      <c r="B73">
        <v>72</v>
      </c>
      <c r="C73">
        <v>0.1515</v>
      </c>
      <c r="D73">
        <v>0.63</v>
      </c>
      <c r="E73">
        <v>0.1343</v>
      </c>
      <c r="F73">
        <v>0</v>
      </c>
      <c r="G73">
        <v>1</v>
      </c>
      <c r="H73">
        <v>1</v>
      </c>
    </row>
    <row r="74" spans="1:8">
      <c r="A74">
        <v>72</v>
      </c>
      <c r="B74">
        <v>73</v>
      </c>
      <c r="C74">
        <v>0.18179999999999999</v>
      </c>
      <c r="D74">
        <v>0.63</v>
      </c>
      <c r="E74">
        <v>8.9599999999999999E-2</v>
      </c>
      <c r="F74">
        <v>0</v>
      </c>
      <c r="G74">
        <v>2</v>
      </c>
      <c r="H74">
        <v>2</v>
      </c>
    </row>
    <row r="75" spans="1:8">
      <c r="A75">
        <v>73</v>
      </c>
      <c r="B75">
        <v>74</v>
      </c>
      <c r="C75">
        <v>0.1515</v>
      </c>
      <c r="D75">
        <v>0.68</v>
      </c>
      <c r="E75">
        <v>0.1045</v>
      </c>
      <c r="F75">
        <v>0</v>
      </c>
      <c r="G75">
        <v>4</v>
      </c>
      <c r="H75">
        <v>4</v>
      </c>
    </row>
    <row r="76" spans="1:8">
      <c r="A76">
        <v>74</v>
      </c>
      <c r="B76">
        <v>75</v>
      </c>
      <c r="C76">
        <v>0.1515</v>
      </c>
      <c r="D76">
        <v>0.74</v>
      </c>
      <c r="E76">
        <v>0.1045</v>
      </c>
      <c r="F76">
        <v>0</v>
      </c>
      <c r="G76">
        <v>36</v>
      </c>
      <c r="H76">
        <v>36</v>
      </c>
    </row>
    <row r="77" spans="1:8">
      <c r="A77">
        <v>75</v>
      </c>
      <c r="B77">
        <v>76</v>
      </c>
      <c r="C77">
        <v>0.1515</v>
      </c>
      <c r="D77">
        <v>0.74</v>
      </c>
      <c r="E77">
        <v>0.1343</v>
      </c>
      <c r="F77">
        <v>2</v>
      </c>
      <c r="G77">
        <v>92</v>
      </c>
      <c r="H77">
        <v>94</v>
      </c>
    </row>
    <row r="78" spans="1:8">
      <c r="A78">
        <v>76</v>
      </c>
      <c r="B78">
        <v>77</v>
      </c>
      <c r="C78">
        <v>0.1515</v>
      </c>
      <c r="D78">
        <v>0.69</v>
      </c>
      <c r="E78">
        <v>0.16420000000000001</v>
      </c>
      <c r="F78">
        <v>2</v>
      </c>
      <c r="G78">
        <v>177</v>
      </c>
      <c r="H78">
        <v>179</v>
      </c>
    </row>
    <row r="79" spans="1:8">
      <c r="A79">
        <v>77</v>
      </c>
      <c r="B79">
        <v>78</v>
      </c>
      <c r="C79">
        <v>0.1515</v>
      </c>
      <c r="D79">
        <v>0.64</v>
      </c>
      <c r="E79">
        <v>0.22389999999999999</v>
      </c>
      <c r="F79">
        <v>2</v>
      </c>
      <c r="G79">
        <v>98</v>
      </c>
      <c r="H79">
        <v>100</v>
      </c>
    </row>
    <row r="80" spans="1:8">
      <c r="A80">
        <v>78</v>
      </c>
      <c r="B80">
        <v>79</v>
      </c>
      <c r="C80">
        <v>0.13639999999999999</v>
      </c>
      <c r="D80">
        <v>0.69</v>
      </c>
      <c r="E80">
        <v>0.32840000000000003</v>
      </c>
      <c r="F80">
        <v>5</v>
      </c>
      <c r="G80">
        <v>37</v>
      </c>
      <c r="H80">
        <v>42</v>
      </c>
    </row>
    <row r="81" spans="1:8">
      <c r="A81">
        <v>79</v>
      </c>
      <c r="B81">
        <v>80</v>
      </c>
      <c r="C81">
        <v>0.21210000000000001</v>
      </c>
      <c r="D81">
        <v>0.51</v>
      </c>
      <c r="E81">
        <v>0.29849999999999999</v>
      </c>
      <c r="F81">
        <v>7</v>
      </c>
      <c r="G81">
        <v>50</v>
      </c>
      <c r="H81">
        <v>57</v>
      </c>
    </row>
    <row r="82" spans="1:8">
      <c r="A82">
        <v>80</v>
      </c>
      <c r="B82">
        <v>81</v>
      </c>
      <c r="C82">
        <v>0.2273</v>
      </c>
      <c r="D82">
        <v>0.51</v>
      </c>
      <c r="E82">
        <v>0.16420000000000001</v>
      </c>
      <c r="F82">
        <v>12</v>
      </c>
      <c r="G82">
        <v>66</v>
      </c>
      <c r="H82">
        <v>78</v>
      </c>
    </row>
    <row r="83" spans="1:8">
      <c r="A83">
        <v>81</v>
      </c>
      <c r="B83">
        <v>82</v>
      </c>
      <c r="C83">
        <v>0.2273</v>
      </c>
      <c r="D83">
        <v>0.56000000000000005</v>
      </c>
      <c r="E83">
        <v>0.19400000000000001</v>
      </c>
      <c r="F83">
        <v>18</v>
      </c>
      <c r="G83">
        <v>79</v>
      </c>
      <c r="H83">
        <v>97</v>
      </c>
    </row>
    <row r="84" spans="1:8">
      <c r="A84">
        <v>82</v>
      </c>
      <c r="B84">
        <v>83</v>
      </c>
      <c r="C84">
        <v>0.2576</v>
      </c>
      <c r="D84">
        <v>0.52</v>
      </c>
      <c r="E84">
        <v>0.22389999999999999</v>
      </c>
      <c r="F84">
        <v>9</v>
      </c>
      <c r="G84">
        <v>54</v>
      </c>
      <c r="H84">
        <v>63</v>
      </c>
    </row>
    <row r="85" spans="1:8">
      <c r="A85">
        <v>83</v>
      </c>
      <c r="B85">
        <v>84</v>
      </c>
      <c r="C85">
        <v>0.2727</v>
      </c>
      <c r="D85">
        <v>0.52</v>
      </c>
      <c r="E85">
        <v>0.25369999999999998</v>
      </c>
      <c r="F85">
        <v>17</v>
      </c>
      <c r="G85">
        <v>48</v>
      </c>
      <c r="H85">
        <v>65</v>
      </c>
    </row>
    <row r="86" spans="1:8">
      <c r="A86">
        <v>84</v>
      </c>
      <c r="B86">
        <v>85</v>
      </c>
      <c r="C86">
        <v>0.28789999999999999</v>
      </c>
      <c r="D86">
        <v>0.49</v>
      </c>
      <c r="E86">
        <v>0.25369999999999998</v>
      </c>
      <c r="F86">
        <v>15</v>
      </c>
      <c r="G86">
        <v>68</v>
      </c>
      <c r="H86">
        <v>83</v>
      </c>
    </row>
    <row r="87" spans="1:8">
      <c r="A87">
        <v>85</v>
      </c>
      <c r="B87">
        <v>86</v>
      </c>
      <c r="C87">
        <v>0.2727</v>
      </c>
      <c r="D87">
        <v>0.48</v>
      </c>
      <c r="E87">
        <v>0.22389999999999999</v>
      </c>
      <c r="F87">
        <v>10</v>
      </c>
      <c r="G87">
        <v>202</v>
      </c>
      <c r="H87">
        <v>212</v>
      </c>
    </row>
    <row r="88" spans="1:8">
      <c r="A88">
        <v>86</v>
      </c>
      <c r="B88">
        <v>87</v>
      </c>
      <c r="C88">
        <v>0.2576</v>
      </c>
      <c r="D88">
        <v>0.48</v>
      </c>
      <c r="E88">
        <v>0.19400000000000001</v>
      </c>
      <c r="F88">
        <v>3</v>
      </c>
      <c r="G88">
        <v>179</v>
      </c>
      <c r="H88">
        <v>182</v>
      </c>
    </row>
    <row r="89" spans="1:8">
      <c r="A89">
        <v>87</v>
      </c>
      <c r="B89">
        <v>88</v>
      </c>
      <c r="C89">
        <v>0.2576</v>
      </c>
      <c r="D89">
        <v>0.48</v>
      </c>
      <c r="E89">
        <v>0.1045</v>
      </c>
      <c r="F89">
        <v>2</v>
      </c>
      <c r="G89">
        <v>110</v>
      </c>
      <c r="H89">
        <v>112</v>
      </c>
    </row>
    <row r="90" spans="1:8">
      <c r="A90">
        <v>88</v>
      </c>
      <c r="B90">
        <v>89</v>
      </c>
      <c r="C90">
        <v>0.2576</v>
      </c>
      <c r="D90">
        <v>0.48</v>
      </c>
      <c r="E90">
        <v>0.1045</v>
      </c>
      <c r="F90">
        <v>1</v>
      </c>
      <c r="G90">
        <v>53</v>
      </c>
      <c r="H90">
        <v>54</v>
      </c>
    </row>
    <row r="91" spans="1:8">
      <c r="A91">
        <v>89</v>
      </c>
      <c r="B91">
        <v>90</v>
      </c>
      <c r="C91">
        <v>0.2727</v>
      </c>
      <c r="D91">
        <v>0.64</v>
      </c>
      <c r="E91">
        <v>0</v>
      </c>
      <c r="F91">
        <v>0</v>
      </c>
      <c r="G91">
        <v>48</v>
      </c>
      <c r="H91">
        <v>48</v>
      </c>
    </row>
    <row r="92" spans="1:8">
      <c r="A92">
        <v>90</v>
      </c>
      <c r="B92">
        <v>91</v>
      </c>
      <c r="C92">
        <v>0.2576</v>
      </c>
      <c r="D92">
        <v>0.64</v>
      </c>
      <c r="E92">
        <v>8.9599999999999999E-2</v>
      </c>
      <c r="F92">
        <v>1</v>
      </c>
      <c r="G92">
        <v>34</v>
      </c>
      <c r="H92">
        <v>35</v>
      </c>
    </row>
    <row r="93" spans="1:8">
      <c r="A93">
        <v>91</v>
      </c>
      <c r="B93">
        <v>92</v>
      </c>
      <c r="C93">
        <v>0.2273</v>
      </c>
      <c r="D93">
        <v>0.69</v>
      </c>
      <c r="E93">
        <v>8.9599999999999999E-2</v>
      </c>
      <c r="F93">
        <v>2</v>
      </c>
      <c r="G93">
        <v>9</v>
      </c>
      <c r="H93">
        <v>11</v>
      </c>
    </row>
    <row r="94" spans="1:8">
      <c r="A94">
        <v>92</v>
      </c>
      <c r="B94">
        <v>93</v>
      </c>
      <c r="C94">
        <v>0.2576</v>
      </c>
      <c r="D94">
        <v>0.64</v>
      </c>
      <c r="E94">
        <v>0</v>
      </c>
      <c r="F94">
        <v>0</v>
      </c>
      <c r="G94">
        <v>6</v>
      </c>
      <c r="H94">
        <v>6</v>
      </c>
    </row>
    <row r="95" spans="1:8">
      <c r="A95">
        <v>93</v>
      </c>
      <c r="B95">
        <v>94</v>
      </c>
      <c r="C95">
        <v>0.19700000000000001</v>
      </c>
      <c r="D95">
        <v>0.74</v>
      </c>
      <c r="E95">
        <v>8.9599999999999999E-2</v>
      </c>
      <c r="F95">
        <v>0</v>
      </c>
      <c r="G95">
        <v>6</v>
      </c>
      <c r="H95">
        <v>6</v>
      </c>
    </row>
    <row r="96" spans="1:8">
      <c r="A96">
        <v>94</v>
      </c>
      <c r="B96">
        <v>95</v>
      </c>
      <c r="C96">
        <v>0.19700000000000001</v>
      </c>
      <c r="D96">
        <v>0.74</v>
      </c>
      <c r="E96">
        <v>8.9599999999999999E-2</v>
      </c>
      <c r="F96">
        <v>0</v>
      </c>
      <c r="G96">
        <v>2</v>
      </c>
      <c r="H96">
        <v>2</v>
      </c>
    </row>
    <row r="97" spans="1:8">
      <c r="A97">
        <v>95</v>
      </c>
      <c r="B97">
        <v>96</v>
      </c>
      <c r="C97">
        <v>0.2273</v>
      </c>
      <c r="D97">
        <v>0.48</v>
      </c>
      <c r="E97">
        <v>0.22389999999999999</v>
      </c>
      <c r="F97">
        <v>0</v>
      </c>
      <c r="G97">
        <v>2</v>
      </c>
      <c r="H97">
        <v>2</v>
      </c>
    </row>
    <row r="98" spans="1:8">
      <c r="A98">
        <v>96</v>
      </c>
      <c r="B98">
        <v>97</v>
      </c>
      <c r="C98">
        <v>0.2273</v>
      </c>
      <c r="D98">
        <v>0.47</v>
      </c>
      <c r="E98">
        <v>0.16420000000000001</v>
      </c>
      <c r="F98">
        <v>0</v>
      </c>
      <c r="G98">
        <v>3</v>
      </c>
      <c r="H98">
        <v>3</v>
      </c>
    </row>
    <row r="99" spans="1:8">
      <c r="A99">
        <v>97</v>
      </c>
      <c r="B99">
        <v>98</v>
      </c>
      <c r="C99">
        <v>0.19700000000000001</v>
      </c>
      <c r="D99">
        <v>0.47</v>
      </c>
      <c r="E99">
        <v>0.22389999999999999</v>
      </c>
      <c r="F99">
        <v>0</v>
      </c>
      <c r="G99">
        <v>33</v>
      </c>
      <c r="H99">
        <v>33</v>
      </c>
    </row>
    <row r="100" spans="1:8">
      <c r="A100">
        <v>98</v>
      </c>
      <c r="B100">
        <v>99</v>
      </c>
      <c r="C100">
        <v>0.18179999999999999</v>
      </c>
      <c r="D100">
        <v>0.43</v>
      </c>
      <c r="E100">
        <v>0.19400000000000001</v>
      </c>
      <c r="F100">
        <v>1</v>
      </c>
      <c r="G100">
        <v>87</v>
      </c>
      <c r="H100">
        <v>88</v>
      </c>
    </row>
    <row r="101" spans="1:8">
      <c r="A101">
        <v>99</v>
      </c>
      <c r="B101">
        <v>100</v>
      </c>
      <c r="C101">
        <v>0.18179999999999999</v>
      </c>
      <c r="D101">
        <v>0.4</v>
      </c>
      <c r="E101">
        <v>0.29849999999999999</v>
      </c>
      <c r="F101">
        <v>3</v>
      </c>
      <c r="G101">
        <v>192</v>
      </c>
      <c r="H101">
        <v>195</v>
      </c>
    </row>
    <row r="102" spans="1:8">
      <c r="A102">
        <v>100</v>
      </c>
      <c r="B102">
        <v>101</v>
      </c>
      <c r="C102">
        <v>0.19700000000000001</v>
      </c>
      <c r="D102">
        <v>0.37</v>
      </c>
      <c r="E102">
        <v>0.32840000000000003</v>
      </c>
      <c r="F102">
        <v>6</v>
      </c>
      <c r="G102">
        <v>109</v>
      </c>
      <c r="H102">
        <v>115</v>
      </c>
    </row>
    <row r="103" spans="1:8">
      <c r="A103">
        <v>101</v>
      </c>
      <c r="B103">
        <v>102</v>
      </c>
      <c r="C103">
        <v>0.19700000000000001</v>
      </c>
      <c r="D103">
        <v>0.37</v>
      </c>
      <c r="E103">
        <v>0.32840000000000003</v>
      </c>
      <c r="F103">
        <v>4</v>
      </c>
      <c r="G103">
        <v>53</v>
      </c>
      <c r="H103">
        <v>57</v>
      </c>
    </row>
    <row r="104" spans="1:8">
      <c r="A104">
        <v>102</v>
      </c>
      <c r="B104">
        <v>103</v>
      </c>
      <c r="C104">
        <v>0.2273</v>
      </c>
      <c r="D104">
        <v>0.33</v>
      </c>
      <c r="E104">
        <v>0.32840000000000003</v>
      </c>
      <c r="F104">
        <v>12</v>
      </c>
      <c r="G104">
        <v>34</v>
      </c>
      <c r="H104">
        <v>46</v>
      </c>
    </row>
    <row r="105" spans="1:8">
      <c r="A105">
        <v>103</v>
      </c>
      <c r="B105">
        <v>104</v>
      </c>
      <c r="C105">
        <v>0.2273</v>
      </c>
      <c r="D105">
        <v>0.33</v>
      </c>
      <c r="E105">
        <v>0.32840000000000003</v>
      </c>
      <c r="F105">
        <v>5</v>
      </c>
      <c r="G105">
        <v>74</v>
      </c>
      <c r="H105">
        <v>79</v>
      </c>
    </row>
    <row r="106" spans="1:8">
      <c r="A106">
        <v>104</v>
      </c>
      <c r="B106">
        <v>105</v>
      </c>
      <c r="C106">
        <v>0.2576</v>
      </c>
      <c r="D106">
        <v>0.3</v>
      </c>
      <c r="E106">
        <v>0.29849999999999999</v>
      </c>
      <c r="F106">
        <v>6</v>
      </c>
      <c r="G106">
        <v>65</v>
      </c>
      <c r="H106">
        <v>71</v>
      </c>
    </row>
    <row r="107" spans="1:8">
      <c r="A107">
        <v>105</v>
      </c>
      <c r="B107">
        <v>106</v>
      </c>
      <c r="C107">
        <v>0.28789999999999999</v>
      </c>
      <c r="D107">
        <v>0.28000000000000003</v>
      </c>
      <c r="E107">
        <v>0.19400000000000001</v>
      </c>
      <c r="F107">
        <v>10</v>
      </c>
      <c r="G107">
        <v>52</v>
      </c>
      <c r="H107">
        <v>62</v>
      </c>
    </row>
    <row r="108" spans="1:8">
      <c r="A108">
        <v>106</v>
      </c>
      <c r="B108">
        <v>107</v>
      </c>
      <c r="C108">
        <v>0.28789999999999999</v>
      </c>
      <c r="D108">
        <v>0.28000000000000003</v>
      </c>
      <c r="E108">
        <v>0.19400000000000001</v>
      </c>
      <c r="F108">
        <v>7</v>
      </c>
      <c r="G108">
        <v>55</v>
      </c>
      <c r="H108">
        <v>62</v>
      </c>
    </row>
    <row r="109" spans="1:8">
      <c r="A109">
        <v>107</v>
      </c>
      <c r="B109">
        <v>108</v>
      </c>
      <c r="C109">
        <v>0.31819999999999998</v>
      </c>
      <c r="D109">
        <v>0.28000000000000003</v>
      </c>
      <c r="E109">
        <v>8.9599999999999999E-2</v>
      </c>
      <c r="F109">
        <v>4</v>
      </c>
      <c r="G109">
        <v>85</v>
      </c>
      <c r="H109">
        <v>89</v>
      </c>
    </row>
    <row r="110" spans="1:8">
      <c r="A110">
        <v>108</v>
      </c>
      <c r="B110">
        <v>109</v>
      </c>
      <c r="C110">
        <v>0.2273</v>
      </c>
      <c r="D110">
        <v>0.38</v>
      </c>
      <c r="E110">
        <v>0.19400000000000001</v>
      </c>
      <c r="F110">
        <v>4</v>
      </c>
      <c r="G110">
        <v>186</v>
      </c>
      <c r="H110">
        <v>190</v>
      </c>
    </row>
    <row r="111" spans="1:8">
      <c r="A111">
        <v>109</v>
      </c>
      <c r="B111">
        <v>110</v>
      </c>
      <c r="C111">
        <v>0.2424</v>
      </c>
      <c r="D111">
        <v>0.38</v>
      </c>
      <c r="E111">
        <v>0.1343</v>
      </c>
      <c r="F111">
        <v>3</v>
      </c>
      <c r="G111">
        <v>166</v>
      </c>
      <c r="H111">
        <v>169</v>
      </c>
    </row>
    <row r="112" spans="1:8">
      <c r="A112">
        <v>110</v>
      </c>
      <c r="B112">
        <v>111</v>
      </c>
      <c r="C112">
        <v>0.2576</v>
      </c>
      <c r="D112">
        <v>0.38</v>
      </c>
      <c r="E112">
        <v>0.1045</v>
      </c>
      <c r="F112">
        <v>5</v>
      </c>
      <c r="G112">
        <v>127</v>
      </c>
      <c r="H112">
        <v>132</v>
      </c>
    </row>
    <row r="113" spans="1:8">
      <c r="A113">
        <v>111</v>
      </c>
      <c r="B113">
        <v>112</v>
      </c>
      <c r="C113">
        <v>0.2273</v>
      </c>
      <c r="D113">
        <v>0.47</v>
      </c>
      <c r="E113">
        <v>0.16420000000000001</v>
      </c>
      <c r="F113">
        <v>7</v>
      </c>
      <c r="G113">
        <v>82</v>
      </c>
      <c r="H113">
        <v>89</v>
      </c>
    </row>
    <row r="114" spans="1:8">
      <c r="A114">
        <v>112</v>
      </c>
      <c r="B114">
        <v>113</v>
      </c>
      <c r="C114">
        <v>0.19700000000000001</v>
      </c>
      <c r="D114">
        <v>0.51</v>
      </c>
      <c r="E114">
        <v>0.19400000000000001</v>
      </c>
      <c r="F114">
        <v>3</v>
      </c>
      <c r="G114">
        <v>40</v>
      </c>
      <c r="H114">
        <v>43</v>
      </c>
    </row>
    <row r="115" spans="1:8">
      <c r="A115">
        <v>113</v>
      </c>
      <c r="B115">
        <v>114</v>
      </c>
      <c r="C115">
        <v>0.19700000000000001</v>
      </c>
      <c r="D115">
        <v>0.55000000000000004</v>
      </c>
      <c r="E115">
        <v>0.1343</v>
      </c>
      <c r="F115">
        <v>1</v>
      </c>
      <c r="G115">
        <v>41</v>
      </c>
      <c r="H115">
        <v>42</v>
      </c>
    </row>
    <row r="116" spans="1:8">
      <c r="A116">
        <v>114</v>
      </c>
      <c r="B116">
        <v>115</v>
      </c>
      <c r="C116">
        <v>0.2576</v>
      </c>
      <c r="D116">
        <v>0.47</v>
      </c>
      <c r="E116">
        <v>0</v>
      </c>
      <c r="F116">
        <v>1</v>
      </c>
      <c r="G116">
        <v>18</v>
      </c>
      <c r="H116">
        <v>19</v>
      </c>
    </row>
    <row r="117" spans="1:8">
      <c r="A117">
        <v>115</v>
      </c>
      <c r="B117">
        <v>116</v>
      </c>
      <c r="C117">
        <v>0.2424</v>
      </c>
      <c r="D117">
        <v>0.55000000000000004</v>
      </c>
      <c r="E117">
        <v>0</v>
      </c>
      <c r="F117">
        <v>0</v>
      </c>
      <c r="G117">
        <v>11</v>
      </c>
      <c r="H117">
        <v>11</v>
      </c>
    </row>
    <row r="118" spans="1:8">
      <c r="A118">
        <v>116</v>
      </c>
      <c r="B118">
        <v>117</v>
      </c>
      <c r="C118">
        <v>0.2273</v>
      </c>
      <c r="D118">
        <v>0.64</v>
      </c>
      <c r="E118">
        <v>0</v>
      </c>
      <c r="F118">
        <v>0</v>
      </c>
      <c r="G118">
        <v>4</v>
      </c>
      <c r="H118">
        <v>4</v>
      </c>
    </row>
    <row r="119" spans="1:8">
      <c r="A119">
        <v>117</v>
      </c>
      <c r="B119">
        <v>118</v>
      </c>
      <c r="C119">
        <v>0.2273</v>
      </c>
      <c r="D119">
        <v>0.64</v>
      </c>
      <c r="E119">
        <v>0</v>
      </c>
      <c r="F119">
        <v>0</v>
      </c>
      <c r="G119">
        <v>2</v>
      </c>
      <c r="H119">
        <v>2</v>
      </c>
    </row>
    <row r="120" spans="1:8">
      <c r="A120">
        <v>118</v>
      </c>
      <c r="B120">
        <v>119</v>
      </c>
      <c r="C120">
        <v>0.19700000000000001</v>
      </c>
      <c r="D120">
        <v>0.64</v>
      </c>
      <c r="E120">
        <v>8.9599999999999999E-2</v>
      </c>
      <c r="F120">
        <v>0</v>
      </c>
      <c r="G120">
        <v>1</v>
      </c>
      <c r="H120">
        <v>1</v>
      </c>
    </row>
    <row r="121" spans="1:8">
      <c r="A121">
        <v>119</v>
      </c>
      <c r="B121">
        <v>120</v>
      </c>
      <c r="C121">
        <v>0.18179999999999999</v>
      </c>
      <c r="D121">
        <v>0.69</v>
      </c>
      <c r="E121">
        <v>8.9599999999999999E-2</v>
      </c>
      <c r="F121">
        <v>0</v>
      </c>
      <c r="G121">
        <v>4</v>
      </c>
      <c r="H121">
        <v>4</v>
      </c>
    </row>
    <row r="122" spans="1:8">
      <c r="A122">
        <v>120</v>
      </c>
      <c r="B122">
        <v>121</v>
      </c>
      <c r="C122">
        <v>0.16669999999999999</v>
      </c>
      <c r="D122">
        <v>0.63</v>
      </c>
      <c r="E122">
        <v>0.1045</v>
      </c>
      <c r="F122">
        <v>0</v>
      </c>
      <c r="G122">
        <v>36</v>
      </c>
      <c r="H122">
        <v>36</v>
      </c>
    </row>
    <row r="123" spans="1:8">
      <c r="A123">
        <v>121</v>
      </c>
      <c r="B123">
        <v>122</v>
      </c>
      <c r="C123">
        <v>0.2273</v>
      </c>
      <c r="D123">
        <v>0.59</v>
      </c>
      <c r="E123">
        <v>0</v>
      </c>
      <c r="F123">
        <v>0</v>
      </c>
      <c r="G123">
        <v>95</v>
      </c>
      <c r="H123">
        <v>95</v>
      </c>
    </row>
    <row r="124" spans="1:8">
      <c r="A124">
        <v>122</v>
      </c>
      <c r="B124">
        <v>123</v>
      </c>
      <c r="C124">
        <v>0.2273</v>
      </c>
      <c r="D124">
        <v>0.59</v>
      </c>
      <c r="E124">
        <v>0</v>
      </c>
      <c r="F124">
        <v>3</v>
      </c>
      <c r="G124">
        <v>216</v>
      </c>
      <c r="H124">
        <v>219</v>
      </c>
    </row>
    <row r="125" spans="1:8">
      <c r="A125">
        <v>123</v>
      </c>
      <c r="B125">
        <v>124</v>
      </c>
      <c r="C125">
        <v>0.2424</v>
      </c>
      <c r="D125">
        <v>0.51</v>
      </c>
      <c r="E125">
        <v>0</v>
      </c>
      <c r="F125">
        <v>6</v>
      </c>
      <c r="G125">
        <v>116</v>
      </c>
      <c r="H125">
        <v>122</v>
      </c>
    </row>
    <row r="126" spans="1:8">
      <c r="A126">
        <v>124</v>
      </c>
      <c r="B126">
        <v>125</v>
      </c>
      <c r="C126">
        <v>0.2576</v>
      </c>
      <c r="D126">
        <v>0.47</v>
      </c>
      <c r="E126">
        <v>0</v>
      </c>
      <c r="F126">
        <v>3</v>
      </c>
      <c r="G126">
        <v>42</v>
      </c>
      <c r="H126">
        <v>45</v>
      </c>
    </row>
    <row r="127" spans="1:8">
      <c r="A127">
        <v>125</v>
      </c>
      <c r="B127">
        <v>126</v>
      </c>
      <c r="C127">
        <v>0.2576</v>
      </c>
      <c r="D127">
        <v>0.44</v>
      </c>
      <c r="E127">
        <v>8.9599999999999999E-2</v>
      </c>
      <c r="F127">
        <v>2</v>
      </c>
      <c r="G127">
        <v>57</v>
      </c>
      <c r="H127">
        <v>59</v>
      </c>
    </row>
    <row r="128" spans="1:8">
      <c r="A128">
        <v>126</v>
      </c>
      <c r="B128">
        <v>127</v>
      </c>
      <c r="C128">
        <v>0.28789999999999999</v>
      </c>
      <c r="D128">
        <v>0.35</v>
      </c>
      <c r="E128">
        <v>0</v>
      </c>
      <c r="F128">
        <v>6</v>
      </c>
      <c r="G128">
        <v>78</v>
      </c>
      <c r="H128">
        <v>84</v>
      </c>
    </row>
    <row r="129" spans="1:8">
      <c r="A129">
        <v>127</v>
      </c>
      <c r="B129">
        <v>128</v>
      </c>
      <c r="C129">
        <v>0.2727</v>
      </c>
      <c r="D129">
        <v>0.35</v>
      </c>
      <c r="E129">
        <v>0.1045</v>
      </c>
      <c r="F129">
        <v>12</v>
      </c>
      <c r="G129">
        <v>55</v>
      </c>
      <c r="H129">
        <v>67</v>
      </c>
    </row>
    <row r="130" spans="1:8">
      <c r="A130">
        <v>128</v>
      </c>
      <c r="B130">
        <v>129</v>
      </c>
      <c r="C130">
        <v>0.2727</v>
      </c>
      <c r="D130">
        <v>0.36</v>
      </c>
      <c r="E130">
        <v>0.16420000000000001</v>
      </c>
      <c r="F130">
        <v>11</v>
      </c>
      <c r="G130">
        <v>59</v>
      </c>
      <c r="H130">
        <v>70</v>
      </c>
    </row>
    <row r="131" spans="1:8">
      <c r="A131">
        <v>129</v>
      </c>
      <c r="B131">
        <v>130</v>
      </c>
      <c r="C131">
        <v>0.2727</v>
      </c>
      <c r="D131">
        <v>0.36</v>
      </c>
      <c r="E131">
        <v>0</v>
      </c>
      <c r="F131">
        <v>8</v>
      </c>
      <c r="G131">
        <v>54</v>
      </c>
      <c r="H131">
        <v>62</v>
      </c>
    </row>
    <row r="132" spans="1:8">
      <c r="A132">
        <v>130</v>
      </c>
      <c r="B132">
        <v>131</v>
      </c>
      <c r="C132">
        <v>0.2576</v>
      </c>
      <c r="D132">
        <v>0.38</v>
      </c>
      <c r="E132">
        <v>0.16420000000000001</v>
      </c>
      <c r="F132">
        <v>12</v>
      </c>
      <c r="G132">
        <v>74</v>
      </c>
      <c r="H132">
        <v>86</v>
      </c>
    </row>
    <row r="133" spans="1:8">
      <c r="A133">
        <v>131</v>
      </c>
      <c r="B133">
        <v>132</v>
      </c>
      <c r="C133">
        <v>0.2273</v>
      </c>
      <c r="D133">
        <v>0.51</v>
      </c>
      <c r="E133">
        <v>0.16420000000000001</v>
      </c>
      <c r="F133">
        <v>9</v>
      </c>
      <c r="G133">
        <v>163</v>
      </c>
      <c r="H133">
        <v>172</v>
      </c>
    </row>
    <row r="134" spans="1:8">
      <c r="A134">
        <v>132</v>
      </c>
      <c r="B134">
        <v>133</v>
      </c>
      <c r="C134">
        <v>0.2273</v>
      </c>
      <c r="D134">
        <v>0.51</v>
      </c>
      <c r="E134">
        <v>0.1343</v>
      </c>
      <c r="F134">
        <v>5</v>
      </c>
      <c r="G134">
        <v>158</v>
      </c>
      <c r="H134">
        <v>163</v>
      </c>
    </row>
    <row r="135" spans="1:8">
      <c r="A135">
        <v>133</v>
      </c>
      <c r="B135">
        <v>134</v>
      </c>
      <c r="C135">
        <v>0.2576</v>
      </c>
      <c r="D135">
        <v>0.55000000000000004</v>
      </c>
      <c r="E135">
        <v>8.9599999999999999E-2</v>
      </c>
      <c r="F135">
        <v>3</v>
      </c>
      <c r="G135">
        <v>109</v>
      </c>
      <c r="H135">
        <v>112</v>
      </c>
    </row>
    <row r="136" spans="1:8">
      <c r="A136">
        <v>134</v>
      </c>
      <c r="B136">
        <v>135</v>
      </c>
      <c r="C136">
        <v>0.21210000000000001</v>
      </c>
      <c r="D136">
        <v>0.51</v>
      </c>
      <c r="E136">
        <v>0.16420000000000001</v>
      </c>
      <c r="F136">
        <v>3</v>
      </c>
      <c r="G136">
        <v>66</v>
      </c>
      <c r="H136">
        <v>69</v>
      </c>
    </row>
    <row r="137" spans="1:8">
      <c r="A137">
        <v>135</v>
      </c>
      <c r="B137">
        <v>136</v>
      </c>
      <c r="C137">
        <v>0.21210000000000001</v>
      </c>
      <c r="D137">
        <v>0.55000000000000004</v>
      </c>
      <c r="E137">
        <v>0.22389999999999999</v>
      </c>
      <c r="F137">
        <v>0</v>
      </c>
      <c r="G137">
        <v>48</v>
      </c>
      <c r="H137">
        <v>48</v>
      </c>
    </row>
    <row r="138" spans="1:8">
      <c r="A138">
        <v>136</v>
      </c>
      <c r="B138">
        <v>137</v>
      </c>
      <c r="C138">
        <v>0.21210000000000001</v>
      </c>
      <c r="D138">
        <v>0.51</v>
      </c>
      <c r="E138">
        <v>0.28360000000000002</v>
      </c>
      <c r="F138">
        <v>1</v>
      </c>
      <c r="G138">
        <v>51</v>
      </c>
      <c r="H138">
        <v>52</v>
      </c>
    </row>
    <row r="139" spans="1:8">
      <c r="A139">
        <v>137</v>
      </c>
      <c r="B139">
        <v>138</v>
      </c>
      <c r="C139">
        <v>0.19700000000000001</v>
      </c>
      <c r="D139">
        <v>0.59</v>
      </c>
      <c r="E139">
        <v>0.19400000000000001</v>
      </c>
      <c r="F139">
        <v>4</v>
      </c>
      <c r="G139">
        <v>19</v>
      </c>
      <c r="H139">
        <v>23</v>
      </c>
    </row>
    <row r="140" spans="1:8">
      <c r="A140">
        <v>138</v>
      </c>
      <c r="B140">
        <v>139</v>
      </c>
      <c r="C140">
        <v>0.19700000000000001</v>
      </c>
      <c r="D140">
        <v>0.64</v>
      </c>
      <c r="E140">
        <v>0.19400000000000001</v>
      </c>
      <c r="F140">
        <v>4</v>
      </c>
      <c r="G140">
        <v>13</v>
      </c>
      <c r="H140">
        <v>17</v>
      </c>
    </row>
    <row r="141" spans="1:8">
      <c r="A141">
        <v>139</v>
      </c>
      <c r="B141">
        <v>140</v>
      </c>
      <c r="C141">
        <v>0.19700000000000001</v>
      </c>
      <c r="D141">
        <v>0.69</v>
      </c>
      <c r="E141">
        <v>0.22389999999999999</v>
      </c>
      <c r="F141">
        <v>2</v>
      </c>
      <c r="G141">
        <v>5</v>
      </c>
      <c r="H141">
        <v>7</v>
      </c>
    </row>
    <row r="142" spans="1:8">
      <c r="A142">
        <v>140</v>
      </c>
      <c r="B142">
        <v>141</v>
      </c>
      <c r="C142">
        <v>0.19700000000000001</v>
      </c>
      <c r="D142">
        <v>0.69</v>
      </c>
      <c r="E142">
        <v>0.22389999999999999</v>
      </c>
      <c r="F142">
        <v>0</v>
      </c>
      <c r="G142">
        <v>1</v>
      </c>
      <c r="H142">
        <v>1</v>
      </c>
    </row>
    <row r="143" spans="1:8">
      <c r="A143">
        <v>141</v>
      </c>
      <c r="B143">
        <v>142</v>
      </c>
      <c r="C143">
        <v>0.21210000000000001</v>
      </c>
      <c r="D143">
        <v>0.69</v>
      </c>
      <c r="E143">
        <v>0.1343</v>
      </c>
      <c r="F143">
        <v>0</v>
      </c>
      <c r="G143">
        <v>1</v>
      </c>
      <c r="H143">
        <v>1</v>
      </c>
    </row>
    <row r="144" spans="1:8">
      <c r="A144">
        <v>142</v>
      </c>
      <c r="B144">
        <v>143</v>
      </c>
      <c r="C144">
        <v>0.2727</v>
      </c>
      <c r="D144">
        <v>0.55000000000000004</v>
      </c>
      <c r="E144">
        <v>0</v>
      </c>
      <c r="F144">
        <v>0</v>
      </c>
      <c r="G144">
        <v>5</v>
      </c>
      <c r="H144">
        <v>5</v>
      </c>
    </row>
    <row r="145" spans="1:8">
      <c r="A145">
        <v>143</v>
      </c>
      <c r="B145">
        <v>144</v>
      </c>
      <c r="C145">
        <v>0.2576</v>
      </c>
      <c r="D145">
        <v>0.69</v>
      </c>
      <c r="E145">
        <v>0</v>
      </c>
      <c r="F145">
        <v>8</v>
      </c>
      <c r="G145">
        <v>26</v>
      </c>
      <c r="H145">
        <v>34</v>
      </c>
    </row>
    <row r="146" spans="1:8">
      <c r="A146">
        <v>144</v>
      </c>
      <c r="B146">
        <v>145</v>
      </c>
      <c r="C146">
        <v>0.21210000000000001</v>
      </c>
      <c r="D146">
        <v>0.69</v>
      </c>
      <c r="E146">
        <v>0.1343</v>
      </c>
      <c r="F146">
        <v>8</v>
      </c>
      <c r="G146">
        <v>76</v>
      </c>
      <c r="H146">
        <v>84</v>
      </c>
    </row>
    <row r="147" spans="1:8">
      <c r="A147">
        <v>145</v>
      </c>
      <c r="B147">
        <v>146</v>
      </c>
      <c r="C147">
        <v>0.19700000000000001</v>
      </c>
      <c r="D147">
        <v>0.51</v>
      </c>
      <c r="E147">
        <v>0.25369999999999998</v>
      </c>
      <c r="F147">
        <v>20</v>
      </c>
      <c r="G147">
        <v>190</v>
      </c>
      <c r="H147">
        <v>210</v>
      </c>
    </row>
    <row r="148" spans="1:8">
      <c r="A148">
        <v>146</v>
      </c>
      <c r="B148">
        <v>147</v>
      </c>
      <c r="C148">
        <v>0.18179999999999999</v>
      </c>
      <c r="D148">
        <v>0.47</v>
      </c>
      <c r="E148">
        <v>0.29849999999999999</v>
      </c>
      <c r="F148">
        <v>9</v>
      </c>
      <c r="G148">
        <v>125</v>
      </c>
      <c r="H148">
        <v>134</v>
      </c>
    </row>
    <row r="149" spans="1:8">
      <c r="A149">
        <v>147</v>
      </c>
      <c r="B149">
        <v>148</v>
      </c>
      <c r="C149">
        <v>0.19700000000000001</v>
      </c>
      <c r="D149">
        <v>0.37</v>
      </c>
      <c r="E149">
        <v>0.32840000000000003</v>
      </c>
      <c r="F149">
        <v>16</v>
      </c>
      <c r="G149">
        <v>47</v>
      </c>
      <c r="H149">
        <v>63</v>
      </c>
    </row>
    <row r="150" spans="1:8">
      <c r="A150">
        <v>148</v>
      </c>
      <c r="B150">
        <v>149</v>
      </c>
      <c r="C150">
        <v>0.19700000000000001</v>
      </c>
      <c r="D150">
        <v>0.4</v>
      </c>
      <c r="E150">
        <v>0.22389999999999999</v>
      </c>
      <c r="F150">
        <v>19</v>
      </c>
      <c r="G150">
        <v>48</v>
      </c>
      <c r="H150">
        <v>67</v>
      </c>
    </row>
    <row r="151" spans="1:8">
      <c r="A151">
        <v>149</v>
      </c>
      <c r="B151">
        <v>150</v>
      </c>
      <c r="C151">
        <v>0.19700000000000001</v>
      </c>
      <c r="D151">
        <v>0.37</v>
      </c>
      <c r="E151">
        <v>0.25369999999999998</v>
      </c>
      <c r="F151">
        <v>9</v>
      </c>
      <c r="G151">
        <v>50</v>
      </c>
      <c r="H151">
        <v>59</v>
      </c>
    </row>
    <row r="152" spans="1:8">
      <c r="A152">
        <v>150</v>
      </c>
      <c r="B152">
        <v>151</v>
      </c>
      <c r="C152">
        <v>0.18179999999999999</v>
      </c>
      <c r="D152">
        <v>0.37</v>
      </c>
      <c r="E152">
        <v>0.28360000000000002</v>
      </c>
      <c r="F152">
        <v>9</v>
      </c>
      <c r="G152">
        <v>64</v>
      </c>
      <c r="H152">
        <v>73</v>
      </c>
    </row>
    <row r="153" spans="1:8">
      <c r="A153">
        <v>151</v>
      </c>
      <c r="B153">
        <v>152</v>
      </c>
      <c r="C153">
        <v>0.19700000000000001</v>
      </c>
      <c r="D153">
        <v>0.4</v>
      </c>
      <c r="E153">
        <v>0.25369999999999998</v>
      </c>
      <c r="F153">
        <v>7</v>
      </c>
      <c r="G153">
        <v>43</v>
      </c>
      <c r="H153">
        <v>50</v>
      </c>
    </row>
    <row r="154" spans="1:8">
      <c r="A154">
        <v>152</v>
      </c>
      <c r="B154">
        <v>153</v>
      </c>
      <c r="C154">
        <v>0.21210000000000001</v>
      </c>
      <c r="D154">
        <v>0.37</v>
      </c>
      <c r="E154">
        <v>0.16420000000000001</v>
      </c>
      <c r="F154">
        <v>9</v>
      </c>
      <c r="G154">
        <v>63</v>
      </c>
      <c r="H154">
        <v>72</v>
      </c>
    </row>
    <row r="155" spans="1:8">
      <c r="A155">
        <v>153</v>
      </c>
      <c r="B155">
        <v>154</v>
      </c>
      <c r="C155">
        <v>0.21210000000000001</v>
      </c>
      <c r="D155">
        <v>0.37</v>
      </c>
      <c r="E155">
        <v>0.16420000000000001</v>
      </c>
      <c r="F155">
        <v>5</v>
      </c>
      <c r="G155">
        <v>82</v>
      </c>
      <c r="H155">
        <v>87</v>
      </c>
    </row>
    <row r="156" spans="1:8">
      <c r="A156">
        <v>154</v>
      </c>
      <c r="B156">
        <v>155</v>
      </c>
      <c r="C156">
        <v>0.2576</v>
      </c>
      <c r="D156">
        <v>0.37</v>
      </c>
      <c r="E156">
        <v>0</v>
      </c>
      <c r="F156">
        <v>9</v>
      </c>
      <c r="G156">
        <v>178</v>
      </c>
      <c r="H156">
        <v>187</v>
      </c>
    </row>
    <row r="157" spans="1:8">
      <c r="A157">
        <v>155</v>
      </c>
      <c r="B157">
        <v>156</v>
      </c>
      <c r="C157">
        <v>0.2273</v>
      </c>
      <c r="D157">
        <v>0.4</v>
      </c>
      <c r="E157">
        <v>8.9599999999999999E-2</v>
      </c>
      <c r="F157">
        <v>7</v>
      </c>
      <c r="G157">
        <v>116</v>
      </c>
      <c r="H157">
        <v>123</v>
      </c>
    </row>
    <row r="158" spans="1:8">
      <c r="A158">
        <v>156</v>
      </c>
      <c r="B158">
        <v>157</v>
      </c>
      <c r="C158">
        <v>0.19700000000000001</v>
      </c>
      <c r="D158">
        <v>0.55000000000000004</v>
      </c>
      <c r="E158">
        <v>8.9599999999999999E-2</v>
      </c>
      <c r="F158">
        <v>3</v>
      </c>
      <c r="G158">
        <v>92</v>
      </c>
      <c r="H158">
        <v>95</v>
      </c>
    </row>
    <row r="159" spans="1:8">
      <c r="A159">
        <v>157</v>
      </c>
      <c r="B159">
        <v>158</v>
      </c>
      <c r="C159">
        <v>0.21210000000000001</v>
      </c>
      <c r="D159">
        <v>0.47</v>
      </c>
      <c r="E159">
        <v>0.1045</v>
      </c>
      <c r="F159">
        <v>1</v>
      </c>
      <c r="G159">
        <v>50</v>
      </c>
      <c r="H159">
        <v>51</v>
      </c>
    </row>
    <row r="160" spans="1:8">
      <c r="A160">
        <v>158</v>
      </c>
      <c r="B160">
        <v>159</v>
      </c>
      <c r="C160">
        <v>0.19700000000000001</v>
      </c>
      <c r="D160">
        <v>0.47</v>
      </c>
      <c r="E160">
        <v>0.1343</v>
      </c>
      <c r="F160">
        <v>0</v>
      </c>
      <c r="G160">
        <v>39</v>
      </c>
      <c r="H160">
        <v>39</v>
      </c>
    </row>
    <row r="161" spans="1:8">
      <c r="A161">
        <v>159</v>
      </c>
      <c r="B161">
        <v>160</v>
      </c>
      <c r="C161">
        <v>0.19700000000000001</v>
      </c>
      <c r="D161">
        <v>0.43</v>
      </c>
      <c r="E161">
        <v>0.16420000000000001</v>
      </c>
      <c r="F161">
        <v>2</v>
      </c>
      <c r="G161">
        <v>34</v>
      </c>
      <c r="H161">
        <v>36</v>
      </c>
    </row>
    <row r="162" spans="1:8">
      <c r="A162">
        <v>160</v>
      </c>
      <c r="B162">
        <v>161</v>
      </c>
      <c r="C162">
        <v>0.19700000000000001</v>
      </c>
      <c r="D162">
        <v>0.51</v>
      </c>
      <c r="E162">
        <v>0.16420000000000001</v>
      </c>
      <c r="F162">
        <v>1</v>
      </c>
      <c r="G162">
        <v>14</v>
      </c>
      <c r="H162">
        <v>15</v>
      </c>
    </row>
    <row r="163" spans="1:8">
      <c r="A163">
        <v>161</v>
      </c>
      <c r="B163">
        <v>162</v>
      </c>
      <c r="C163">
        <v>0.19700000000000001</v>
      </c>
      <c r="D163">
        <v>0.51</v>
      </c>
      <c r="E163">
        <v>0.16420000000000001</v>
      </c>
      <c r="F163">
        <v>1</v>
      </c>
      <c r="G163">
        <v>24</v>
      </c>
      <c r="H163">
        <v>25</v>
      </c>
    </row>
    <row r="164" spans="1:8">
      <c r="A164">
        <v>162</v>
      </c>
      <c r="B164">
        <v>163</v>
      </c>
      <c r="C164">
        <v>0.21210000000000001</v>
      </c>
      <c r="D164">
        <v>0.55000000000000004</v>
      </c>
      <c r="E164">
        <v>8.9599999999999999E-2</v>
      </c>
      <c r="F164">
        <v>1</v>
      </c>
      <c r="G164">
        <v>15</v>
      </c>
      <c r="H164">
        <v>16</v>
      </c>
    </row>
    <row r="165" spans="1:8">
      <c r="A165">
        <v>163</v>
      </c>
      <c r="B165">
        <v>164</v>
      </c>
      <c r="C165">
        <v>0.2424</v>
      </c>
      <c r="D165">
        <v>0.55000000000000004</v>
      </c>
      <c r="E165">
        <v>0</v>
      </c>
      <c r="F165">
        <v>3</v>
      </c>
      <c r="G165">
        <v>13</v>
      </c>
      <c r="H165">
        <v>16</v>
      </c>
    </row>
    <row r="166" spans="1:8">
      <c r="A166">
        <v>164</v>
      </c>
      <c r="B166">
        <v>165</v>
      </c>
      <c r="C166">
        <v>0.19700000000000001</v>
      </c>
      <c r="D166">
        <v>0.55000000000000004</v>
      </c>
      <c r="E166">
        <v>0.16420000000000001</v>
      </c>
      <c r="F166">
        <v>0</v>
      </c>
      <c r="G166">
        <v>7</v>
      </c>
      <c r="H166">
        <v>7</v>
      </c>
    </row>
    <row r="167" spans="1:8">
      <c r="A167">
        <v>165</v>
      </c>
      <c r="B167">
        <v>166</v>
      </c>
      <c r="C167">
        <v>0.19700000000000001</v>
      </c>
      <c r="D167">
        <v>0.55000000000000004</v>
      </c>
      <c r="E167">
        <v>0.16420000000000001</v>
      </c>
      <c r="F167">
        <v>0</v>
      </c>
      <c r="G167">
        <v>1</v>
      </c>
      <c r="H167">
        <v>1</v>
      </c>
    </row>
    <row r="168" spans="1:8">
      <c r="A168">
        <v>166</v>
      </c>
      <c r="B168">
        <v>167</v>
      </c>
      <c r="C168">
        <v>0.16669999999999999</v>
      </c>
      <c r="D168">
        <v>0.74</v>
      </c>
      <c r="E168">
        <v>0.16420000000000001</v>
      </c>
      <c r="F168">
        <v>0</v>
      </c>
      <c r="G168">
        <v>5</v>
      </c>
      <c r="H168">
        <v>5</v>
      </c>
    </row>
    <row r="169" spans="1:8">
      <c r="A169">
        <v>167</v>
      </c>
      <c r="B169">
        <v>168</v>
      </c>
      <c r="C169">
        <v>0.16669999999999999</v>
      </c>
      <c r="D169">
        <v>0.74</v>
      </c>
      <c r="E169">
        <v>0.16420000000000001</v>
      </c>
      <c r="F169">
        <v>0</v>
      </c>
      <c r="G169">
        <v>2</v>
      </c>
      <c r="H169">
        <v>2</v>
      </c>
    </row>
    <row r="170" spans="1:8">
      <c r="A170">
        <v>168</v>
      </c>
      <c r="B170">
        <v>169</v>
      </c>
      <c r="C170">
        <v>0.18179999999999999</v>
      </c>
      <c r="D170">
        <v>0.74</v>
      </c>
      <c r="E170">
        <v>0.1045</v>
      </c>
      <c r="F170">
        <v>1</v>
      </c>
      <c r="G170">
        <v>8</v>
      </c>
      <c r="H170">
        <v>9</v>
      </c>
    </row>
    <row r="171" spans="1:8">
      <c r="A171">
        <v>169</v>
      </c>
      <c r="B171">
        <v>170</v>
      </c>
      <c r="C171">
        <v>0.18179999999999999</v>
      </c>
      <c r="D171">
        <v>0.93</v>
      </c>
      <c r="E171">
        <v>0.1045</v>
      </c>
      <c r="F171">
        <v>0</v>
      </c>
      <c r="G171">
        <v>15</v>
      </c>
      <c r="H171">
        <v>15</v>
      </c>
    </row>
    <row r="172" spans="1:8">
      <c r="A172">
        <v>170</v>
      </c>
      <c r="B172">
        <v>171</v>
      </c>
      <c r="C172">
        <v>0.18179999999999999</v>
      </c>
      <c r="D172">
        <v>0.93</v>
      </c>
      <c r="E172">
        <v>0.1045</v>
      </c>
      <c r="F172">
        <v>0</v>
      </c>
      <c r="G172">
        <v>20</v>
      </c>
      <c r="H172">
        <v>20</v>
      </c>
    </row>
    <row r="173" spans="1:8">
      <c r="A173">
        <v>171</v>
      </c>
      <c r="B173">
        <v>172</v>
      </c>
      <c r="C173">
        <v>0.19700000000000001</v>
      </c>
      <c r="D173">
        <v>0.8</v>
      </c>
      <c r="E173">
        <v>0.16420000000000001</v>
      </c>
      <c r="F173">
        <v>5</v>
      </c>
      <c r="G173">
        <v>56</v>
      </c>
      <c r="H173">
        <v>61</v>
      </c>
    </row>
    <row r="174" spans="1:8">
      <c r="A174">
        <v>172</v>
      </c>
      <c r="B174">
        <v>173</v>
      </c>
      <c r="C174">
        <v>0.18179999999999999</v>
      </c>
      <c r="D174">
        <v>0.69</v>
      </c>
      <c r="E174">
        <v>0.3881</v>
      </c>
      <c r="F174">
        <v>2</v>
      </c>
      <c r="G174">
        <v>60</v>
      </c>
      <c r="H174">
        <v>62</v>
      </c>
    </row>
    <row r="175" spans="1:8">
      <c r="A175">
        <v>173</v>
      </c>
      <c r="B175">
        <v>174</v>
      </c>
      <c r="C175">
        <v>0.18179999999999999</v>
      </c>
      <c r="D175">
        <v>0.59</v>
      </c>
      <c r="E175">
        <v>0.35820000000000002</v>
      </c>
      <c r="F175">
        <v>8</v>
      </c>
      <c r="G175">
        <v>90</v>
      </c>
      <c r="H175">
        <v>98</v>
      </c>
    </row>
    <row r="176" spans="1:8">
      <c r="A176">
        <v>174</v>
      </c>
      <c r="B176">
        <v>175</v>
      </c>
      <c r="C176">
        <v>0.18179999999999999</v>
      </c>
      <c r="D176">
        <v>0.44</v>
      </c>
      <c r="E176">
        <v>0.32840000000000003</v>
      </c>
      <c r="F176">
        <v>7</v>
      </c>
      <c r="G176">
        <v>95</v>
      </c>
      <c r="H176">
        <v>102</v>
      </c>
    </row>
    <row r="177" spans="1:8">
      <c r="A177">
        <v>175</v>
      </c>
      <c r="B177">
        <v>176</v>
      </c>
      <c r="C177">
        <v>0.16669999999999999</v>
      </c>
      <c r="D177">
        <v>0.32</v>
      </c>
      <c r="E177">
        <v>0.49249999999999999</v>
      </c>
      <c r="F177">
        <v>12</v>
      </c>
      <c r="G177">
        <v>83</v>
      </c>
      <c r="H177">
        <v>95</v>
      </c>
    </row>
    <row r="178" spans="1:8">
      <c r="A178">
        <v>176</v>
      </c>
      <c r="B178">
        <v>177</v>
      </c>
      <c r="C178">
        <v>0.16669999999999999</v>
      </c>
      <c r="D178">
        <v>0.32</v>
      </c>
      <c r="E178">
        <v>0.44779999999999998</v>
      </c>
      <c r="F178">
        <v>5</v>
      </c>
      <c r="G178">
        <v>69</v>
      </c>
      <c r="H178">
        <v>74</v>
      </c>
    </row>
    <row r="179" spans="1:8">
      <c r="A179">
        <v>177</v>
      </c>
      <c r="B179">
        <v>178</v>
      </c>
      <c r="C179">
        <v>0.13639999999999999</v>
      </c>
      <c r="D179">
        <v>0.28999999999999998</v>
      </c>
      <c r="E179">
        <v>0.44779999999999998</v>
      </c>
      <c r="F179">
        <v>8</v>
      </c>
      <c r="G179">
        <v>68</v>
      </c>
      <c r="H179">
        <v>76</v>
      </c>
    </row>
    <row r="180" spans="1:8">
      <c r="A180">
        <v>178</v>
      </c>
      <c r="B180">
        <v>179</v>
      </c>
      <c r="C180">
        <v>0.1212</v>
      </c>
      <c r="D180">
        <v>0.37</v>
      </c>
      <c r="E180">
        <v>0.55220000000000002</v>
      </c>
      <c r="F180">
        <v>5</v>
      </c>
      <c r="G180">
        <v>64</v>
      </c>
      <c r="H180">
        <v>69</v>
      </c>
    </row>
    <row r="181" spans="1:8">
      <c r="A181">
        <v>179</v>
      </c>
      <c r="B181">
        <v>180</v>
      </c>
      <c r="C181">
        <v>0.1212</v>
      </c>
      <c r="D181">
        <v>0.39</v>
      </c>
      <c r="E181">
        <v>0.29849999999999999</v>
      </c>
      <c r="F181">
        <v>3</v>
      </c>
      <c r="G181">
        <v>52</v>
      </c>
      <c r="H181">
        <v>55</v>
      </c>
    </row>
    <row r="182" spans="1:8">
      <c r="A182">
        <v>180</v>
      </c>
      <c r="B182">
        <v>181</v>
      </c>
      <c r="C182">
        <v>0.1212</v>
      </c>
      <c r="D182">
        <v>0.36</v>
      </c>
      <c r="E182">
        <v>0.25369999999999998</v>
      </c>
      <c r="F182">
        <v>4</v>
      </c>
      <c r="G182">
        <v>26</v>
      </c>
      <c r="H182">
        <v>30</v>
      </c>
    </row>
    <row r="183" spans="1:8">
      <c r="A183">
        <v>181</v>
      </c>
      <c r="B183">
        <v>182</v>
      </c>
      <c r="C183">
        <v>0.1212</v>
      </c>
      <c r="D183">
        <v>0.36</v>
      </c>
      <c r="E183">
        <v>0.25369999999999998</v>
      </c>
      <c r="F183">
        <v>0</v>
      </c>
      <c r="G183">
        <v>28</v>
      </c>
      <c r="H183">
        <v>28</v>
      </c>
    </row>
    <row r="184" spans="1:8">
      <c r="A184">
        <v>182</v>
      </c>
      <c r="B184">
        <v>183</v>
      </c>
      <c r="C184">
        <v>0.1061</v>
      </c>
      <c r="D184">
        <v>0.39</v>
      </c>
      <c r="E184">
        <v>0.35820000000000002</v>
      </c>
      <c r="F184">
        <v>2</v>
      </c>
      <c r="G184">
        <v>35</v>
      </c>
      <c r="H184">
        <v>37</v>
      </c>
    </row>
    <row r="185" spans="1:8">
      <c r="A185">
        <v>183</v>
      </c>
      <c r="B185">
        <v>184</v>
      </c>
      <c r="C185">
        <v>0.1061</v>
      </c>
      <c r="D185">
        <v>0.36</v>
      </c>
      <c r="E185">
        <v>0.3881</v>
      </c>
      <c r="F185">
        <v>1</v>
      </c>
      <c r="G185">
        <v>33</v>
      </c>
      <c r="H185">
        <v>34</v>
      </c>
    </row>
    <row r="186" spans="1:8">
      <c r="A186">
        <v>184</v>
      </c>
      <c r="B186">
        <v>185</v>
      </c>
      <c r="C186">
        <v>6.0600000000000001E-2</v>
      </c>
      <c r="D186">
        <v>0.39</v>
      </c>
      <c r="E186">
        <v>0.44779999999999998</v>
      </c>
      <c r="F186">
        <v>0</v>
      </c>
      <c r="G186">
        <v>22</v>
      </c>
      <c r="H186">
        <v>22</v>
      </c>
    </row>
    <row r="187" spans="1:8">
      <c r="A187">
        <v>185</v>
      </c>
      <c r="B187">
        <v>186</v>
      </c>
      <c r="C187">
        <v>7.5800000000000006E-2</v>
      </c>
      <c r="D187">
        <v>0.42</v>
      </c>
      <c r="E187">
        <v>0.3881</v>
      </c>
      <c r="F187">
        <v>1</v>
      </c>
      <c r="G187">
        <v>24</v>
      </c>
      <c r="H187">
        <v>25</v>
      </c>
    </row>
    <row r="188" spans="1:8">
      <c r="A188">
        <v>186</v>
      </c>
      <c r="B188">
        <v>187</v>
      </c>
      <c r="C188">
        <v>6.0600000000000001E-2</v>
      </c>
      <c r="D188">
        <v>0.42</v>
      </c>
      <c r="E188">
        <v>0.4627</v>
      </c>
      <c r="F188">
        <v>0</v>
      </c>
      <c r="G188">
        <v>12</v>
      </c>
      <c r="H188">
        <v>12</v>
      </c>
    </row>
    <row r="189" spans="1:8">
      <c r="A189">
        <v>187</v>
      </c>
      <c r="B189">
        <v>188</v>
      </c>
      <c r="C189">
        <v>6.0600000000000001E-2</v>
      </c>
      <c r="D189">
        <v>0.46</v>
      </c>
      <c r="E189">
        <v>0.4627</v>
      </c>
      <c r="F189">
        <v>0</v>
      </c>
      <c r="G189">
        <v>11</v>
      </c>
      <c r="H189">
        <v>11</v>
      </c>
    </row>
    <row r="190" spans="1:8">
      <c r="A190">
        <v>188</v>
      </c>
      <c r="B190">
        <v>189</v>
      </c>
      <c r="C190">
        <v>7.5800000000000006E-2</v>
      </c>
      <c r="D190">
        <v>0.46</v>
      </c>
      <c r="E190">
        <v>0.41789999999999999</v>
      </c>
      <c r="F190">
        <v>0</v>
      </c>
      <c r="G190">
        <v>4</v>
      </c>
      <c r="H190">
        <v>4</v>
      </c>
    </row>
    <row r="191" spans="1:8">
      <c r="A191">
        <v>189</v>
      </c>
      <c r="B191">
        <v>190</v>
      </c>
      <c r="C191">
        <v>9.0899999999999995E-2</v>
      </c>
      <c r="D191">
        <v>0.53</v>
      </c>
      <c r="E191">
        <v>0.19400000000000001</v>
      </c>
      <c r="F191">
        <v>0</v>
      </c>
      <c r="G191">
        <v>1</v>
      </c>
      <c r="H191">
        <v>1</v>
      </c>
    </row>
    <row r="192" spans="1:8">
      <c r="A192">
        <v>190</v>
      </c>
      <c r="B192">
        <v>191</v>
      </c>
      <c r="C192">
        <v>9.0899999999999995E-2</v>
      </c>
      <c r="D192">
        <v>0.53</v>
      </c>
      <c r="E192">
        <v>0.19400000000000001</v>
      </c>
      <c r="F192">
        <v>0</v>
      </c>
      <c r="G192">
        <v>1</v>
      </c>
      <c r="H192">
        <v>1</v>
      </c>
    </row>
    <row r="193" spans="1:8">
      <c r="A193">
        <v>191</v>
      </c>
      <c r="B193">
        <v>192</v>
      </c>
      <c r="C193">
        <v>9.0899999999999995E-2</v>
      </c>
      <c r="D193">
        <v>0.49</v>
      </c>
      <c r="E193">
        <v>0.28360000000000002</v>
      </c>
      <c r="F193">
        <v>0</v>
      </c>
      <c r="G193">
        <v>1</v>
      </c>
      <c r="H193">
        <v>1</v>
      </c>
    </row>
    <row r="194" spans="1:8">
      <c r="A194">
        <v>192</v>
      </c>
      <c r="B194">
        <v>193</v>
      </c>
      <c r="C194">
        <v>9.0899999999999995E-2</v>
      </c>
      <c r="D194">
        <v>0.53</v>
      </c>
      <c r="E194">
        <v>0.19400000000000001</v>
      </c>
      <c r="F194">
        <v>1</v>
      </c>
      <c r="G194">
        <v>5</v>
      </c>
      <c r="H194">
        <v>6</v>
      </c>
    </row>
    <row r="195" spans="1:8">
      <c r="A195">
        <v>193</v>
      </c>
      <c r="B195">
        <v>194</v>
      </c>
      <c r="C195">
        <v>9.0899999999999995E-2</v>
      </c>
      <c r="D195">
        <v>0.49</v>
      </c>
      <c r="E195">
        <v>0.28360000000000002</v>
      </c>
      <c r="F195">
        <v>0</v>
      </c>
      <c r="G195">
        <v>10</v>
      </c>
      <c r="H195">
        <v>10</v>
      </c>
    </row>
    <row r="196" spans="1:8">
      <c r="A196">
        <v>194</v>
      </c>
      <c r="B196">
        <v>195</v>
      </c>
      <c r="C196">
        <v>7.5800000000000006E-2</v>
      </c>
      <c r="D196">
        <v>0.46</v>
      </c>
      <c r="E196">
        <v>0.52239999999999998</v>
      </c>
      <c r="F196">
        <v>0</v>
      </c>
      <c r="G196">
        <v>19</v>
      </c>
      <c r="H196">
        <v>19</v>
      </c>
    </row>
    <row r="197" spans="1:8">
      <c r="A197">
        <v>195</v>
      </c>
      <c r="B197">
        <v>196</v>
      </c>
      <c r="C197">
        <v>0.1061</v>
      </c>
      <c r="D197">
        <v>0.43</v>
      </c>
      <c r="E197">
        <v>0.3881</v>
      </c>
      <c r="F197">
        <v>0</v>
      </c>
      <c r="G197">
        <v>49</v>
      </c>
      <c r="H197">
        <v>49</v>
      </c>
    </row>
    <row r="198" spans="1:8">
      <c r="A198">
        <v>196</v>
      </c>
      <c r="B198">
        <v>197</v>
      </c>
      <c r="C198">
        <v>0.1212</v>
      </c>
      <c r="D198">
        <v>0.4</v>
      </c>
      <c r="E198">
        <v>0.52239999999999998</v>
      </c>
      <c r="F198">
        <v>2</v>
      </c>
      <c r="G198">
        <v>47</v>
      </c>
      <c r="H198">
        <v>49</v>
      </c>
    </row>
    <row r="199" spans="1:8">
      <c r="A199">
        <v>197</v>
      </c>
      <c r="B199">
        <v>198</v>
      </c>
      <c r="C199">
        <v>0.13639999999999999</v>
      </c>
      <c r="D199">
        <v>0.37</v>
      </c>
      <c r="E199">
        <v>0.44779999999999998</v>
      </c>
      <c r="F199">
        <v>4</v>
      </c>
      <c r="G199">
        <v>79</v>
      </c>
      <c r="H199">
        <v>83</v>
      </c>
    </row>
    <row r="200" spans="1:8">
      <c r="A200">
        <v>198</v>
      </c>
      <c r="B200">
        <v>199</v>
      </c>
      <c r="C200">
        <v>0.16669999999999999</v>
      </c>
      <c r="D200">
        <v>0.34</v>
      </c>
      <c r="E200">
        <v>0.44779999999999998</v>
      </c>
      <c r="F200">
        <v>6</v>
      </c>
      <c r="G200">
        <v>69</v>
      </c>
      <c r="H200">
        <v>75</v>
      </c>
    </row>
    <row r="201" spans="1:8">
      <c r="A201">
        <v>199</v>
      </c>
      <c r="B201">
        <v>200</v>
      </c>
      <c r="C201">
        <v>0.18179999999999999</v>
      </c>
      <c r="D201">
        <v>0.32</v>
      </c>
      <c r="E201">
        <v>0.4627</v>
      </c>
      <c r="F201">
        <v>8</v>
      </c>
      <c r="G201">
        <v>64</v>
      </c>
      <c r="H201">
        <v>72</v>
      </c>
    </row>
    <row r="202" spans="1:8">
      <c r="A202">
        <v>200</v>
      </c>
      <c r="B202">
        <v>201</v>
      </c>
      <c r="C202">
        <v>0.19700000000000001</v>
      </c>
      <c r="D202">
        <v>0.35</v>
      </c>
      <c r="E202">
        <v>0.35820000000000002</v>
      </c>
      <c r="F202">
        <v>5</v>
      </c>
      <c r="G202">
        <v>77</v>
      </c>
      <c r="H202">
        <v>82</v>
      </c>
    </row>
    <row r="203" spans="1:8">
      <c r="A203">
        <v>201</v>
      </c>
      <c r="B203">
        <v>202</v>
      </c>
      <c r="C203">
        <v>0.16669999999999999</v>
      </c>
      <c r="D203">
        <v>0.34</v>
      </c>
      <c r="E203">
        <v>0.44779999999999998</v>
      </c>
      <c r="F203">
        <v>13</v>
      </c>
      <c r="G203">
        <v>79</v>
      </c>
      <c r="H203">
        <v>92</v>
      </c>
    </row>
    <row r="204" spans="1:8">
      <c r="A204">
        <v>202</v>
      </c>
      <c r="B204">
        <v>203</v>
      </c>
      <c r="C204">
        <v>0.1515</v>
      </c>
      <c r="D204">
        <v>0.37</v>
      </c>
      <c r="E204">
        <v>0.3881</v>
      </c>
      <c r="F204">
        <v>3</v>
      </c>
      <c r="G204">
        <v>59</v>
      </c>
      <c r="H204">
        <v>62</v>
      </c>
    </row>
    <row r="205" spans="1:8">
      <c r="A205">
        <v>203</v>
      </c>
      <c r="B205">
        <v>204</v>
      </c>
      <c r="C205">
        <v>0.13639999999999999</v>
      </c>
      <c r="D205">
        <v>0.4</v>
      </c>
      <c r="E205">
        <v>0.32840000000000003</v>
      </c>
      <c r="F205">
        <v>4</v>
      </c>
      <c r="G205">
        <v>44</v>
      </c>
      <c r="H205">
        <v>48</v>
      </c>
    </row>
    <row r="206" spans="1:8">
      <c r="A206">
        <v>204</v>
      </c>
      <c r="B206">
        <v>205</v>
      </c>
      <c r="C206">
        <v>0.13639999999999999</v>
      </c>
      <c r="D206">
        <v>0.43</v>
      </c>
      <c r="E206">
        <v>0.32840000000000003</v>
      </c>
      <c r="F206">
        <v>1</v>
      </c>
      <c r="G206">
        <v>40</v>
      </c>
      <c r="H206">
        <v>41</v>
      </c>
    </row>
    <row r="207" spans="1:8">
      <c r="A207">
        <v>205</v>
      </c>
      <c r="B207">
        <v>206</v>
      </c>
      <c r="C207">
        <v>0.1212</v>
      </c>
      <c r="D207">
        <v>0.46</v>
      </c>
      <c r="E207">
        <v>0.25369999999999998</v>
      </c>
      <c r="F207">
        <v>0</v>
      </c>
      <c r="G207">
        <v>38</v>
      </c>
      <c r="H207">
        <v>38</v>
      </c>
    </row>
    <row r="208" spans="1:8">
      <c r="A208">
        <v>206</v>
      </c>
      <c r="B208">
        <v>207</v>
      </c>
      <c r="C208">
        <v>0.1061</v>
      </c>
      <c r="D208">
        <v>0.46</v>
      </c>
      <c r="E208">
        <v>0.41789999999999999</v>
      </c>
      <c r="F208">
        <v>1</v>
      </c>
      <c r="G208">
        <v>19</v>
      </c>
      <c r="H208">
        <v>20</v>
      </c>
    </row>
    <row r="209" spans="1:8">
      <c r="A209">
        <v>207</v>
      </c>
      <c r="B209">
        <v>208</v>
      </c>
      <c r="C209">
        <v>0.1212</v>
      </c>
      <c r="D209">
        <v>0.46</v>
      </c>
      <c r="E209">
        <v>0.29849999999999999</v>
      </c>
      <c r="F209">
        <v>5</v>
      </c>
      <c r="G209">
        <v>10</v>
      </c>
      <c r="H209">
        <v>15</v>
      </c>
    </row>
    <row r="210" spans="1:8">
      <c r="A210">
        <v>208</v>
      </c>
      <c r="B210">
        <v>209</v>
      </c>
      <c r="C210">
        <v>0.13639999999999999</v>
      </c>
      <c r="D210">
        <v>0.5</v>
      </c>
      <c r="E210">
        <v>0.19400000000000001</v>
      </c>
      <c r="F210">
        <v>0</v>
      </c>
      <c r="G210">
        <v>6</v>
      </c>
      <c r="H210">
        <v>6</v>
      </c>
    </row>
    <row r="211" spans="1:8">
      <c r="A211">
        <v>209</v>
      </c>
      <c r="B211">
        <v>210</v>
      </c>
      <c r="C211">
        <v>0.1212</v>
      </c>
      <c r="D211">
        <v>0.5</v>
      </c>
      <c r="E211">
        <v>0.28360000000000002</v>
      </c>
      <c r="F211">
        <v>2</v>
      </c>
      <c r="G211">
        <v>3</v>
      </c>
      <c r="H211">
        <v>5</v>
      </c>
    </row>
    <row r="212" spans="1:8">
      <c r="A212">
        <v>210</v>
      </c>
      <c r="B212">
        <v>211</v>
      </c>
      <c r="C212">
        <v>0.1212</v>
      </c>
      <c r="D212">
        <v>0.5</v>
      </c>
      <c r="E212">
        <v>0.28360000000000002</v>
      </c>
      <c r="F212">
        <v>1</v>
      </c>
      <c r="G212">
        <v>0</v>
      </c>
      <c r="H212">
        <v>1</v>
      </c>
    </row>
    <row r="213" spans="1:8">
      <c r="A213">
        <v>211</v>
      </c>
      <c r="B213">
        <v>212</v>
      </c>
      <c r="C213">
        <v>0.1212</v>
      </c>
      <c r="D213">
        <v>0.5</v>
      </c>
      <c r="E213">
        <v>0.22389999999999999</v>
      </c>
      <c r="F213">
        <v>0</v>
      </c>
      <c r="G213">
        <v>3</v>
      </c>
      <c r="H213">
        <v>3</v>
      </c>
    </row>
    <row r="214" spans="1:8">
      <c r="A214">
        <v>212</v>
      </c>
      <c r="B214">
        <v>213</v>
      </c>
      <c r="C214">
        <v>0.1212</v>
      </c>
      <c r="D214">
        <v>0.5</v>
      </c>
      <c r="E214">
        <v>0.22389999999999999</v>
      </c>
      <c r="F214">
        <v>0</v>
      </c>
      <c r="G214">
        <v>1</v>
      </c>
      <c r="H214">
        <v>1</v>
      </c>
    </row>
    <row r="215" spans="1:8">
      <c r="A215">
        <v>213</v>
      </c>
      <c r="B215">
        <v>214</v>
      </c>
      <c r="C215">
        <v>0.1212</v>
      </c>
      <c r="D215">
        <v>0.54</v>
      </c>
      <c r="E215">
        <v>0.1343</v>
      </c>
      <c r="F215">
        <v>1</v>
      </c>
      <c r="G215">
        <v>2</v>
      </c>
      <c r="H215">
        <v>3</v>
      </c>
    </row>
    <row r="216" spans="1:8">
      <c r="A216">
        <v>214</v>
      </c>
      <c r="B216">
        <v>215</v>
      </c>
      <c r="C216">
        <v>0.1061</v>
      </c>
      <c r="D216">
        <v>0.54</v>
      </c>
      <c r="E216">
        <v>0.25369999999999998</v>
      </c>
      <c r="F216">
        <v>0</v>
      </c>
      <c r="G216">
        <v>3</v>
      </c>
      <c r="H216">
        <v>3</v>
      </c>
    </row>
    <row r="217" spans="1:8">
      <c r="A217">
        <v>215</v>
      </c>
      <c r="B217">
        <v>216</v>
      </c>
      <c r="C217">
        <v>0.1212</v>
      </c>
      <c r="D217">
        <v>0.5</v>
      </c>
      <c r="E217">
        <v>0.28360000000000002</v>
      </c>
      <c r="F217">
        <v>0</v>
      </c>
      <c r="G217">
        <v>31</v>
      </c>
      <c r="H217">
        <v>31</v>
      </c>
    </row>
    <row r="218" spans="1:8">
      <c r="A218">
        <v>216</v>
      </c>
      <c r="B218">
        <v>217</v>
      </c>
      <c r="C218">
        <v>0.1212</v>
      </c>
      <c r="D218">
        <v>0.5</v>
      </c>
      <c r="E218">
        <v>0.22389999999999999</v>
      </c>
      <c r="F218">
        <v>2</v>
      </c>
      <c r="G218">
        <v>75</v>
      </c>
      <c r="H218">
        <v>77</v>
      </c>
    </row>
    <row r="219" spans="1:8">
      <c r="A219">
        <v>217</v>
      </c>
      <c r="B219">
        <v>218</v>
      </c>
      <c r="C219">
        <v>0.1212</v>
      </c>
      <c r="D219">
        <v>0.5</v>
      </c>
      <c r="E219">
        <v>0.28360000000000002</v>
      </c>
      <c r="F219">
        <v>4</v>
      </c>
      <c r="G219">
        <v>184</v>
      </c>
      <c r="H219">
        <v>188</v>
      </c>
    </row>
    <row r="220" spans="1:8">
      <c r="A220">
        <v>218</v>
      </c>
      <c r="B220">
        <v>219</v>
      </c>
      <c r="C220">
        <v>0.1212</v>
      </c>
      <c r="D220">
        <v>0.5</v>
      </c>
      <c r="E220">
        <v>0.25369999999999998</v>
      </c>
      <c r="F220">
        <v>2</v>
      </c>
      <c r="G220">
        <v>92</v>
      </c>
      <c r="H220">
        <v>94</v>
      </c>
    </row>
    <row r="221" spans="1:8">
      <c r="A221">
        <v>219</v>
      </c>
      <c r="B221">
        <v>220</v>
      </c>
      <c r="C221">
        <v>0.1212</v>
      </c>
      <c r="D221">
        <v>0.5</v>
      </c>
      <c r="E221">
        <v>0.29849999999999999</v>
      </c>
      <c r="F221">
        <v>0</v>
      </c>
      <c r="G221">
        <v>31</v>
      </c>
      <c r="H221">
        <v>31</v>
      </c>
    </row>
    <row r="222" spans="1:8">
      <c r="A222">
        <v>220</v>
      </c>
      <c r="B222">
        <v>221</v>
      </c>
      <c r="C222">
        <v>0.13639999999999999</v>
      </c>
      <c r="D222">
        <v>0.47</v>
      </c>
      <c r="E222">
        <v>0.28360000000000002</v>
      </c>
      <c r="F222">
        <v>2</v>
      </c>
      <c r="G222">
        <v>28</v>
      </c>
      <c r="H222">
        <v>30</v>
      </c>
    </row>
    <row r="223" spans="1:8">
      <c r="A223">
        <v>221</v>
      </c>
      <c r="B223">
        <v>222</v>
      </c>
      <c r="C223">
        <v>0.18179999999999999</v>
      </c>
      <c r="D223">
        <v>0.4</v>
      </c>
      <c r="E223">
        <v>0.28360000000000002</v>
      </c>
      <c r="F223">
        <v>5</v>
      </c>
      <c r="G223">
        <v>47</v>
      </c>
      <c r="H223">
        <v>52</v>
      </c>
    </row>
    <row r="224" spans="1:8">
      <c r="A224">
        <v>222</v>
      </c>
      <c r="B224">
        <v>223</v>
      </c>
      <c r="C224">
        <v>0.18179999999999999</v>
      </c>
      <c r="D224">
        <v>0.4</v>
      </c>
      <c r="E224">
        <v>0.28360000000000002</v>
      </c>
      <c r="F224">
        <v>4</v>
      </c>
      <c r="G224">
        <v>50</v>
      </c>
      <c r="H224">
        <v>54</v>
      </c>
    </row>
    <row r="225" spans="1:8">
      <c r="A225">
        <v>223</v>
      </c>
      <c r="B225">
        <v>224</v>
      </c>
      <c r="C225">
        <v>0.19700000000000001</v>
      </c>
      <c r="D225">
        <v>0.4</v>
      </c>
      <c r="E225">
        <v>0.22389999999999999</v>
      </c>
      <c r="F225">
        <v>0</v>
      </c>
      <c r="G225">
        <v>47</v>
      </c>
      <c r="H225">
        <v>47</v>
      </c>
    </row>
    <row r="226" spans="1:8">
      <c r="A226">
        <v>224</v>
      </c>
      <c r="B226">
        <v>225</v>
      </c>
      <c r="C226">
        <v>0.19700000000000001</v>
      </c>
      <c r="D226">
        <v>0.4</v>
      </c>
      <c r="E226">
        <v>0.22389999999999999</v>
      </c>
      <c r="F226">
        <v>2</v>
      </c>
      <c r="G226">
        <v>43</v>
      </c>
      <c r="H226">
        <v>45</v>
      </c>
    </row>
    <row r="227" spans="1:8">
      <c r="A227">
        <v>225</v>
      </c>
      <c r="B227">
        <v>226</v>
      </c>
      <c r="C227">
        <v>0.21210000000000001</v>
      </c>
      <c r="D227">
        <v>0.4</v>
      </c>
      <c r="E227">
        <v>0.1343</v>
      </c>
      <c r="F227">
        <v>4</v>
      </c>
      <c r="G227">
        <v>70</v>
      </c>
      <c r="H227">
        <v>74</v>
      </c>
    </row>
    <row r="228" spans="1:8">
      <c r="A228">
        <v>226</v>
      </c>
      <c r="B228">
        <v>227</v>
      </c>
      <c r="C228">
        <v>0.2273</v>
      </c>
      <c r="D228">
        <v>0.4</v>
      </c>
      <c r="E228">
        <v>0.1045</v>
      </c>
      <c r="F228">
        <v>4</v>
      </c>
      <c r="G228">
        <v>174</v>
      </c>
      <c r="H228">
        <v>178</v>
      </c>
    </row>
    <row r="229" spans="1:8">
      <c r="A229">
        <v>227</v>
      </c>
      <c r="B229">
        <v>228</v>
      </c>
      <c r="C229">
        <v>0.19700000000000001</v>
      </c>
      <c r="D229">
        <v>0.4</v>
      </c>
      <c r="E229">
        <v>0.22389999999999999</v>
      </c>
      <c r="F229">
        <v>1</v>
      </c>
      <c r="G229">
        <v>154</v>
      </c>
      <c r="H229">
        <v>155</v>
      </c>
    </row>
    <row r="230" spans="1:8">
      <c r="A230">
        <v>228</v>
      </c>
      <c r="B230">
        <v>229</v>
      </c>
      <c r="C230">
        <v>0.16669999999999999</v>
      </c>
      <c r="D230">
        <v>0.47</v>
      </c>
      <c r="E230">
        <v>0.16420000000000001</v>
      </c>
      <c r="F230">
        <v>3</v>
      </c>
      <c r="G230">
        <v>92</v>
      </c>
      <c r="H230">
        <v>95</v>
      </c>
    </row>
    <row r="231" spans="1:8">
      <c r="A231">
        <v>229</v>
      </c>
      <c r="B231">
        <v>230</v>
      </c>
      <c r="C231">
        <v>0.16669999999999999</v>
      </c>
      <c r="D231">
        <v>0.5</v>
      </c>
      <c r="E231">
        <v>0.16420000000000001</v>
      </c>
      <c r="F231">
        <v>1</v>
      </c>
      <c r="G231">
        <v>73</v>
      </c>
      <c r="H231">
        <v>74</v>
      </c>
    </row>
    <row r="232" spans="1:8">
      <c r="A232">
        <v>230</v>
      </c>
      <c r="B232">
        <v>231</v>
      </c>
      <c r="C232">
        <v>0.13639999999999999</v>
      </c>
      <c r="D232">
        <v>0.59</v>
      </c>
      <c r="E232">
        <v>0.19400000000000001</v>
      </c>
      <c r="F232">
        <v>1</v>
      </c>
      <c r="G232">
        <v>37</v>
      </c>
      <c r="H232">
        <v>38</v>
      </c>
    </row>
    <row r="233" spans="1:8">
      <c r="A233">
        <v>231</v>
      </c>
      <c r="B233">
        <v>232</v>
      </c>
      <c r="C233">
        <v>0.1515</v>
      </c>
      <c r="D233">
        <v>0.59</v>
      </c>
      <c r="E233">
        <v>0.16420000000000001</v>
      </c>
      <c r="F233">
        <v>2</v>
      </c>
      <c r="G233">
        <v>22</v>
      </c>
      <c r="H233">
        <v>24</v>
      </c>
    </row>
    <row r="234" spans="1:8">
      <c r="A234">
        <v>232</v>
      </c>
      <c r="B234">
        <v>233</v>
      </c>
      <c r="C234">
        <v>0.1515</v>
      </c>
      <c r="D234">
        <v>0.59</v>
      </c>
      <c r="E234">
        <v>0.16420000000000001</v>
      </c>
      <c r="F234">
        <v>0</v>
      </c>
      <c r="G234">
        <v>18</v>
      </c>
      <c r="H234">
        <v>18</v>
      </c>
    </row>
    <row r="235" spans="1:8">
      <c r="A235">
        <v>233</v>
      </c>
      <c r="B235">
        <v>234</v>
      </c>
      <c r="C235">
        <v>0.16669999999999999</v>
      </c>
      <c r="D235">
        <v>0.59</v>
      </c>
      <c r="E235">
        <v>0.1045</v>
      </c>
      <c r="F235">
        <v>2</v>
      </c>
      <c r="G235">
        <v>10</v>
      </c>
      <c r="H235">
        <v>12</v>
      </c>
    </row>
    <row r="236" spans="1:8">
      <c r="A236">
        <v>234</v>
      </c>
      <c r="B236">
        <v>235</v>
      </c>
      <c r="C236">
        <v>0.1515</v>
      </c>
      <c r="D236">
        <v>0.59</v>
      </c>
      <c r="E236">
        <v>0.16420000000000001</v>
      </c>
      <c r="F236">
        <v>0</v>
      </c>
      <c r="G236">
        <v>3</v>
      </c>
      <c r="H236">
        <v>3</v>
      </c>
    </row>
    <row r="237" spans="1:8">
      <c r="A237">
        <v>235</v>
      </c>
      <c r="B237">
        <v>236</v>
      </c>
      <c r="C237">
        <v>0.1515</v>
      </c>
      <c r="D237">
        <v>0.55000000000000004</v>
      </c>
      <c r="E237">
        <v>0.19400000000000001</v>
      </c>
      <c r="F237">
        <v>0</v>
      </c>
      <c r="G237">
        <v>3</v>
      </c>
      <c r="H237">
        <v>3</v>
      </c>
    </row>
    <row r="238" spans="1:8">
      <c r="A238">
        <v>236</v>
      </c>
      <c r="B238">
        <v>237</v>
      </c>
      <c r="C238">
        <v>0.18179999999999999</v>
      </c>
      <c r="D238">
        <v>0.55000000000000004</v>
      </c>
      <c r="E238">
        <v>0.1343</v>
      </c>
      <c r="F238">
        <v>0</v>
      </c>
      <c r="G238">
        <v>6</v>
      </c>
      <c r="H238">
        <v>6</v>
      </c>
    </row>
    <row r="239" spans="1:8">
      <c r="A239">
        <v>237</v>
      </c>
      <c r="B239">
        <v>238</v>
      </c>
      <c r="C239">
        <v>0.18179999999999999</v>
      </c>
      <c r="D239">
        <v>0.55000000000000004</v>
      </c>
      <c r="E239">
        <v>0.1343</v>
      </c>
      <c r="F239">
        <v>0</v>
      </c>
      <c r="G239">
        <v>27</v>
      </c>
      <c r="H239">
        <v>27</v>
      </c>
    </row>
    <row r="240" spans="1:8">
      <c r="A240">
        <v>238</v>
      </c>
      <c r="B240">
        <v>239</v>
      </c>
      <c r="C240">
        <v>0.2273</v>
      </c>
      <c r="D240">
        <v>0.55000000000000004</v>
      </c>
      <c r="E240">
        <v>0</v>
      </c>
      <c r="F240">
        <v>2</v>
      </c>
      <c r="G240">
        <v>97</v>
      </c>
      <c r="H240">
        <v>99</v>
      </c>
    </row>
    <row r="241" spans="1:8">
      <c r="A241">
        <v>239</v>
      </c>
      <c r="B241">
        <v>240</v>
      </c>
      <c r="C241">
        <v>0.21210000000000001</v>
      </c>
      <c r="D241">
        <v>0.51</v>
      </c>
      <c r="E241">
        <v>8.9599999999999999E-2</v>
      </c>
      <c r="F241">
        <v>3</v>
      </c>
      <c r="G241">
        <v>214</v>
      </c>
      <c r="H241">
        <v>217</v>
      </c>
    </row>
    <row r="242" spans="1:8">
      <c r="A242">
        <v>240</v>
      </c>
      <c r="B242">
        <v>241</v>
      </c>
      <c r="C242">
        <v>0.19700000000000001</v>
      </c>
      <c r="D242">
        <v>0.51</v>
      </c>
      <c r="E242">
        <v>0.16420000000000001</v>
      </c>
      <c r="F242">
        <v>3</v>
      </c>
      <c r="G242">
        <v>127</v>
      </c>
      <c r="H242">
        <v>130</v>
      </c>
    </row>
    <row r="243" spans="1:8">
      <c r="A243">
        <v>241</v>
      </c>
      <c r="B243">
        <v>242</v>
      </c>
      <c r="C243">
        <v>0.21210000000000001</v>
      </c>
      <c r="D243">
        <v>0.51</v>
      </c>
      <c r="E243">
        <v>0.16420000000000001</v>
      </c>
      <c r="F243">
        <v>3</v>
      </c>
      <c r="G243">
        <v>51</v>
      </c>
      <c r="H243">
        <v>54</v>
      </c>
    </row>
    <row r="244" spans="1:8">
      <c r="A244">
        <v>242</v>
      </c>
      <c r="B244">
        <v>243</v>
      </c>
      <c r="C244">
        <v>0.21210000000000001</v>
      </c>
      <c r="D244">
        <v>0.47</v>
      </c>
      <c r="E244">
        <v>0.1343</v>
      </c>
      <c r="F244">
        <v>4</v>
      </c>
      <c r="G244">
        <v>31</v>
      </c>
      <c r="H244">
        <v>35</v>
      </c>
    </row>
    <row r="245" spans="1:8">
      <c r="A245">
        <v>243</v>
      </c>
      <c r="B245">
        <v>244</v>
      </c>
      <c r="C245">
        <v>0.2273</v>
      </c>
      <c r="D245">
        <v>0.51</v>
      </c>
      <c r="E245">
        <v>0.1045</v>
      </c>
      <c r="F245">
        <v>2</v>
      </c>
      <c r="G245">
        <v>55</v>
      </c>
      <c r="H245">
        <v>57</v>
      </c>
    </row>
    <row r="246" spans="1:8">
      <c r="A246">
        <v>244</v>
      </c>
      <c r="B246">
        <v>245</v>
      </c>
      <c r="C246">
        <v>0.2273</v>
      </c>
      <c r="D246">
        <v>0.59</v>
      </c>
      <c r="E246">
        <v>8.9599999999999999E-2</v>
      </c>
      <c r="F246">
        <v>6</v>
      </c>
      <c r="G246">
        <v>46</v>
      </c>
      <c r="H246">
        <v>52</v>
      </c>
    </row>
    <row r="247" spans="1:8">
      <c r="A247">
        <v>245</v>
      </c>
      <c r="B247">
        <v>246</v>
      </c>
      <c r="C247">
        <v>0.2273</v>
      </c>
      <c r="D247">
        <v>0.59</v>
      </c>
      <c r="E247">
        <v>8.9599999999999999E-2</v>
      </c>
      <c r="F247">
        <v>3</v>
      </c>
      <c r="G247">
        <v>60</v>
      </c>
      <c r="H247">
        <v>63</v>
      </c>
    </row>
    <row r="248" spans="1:8">
      <c r="A248">
        <v>246</v>
      </c>
      <c r="B248">
        <v>247</v>
      </c>
      <c r="C248">
        <v>0.19700000000000001</v>
      </c>
      <c r="D248">
        <v>0.8</v>
      </c>
      <c r="E248">
        <v>8.9599999999999999E-2</v>
      </c>
      <c r="F248">
        <v>2</v>
      </c>
      <c r="G248">
        <v>45</v>
      </c>
      <c r="H248">
        <v>47</v>
      </c>
    </row>
    <row r="249" spans="1:8">
      <c r="A249">
        <v>247</v>
      </c>
      <c r="B249">
        <v>248</v>
      </c>
      <c r="C249">
        <v>0.1515</v>
      </c>
      <c r="D249">
        <v>0.86</v>
      </c>
      <c r="E249">
        <v>0.22389999999999999</v>
      </c>
      <c r="F249">
        <v>4</v>
      </c>
      <c r="G249">
        <v>72</v>
      </c>
      <c r="H249">
        <v>76</v>
      </c>
    </row>
    <row r="250" spans="1:8">
      <c r="A250">
        <v>248</v>
      </c>
      <c r="B250">
        <v>249</v>
      </c>
      <c r="C250">
        <v>0.1515</v>
      </c>
      <c r="D250">
        <v>0.86</v>
      </c>
      <c r="E250">
        <v>0.22389999999999999</v>
      </c>
      <c r="F250">
        <v>6</v>
      </c>
      <c r="G250">
        <v>130</v>
      </c>
      <c r="H250">
        <v>136</v>
      </c>
    </row>
    <row r="251" spans="1:8">
      <c r="A251">
        <v>249</v>
      </c>
      <c r="B251">
        <v>250</v>
      </c>
      <c r="C251">
        <v>0.18179999999999999</v>
      </c>
      <c r="D251">
        <v>0.93</v>
      </c>
      <c r="E251">
        <v>0.1045</v>
      </c>
      <c r="F251">
        <v>1</v>
      </c>
      <c r="G251">
        <v>94</v>
      </c>
      <c r="H251">
        <v>95</v>
      </c>
    </row>
    <row r="252" spans="1:8">
      <c r="A252">
        <v>250</v>
      </c>
      <c r="B252">
        <v>251</v>
      </c>
      <c r="C252">
        <v>0.2273</v>
      </c>
      <c r="D252">
        <v>0.93</v>
      </c>
      <c r="E252">
        <v>0</v>
      </c>
      <c r="F252">
        <v>0</v>
      </c>
      <c r="G252">
        <v>51</v>
      </c>
      <c r="H252">
        <v>51</v>
      </c>
    </row>
    <row r="253" spans="1:8">
      <c r="A253">
        <v>251</v>
      </c>
      <c r="B253">
        <v>252</v>
      </c>
      <c r="C253">
        <v>0.1515</v>
      </c>
      <c r="D253">
        <v>0.93</v>
      </c>
      <c r="E253">
        <v>0.19400000000000001</v>
      </c>
      <c r="F253">
        <v>0</v>
      </c>
      <c r="G253">
        <v>32</v>
      </c>
      <c r="H253">
        <v>32</v>
      </c>
    </row>
    <row r="254" spans="1:8">
      <c r="A254">
        <v>252</v>
      </c>
      <c r="B254">
        <v>253</v>
      </c>
      <c r="C254">
        <v>0.19700000000000001</v>
      </c>
      <c r="D254">
        <v>0.86</v>
      </c>
      <c r="E254">
        <v>8.9599999999999999E-2</v>
      </c>
      <c r="F254">
        <v>0</v>
      </c>
      <c r="G254">
        <v>20</v>
      </c>
      <c r="H254">
        <v>20</v>
      </c>
    </row>
    <row r="255" spans="1:8">
      <c r="A255">
        <v>253</v>
      </c>
      <c r="B255">
        <v>254</v>
      </c>
      <c r="C255">
        <v>0.18179999999999999</v>
      </c>
      <c r="D255">
        <v>0.93</v>
      </c>
      <c r="E255">
        <v>0.1045</v>
      </c>
      <c r="F255">
        <v>1</v>
      </c>
      <c r="G255">
        <v>28</v>
      </c>
      <c r="H255">
        <v>29</v>
      </c>
    </row>
    <row r="256" spans="1:8">
      <c r="A256">
        <v>254</v>
      </c>
      <c r="B256">
        <v>255</v>
      </c>
      <c r="C256">
        <v>0.19700000000000001</v>
      </c>
      <c r="D256">
        <v>0.93</v>
      </c>
      <c r="E256">
        <v>8.9599999999999999E-2</v>
      </c>
      <c r="F256">
        <v>1</v>
      </c>
      <c r="G256">
        <v>18</v>
      </c>
      <c r="H256">
        <v>19</v>
      </c>
    </row>
    <row r="257" spans="1:8">
      <c r="A257">
        <v>255</v>
      </c>
      <c r="B257">
        <v>256</v>
      </c>
      <c r="C257">
        <v>0.19700000000000001</v>
      </c>
      <c r="D257">
        <v>0.86</v>
      </c>
      <c r="E257">
        <v>8.9599999999999999E-2</v>
      </c>
      <c r="F257">
        <v>0</v>
      </c>
      <c r="G257">
        <v>7</v>
      </c>
      <c r="H257">
        <v>7</v>
      </c>
    </row>
    <row r="258" spans="1:8">
      <c r="A258">
        <v>256</v>
      </c>
      <c r="B258">
        <v>257</v>
      </c>
      <c r="C258">
        <v>0.18179999999999999</v>
      </c>
      <c r="D258">
        <v>0.86</v>
      </c>
      <c r="E258">
        <v>0.1045</v>
      </c>
      <c r="F258">
        <v>0</v>
      </c>
      <c r="G258">
        <v>6</v>
      </c>
      <c r="H258">
        <v>6</v>
      </c>
    </row>
    <row r="259" spans="1:8">
      <c r="A259">
        <v>257</v>
      </c>
      <c r="B259">
        <v>258</v>
      </c>
      <c r="C259">
        <v>0.1515</v>
      </c>
      <c r="D259">
        <v>0.86</v>
      </c>
      <c r="E259">
        <v>0.1343</v>
      </c>
      <c r="F259">
        <v>0</v>
      </c>
      <c r="G259">
        <v>1</v>
      </c>
      <c r="H259">
        <v>1</v>
      </c>
    </row>
    <row r="260" spans="1:8">
      <c r="A260">
        <v>258</v>
      </c>
      <c r="B260">
        <v>259</v>
      </c>
      <c r="C260">
        <v>0.1515</v>
      </c>
      <c r="D260">
        <v>0.86</v>
      </c>
      <c r="E260">
        <v>0.16420000000000001</v>
      </c>
      <c r="F260">
        <v>0</v>
      </c>
      <c r="G260">
        <v>5</v>
      </c>
      <c r="H260">
        <v>5</v>
      </c>
    </row>
    <row r="261" spans="1:8">
      <c r="A261">
        <v>259</v>
      </c>
      <c r="B261">
        <v>260</v>
      </c>
      <c r="C261">
        <v>0.1515</v>
      </c>
      <c r="D261">
        <v>0.93</v>
      </c>
      <c r="E261">
        <v>0.1343</v>
      </c>
      <c r="F261">
        <v>0</v>
      </c>
      <c r="G261">
        <v>16</v>
      </c>
      <c r="H261">
        <v>16</v>
      </c>
    </row>
    <row r="262" spans="1:8">
      <c r="A262">
        <v>260</v>
      </c>
      <c r="B262">
        <v>261</v>
      </c>
      <c r="C262">
        <v>0.1515</v>
      </c>
      <c r="D262">
        <v>0.69</v>
      </c>
      <c r="E262">
        <v>0.1343</v>
      </c>
      <c r="F262">
        <v>0</v>
      </c>
      <c r="G262">
        <v>54</v>
      </c>
      <c r="H262">
        <v>54</v>
      </c>
    </row>
    <row r="263" spans="1:8">
      <c r="A263">
        <v>261</v>
      </c>
      <c r="B263">
        <v>262</v>
      </c>
      <c r="C263">
        <v>0.16669999999999999</v>
      </c>
      <c r="D263">
        <v>0.59</v>
      </c>
      <c r="E263">
        <v>0.16420000000000001</v>
      </c>
      <c r="F263">
        <v>3</v>
      </c>
      <c r="G263">
        <v>125</v>
      </c>
      <c r="H263">
        <v>128</v>
      </c>
    </row>
    <row r="264" spans="1:8">
      <c r="A264">
        <v>262</v>
      </c>
      <c r="B264">
        <v>263</v>
      </c>
      <c r="C264">
        <v>0.13639999999999999</v>
      </c>
      <c r="D264">
        <v>0.59</v>
      </c>
      <c r="E264">
        <v>0.32840000000000003</v>
      </c>
      <c r="F264">
        <v>3</v>
      </c>
      <c r="G264">
        <v>78</v>
      </c>
      <c r="H264">
        <v>81</v>
      </c>
    </row>
    <row r="265" spans="1:8">
      <c r="A265">
        <v>263</v>
      </c>
      <c r="B265">
        <v>264</v>
      </c>
      <c r="C265">
        <v>0.18179999999999999</v>
      </c>
      <c r="D265">
        <v>0.55000000000000004</v>
      </c>
      <c r="E265">
        <v>0.22389999999999999</v>
      </c>
      <c r="F265">
        <v>0</v>
      </c>
      <c r="G265">
        <v>39</v>
      </c>
      <c r="H265">
        <v>39</v>
      </c>
    </row>
    <row r="266" spans="1:8">
      <c r="A266">
        <v>264</v>
      </c>
      <c r="B266">
        <v>265</v>
      </c>
      <c r="C266">
        <v>0.18179999999999999</v>
      </c>
      <c r="D266">
        <v>0.51</v>
      </c>
      <c r="E266">
        <v>0.3881</v>
      </c>
      <c r="F266">
        <v>3</v>
      </c>
      <c r="G266">
        <v>32</v>
      </c>
      <c r="H266">
        <v>35</v>
      </c>
    </row>
    <row r="267" spans="1:8">
      <c r="A267">
        <v>265</v>
      </c>
      <c r="B267">
        <v>266</v>
      </c>
      <c r="C267">
        <v>0.1515</v>
      </c>
      <c r="D267">
        <v>0.47</v>
      </c>
      <c r="E267">
        <v>0.58209999999999995</v>
      </c>
      <c r="F267">
        <v>3</v>
      </c>
      <c r="G267">
        <v>52</v>
      </c>
      <c r="H267">
        <v>55</v>
      </c>
    </row>
    <row r="268" spans="1:8">
      <c r="A268">
        <v>266</v>
      </c>
      <c r="B268">
        <v>267</v>
      </c>
      <c r="C268">
        <v>0.19700000000000001</v>
      </c>
      <c r="D268">
        <v>0.44</v>
      </c>
      <c r="E268">
        <v>0.35820000000000002</v>
      </c>
      <c r="F268">
        <v>0</v>
      </c>
      <c r="G268">
        <v>49</v>
      </c>
      <c r="H268">
        <v>49</v>
      </c>
    </row>
    <row r="269" spans="1:8">
      <c r="A269">
        <v>267</v>
      </c>
      <c r="B269">
        <v>268</v>
      </c>
      <c r="C269">
        <v>0.18179999999999999</v>
      </c>
      <c r="D269">
        <v>0.47</v>
      </c>
      <c r="E269">
        <v>0.32840000000000003</v>
      </c>
      <c r="F269">
        <v>0</v>
      </c>
      <c r="G269">
        <v>44</v>
      </c>
      <c r="H269">
        <v>44</v>
      </c>
    </row>
    <row r="270" spans="1:8">
      <c r="A270">
        <v>268</v>
      </c>
      <c r="B270">
        <v>269</v>
      </c>
      <c r="C270">
        <v>0.16669999999999999</v>
      </c>
      <c r="D270">
        <v>0.47</v>
      </c>
      <c r="E270">
        <v>0.41789999999999999</v>
      </c>
      <c r="F270">
        <v>1</v>
      </c>
      <c r="G270">
        <v>48</v>
      </c>
      <c r="H270">
        <v>49</v>
      </c>
    </row>
    <row r="271" spans="1:8">
      <c r="A271">
        <v>269</v>
      </c>
      <c r="B271">
        <v>270</v>
      </c>
      <c r="C271">
        <v>0.19700000000000001</v>
      </c>
      <c r="D271">
        <v>0.44</v>
      </c>
      <c r="E271">
        <v>0.32840000000000003</v>
      </c>
      <c r="F271">
        <v>5</v>
      </c>
      <c r="G271">
        <v>63</v>
      </c>
      <c r="H271">
        <v>68</v>
      </c>
    </row>
    <row r="272" spans="1:8">
      <c r="A272">
        <v>270</v>
      </c>
      <c r="B272">
        <v>271</v>
      </c>
      <c r="C272">
        <v>0.18179999999999999</v>
      </c>
      <c r="D272">
        <v>0.47</v>
      </c>
      <c r="E272">
        <v>0.35820000000000002</v>
      </c>
      <c r="F272">
        <v>0</v>
      </c>
      <c r="G272">
        <v>139</v>
      </c>
      <c r="H272">
        <v>139</v>
      </c>
    </row>
    <row r="273" spans="1:8">
      <c r="A273">
        <v>271</v>
      </c>
      <c r="B273">
        <v>272</v>
      </c>
      <c r="C273">
        <v>0.1515</v>
      </c>
      <c r="D273">
        <v>0.47</v>
      </c>
      <c r="E273">
        <v>0.52239999999999998</v>
      </c>
      <c r="F273">
        <v>2</v>
      </c>
      <c r="G273">
        <v>135</v>
      </c>
      <c r="H273">
        <v>137</v>
      </c>
    </row>
    <row r="274" spans="1:8">
      <c r="A274">
        <v>272</v>
      </c>
      <c r="B274">
        <v>273</v>
      </c>
      <c r="C274">
        <v>0.1515</v>
      </c>
      <c r="D274">
        <v>0.47</v>
      </c>
      <c r="E274">
        <v>0.41789999999999999</v>
      </c>
      <c r="F274">
        <v>1</v>
      </c>
      <c r="G274">
        <v>82</v>
      </c>
      <c r="H274">
        <v>83</v>
      </c>
    </row>
    <row r="275" spans="1:8">
      <c r="A275">
        <v>273</v>
      </c>
      <c r="B275">
        <v>274</v>
      </c>
      <c r="C275">
        <v>0.13639999999999999</v>
      </c>
      <c r="D275">
        <v>0.5</v>
      </c>
      <c r="E275">
        <v>0.32840000000000003</v>
      </c>
      <c r="F275">
        <v>2</v>
      </c>
      <c r="G275">
        <v>54</v>
      </c>
      <c r="H275">
        <v>56</v>
      </c>
    </row>
    <row r="276" spans="1:8">
      <c r="A276">
        <v>274</v>
      </c>
      <c r="B276">
        <v>275</v>
      </c>
      <c r="C276">
        <v>0.13639999999999999</v>
      </c>
      <c r="D276">
        <v>0.55000000000000004</v>
      </c>
      <c r="E276">
        <v>0.32840000000000003</v>
      </c>
      <c r="F276">
        <v>0</v>
      </c>
      <c r="G276">
        <v>57</v>
      </c>
      <c r="H276">
        <v>57</v>
      </c>
    </row>
    <row r="277" spans="1:8">
      <c r="A277">
        <v>275</v>
      </c>
      <c r="B277">
        <v>276</v>
      </c>
      <c r="C277">
        <v>0.1212</v>
      </c>
      <c r="D277">
        <v>0.55000000000000004</v>
      </c>
      <c r="E277">
        <v>0.44779999999999998</v>
      </c>
      <c r="F277">
        <v>1</v>
      </c>
      <c r="G277">
        <v>32</v>
      </c>
      <c r="H277">
        <v>33</v>
      </c>
    </row>
    <row r="278" spans="1:8">
      <c r="A278">
        <v>276</v>
      </c>
      <c r="B278">
        <v>277</v>
      </c>
      <c r="C278">
        <v>0.1061</v>
      </c>
      <c r="D278">
        <v>0.59</v>
      </c>
      <c r="E278">
        <v>0.41789999999999999</v>
      </c>
      <c r="F278">
        <v>1</v>
      </c>
      <c r="G278">
        <v>19</v>
      </c>
      <c r="H278">
        <v>20</v>
      </c>
    </row>
    <row r="279" spans="1:8">
      <c r="A279">
        <v>277</v>
      </c>
      <c r="B279">
        <v>278</v>
      </c>
      <c r="C279">
        <v>0.1212</v>
      </c>
      <c r="D279">
        <v>0.59</v>
      </c>
      <c r="E279">
        <v>0.28360000000000002</v>
      </c>
      <c r="F279">
        <v>1</v>
      </c>
      <c r="G279">
        <v>6</v>
      </c>
      <c r="H279">
        <v>7</v>
      </c>
    </row>
    <row r="280" spans="1:8">
      <c r="A280">
        <v>278</v>
      </c>
      <c r="B280">
        <v>279</v>
      </c>
      <c r="C280">
        <v>0.1212</v>
      </c>
      <c r="D280">
        <v>0.5</v>
      </c>
      <c r="E280">
        <v>0.28360000000000002</v>
      </c>
      <c r="F280">
        <v>0</v>
      </c>
      <c r="G280">
        <v>2</v>
      </c>
      <c r="H280">
        <v>2</v>
      </c>
    </row>
    <row r="281" spans="1:8">
      <c r="A281">
        <v>279</v>
      </c>
      <c r="B281">
        <v>280</v>
      </c>
      <c r="C281">
        <v>0.1212</v>
      </c>
      <c r="D281">
        <v>0.5</v>
      </c>
      <c r="E281">
        <v>0.35820000000000002</v>
      </c>
      <c r="F281">
        <v>0</v>
      </c>
      <c r="G281">
        <v>2</v>
      </c>
      <c r="H281">
        <v>2</v>
      </c>
    </row>
    <row r="282" spans="1:8">
      <c r="A282">
        <v>280</v>
      </c>
      <c r="B282">
        <v>281</v>
      </c>
      <c r="C282">
        <v>0.1212</v>
      </c>
      <c r="D282">
        <v>0.5</v>
      </c>
      <c r="E282">
        <v>0.32840000000000003</v>
      </c>
      <c r="F282">
        <v>0</v>
      </c>
      <c r="G282">
        <v>3</v>
      </c>
      <c r="H282">
        <v>3</v>
      </c>
    </row>
    <row r="283" spans="1:8">
      <c r="A283">
        <v>281</v>
      </c>
      <c r="B283">
        <v>282</v>
      </c>
      <c r="C283">
        <v>0.1212</v>
      </c>
      <c r="D283">
        <v>0.5</v>
      </c>
      <c r="E283">
        <v>0.25369999999999998</v>
      </c>
      <c r="F283">
        <v>0</v>
      </c>
      <c r="G283">
        <v>4</v>
      </c>
      <c r="H283">
        <v>4</v>
      </c>
    </row>
    <row r="284" spans="1:8">
      <c r="A284">
        <v>282</v>
      </c>
      <c r="B284">
        <v>283</v>
      </c>
      <c r="C284">
        <v>0.1212</v>
      </c>
      <c r="D284">
        <v>0.5</v>
      </c>
      <c r="E284">
        <v>0.29849999999999999</v>
      </c>
      <c r="F284">
        <v>0</v>
      </c>
      <c r="G284">
        <v>3</v>
      </c>
      <c r="H284">
        <v>3</v>
      </c>
    </row>
    <row r="285" spans="1:8">
      <c r="A285">
        <v>283</v>
      </c>
      <c r="B285">
        <v>284</v>
      </c>
      <c r="C285">
        <v>0.1515</v>
      </c>
      <c r="D285">
        <v>0.54</v>
      </c>
      <c r="E285">
        <v>0.1343</v>
      </c>
      <c r="F285">
        <v>0</v>
      </c>
      <c r="G285">
        <v>28</v>
      </c>
      <c r="H285">
        <v>28</v>
      </c>
    </row>
    <row r="286" spans="1:8">
      <c r="A286">
        <v>284</v>
      </c>
      <c r="B286">
        <v>285</v>
      </c>
      <c r="C286">
        <v>0.1515</v>
      </c>
      <c r="D286">
        <v>0.54</v>
      </c>
      <c r="E286">
        <v>0.1343</v>
      </c>
      <c r="F286">
        <v>0</v>
      </c>
      <c r="G286">
        <v>72</v>
      </c>
      <c r="H286">
        <v>72</v>
      </c>
    </row>
    <row r="287" spans="1:8">
      <c r="A287">
        <v>285</v>
      </c>
      <c r="B287">
        <v>286</v>
      </c>
      <c r="C287">
        <v>0.13639999999999999</v>
      </c>
      <c r="D287">
        <v>0.5</v>
      </c>
      <c r="E287">
        <v>0.19400000000000001</v>
      </c>
      <c r="F287">
        <v>5</v>
      </c>
      <c r="G287">
        <v>197</v>
      </c>
      <c r="H287">
        <v>202</v>
      </c>
    </row>
    <row r="288" spans="1:8">
      <c r="A288">
        <v>286</v>
      </c>
      <c r="B288">
        <v>287</v>
      </c>
      <c r="C288">
        <v>0.1212</v>
      </c>
      <c r="D288">
        <v>0.5</v>
      </c>
      <c r="E288">
        <v>0.32840000000000003</v>
      </c>
      <c r="F288">
        <v>2</v>
      </c>
      <c r="G288">
        <v>137</v>
      </c>
      <c r="H288">
        <v>139</v>
      </c>
    </row>
    <row r="289" spans="1:8">
      <c r="A289">
        <v>287</v>
      </c>
      <c r="B289">
        <v>288</v>
      </c>
      <c r="C289">
        <v>0.13639999999999999</v>
      </c>
      <c r="D289">
        <v>0.5</v>
      </c>
      <c r="E289">
        <v>0.35820000000000002</v>
      </c>
      <c r="F289">
        <v>2</v>
      </c>
      <c r="G289">
        <v>36</v>
      </c>
      <c r="H289">
        <v>38</v>
      </c>
    </row>
    <row r="290" spans="1:8">
      <c r="A290">
        <v>288</v>
      </c>
      <c r="B290">
        <v>289</v>
      </c>
      <c r="C290">
        <v>0.16669999999999999</v>
      </c>
      <c r="D290">
        <v>0.44</v>
      </c>
      <c r="E290">
        <v>0.44779999999999998</v>
      </c>
      <c r="F290">
        <v>4</v>
      </c>
      <c r="G290">
        <v>33</v>
      </c>
      <c r="H290">
        <v>37</v>
      </c>
    </row>
    <row r="291" spans="1:8">
      <c r="A291">
        <v>289</v>
      </c>
      <c r="B291">
        <v>290</v>
      </c>
      <c r="C291">
        <v>0.16669999999999999</v>
      </c>
      <c r="D291">
        <v>0.44</v>
      </c>
      <c r="E291">
        <v>0.41789999999999999</v>
      </c>
      <c r="F291">
        <v>3</v>
      </c>
      <c r="G291">
        <v>49</v>
      </c>
      <c r="H291">
        <v>52</v>
      </c>
    </row>
    <row r="292" spans="1:8">
      <c r="A292">
        <v>290</v>
      </c>
      <c r="B292">
        <v>291</v>
      </c>
      <c r="C292">
        <v>0.19700000000000001</v>
      </c>
      <c r="D292">
        <v>0.41</v>
      </c>
      <c r="E292">
        <v>0.44779999999999998</v>
      </c>
      <c r="F292">
        <v>2</v>
      </c>
      <c r="G292">
        <v>81</v>
      </c>
      <c r="H292">
        <v>83</v>
      </c>
    </row>
    <row r="293" spans="1:8">
      <c r="A293">
        <v>291</v>
      </c>
      <c r="B293">
        <v>292</v>
      </c>
      <c r="C293">
        <v>0.19700000000000001</v>
      </c>
      <c r="D293">
        <v>0.41</v>
      </c>
      <c r="E293">
        <v>0.3881</v>
      </c>
      <c r="F293">
        <v>3</v>
      </c>
      <c r="G293">
        <v>39</v>
      </c>
      <c r="H293">
        <v>42</v>
      </c>
    </row>
    <row r="294" spans="1:8">
      <c r="A294">
        <v>292</v>
      </c>
      <c r="B294">
        <v>293</v>
      </c>
      <c r="C294">
        <v>0.21210000000000001</v>
      </c>
      <c r="D294">
        <v>0.38</v>
      </c>
      <c r="E294">
        <v>0.29849999999999999</v>
      </c>
      <c r="F294">
        <v>5</v>
      </c>
      <c r="G294">
        <v>55</v>
      </c>
      <c r="H294">
        <v>60</v>
      </c>
    </row>
    <row r="295" spans="1:8">
      <c r="A295">
        <v>293</v>
      </c>
      <c r="B295">
        <v>294</v>
      </c>
      <c r="C295">
        <v>0.21210000000000001</v>
      </c>
      <c r="D295">
        <v>0.38</v>
      </c>
      <c r="E295">
        <v>0.35820000000000002</v>
      </c>
      <c r="F295">
        <v>2</v>
      </c>
      <c r="G295">
        <v>76</v>
      </c>
      <c r="H295">
        <v>78</v>
      </c>
    </row>
    <row r="296" spans="1:8">
      <c r="A296">
        <v>294</v>
      </c>
      <c r="B296">
        <v>295</v>
      </c>
      <c r="C296">
        <v>0.18179999999999999</v>
      </c>
      <c r="D296">
        <v>0.4</v>
      </c>
      <c r="E296">
        <v>0.28360000000000002</v>
      </c>
      <c r="F296">
        <v>4</v>
      </c>
      <c r="G296">
        <v>158</v>
      </c>
      <c r="H296">
        <v>162</v>
      </c>
    </row>
    <row r="297" spans="1:8">
      <c r="A297">
        <v>295</v>
      </c>
      <c r="B297">
        <v>296</v>
      </c>
      <c r="C297">
        <v>0.18179999999999999</v>
      </c>
      <c r="D297">
        <v>0.4</v>
      </c>
      <c r="E297">
        <v>0.32840000000000003</v>
      </c>
      <c r="F297">
        <v>3</v>
      </c>
      <c r="G297">
        <v>141</v>
      </c>
      <c r="H297">
        <v>144</v>
      </c>
    </row>
    <row r="298" spans="1:8">
      <c r="A298">
        <v>296</v>
      </c>
      <c r="B298">
        <v>297</v>
      </c>
      <c r="C298">
        <v>0.1515</v>
      </c>
      <c r="D298">
        <v>0.47</v>
      </c>
      <c r="E298">
        <v>0.25369999999999998</v>
      </c>
      <c r="F298">
        <v>1</v>
      </c>
      <c r="G298">
        <v>98</v>
      </c>
      <c r="H298">
        <v>99</v>
      </c>
    </row>
    <row r="299" spans="1:8">
      <c r="A299">
        <v>297</v>
      </c>
      <c r="B299">
        <v>298</v>
      </c>
      <c r="C299">
        <v>0.1515</v>
      </c>
      <c r="D299">
        <v>0.47</v>
      </c>
      <c r="E299">
        <v>0.22389999999999999</v>
      </c>
      <c r="F299">
        <v>0</v>
      </c>
      <c r="G299">
        <v>64</v>
      </c>
      <c r="H299">
        <v>64</v>
      </c>
    </row>
    <row r="300" spans="1:8">
      <c r="A300">
        <v>298</v>
      </c>
      <c r="B300">
        <v>299</v>
      </c>
      <c r="C300">
        <v>0.1212</v>
      </c>
      <c r="D300">
        <v>0.46</v>
      </c>
      <c r="E300">
        <v>0.29849999999999999</v>
      </c>
      <c r="F300">
        <v>0</v>
      </c>
      <c r="G300">
        <v>40</v>
      </c>
      <c r="H300">
        <v>40</v>
      </c>
    </row>
    <row r="301" spans="1:8">
      <c r="A301">
        <v>299</v>
      </c>
      <c r="B301">
        <v>300</v>
      </c>
      <c r="C301">
        <v>0.1212</v>
      </c>
      <c r="D301">
        <v>0.46</v>
      </c>
      <c r="E301">
        <v>0.32840000000000003</v>
      </c>
      <c r="F301">
        <v>0</v>
      </c>
      <c r="G301">
        <v>30</v>
      </c>
      <c r="H301">
        <v>30</v>
      </c>
    </row>
    <row r="302" spans="1:8">
      <c r="A302">
        <v>300</v>
      </c>
      <c r="B302">
        <v>301</v>
      </c>
      <c r="C302">
        <v>0.13639999999999999</v>
      </c>
      <c r="D302">
        <v>0.5</v>
      </c>
      <c r="E302">
        <v>0.19400000000000001</v>
      </c>
      <c r="F302">
        <v>1</v>
      </c>
      <c r="G302">
        <v>14</v>
      </c>
      <c r="H302">
        <v>15</v>
      </c>
    </row>
    <row r="303" spans="1:8">
      <c r="A303">
        <v>301</v>
      </c>
      <c r="B303">
        <v>302</v>
      </c>
      <c r="C303">
        <v>0.13639999999999999</v>
      </c>
      <c r="D303">
        <v>0.5</v>
      </c>
      <c r="E303">
        <v>0.19400000000000001</v>
      </c>
      <c r="F303">
        <v>0</v>
      </c>
      <c r="G303">
        <v>14</v>
      </c>
      <c r="H303">
        <v>14</v>
      </c>
    </row>
    <row r="304" spans="1:8">
      <c r="A304">
        <v>302</v>
      </c>
      <c r="B304">
        <v>303</v>
      </c>
      <c r="C304">
        <v>0.1212</v>
      </c>
      <c r="D304">
        <v>0.54</v>
      </c>
      <c r="E304">
        <v>0.16420000000000001</v>
      </c>
      <c r="F304">
        <v>0</v>
      </c>
      <c r="G304">
        <v>5</v>
      </c>
      <c r="H304">
        <v>5</v>
      </c>
    </row>
    <row r="305" spans="1:8">
      <c r="A305">
        <v>303</v>
      </c>
      <c r="B305">
        <v>304</v>
      </c>
      <c r="C305">
        <v>0.1212</v>
      </c>
      <c r="D305">
        <v>0.54</v>
      </c>
      <c r="E305">
        <v>0.1343</v>
      </c>
      <c r="F305">
        <v>0</v>
      </c>
      <c r="G305">
        <v>1</v>
      </c>
      <c r="H305">
        <v>1</v>
      </c>
    </row>
    <row r="306" spans="1:8">
      <c r="A306">
        <v>304</v>
      </c>
      <c r="B306">
        <v>305</v>
      </c>
      <c r="C306">
        <v>0.13639999999999999</v>
      </c>
      <c r="D306">
        <v>0.54</v>
      </c>
      <c r="E306">
        <v>0.1045</v>
      </c>
      <c r="F306">
        <v>0</v>
      </c>
      <c r="G306">
        <v>1</v>
      </c>
      <c r="H306">
        <v>1</v>
      </c>
    </row>
    <row r="307" spans="1:8">
      <c r="A307">
        <v>305</v>
      </c>
      <c r="B307">
        <v>306</v>
      </c>
      <c r="C307">
        <v>0.13639999999999999</v>
      </c>
      <c r="D307">
        <v>0.54</v>
      </c>
      <c r="E307">
        <v>8.9599999999999999E-2</v>
      </c>
      <c r="F307">
        <v>0</v>
      </c>
      <c r="G307">
        <v>8</v>
      </c>
      <c r="H307">
        <v>8</v>
      </c>
    </row>
    <row r="308" spans="1:8">
      <c r="A308">
        <v>306</v>
      </c>
      <c r="B308">
        <v>307</v>
      </c>
      <c r="C308">
        <v>0.18179999999999999</v>
      </c>
      <c r="D308">
        <v>0.54</v>
      </c>
      <c r="E308">
        <v>0</v>
      </c>
      <c r="F308">
        <v>0</v>
      </c>
      <c r="G308">
        <v>17</v>
      </c>
      <c r="H308">
        <v>17</v>
      </c>
    </row>
    <row r="309" spans="1:8">
      <c r="A309">
        <v>307</v>
      </c>
      <c r="B309">
        <v>308</v>
      </c>
      <c r="C309">
        <v>0.1212</v>
      </c>
      <c r="D309">
        <v>0.74</v>
      </c>
      <c r="E309">
        <v>0.16420000000000001</v>
      </c>
      <c r="F309">
        <v>0</v>
      </c>
      <c r="G309">
        <v>70</v>
      </c>
      <c r="H309">
        <v>70</v>
      </c>
    </row>
    <row r="310" spans="1:8">
      <c r="A310">
        <v>308</v>
      </c>
      <c r="B310">
        <v>309</v>
      </c>
      <c r="C310">
        <v>0.16669999999999999</v>
      </c>
      <c r="D310">
        <v>0.68</v>
      </c>
      <c r="E310">
        <v>0</v>
      </c>
      <c r="F310">
        <v>2</v>
      </c>
      <c r="G310">
        <v>156</v>
      </c>
      <c r="H310">
        <v>158</v>
      </c>
    </row>
    <row r="311" spans="1:8">
      <c r="A311">
        <v>309</v>
      </c>
      <c r="B311">
        <v>310</v>
      </c>
      <c r="C311">
        <v>0.1515</v>
      </c>
      <c r="D311">
        <v>0.69</v>
      </c>
      <c r="E311">
        <v>0.1343</v>
      </c>
      <c r="F311">
        <v>0</v>
      </c>
      <c r="G311">
        <v>117</v>
      </c>
      <c r="H311">
        <v>117</v>
      </c>
    </row>
    <row r="312" spans="1:8">
      <c r="A312">
        <v>310</v>
      </c>
      <c r="B312">
        <v>311</v>
      </c>
      <c r="C312">
        <v>0.18179999999999999</v>
      </c>
      <c r="D312">
        <v>0.55000000000000004</v>
      </c>
      <c r="E312">
        <v>0.19400000000000001</v>
      </c>
      <c r="F312">
        <v>4</v>
      </c>
      <c r="G312">
        <v>40</v>
      </c>
      <c r="H312">
        <v>44</v>
      </c>
    </row>
    <row r="313" spans="1:8">
      <c r="A313">
        <v>311</v>
      </c>
      <c r="B313">
        <v>312</v>
      </c>
      <c r="C313">
        <v>0.16669999999999999</v>
      </c>
      <c r="D313">
        <v>0.51</v>
      </c>
      <c r="E313">
        <v>0.28360000000000002</v>
      </c>
      <c r="F313">
        <v>6</v>
      </c>
      <c r="G313">
        <v>47</v>
      </c>
      <c r="H313">
        <v>53</v>
      </c>
    </row>
    <row r="314" spans="1:8">
      <c r="A314">
        <v>312</v>
      </c>
      <c r="B314">
        <v>313</v>
      </c>
      <c r="C314">
        <v>0.19700000000000001</v>
      </c>
      <c r="D314">
        <v>0.44</v>
      </c>
      <c r="E314">
        <v>0.25369999999999998</v>
      </c>
      <c r="F314">
        <v>2</v>
      </c>
      <c r="G314">
        <v>59</v>
      </c>
      <c r="H314">
        <v>61</v>
      </c>
    </row>
    <row r="315" spans="1:8">
      <c r="A315">
        <v>313</v>
      </c>
      <c r="B315">
        <v>314</v>
      </c>
      <c r="C315">
        <v>0.19700000000000001</v>
      </c>
      <c r="D315">
        <v>0.37</v>
      </c>
      <c r="E315">
        <v>0.3881</v>
      </c>
      <c r="F315">
        <v>4</v>
      </c>
      <c r="G315">
        <v>73</v>
      </c>
      <c r="H315">
        <v>77</v>
      </c>
    </row>
    <row r="316" spans="1:8">
      <c r="A316">
        <v>314</v>
      </c>
      <c r="B316">
        <v>315</v>
      </c>
      <c r="C316">
        <v>0.21210000000000001</v>
      </c>
      <c r="D316">
        <v>0.41</v>
      </c>
      <c r="E316">
        <v>0.28360000000000002</v>
      </c>
      <c r="F316">
        <v>5</v>
      </c>
      <c r="G316">
        <v>59</v>
      </c>
      <c r="H316">
        <v>64</v>
      </c>
    </row>
    <row r="317" spans="1:8">
      <c r="A317">
        <v>315</v>
      </c>
      <c r="B317">
        <v>316</v>
      </c>
      <c r="C317">
        <v>0.2424</v>
      </c>
      <c r="D317">
        <v>0.38</v>
      </c>
      <c r="E317">
        <v>0.16420000000000001</v>
      </c>
      <c r="F317">
        <v>9</v>
      </c>
      <c r="G317">
        <v>59</v>
      </c>
      <c r="H317">
        <v>68</v>
      </c>
    </row>
    <row r="318" spans="1:8">
      <c r="A318">
        <v>316</v>
      </c>
      <c r="B318">
        <v>317</v>
      </c>
      <c r="C318">
        <v>0.2424</v>
      </c>
      <c r="D318">
        <v>0.41</v>
      </c>
      <c r="E318">
        <v>0.1045</v>
      </c>
      <c r="F318">
        <v>3</v>
      </c>
      <c r="G318">
        <v>87</v>
      </c>
      <c r="H318">
        <v>90</v>
      </c>
    </row>
    <row r="319" spans="1:8">
      <c r="A319">
        <v>317</v>
      </c>
      <c r="B319">
        <v>318</v>
      </c>
      <c r="C319">
        <v>0.2273</v>
      </c>
      <c r="D319">
        <v>0.41</v>
      </c>
      <c r="E319">
        <v>0.16420000000000001</v>
      </c>
      <c r="F319">
        <v>4</v>
      </c>
      <c r="G319">
        <v>155</v>
      </c>
      <c r="H319">
        <v>159</v>
      </c>
    </row>
    <row r="320" spans="1:8">
      <c r="A320">
        <v>318</v>
      </c>
      <c r="B320">
        <v>319</v>
      </c>
      <c r="C320">
        <v>0.2576</v>
      </c>
      <c r="D320">
        <v>0.47</v>
      </c>
      <c r="E320">
        <v>0</v>
      </c>
      <c r="F320">
        <v>5</v>
      </c>
      <c r="G320">
        <v>134</v>
      </c>
      <c r="H320">
        <v>139</v>
      </c>
    </row>
    <row r="321" spans="1:8">
      <c r="A321">
        <v>319</v>
      </c>
      <c r="B321">
        <v>320</v>
      </c>
      <c r="C321">
        <v>0.19700000000000001</v>
      </c>
      <c r="D321">
        <v>0.59</v>
      </c>
      <c r="E321">
        <v>8.9599999999999999E-2</v>
      </c>
      <c r="F321">
        <v>3</v>
      </c>
      <c r="G321">
        <v>89</v>
      </c>
      <c r="H321">
        <v>92</v>
      </c>
    </row>
    <row r="322" spans="1:8">
      <c r="A322">
        <v>320</v>
      </c>
      <c r="B322">
        <v>321</v>
      </c>
      <c r="C322">
        <v>0.2424</v>
      </c>
      <c r="D322">
        <v>0.59</v>
      </c>
      <c r="E322">
        <v>0</v>
      </c>
      <c r="F322">
        <v>0</v>
      </c>
      <c r="G322">
        <v>68</v>
      </c>
      <c r="H322">
        <v>68</v>
      </c>
    </row>
    <row r="323" spans="1:8">
      <c r="A323">
        <v>321</v>
      </c>
      <c r="B323">
        <v>322</v>
      </c>
      <c r="C323">
        <v>0.2273</v>
      </c>
      <c r="D323">
        <v>0.69</v>
      </c>
      <c r="E323">
        <v>0</v>
      </c>
      <c r="F323">
        <v>4</v>
      </c>
      <c r="G323">
        <v>48</v>
      </c>
      <c r="H323">
        <v>52</v>
      </c>
    </row>
    <row r="324" spans="1:8">
      <c r="A324">
        <v>322</v>
      </c>
      <c r="B324">
        <v>323</v>
      </c>
      <c r="C324">
        <v>0.2273</v>
      </c>
      <c r="D324">
        <v>0.69</v>
      </c>
      <c r="E324">
        <v>0</v>
      </c>
      <c r="F324">
        <v>2</v>
      </c>
      <c r="G324">
        <v>34</v>
      </c>
      <c r="H324">
        <v>36</v>
      </c>
    </row>
    <row r="325" spans="1:8">
      <c r="A325">
        <v>323</v>
      </c>
      <c r="B325">
        <v>324</v>
      </c>
      <c r="C325">
        <v>0.2424</v>
      </c>
      <c r="D325">
        <v>0.55000000000000004</v>
      </c>
      <c r="E325">
        <v>0</v>
      </c>
      <c r="F325">
        <v>1</v>
      </c>
      <c r="G325">
        <v>26</v>
      </c>
      <c r="H325">
        <v>27</v>
      </c>
    </row>
    <row r="326" spans="1:8">
      <c r="A326">
        <v>324</v>
      </c>
      <c r="B326">
        <v>325</v>
      </c>
      <c r="C326">
        <v>0.2424</v>
      </c>
      <c r="D326">
        <v>0.55000000000000004</v>
      </c>
      <c r="E326">
        <v>0</v>
      </c>
      <c r="F326">
        <v>3</v>
      </c>
      <c r="G326">
        <v>25</v>
      </c>
      <c r="H326">
        <v>28</v>
      </c>
    </row>
    <row r="327" spans="1:8">
      <c r="A327">
        <v>325</v>
      </c>
      <c r="B327">
        <v>326</v>
      </c>
      <c r="C327">
        <v>0.19700000000000001</v>
      </c>
      <c r="D327">
        <v>0.59</v>
      </c>
      <c r="E327">
        <v>8.9599999999999999E-2</v>
      </c>
      <c r="F327">
        <v>2</v>
      </c>
      <c r="G327">
        <v>18</v>
      </c>
      <c r="H327">
        <v>20</v>
      </c>
    </row>
    <row r="328" spans="1:8">
      <c r="A328">
        <v>326</v>
      </c>
      <c r="B328">
        <v>327</v>
      </c>
      <c r="C328">
        <v>0.19700000000000001</v>
      </c>
      <c r="D328">
        <v>0.59</v>
      </c>
      <c r="E328">
        <v>8.9599999999999999E-2</v>
      </c>
      <c r="F328">
        <v>0</v>
      </c>
      <c r="G328">
        <v>12</v>
      </c>
      <c r="H328">
        <v>12</v>
      </c>
    </row>
    <row r="329" spans="1:8">
      <c r="A329">
        <v>327</v>
      </c>
      <c r="B329">
        <v>328</v>
      </c>
      <c r="C329">
        <v>0.2273</v>
      </c>
      <c r="D329">
        <v>0.59</v>
      </c>
      <c r="E329">
        <v>0</v>
      </c>
      <c r="F329">
        <v>1</v>
      </c>
      <c r="G329">
        <v>7</v>
      </c>
      <c r="H329">
        <v>8</v>
      </c>
    </row>
    <row r="330" spans="1:8">
      <c r="A330">
        <v>328</v>
      </c>
      <c r="B330">
        <v>329</v>
      </c>
      <c r="C330">
        <v>0.2273</v>
      </c>
      <c r="D330">
        <v>0.59</v>
      </c>
      <c r="E330">
        <v>0</v>
      </c>
      <c r="F330">
        <v>0</v>
      </c>
      <c r="G330">
        <v>5</v>
      </c>
      <c r="H330">
        <v>5</v>
      </c>
    </row>
    <row r="331" spans="1:8">
      <c r="A331">
        <v>329</v>
      </c>
      <c r="B331">
        <v>330</v>
      </c>
      <c r="C331">
        <v>0.2273</v>
      </c>
      <c r="D331">
        <v>0.59</v>
      </c>
      <c r="E331">
        <v>0</v>
      </c>
      <c r="F331">
        <v>0</v>
      </c>
      <c r="G331">
        <v>1</v>
      </c>
      <c r="H331">
        <v>1</v>
      </c>
    </row>
    <row r="332" spans="1:8">
      <c r="A332">
        <v>330</v>
      </c>
      <c r="B332">
        <v>331</v>
      </c>
      <c r="C332">
        <v>0.16669999999999999</v>
      </c>
      <c r="D332">
        <v>0.63</v>
      </c>
      <c r="E332">
        <v>0.1045</v>
      </c>
      <c r="F332">
        <v>1</v>
      </c>
      <c r="G332">
        <v>2</v>
      </c>
      <c r="H332">
        <v>3</v>
      </c>
    </row>
    <row r="333" spans="1:8">
      <c r="A333">
        <v>331</v>
      </c>
      <c r="B333">
        <v>332</v>
      </c>
      <c r="C333">
        <v>0.21210000000000001</v>
      </c>
      <c r="D333">
        <v>0.63</v>
      </c>
      <c r="E333">
        <v>0</v>
      </c>
      <c r="F333">
        <v>1</v>
      </c>
      <c r="G333">
        <v>9</v>
      </c>
      <c r="H333">
        <v>10</v>
      </c>
    </row>
    <row r="334" spans="1:8">
      <c r="A334">
        <v>332</v>
      </c>
      <c r="B334">
        <v>333</v>
      </c>
      <c r="C334">
        <v>0.1515</v>
      </c>
      <c r="D334">
        <v>0.63</v>
      </c>
      <c r="E334">
        <v>0.1343</v>
      </c>
      <c r="F334">
        <v>1</v>
      </c>
      <c r="G334">
        <v>22</v>
      </c>
      <c r="H334">
        <v>23</v>
      </c>
    </row>
    <row r="335" spans="1:8">
      <c r="A335">
        <v>333</v>
      </c>
      <c r="B335">
        <v>334</v>
      </c>
      <c r="C335">
        <v>0.18179999999999999</v>
      </c>
      <c r="D335">
        <v>0.64</v>
      </c>
      <c r="E335">
        <v>0.1343</v>
      </c>
      <c r="F335">
        <v>2</v>
      </c>
      <c r="G335">
        <v>31</v>
      </c>
      <c r="H335">
        <v>33</v>
      </c>
    </row>
    <row r="336" spans="1:8">
      <c r="A336">
        <v>334</v>
      </c>
      <c r="B336">
        <v>335</v>
      </c>
      <c r="C336">
        <v>0.19700000000000001</v>
      </c>
      <c r="D336">
        <v>0.59</v>
      </c>
      <c r="E336">
        <v>0.16420000000000001</v>
      </c>
      <c r="F336">
        <v>2</v>
      </c>
      <c r="G336">
        <v>57</v>
      </c>
      <c r="H336">
        <v>59</v>
      </c>
    </row>
    <row r="337" spans="1:8">
      <c r="A337">
        <v>335</v>
      </c>
      <c r="B337">
        <v>336</v>
      </c>
      <c r="C337">
        <v>0.19700000000000001</v>
      </c>
      <c r="D337">
        <v>0.55000000000000004</v>
      </c>
      <c r="E337">
        <v>0.22389999999999999</v>
      </c>
      <c r="F337">
        <v>18</v>
      </c>
      <c r="G337">
        <v>54</v>
      </c>
      <c r="H337">
        <v>72</v>
      </c>
    </row>
    <row r="338" spans="1:8">
      <c r="A338">
        <v>336</v>
      </c>
      <c r="B338">
        <v>337</v>
      </c>
      <c r="C338">
        <v>0.2273</v>
      </c>
      <c r="D338">
        <v>0.48</v>
      </c>
      <c r="E338">
        <v>0.22389999999999999</v>
      </c>
      <c r="F338">
        <v>15</v>
      </c>
      <c r="G338">
        <v>74</v>
      </c>
      <c r="H338">
        <v>89</v>
      </c>
    </row>
    <row r="339" spans="1:8">
      <c r="A339">
        <v>337</v>
      </c>
      <c r="B339">
        <v>338</v>
      </c>
      <c r="C339">
        <v>0.2576</v>
      </c>
      <c r="D339">
        <v>0.38</v>
      </c>
      <c r="E339">
        <v>0.29849999999999999</v>
      </c>
      <c r="F339">
        <v>21</v>
      </c>
      <c r="G339">
        <v>80</v>
      </c>
      <c r="H339">
        <v>101</v>
      </c>
    </row>
    <row r="340" spans="1:8">
      <c r="A340">
        <v>338</v>
      </c>
      <c r="B340">
        <v>339</v>
      </c>
      <c r="C340">
        <v>0.28789999999999999</v>
      </c>
      <c r="D340">
        <v>0.39</v>
      </c>
      <c r="E340">
        <v>0.28360000000000002</v>
      </c>
      <c r="F340">
        <v>26</v>
      </c>
      <c r="G340">
        <v>92</v>
      </c>
      <c r="H340">
        <v>118</v>
      </c>
    </row>
    <row r="341" spans="1:8">
      <c r="A341">
        <v>339</v>
      </c>
      <c r="B341">
        <v>340</v>
      </c>
      <c r="C341">
        <v>0.31819999999999998</v>
      </c>
      <c r="D341">
        <v>0.36</v>
      </c>
      <c r="E341">
        <v>0.19400000000000001</v>
      </c>
      <c r="F341">
        <v>21</v>
      </c>
      <c r="G341">
        <v>108</v>
      </c>
      <c r="H341">
        <v>129</v>
      </c>
    </row>
    <row r="342" spans="1:8">
      <c r="A342">
        <v>340</v>
      </c>
      <c r="B342">
        <v>341</v>
      </c>
      <c r="C342">
        <v>0.33329999999999999</v>
      </c>
      <c r="D342">
        <v>0.34</v>
      </c>
      <c r="E342">
        <v>0.19400000000000001</v>
      </c>
      <c r="F342">
        <v>33</v>
      </c>
      <c r="G342">
        <v>95</v>
      </c>
      <c r="H342">
        <v>128</v>
      </c>
    </row>
    <row r="343" spans="1:8">
      <c r="A343">
        <v>341</v>
      </c>
      <c r="B343">
        <v>342</v>
      </c>
      <c r="C343">
        <v>0.30299999999999999</v>
      </c>
      <c r="D343">
        <v>0.36</v>
      </c>
      <c r="E343">
        <v>0.28360000000000002</v>
      </c>
      <c r="F343">
        <v>29</v>
      </c>
      <c r="G343">
        <v>54</v>
      </c>
      <c r="H343">
        <v>83</v>
      </c>
    </row>
    <row r="344" spans="1:8">
      <c r="A344">
        <v>342</v>
      </c>
      <c r="B344">
        <v>343</v>
      </c>
      <c r="C344">
        <v>0.28789999999999999</v>
      </c>
      <c r="D344">
        <v>0.45</v>
      </c>
      <c r="E344">
        <v>0.25369999999999998</v>
      </c>
      <c r="F344">
        <v>15</v>
      </c>
      <c r="G344">
        <v>69</v>
      </c>
      <c r="H344">
        <v>84</v>
      </c>
    </row>
    <row r="345" spans="1:8">
      <c r="A345">
        <v>343</v>
      </c>
      <c r="B345">
        <v>344</v>
      </c>
      <c r="C345">
        <v>0.30299999999999999</v>
      </c>
      <c r="D345">
        <v>0.39</v>
      </c>
      <c r="E345">
        <v>0.25369999999999998</v>
      </c>
      <c r="F345">
        <v>14</v>
      </c>
      <c r="G345">
        <v>60</v>
      </c>
      <c r="H345">
        <v>74</v>
      </c>
    </row>
    <row r="346" spans="1:8">
      <c r="A346">
        <v>344</v>
      </c>
      <c r="B346">
        <v>345</v>
      </c>
      <c r="C346">
        <v>0.30299999999999999</v>
      </c>
      <c r="D346">
        <v>0.39</v>
      </c>
      <c r="E346">
        <v>0.25369999999999998</v>
      </c>
      <c r="F346">
        <v>6</v>
      </c>
      <c r="G346">
        <v>35</v>
      </c>
      <c r="H346">
        <v>41</v>
      </c>
    </row>
    <row r="347" spans="1:8">
      <c r="A347">
        <v>345</v>
      </c>
      <c r="B347">
        <v>346</v>
      </c>
      <c r="C347">
        <v>0.30299999999999999</v>
      </c>
      <c r="D347">
        <v>0.39</v>
      </c>
      <c r="E347">
        <v>0.22389999999999999</v>
      </c>
      <c r="F347">
        <v>6</v>
      </c>
      <c r="G347">
        <v>51</v>
      </c>
      <c r="H347">
        <v>57</v>
      </c>
    </row>
    <row r="348" spans="1:8">
      <c r="A348">
        <v>346</v>
      </c>
      <c r="B348">
        <v>347</v>
      </c>
      <c r="C348">
        <v>0.31819999999999998</v>
      </c>
      <c r="D348">
        <v>0.42</v>
      </c>
      <c r="E348">
        <v>0.1045</v>
      </c>
      <c r="F348">
        <v>0</v>
      </c>
      <c r="G348">
        <v>26</v>
      </c>
      <c r="H348">
        <v>26</v>
      </c>
    </row>
    <row r="349" spans="1:8">
      <c r="A349">
        <v>347</v>
      </c>
      <c r="B349">
        <v>348</v>
      </c>
      <c r="C349">
        <v>0.28789999999999999</v>
      </c>
      <c r="D349">
        <v>0.45</v>
      </c>
      <c r="E349">
        <v>0.28360000000000002</v>
      </c>
      <c r="F349">
        <v>5</v>
      </c>
      <c r="G349">
        <v>39</v>
      </c>
      <c r="H349">
        <v>44</v>
      </c>
    </row>
    <row r="350" spans="1:8">
      <c r="A350">
        <v>348</v>
      </c>
      <c r="B350">
        <v>349</v>
      </c>
      <c r="C350">
        <v>0.30299999999999999</v>
      </c>
      <c r="D350">
        <v>0.56000000000000005</v>
      </c>
      <c r="E350">
        <v>0</v>
      </c>
      <c r="F350">
        <v>6</v>
      </c>
      <c r="G350">
        <v>33</v>
      </c>
      <c r="H350">
        <v>39</v>
      </c>
    </row>
    <row r="351" spans="1:8">
      <c r="A351">
        <v>349</v>
      </c>
      <c r="B351">
        <v>350</v>
      </c>
      <c r="C351">
        <v>0.2727</v>
      </c>
      <c r="D351">
        <v>0.56000000000000005</v>
      </c>
      <c r="E351">
        <v>0.1343</v>
      </c>
      <c r="F351">
        <v>4</v>
      </c>
      <c r="G351">
        <v>19</v>
      </c>
      <c r="H351">
        <v>23</v>
      </c>
    </row>
    <row r="352" spans="1:8">
      <c r="A352">
        <v>350</v>
      </c>
      <c r="B352">
        <v>351</v>
      </c>
      <c r="C352">
        <v>0.28789999999999999</v>
      </c>
      <c r="D352">
        <v>0.56000000000000005</v>
      </c>
      <c r="E352">
        <v>8.9599999999999999E-2</v>
      </c>
      <c r="F352">
        <v>3</v>
      </c>
      <c r="G352">
        <v>13</v>
      </c>
      <c r="H352">
        <v>16</v>
      </c>
    </row>
    <row r="353" spans="1:8">
      <c r="A353">
        <v>351</v>
      </c>
      <c r="B353">
        <v>352</v>
      </c>
      <c r="C353">
        <v>0.2727</v>
      </c>
      <c r="D353">
        <v>0.69</v>
      </c>
      <c r="E353">
        <v>0</v>
      </c>
      <c r="F353">
        <v>9</v>
      </c>
      <c r="G353">
        <v>6</v>
      </c>
      <c r="H353">
        <v>15</v>
      </c>
    </row>
    <row r="354" spans="1:8">
      <c r="A354">
        <v>352</v>
      </c>
      <c r="B354">
        <v>353</v>
      </c>
      <c r="C354">
        <v>0.2576</v>
      </c>
      <c r="D354">
        <v>0.56000000000000005</v>
      </c>
      <c r="E354">
        <v>0.16420000000000001</v>
      </c>
      <c r="F354">
        <v>0</v>
      </c>
      <c r="G354">
        <v>1</v>
      </c>
      <c r="H354">
        <v>1</v>
      </c>
    </row>
    <row r="355" spans="1:8">
      <c r="A355">
        <v>353</v>
      </c>
      <c r="B355">
        <v>354</v>
      </c>
      <c r="C355">
        <v>0.2576</v>
      </c>
      <c r="D355">
        <v>0.56000000000000005</v>
      </c>
      <c r="E355">
        <v>0.16420000000000001</v>
      </c>
      <c r="F355">
        <v>1</v>
      </c>
      <c r="G355">
        <v>1</v>
      </c>
      <c r="H355">
        <v>2</v>
      </c>
    </row>
    <row r="356" spans="1:8">
      <c r="A356">
        <v>354</v>
      </c>
      <c r="B356">
        <v>355</v>
      </c>
      <c r="C356">
        <v>0.2576</v>
      </c>
      <c r="D356">
        <v>0.56000000000000005</v>
      </c>
      <c r="E356">
        <v>0.16420000000000001</v>
      </c>
      <c r="F356">
        <v>0</v>
      </c>
      <c r="G356">
        <v>1</v>
      </c>
      <c r="H356">
        <v>1</v>
      </c>
    </row>
    <row r="357" spans="1:8">
      <c r="A357">
        <v>355</v>
      </c>
      <c r="B357">
        <v>356</v>
      </c>
      <c r="C357">
        <v>0.21210000000000001</v>
      </c>
      <c r="D357">
        <v>0.56000000000000005</v>
      </c>
      <c r="E357">
        <v>0.29849999999999999</v>
      </c>
      <c r="F357">
        <v>0</v>
      </c>
      <c r="G357">
        <v>3</v>
      </c>
      <c r="H357">
        <v>3</v>
      </c>
    </row>
    <row r="358" spans="1:8">
      <c r="A358">
        <v>356</v>
      </c>
      <c r="B358">
        <v>357</v>
      </c>
      <c r="C358">
        <v>0.21210000000000001</v>
      </c>
      <c r="D358">
        <v>0.55000000000000004</v>
      </c>
      <c r="E358">
        <v>0.28360000000000002</v>
      </c>
      <c r="F358">
        <v>0</v>
      </c>
      <c r="G358">
        <v>18</v>
      </c>
      <c r="H358">
        <v>18</v>
      </c>
    </row>
    <row r="359" spans="1:8">
      <c r="A359">
        <v>357</v>
      </c>
      <c r="B359">
        <v>358</v>
      </c>
      <c r="C359">
        <v>0.21210000000000001</v>
      </c>
      <c r="D359">
        <v>0.51</v>
      </c>
      <c r="E359">
        <v>0.25369999999999998</v>
      </c>
      <c r="F359">
        <v>3</v>
      </c>
      <c r="G359">
        <v>29</v>
      </c>
      <c r="H359">
        <v>32</v>
      </c>
    </row>
    <row r="360" spans="1:8">
      <c r="A360">
        <v>358</v>
      </c>
      <c r="B360">
        <v>359</v>
      </c>
      <c r="C360">
        <v>0.21210000000000001</v>
      </c>
      <c r="D360">
        <v>0.51</v>
      </c>
      <c r="E360">
        <v>0.28360000000000002</v>
      </c>
      <c r="F360">
        <v>8</v>
      </c>
      <c r="G360">
        <v>71</v>
      </c>
      <c r="H360">
        <v>79</v>
      </c>
    </row>
    <row r="361" spans="1:8">
      <c r="A361">
        <v>359</v>
      </c>
      <c r="B361">
        <v>360</v>
      </c>
      <c r="C361">
        <v>0.2273</v>
      </c>
      <c r="D361">
        <v>0.44</v>
      </c>
      <c r="E361">
        <v>0.25369999999999998</v>
      </c>
      <c r="F361">
        <v>23</v>
      </c>
      <c r="G361">
        <v>70</v>
      </c>
      <c r="H361">
        <v>93</v>
      </c>
    </row>
    <row r="362" spans="1:8">
      <c r="A362">
        <v>360</v>
      </c>
      <c r="B362">
        <v>361</v>
      </c>
      <c r="C362">
        <v>0.21210000000000001</v>
      </c>
      <c r="D362">
        <v>0.41</v>
      </c>
      <c r="E362">
        <v>0.28360000000000002</v>
      </c>
      <c r="F362">
        <v>29</v>
      </c>
      <c r="G362">
        <v>75</v>
      </c>
      <c r="H362">
        <v>104</v>
      </c>
    </row>
    <row r="363" spans="1:8">
      <c r="A363">
        <v>361</v>
      </c>
      <c r="B363">
        <v>362</v>
      </c>
      <c r="C363">
        <v>0.2273</v>
      </c>
      <c r="D363">
        <v>0.35</v>
      </c>
      <c r="E363">
        <v>0.29849999999999999</v>
      </c>
      <c r="F363">
        <v>23</v>
      </c>
      <c r="G363">
        <v>95</v>
      </c>
      <c r="H363">
        <v>118</v>
      </c>
    </row>
    <row r="364" spans="1:8">
      <c r="A364">
        <v>362</v>
      </c>
      <c r="B364">
        <v>363</v>
      </c>
      <c r="C364">
        <v>0.2727</v>
      </c>
      <c r="D364">
        <v>0.36</v>
      </c>
      <c r="E364">
        <v>0.25369999999999998</v>
      </c>
      <c r="F364">
        <v>22</v>
      </c>
      <c r="G364">
        <v>69</v>
      </c>
      <c r="H364">
        <v>91</v>
      </c>
    </row>
    <row r="365" spans="1:8">
      <c r="A365">
        <v>363</v>
      </c>
      <c r="B365">
        <v>364</v>
      </c>
      <c r="C365">
        <v>0.2424</v>
      </c>
      <c r="D365">
        <v>0.38</v>
      </c>
      <c r="E365">
        <v>0.25369999999999998</v>
      </c>
      <c r="F365">
        <v>35</v>
      </c>
      <c r="G365">
        <v>78</v>
      </c>
      <c r="H365">
        <v>113</v>
      </c>
    </row>
    <row r="366" spans="1:8">
      <c r="A366">
        <v>364</v>
      </c>
      <c r="B366">
        <v>365</v>
      </c>
      <c r="C366">
        <v>0.2273</v>
      </c>
      <c r="D366">
        <v>0.38</v>
      </c>
      <c r="E366">
        <v>0.22389999999999999</v>
      </c>
      <c r="F366">
        <v>22</v>
      </c>
      <c r="G366">
        <v>77</v>
      </c>
      <c r="H366">
        <v>99</v>
      </c>
    </row>
    <row r="367" spans="1:8">
      <c r="A367">
        <v>365</v>
      </c>
      <c r="B367">
        <v>366</v>
      </c>
      <c r="C367">
        <v>0.21210000000000001</v>
      </c>
      <c r="D367">
        <v>0.37</v>
      </c>
      <c r="E367">
        <v>0.25369999999999998</v>
      </c>
      <c r="F367">
        <v>23</v>
      </c>
      <c r="G367">
        <v>82</v>
      </c>
      <c r="H367">
        <v>105</v>
      </c>
    </row>
    <row r="368" spans="1:8">
      <c r="A368">
        <v>366</v>
      </c>
      <c r="B368">
        <v>367</v>
      </c>
      <c r="C368">
        <v>0.21210000000000001</v>
      </c>
      <c r="D368">
        <v>0.4</v>
      </c>
      <c r="E368">
        <v>0.16420000000000001</v>
      </c>
      <c r="F368">
        <v>11</v>
      </c>
      <c r="G368">
        <v>56</v>
      </c>
      <c r="H368">
        <v>67</v>
      </c>
    </row>
    <row r="369" spans="1:8">
      <c r="A369">
        <v>367</v>
      </c>
      <c r="B369">
        <v>368</v>
      </c>
      <c r="C369">
        <v>0.19700000000000001</v>
      </c>
      <c r="D369">
        <v>0.47</v>
      </c>
      <c r="E369">
        <v>0.1343</v>
      </c>
      <c r="F369">
        <v>14</v>
      </c>
      <c r="G369">
        <v>47</v>
      </c>
      <c r="H369">
        <v>61</v>
      </c>
    </row>
    <row r="370" spans="1:8">
      <c r="A370">
        <v>368</v>
      </c>
      <c r="B370">
        <v>369</v>
      </c>
      <c r="C370">
        <v>0.19700000000000001</v>
      </c>
      <c r="D370">
        <v>0.47</v>
      </c>
      <c r="E370">
        <v>0.16420000000000001</v>
      </c>
      <c r="F370">
        <v>7</v>
      </c>
      <c r="G370">
        <v>50</v>
      </c>
      <c r="H370">
        <v>57</v>
      </c>
    </row>
    <row r="371" spans="1:8">
      <c r="A371">
        <v>369</v>
      </c>
      <c r="B371">
        <v>370</v>
      </c>
      <c r="C371">
        <v>0.19700000000000001</v>
      </c>
      <c r="D371">
        <v>0.51</v>
      </c>
      <c r="E371">
        <v>0.16420000000000001</v>
      </c>
      <c r="F371">
        <v>6</v>
      </c>
      <c r="G371">
        <v>22</v>
      </c>
      <c r="H371">
        <v>28</v>
      </c>
    </row>
    <row r="372" spans="1:8">
      <c r="A372">
        <v>370</v>
      </c>
      <c r="B372">
        <v>371</v>
      </c>
      <c r="C372">
        <v>0.21210000000000001</v>
      </c>
      <c r="D372">
        <v>0.49</v>
      </c>
      <c r="E372">
        <v>0.1343</v>
      </c>
      <c r="F372">
        <v>2</v>
      </c>
      <c r="G372">
        <v>19</v>
      </c>
      <c r="H372">
        <v>21</v>
      </c>
    </row>
    <row r="373" spans="1:8">
      <c r="A373">
        <v>371</v>
      </c>
      <c r="B373">
        <v>372</v>
      </c>
      <c r="C373">
        <v>0.2273</v>
      </c>
      <c r="D373">
        <v>0.4</v>
      </c>
      <c r="E373">
        <v>0.1045</v>
      </c>
      <c r="F373">
        <v>0</v>
      </c>
      <c r="G373">
        <v>18</v>
      </c>
      <c r="H373">
        <v>18</v>
      </c>
    </row>
    <row r="374" spans="1:8">
      <c r="A374">
        <v>372</v>
      </c>
      <c r="B374">
        <v>373</v>
      </c>
      <c r="C374">
        <v>0.19700000000000001</v>
      </c>
      <c r="D374">
        <v>0.47</v>
      </c>
      <c r="E374">
        <v>0.22389999999999999</v>
      </c>
      <c r="F374">
        <v>1</v>
      </c>
      <c r="G374">
        <v>16</v>
      </c>
      <c r="H374">
        <v>17</v>
      </c>
    </row>
    <row r="375" spans="1:8">
      <c r="A375">
        <v>373</v>
      </c>
      <c r="B375">
        <v>374</v>
      </c>
      <c r="C375">
        <v>0.19700000000000001</v>
      </c>
      <c r="D375">
        <v>0.44</v>
      </c>
      <c r="E375">
        <v>0.19400000000000001</v>
      </c>
      <c r="F375">
        <v>1</v>
      </c>
      <c r="G375">
        <v>15</v>
      </c>
      <c r="H375">
        <v>16</v>
      </c>
    </row>
    <row r="376" spans="1:8">
      <c r="A376">
        <v>374</v>
      </c>
      <c r="B376">
        <v>375</v>
      </c>
      <c r="C376">
        <v>0.16669999999999999</v>
      </c>
      <c r="D376">
        <v>0.43</v>
      </c>
      <c r="E376">
        <v>0.25369999999999998</v>
      </c>
      <c r="F376">
        <v>0</v>
      </c>
      <c r="G376">
        <v>8</v>
      </c>
      <c r="H376">
        <v>8</v>
      </c>
    </row>
    <row r="377" spans="1:8">
      <c r="A377">
        <v>375</v>
      </c>
      <c r="B377">
        <v>376</v>
      </c>
      <c r="C377">
        <v>0.18179999999999999</v>
      </c>
      <c r="D377">
        <v>0.43</v>
      </c>
      <c r="E377">
        <v>0.19400000000000001</v>
      </c>
      <c r="F377">
        <v>0</v>
      </c>
      <c r="G377">
        <v>2</v>
      </c>
      <c r="H377">
        <v>2</v>
      </c>
    </row>
    <row r="378" spans="1:8">
      <c r="A378">
        <v>376</v>
      </c>
      <c r="B378">
        <v>377</v>
      </c>
      <c r="C378">
        <v>0.19700000000000001</v>
      </c>
      <c r="D378">
        <v>0.43</v>
      </c>
      <c r="E378">
        <v>0.1343</v>
      </c>
      <c r="F378">
        <v>1</v>
      </c>
      <c r="G378">
        <v>2</v>
      </c>
      <c r="H378">
        <v>3</v>
      </c>
    </row>
    <row r="379" spans="1:8">
      <c r="A379">
        <v>377</v>
      </c>
      <c r="B379">
        <v>378</v>
      </c>
      <c r="C379">
        <v>0.19700000000000001</v>
      </c>
      <c r="D379">
        <v>0.43</v>
      </c>
      <c r="E379">
        <v>0.16420000000000001</v>
      </c>
      <c r="F379">
        <v>0</v>
      </c>
      <c r="G379">
        <v>1</v>
      </c>
      <c r="H379">
        <v>1</v>
      </c>
    </row>
    <row r="380" spans="1:8">
      <c r="A380">
        <v>378</v>
      </c>
      <c r="B380">
        <v>379</v>
      </c>
      <c r="C380">
        <v>0.18179999999999999</v>
      </c>
      <c r="D380">
        <v>0.43</v>
      </c>
      <c r="E380">
        <v>0.19400000000000001</v>
      </c>
      <c r="F380">
        <v>0</v>
      </c>
      <c r="G380">
        <v>5</v>
      </c>
      <c r="H380">
        <v>5</v>
      </c>
    </row>
    <row r="381" spans="1:8">
      <c r="A381">
        <v>379</v>
      </c>
      <c r="B381">
        <v>380</v>
      </c>
      <c r="C381">
        <v>0.18179999999999999</v>
      </c>
      <c r="D381">
        <v>0.5</v>
      </c>
      <c r="E381">
        <v>0.1343</v>
      </c>
      <c r="F381">
        <v>4</v>
      </c>
      <c r="G381">
        <v>9</v>
      </c>
      <c r="H381">
        <v>13</v>
      </c>
    </row>
    <row r="382" spans="1:8">
      <c r="A382">
        <v>380</v>
      </c>
      <c r="B382">
        <v>381</v>
      </c>
      <c r="C382">
        <v>0.1515</v>
      </c>
      <c r="D382">
        <v>0.47</v>
      </c>
      <c r="E382">
        <v>0.22389999999999999</v>
      </c>
      <c r="F382">
        <v>3</v>
      </c>
      <c r="G382">
        <v>30</v>
      </c>
      <c r="H382">
        <v>33</v>
      </c>
    </row>
    <row r="383" spans="1:8">
      <c r="A383">
        <v>381</v>
      </c>
      <c r="B383">
        <v>382</v>
      </c>
      <c r="C383">
        <v>0.1515</v>
      </c>
      <c r="D383">
        <v>0.47</v>
      </c>
      <c r="E383">
        <v>0.22389999999999999</v>
      </c>
      <c r="F383">
        <v>8</v>
      </c>
      <c r="G383">
        <v>39</v>
      </c>
      <c r="H383">
        <v>47</v>
      </c>
    </row>
    <row r="384" spans="1:8">
      <c r="A384">
        <v>382</v>
      </c>
      <c r="B384">
        <v>383</v>
      </c>
      <c r="C384">
        <v>0.1515</v>
      </c>
      <c r="D384">
        <v>0.5</v>
      </c>
      <c r="E384">
        <v>0.25369999999999998</v>
      </c>
      <c r="F384">
        <v>7</v>
      </c>
      <c r="G384">
        <v>50</v>
      </c>
      <c r="H384">
        <v>57</v>
      </c>
    </row>
    <row r="385" spans="1:8">
      <c r="A385">
        <v>383</v>
      </c>
      <c r="B385">
        <v>384</v>
      </c>
      <c r="C385">
        <v>0.1515</v>
      </c>
      <c r="D385">
        <v>0.55000000000000004</v>
      </c>
      <c r="E385">
        <v>0.19400000000000001</v>
      </c>
      <c r="F385">
        <v>9</v>
      </c>
      <c r="G385">
        <v>55</v>
      </c>
      <c r="H385">
        <v>64</v>
      </c>
    </row>
    <row r="386" spans="1:8">
      <c r="A386">
        <v>384</v>
      </c>
      <c r="B386">
        <v>385</v>
      </c>
      <c r="C386">
        <v>0.19700000000000001</v>
      </c>
      <c r="D386">
        <v>0.47</v>
      </c>
      <c r="E386">
        <v>0.1343</v>
      </c>
      <c r="F386">
        <v>10</v>
      </c>
      <c r="G386">
        <v>70</v>
      </c>
      <c r="H386">
        <v>80</v>
      </c>
    </row>
    <row r="387" spans="1:8">
      <c r="A387">
        <v>385</v>
      </c>
      <c r="B387">
        <v>386</v>
      </c>
      <c r="C387">
        <v>0.19700000000000001</v>
      </c>
      <c r="D387">
        <v>0.47</v>
      </c>
      <c r="E387">
        <v>0.1343</v>
      </c>
      <c r="F387">
        <v>13</v>
      </c>
      <c r="G387">
        <v>80</v>
      </c>
      <c r="H387">
        <v>93</v>
      </c>
    </row>
    <row r="388" spans="1:8">
      <c r="A388">
        <v>386</v>
      </c>
      <c r="B388">
        <v>387</v>
      </c>
      <c r="C388">
        <v>0.21210000000000001</v>
      </c>
      <c r="D388">
        <v>0.43</v>
      </c>
      <c r="E388">
        <v>0.1045</v>
      </c>
      <c r="F388">
        <v>12</v>
      </c>
      <c r="G388">
        <v>74</v>
      </c>
      <c r="H388">
        <v>86</v>
      </c>
    </row>
    <row r="389" spans="1:8">
      <c r="A389">
        <v>387</v>
      </c>
      <c r="B389">
        <v>388</v>
      </c>
      <c r="C389">
        <v>0.21210000000000001</v>
      </c>
      <c r="D389">
        <v>0.47</v>
      </c>
      <c r="E389">
        <v>0.16420000000000001</v>
      </c>
      <c r="F389">
        <v>21</v>
      </c>
      <c r="G389">
        <v>72</v>
      </c>
      <c r="H389">
        <v>93</v>
      </c>
    </row>
    <row r="390" spans="1:8">
      <c r="A390">
        <v>388</v>
      </c>
      <c r="B390">
        <v>389</v>
      </c>
      <c r="C390">
        <v>0.21210000000000001</v>
      </c>
      <c r="D390">
        <v>0.47</v>
      </c>
      <c r="E390">
        <v>0.16420000000000001</v>
      </c>
      <c r="F390">
        <v>6</v>
      </c>
      <c r="G390">
        <v>76</v>
      </c>
      <c r="H390">
        <v>82</v>
      </c>
    </row>
    <row r="391" spans="1:8">
      <c r="A391">
        <v>389</v>
      </c>
      <c r="B391">
        <v>390</v>
      </c>
      <c r="C391">
        <v>0.19700000000000001</v>
      </c>
      <c r="D391">
        <v>0.51</v>
      </c>
      <c r="E391">
        <v>0.19400000000000001</v>
      </c>
      <c r="F391">
        <v>4</v>
      </c>
      <c r="G391">
        <v>67</v>
      </c>
      <c r="H391">
        <v>71</v>
      </c>
    </row>
    <row r="392" spans="1:8">
      <c r="A392">
        <v>390</v>
      </c>
      <c r="B392">
        <v>391</v>
      </c>
      <c r="C392">
        <v>0.16669999999999999</v>
      </c>
      <c r="D392">
        <v>0.55000000000000004</v>
      </c>
      <c r="E392">
        <v>0.25369999999999998</v>
      </c>
      <c r="F392">
        <v>7</v>
      </c>
      <c r="G392">
        <v>85</v>
      </c>
      <c r="H392">
        <v>92</v>
      </c>
    </row>
    <row r="393" spans="1:8">
      <c r="A393">
        <v>391</v>
      </c>
      <c r="B393">
        <v>392</v>
      </c>
      <c r="C393">
        <v>0.18179999999999999</v>
      </c>
      <c r="D393">
        <v>0.59</v>
      </c>
      <c r="E393">
        <v>0.19400000000000001</v>
      </c>
      <c r="F393">
        <v>2</v>
      </c>
      <c r="G393">
        <v>58</v>
      </c>
      <c r="H393">
        <v>60</v>
      </c>
    </row>
    <row r="394" spans="1:8">
      <c r="A394">
        <v>392</v>
      </c>
      <c r="B394">
        <v>393</v>
      </c>
      <c r="C394">
        <v>0.1515</v>
      </c>
      <c r="D394">
        <v>0.8</v>
      </c>
      <c r="E394">
        <v>0.19400000000000001</v>
      </c>
      <c r="F394">
        <v>4</v>
      </c>
      <c r="G394">
        <v>29</v>
      </c>
      <c r="H394">
        <v>33</v>
      </c>
    </row>
    <row r="395" spans="1:8">
      <c r="A395">
        <v>393</v>
      </c>
      <c r="B395">
        <v>394</v>
      </c>
      <c r="C395">
        <v>0.1515</v>
      </c>
      <c r="D395">
        <v>0.8</v>
      </c>
      <c r="E395">
        <v>0.19400000000000001</v>
      </c>
      <c r="F395">
        <v>3</v>
      </c>
      <c r="G395">
        <v>24</v>
      </c>
      <c r="H395">
        <v>27</v>
      </c>
    </row>
    <row r="396" spans="1:8">
      <c r="A396">
        <v>394</v>
      </c>
      <c r="B396">
        <v>395</v>
      </c>
      <c r="C396">
        <v>0.1212</v>
      </c>
      <c r="D396">
        <v>0.93</v>
      </c>
      <c r="E396">
        <v>0.25369999999999998</v>
      </c>
      <c r="F396">
        <v>0</v>
      </c>
      <c r="G396">
        <v>13</v>
      </c>
      <c r="H396">
        <v>13</v>
      </c>
    </row>
    <row r="397" spans="1:8">
      <c r="A397">
        <v>395</v>
      </c>
      <c r="B397">
        <v>396</v>
      </c>
      <c r="C397">
        <v>0.13639999999999999</v>
      </c>
      <c r="D397">
        <v>0.86</v>
      </c>
      <c r="E397">
        <v>0.28360000000000002</v>
      </c>
      <c r="F397">
        <v>1</v>
      </c>
      <c r="G397">
        <v>3</v>
      </c>
      <c r="H397">
        <v>4</v>
      </c>
    </row>
    <row r="398" spans="1:8">
      <c r="A398">
        <v>396</v>
      </c>
      <c r="B398">
        <v>397</v>
      </c>
      <c r="C398">
        <v>0.18179999999999999</v>
      </c>
      <c r="D398">
        <v>0.86</v>
      </c>
      <c r="E398">
        <v>0.32840000000000003</v>
      </c>
      <c r="F398">
        <v>0</v>
      </c>
      <c r="G398">
        <v>3</v>
      </c>
      <c r="H398">
        <v>3</v>
      </c>
    </row>
    <row r="399" spans="1:8">
      <c r="A399">
        <v>397</v>
      </c>
      <c r="B399">
        <v>398</v>
      </c>
      <c r="C399">
        <v>0.19700000000000001</v>
      </c>
      <c r="D399">
        <v>0.86</v>
      </c>
      <c r="E399">
        <v>0.22389999999999999</v>
      </c>
      <c r="F399">
        <v>0</v>
      </c>
      <c r="G399">
        <v>22</v>
      </c>
      <c r="H399">
        <v>22</v>
      </c>
    </row>
    <row r="400" spans="1:8">
      <c r="A400">
        <v>398</v>
      </c>
      <c r="B400">
        <v>399</v>
      </c>
      <c r="C400">
        <v>0.2273</v>
      </c>
      <c r="D400">
        <v>0.8</v>
      </c>
      <c r="E400">
        <v>0.16420000000000001</v>
      </c>
      <c r="F400">
        <v>2</v>
      </c>
      <c r="G400">
        <v>26</v>
      </c>
      <c r="H400">
        <v>28</v>
      </c>
    </row>
    <row r="401" spans="1:8">
      <c r="A401">
        <v>399</v>
      </c>
      <c r="B401">
        <v>400</v>
      </c>
      <c r="C401">
        <v>0.2273</v>
      </c>
      <c r="D401">
        <v>0.87</v>
      </c>
      <c r="E401">
        <v>0.16420000000000001</v>
      </c>
      <c r="F401">
        <v>3</v>
      </c>
      <c r="G401">
        <v>32</v>
      </c>
      <c r="H401">
        <v>35</v>
      </c>
    </row>
    <row r="402" spans="1:8">
      <c r="A402">
        <v>400</v>
      </c>
      <c r="B402">
        <v>401</v>
      </c>
      <c r="C402">
        <v>0.2273</v>
      </c>
      <c r="D402">
        <v>0.87</v>
      </c>
      <c r="E402">
        <v>0.19400000000000001</v>
      </c>
      <c r="F402">
        <v>0</v>
      </c>
      <c r="G402">
        <v>61</v>
      </c>
      <c r="H402">
        <v>61</v>
      </c>
    </row>
    <row r="403" spans="1:8">
      <c r="A403">
        <v>401</v>
      </c>
      <c r="B403">
        <v>402</v>
      </c>
      <c r="C403">
        <v>0.2273</v>
      </c>
      <c r="D403">
        <v>0.82</v>
      </c>
      <c r="E403">
        <v>0.19400000000000001</v>
      </c>
      <c r="F403">
        <v>1</v>
      </c>
      <c r="G403">
        <v>124</v>
      </c>
      <c r="H403">
        <v>125</v>
      </c>
    </row>
    <row r="404" spans="1:8">
      <c r="A404">
        <v>402</v>
      </c>
      <c r="B404">
        <v>403</v>
      </c>
      <c r="C404">
        <v>0.2273</v>
      </c>
      <c r="D404">
        <v>0.8</v>
      </c>
      <c r="E404">
        <v>0.16420000000000001</v>
      </c>
      <c r="F404">
        <v>1</v>
      </c>
      <c r="G404">
        <v>132</v>
      </c>
      <c r="H404">
        <v>133</v>
      </c>
    </row>
    <row r="405" spans="1:8">
      <c r="A405">
        <v>403</v>
      </c>
      <c r="B405">
        <v>404</v>
      </c>
      <c r="C405">
        <v>0.2273</v>
      </c>
      <c r="D405">
        <v>0.8</v>
      </c>
      <c r="E405">
        <v>0.1343</v>
      </c>
      <c r="F405">
        <v>1</v>
      </c>
      <c r="G405">
        <v>98</v>
      </c>
      <c r="H405">
        <v>99</v>
      </c>
    </row>
    <row r="406" spans="1:8">
      <c r="A406">
        <v>404</v>
      </c>
      <c r="B406">
        <v>405</v>
      </c>
      <c r="C406">
        <v>0.2727</v>
      </c>
      <c r="D406">
        <v>0.87</v>
      </c>
      <c r="E406">
        <v>0</v>
      </c>
      <c r="F406">
        <v>0</v>
      </c>
      <c r="G406">
        <v>83</v>
      </c>
      <c r="H406">
        <v>83</v>
      </c>
    </row>
    <row r="407" spans="1:8">
      <c r="A407">
        <v>405</v>
      </c>
      <c r="B407">
        <v>406</v>
      </c>
      <c r="C407">
        <v>0.2424</v>
      </c>
      <c r="D407">
        <v>0.93</v>
      </c>
      <c r="E407">
        <v>0.1045</v>
      </c>
      <c r="F407">
        <v>0</v>
      </c>
      <c r="G407">
        <v>41</v>
      </c>
      <c r="H407">
        <v>41</v>
      </c>
    </row>
    <row r="408" spans="1:8">
      <c r="A408">
        <v>406</v>
      </c>
      <c r="B408">
        <v>407</v>
      </c>
      <c r="C408">
        <v>0.2576</v>
      </c>
      <c r="D408">
        <v>0.93</v>
      </c>
      <c r="E408">
        <v>8.9599999999999999E-2</v>
      </c>
      <c r="F408">
        <v>0</v>
      </c>
      <c r="G408">
        <v>33</v>
      </c>
      <c r="H408">
        <v>33</v>
      </c>
    </row>
    <row r="409" spans="1:8">
      <c r="A409">
        <v>407</v>
      </c>
      <c r="B409">
        <v>408</v>
      </c>
      <c r="C409">
        <v>0.2727</v>
      </c>
      <c r="D409">
        <v>0.93</v>
      </c>
      <c r="E409">
        <v>0</v>
      </c>
      <c r="F409">
        <v>1</v>
      </c>
      <c r="G409">
        <v>19</v>
      </c>
      <c r="H409">
        <v>20</v>
      </c>
    </row>
    <row r="410" spans="1:8">
      <c r="A410">
        <v>408</v>
      </c>
      <c r="B410">
        <v>409</v>
      </c>
      <c r="C410">
        <v>0.2727</v>
      </c>
      <c r="D410">
        <v>0.93</v>
      </c>
      <c r="E410">
        <v>0</v>
      </c>
      <c r="F410">
        <v>0</v>
      </c>
      <c r="G410">
        <v>3</v>
      </c>
      <c r="H410">
        <v>3</v>
      </c>
    </row>
    <row r="411" spans="1:8">
      <c r="A411">
        <v>409</v>
      </c>
      <c r="B411">
        <v>410</v>
      </c>
      <c r="C411">
        <v>0.2273</v>
      </c>
      <c r="D411">
        <v>0.93</v>
      </c>
      <c r="E411">
        <v>0.1343</v>
      </c>
      <c r="F411">
        <v>1</v>
      </c>
      <c r="G411">
        <v>6</v>
      </c>
      <c r="H411">
        <v>7</v>
      </c>
    </row>
    <row r="412" spans="1:8">
      <c r="A412">
        <v>410</v>
      </c>
      <c r="B412">
        <v>411</v>
      </c>
      <c r="C412">
        <v>0.2273</v>
      </c>
      <c r="D412">
        <v>0.93</v>
      </c>
      <c r="E412">
        <v>0.1343</v>
      </c>
      <c r="F412">
        <v>0</v>
      </c>
      <c r="G412">
        <v>3</v>
      </c>
      <c r="H412">
        <v>3</v>
      </c>
    </row>
    <row r="413" spans="1:8">
      <c r="A413">
        <v>411</v>
      </c>
      <c r="B413">
        <v>412</v>
      </c>
      <c r="C413">
        <v>0.2273</v>
      </c>
      <c r="D413">
        <v>0.93</v>
      </c>
      <c r="E413">
        <v>0.1343</v>
      </c>
      <c r="F413">
        <v>1</v>
      </c>
      <c r="G413">
        <v>1</v>
      </c>
      <c r="H413">
        <v>2</v>
      </c>
    </row>
    <row r="414" spans="1:8">
      <c r="A414">
        <v>412</v>
      </c>
      <c r="B414">
        <v>413</v>
      </c>
      <c r="C414">
        <v>0.2576</v>
      </c>
      <c r="D414">
        <v>0.93</v>
      </c>
      <c r="E414">
        <v>8.9599999999999999E-2</v>
      </c>
      <c r="F414">
        <v>0</v>
      </c>
      <c r="G414">
        <v>7</v>
      </c>
      <c r="H414">
        <v>7</v>
      </c>
    </row>
    <row r="415" spans="1:8">
      <c r="A415">
        <v>413</v>
      </c>
      <c r="B415">
        <v>414</v>
      </c>
      <c r="C415">
        <v>0.2576</v>
      </c>
      <c r="D415">
        <v>0.93</v>
      </c>
      <c r="E415">
        <v>8.9599999999999999E-2</v>
      </c>
      <c r="F415">
        <v>0</v>
      </c>
      <c r="G415">
        <v>32</v>
      </c>
      <c r="H415">
        <v>32</v>
      </c>
    </row>
    <row r="416" spans="1:8">
      <c r="A416">
        <v>414</v>
      </c>
      <c r="B416">
        <v>415</v>
      </c>
      <c r="C416">
        <v>0.2576</v>
      </c>
      <c r="D416">
        <v>0.92</v>
      </c>
      <c r="E416">
        <v>0.1045</v>
      </c>
      <c r="F416">
        <v>1</v>
      </c>
      <c r="G416">
        <v>89</v>
      </c>
      <c r="H416">
        <v>90</v>
      </c>
    </row>
    <row r="417" spans="1:8">
      <c r="A417">
        <v>415</v>
      </c>
      <c r="B417">
        <v>416</v>
      </c>
      <c r="C417">
        <v>0.2576</v>
      </c>
      <c r="D417">
        <v>0.93</v>
      </c>
      <c r="E417">
        <v>0.1045</v>
      </c>
      <c r="F417">
        <v>1</v>
      </c>
      <c r="G417">
        <v>196</v>
      </c>
      <c r="H417">
        <v>197</v>
      </c>
    </row>
    <row r="418" spans="1:8">
      <c r="A418">
        <v>416</v>
      </c>
      <c r="B418">
        <v>417</v>
      </c>
      <c r="C418">
        <v>0.2576</v>
      </c>
      <c r="D418">
        <v>0.93</v>
      </c>
      <c r="E418">
        <v>0.1045</v>
      </c>
      <c r="F418">
        <v>2</v>
      </c>
      <c r="G418">
        <v>107</v>
      </c>
      <c r="H418">
        <v>109</v>
      </c>
    </row>
    <row r="419" spans="1:8">
      <c r="A419">
        <v>417</v>
      </c>
      <c r="B419">
        <v>418</v>
      </c>
      <c r="C419">
        <v>0.2727</v>
      </c>
      <c r="D419">
        <v>0.93</v>
      </c>
      <c r="E419">
        <v>0.1343</v>
      </c>
      <c r="F419">
        <v>1</v>
      </c>
      <c r="G419">
        <v>46</v>
      </c>
      <c r="H419">
        <v>47</v>
      </c>
    </row>
    <row r="420" spans="1:8">
      <c r="A420">
        <v>418</v>
      </c>
      <c r="B420">
        <v>419</v>
      </c>
      <c r="C420">
        <v>0.30299999999999999</v>
      </c>
      <c r="D420">
        <v>0.87</v>
      </c>
      <c r="E420">
        <v>8.9599999999999999E-2</v>
      </c>
      <c r="F420">
        <v>5</v>
      </c>
      <c r="G420">
        <v>47</v>
      </c>
      <c r="H420">
        <v>52</v>
      </c>
    </row>
    <row r="421" spans="1:8">
      <c r="A421">
        <v>419</v>
      </c>
      <c r="B421">
        <v>420</v>
      </c>
      <c r="C421">
        <v>0.31819999999999998</v>
      </c>
      <c r="D421">
        <v>0.81</v>
      </c>
      <c r="E421">
        <v>8.9599999999999999E-2</v>
      </c>
      <c r="F421">
        <v>5</v>
      </c>
      <c r="G421">
        <v>65</v>
      </c>
      <c r="H421">
        <v>70</v>
      </c>
    </row>
    <row r="422" spans="1:8">
      <c r="A422">
        <v>420</v>
      </c>
      <c r="B422">
        <v>421</v>
      </c>
      <c r="C422">
        <v>0.40910000000000002</v>
      </c>
      <c r="D422">
        <v>0.62</v>
      </c>
      <c r="E422">
        <v>0.28360000000000002</v>
      </c>
      <c r="F422">
        <v>11</v>
      </c>
      <c r="G422">
        <v>67</v>
      </c>
      <c r="H422">
        <v>78</v>
      </c>
    </row>
    <row r="423" spans="1:8">
      <c r="A423">
        <v>421</v>
      </c>
      <c r="B423">
        <v>422</v>
      </c>
      <c r="C423">
        <v>0.40910000000000002</v>
      </c>
      <c r="D423">
        <v>0.57999999999999996</v>
      </c>
      <c r="E423">
        <v>0.25369999999999998</v>
      </c>
      <c r="F423">
        <v>7</v>
      </c>
      <c r="G423">
        <v>68</v>
      </c>
      <c r="H423">
        <v>75</v>
      </c>
    </row>
    <row r="424" spans="1:8">
      <c r="A424">
        <v>422</v>
      </c>
      <c r="B424">
        <v>423</v>
      </c>
      <c r="C424">
        <v>0.40910000000000002</v>
      </c>
      <c r="D424">
        <v>0.54</v>
      </c>
      <c r="E424">
        <v>0.28360000000000002</v>
      </c>
      <c r="F424">
        <v>4</v>
      </c>
      <c r="G424">
        <v>78</v>
      </c>
      <c r="H424">
        <v>82</v>
      </c>
    </row>
    <row r="425" spans="1:8">
      <c r="A425">
        <v>423</v>
      </c>
      <c r="B425">
        <v>424</v>
      </c>
      <c r="C425">
        <v>0.39389999999999997</v>
      </c>
      <c r="D425">
        <v>0.57999999999999996</v>
      </c>
      <c r="E425">
        <v>0.3881</v>
      </c>
      <c r="F425">
        <v>10</v>
      </c>
      <c r="G425">
        <v>94</v>
      </c>
      <c r="H425">
        <v>104</v>
      </c>
    </row>
    <row r="426" spans="1:8">
      <c r="A426">
        <v>424</v>
      </c>
      <c r="B426">
        <v>425</v>
      </c>
      <c r="C426">
        <v>0.33329999999999999</v>
      </c>
      <c r="D426">
        <v>0.56999999999999995</v>
      </c>
      <c r="E426">
        <v>0.32840000000000003</v>
      </c>
      <c r="F426">
        <v>7</v>
      </c>
      <c r="G426">
        <v>190</v>
      </c>
      <c r="H426">
        <v>197</v>
      </c>
    </row>
    <row r="427" spans="1:8">
      <c r="A427">
        <v>425</v>
      </c>
      <c r="B427">
        <v>426</v>
      </c>
      <c r="C427">
        <v>0.31819999999999998</v>
      </c>
      <c r="D427">
        <v>0.61</v>
      </c>
      <c r="E427">
        <v>0.28360000000000002</v>
      </c>
      <c r="F427">
        <v>5</v>
      </c>
      <c r="G427">
        <v>156</v>
      </c>
      <c r="H427">
        <v>161</v>
      </c>
    </row>
    <row r="428" spans="1:8">
      <c r="A428">
        <v>426</v>
      </c>
      <c r="B428">
        <v>427</v>
      </c>
      <c r="C428">
        <v>0.28789999999999999</v>
      </c>
      <c r="D428">
        <v>0.56999999999999995</v>
      </c>
      <c r="E428">
        <v>0.41789999999999999</v>
      </c>
      <c r="F428">
        <v>4</v>
      </c>
      <c r="G428">
        <v>108</v>
      </c>
      <c r="H428">
        <v>112</v>
      </c>
    </row>
    <row r="429" spans="1:8">
      <c r="A429">
        <v>427</v>
      </c>
      <c r="B429">
        <v>428</v>
      </c>
      <c r="C429">
        <v>0.30299999999999999</v>
      </c>
      <c r="D429">
        <v>0.49</v>
      </c>
      <c r="E429">
        <v>0.29849999999999999</v>
      </c>
      <c r="F429">
        <v>2</v>
      </c>
      <c r="G429">
        <v>74</v>
      </c>
      <c r="H429">
        <v>76</v>
      </c>
    </row>
    <row r="430" spans="1:8">
      <c r="A430">
        <v>428</v>
      </c>
      <c r="B430">
        <v>429</v>
      </c>
      <c r="C430">
        <v>0.28789999999999999</v>
      </c>
      <c r="D430">
        <v>0.49</v>
      </c>
      <c r="E430">
        <v>0.41789999999999999</v>
      </c>
      <c r="F430">
        <v>4</v>
      </c>
      <c r="G430">
        <v>55</v>
      </c>
      <c r="H430">
        <v>59</v>
      </c>
    </row>
    <row r="431" spans="1:8">
      <c r="A431">
        <v>429</v>
      </c>
      <c r="B431">
        <v>430</v>
      </c>
      <c r="C431">
        <v>0.30299999999999999</v>
      </c>
      <c r="D431">
        <v>0.52</v>
      </c>
      <c r="E431">
        <v>0.16420000000000001</v>
      </c>
      <c r="F431">
        <v>6</v>
      </c>
      <c r="G431">
        <v>53</v>
      </c>
      <c r="H431">
        <v>59</v>
      </c>
    </row>
    <row r="432" spans="1:8">
      <c r="A432">
        <v>430</v>
      </c>
      <c r="B432">
        <v>431</v>
      </c>
      <c r="C432">
        <v>0.2727</v>
      </c>
      <c r="D432">
        <v>0.52</v>
      </c>
      <c r="E432">
        <v>0.4627</v>
      </c>
      <c r="F432">
        <v>1</v>
      </c>
      <c r="G432">
        <v>27</v>
      </c>
      <c r="H432">
        <v>28</v>
      </c>
    </row>
    <row r="433" spans="1:8">
      <c r="A433">
        <v>431</v>
      </c>
      <c r="B433">
        <v>432</v>
      </c>
      <c r="C433">
        <v>0.2273</v>
      </c>
      <c r="D433">
        <v>0.56000000000000005</v>
      </c>
      <c r="E433">
        <v>0.3881</v>
      </c>
      <c r="F433">
        <v>5</v>
      </c>
      <c r="G433">
        <v>8</v>
      </c>
      <c r="H433">
        <v>13</v>
      </c>
    </row>
    <row r="434" spans="1:8">
      <c r="A434">
        <v>432</v>
      </c>
      <c r="B434">
        <v>433</v>
      </c>
      <c r="C434">
        <v>0.2727</v>
      </c>
      <c r="D434">
        <v>0.56000000000000005</v>
      </c>
      <c r="E434">
        <v>0</v>
      </c>
      <c r="F434">
        <v>2</v>
      </c>
      <c r="G434">
        <v>3</v>
      </c>
      <c r="H434">
        <v>5</v>
      </c>
    </row>
    <row r="435" spans="1:8">
      <c r="A435">
        <v>433</v>
      </c>
      <c r="B435">
        <v>434</v>
      </c>
      <c r="C435">
        <v>0.2727</v>
      </c>
      <c r="D435">
        <v>0.56000000000000005</v>
      </c>
      <c r="E435">
        <v>0</v>
      </c>
      <c r="F435">
        <v>0</v>
      </c>
      <c r="G435">
        <v>2</v>
      </c>
      <c r="H435">
        <v>2</v>
      </c>
    </row>
    <row r="436" spans="1:8">
      <c r="A436">
        <v>434</v>
      </c>
      <c r="B436">
        <v>435</v>
      </c>
      <c r="C436">
        <v>0.2576</v>
      </c>
      <c r="D436">
        <v>0.56000000000000005</v>
      </c>
      <c r="E436">
        <v>0.16420000000000001</v>
      </c>
      <c r="F436">
        <v>0</v>
      </c>
      <c r="G436">
        <v>1</v>
      </c>
      <c r="H436">
        <v>1</v>
      </c>
    </row>
    <row r="437" spans="1:8">
      <c r="A437">
        <v>435</v>
      </c>
      <c r="B437">
        <v>436</v>
      </c>
      <c r="C437">
        <v>0.2576</v>
      </c>
      <c r="D437">
        <v>0.56000000000000005</v>
      </c>
      <c r="E437">
        <v>0.16420000000000001</v>
      </c>
      <c r="F437">
        <v>0</v>
      </c>
      <c r="G437">
        <v>1</v>
      </c>
      <c r="H437">
        <v>1</v>
      </c>
    </row>
    <row r="438" spans="1:8">
      <c r="A438">
        <v>436</v>
      </c>
      <c r="B438">
        <v>437</v>
      </c>
      <c r="C438">
        <v>0.2273</v>
      </c>
      <c r="D438">
        <v>0.6</v>
      </c>
      <c r="E438">
        <v>0.22389999999999999</v>
      </c>
      <c r="F438">
        <v>0</v>
      </c>
      <c r="G438">
        <v>6</v>
      </c>
      <c r="H438">
        <v>6</v>
      </c>
    </row>
    <row r="439" spans="1:8">
      <c r="A439">
        <v>437</v>
      </c>
      <c r="B439">
        <v>438</v>
      </c>
      <c r="C439">
        <v>0.21210000000000001</v>
      </c>
      <c r="D439">
        <v>0.6</v>
      </c>
      <c r="E439">
        <v>0.22389999999999999</v>
      </c>
      <c r="F439">
        <v>0</v>
      </c>
      <c r="G439">
        <v>35</v>
      </c>
      <c r="H439">
        <v>35</v>
      </c>
    </row>
    <row r="440" spans="1:8">
      <c r="A440">
        <v>438</v>
      </c>
      <c r="B440">
        <v>439</v>
      </c>
      <c r="C440">
        <v>0.21210000000000001</v>
      </c>
      <c r="D440">
        <v>0.55000000000000004</v>
      </c>
      <c r="E440">
        <v>0.22389999999999999</v>
      </c>
      <c r="F440">
        <v>1</v>
      </c>
      <c r="G440">
        <v>100</v>
      </c>
      <c r="H440">
        <v>101</v>
      </c>
    </row>
    <row r="441" spans="1:8">
      <c r="A441">
        <v>439</v>
      </c>
      <c r="B441">
        <v>440</v>
      </c>
      <c r="C441">
        <v>0.21210000000000001</v>
      </c>
      <c r="D441">
        <v>0.55000000000000004</v>
      </c>
      <c r="E441">
        <v>0.28360000000000002</v>
      </c>
      <c r="F441">
        <v>2</v>
      </c>
      <c r="G441">
        <v>247</v>
      </c>
      <c r="H441">
        <v>249</v>
      </c>
    </row>
    <row r="442" spans="1:8">
      <c r="A442">
        <v>440</v>
      </c>
      <c r="B442">
        <v>441</v>
      </c>
      <c r="C442">
        <v>0.2273</v>
      </c>
      <c r="D442">
        <v>0.52</v>
      </c>
      <c r="E442">
        <v>0.22389999999999999</v>
      </c>
      <c r="F442">
        <v>3</v>
      </c>
      <c r="G442">
        <v>140</v>
      </c>
      <c r="H442">
        <v>143</v>
      </c>
    </row>
    <row r="443" spans="1:8">
      <c r="A443">
        <v>441</v>
      </c>
      <c r="B443">
        <v>442</v>
      </c>
      <c r="C443">
        <v>0.2273</v>
      </c>
      <c r="D443">
        <v>0.48</v>
      </c>
      <c r="E443">
        <v>0.29849999999999999</v>
      </c>
      <c r="F443">
        <v>1</v>
      </c>
      <c r="G443">
        <v>56</v>
      </c>
      <c r="H443">
        <v>57</v>
      </c>
    </row>
    <row r="444" spans="1:8">
      <c r="A444">
        <v>442</v>
      </c>
      <c r="B444">
        <v>443</v>
      </c>
      <c r="C444">
        <v>0.2727</v>
      </c>
      <c r="D444">
        <v>0.45</v>
      </c>
      <c r="E444">
        <v>0.16420000000000001</v>
      </c>
      <c r="F444">
        <v>5</v>
      </c>
      <c r="G444">
        <v>63</v>
      </c>
      <c r="H444">
        <v>68</v>
      </c>
    </row>
    <row r="445" spans="1:8">
      <c r="A445">
        <v>443</v>
      </c>
      <c r="B445">
        <v>444</v>
      </c>
      <c r="C445">
        <v>0.33329999999999999</v>
      </c>
      <c r="D445">
        <v>0.42</v>
      </c>
      <c r="E445">
        <v>0</v>
      </c>
      <c r="F445">
        <v>7</v>
      </c>
      <c r="G445">
        <v>77</v>
      </c>
      <c r="H445">
        <v>84</v>
      </c>
    </row>
    <row r="446" spans="1:8">
      <c r="A446">
        <v>444</v>
      </c>
      <c r="B446">
        <v>445</v>
      </c>
      <c r="C446">
        <v>0.28789999999999999</v>
      </c>
      <c r="D446">
        <v>0.45</v>
      </c>
      <c r="E446">
        <v>0.1045</v>
      </c>
      <c r="F446">
        <v>12</v>
      </c>
      <c r="G446">
        <v>86</v>
      </c>
      <c r="H446">
        <v>98</v>
      </c>
    </row>
    <row r="447" spans="1:8">
      <c r="A447">
        <v>445</v>
      </c>
      <c r="B447">
        <v>446</v>
      </c>
      <c r="C447">
        <v>0.30299999999999999</v>
      </c>
      <c r="D447">
        <v>0.45</v>
      </c>
      <c r="E447">
        <v>0.1343</v>
      </c>
      <c r="F447">
        <v>6</v>
      </c>
      <c r="G447">
        <v>75</v>
      </c>
      <c r="H447">
        <v>81</v>
      </c>
    </row>
    <row r="448" spans="1:8">
      <c r="A448">
        <v>446</v>
      </c>
      <c r="B448">
        <v>447</v>
      </c>
      <c r="C448">
        <v>0.31819999999999998</v>
      </c>
      <c r="D448">
        <v>0.45</v>
      </c>
      <c r="E448">
        <v>0.19400000000000001</v>
      </c>
      <c r="F448">
        <v>8</v>
      </c>
      <c r="G448">
        <v>62</v>
      </c>
      <c r="H448">
        <v>70</v>
      </c>
    </row>
    <row r="449" spans="1:8">
      <c r="A449">
        <v>447</v>
      </c>
      <c r="B449">
        <v>448</v>
      </c>
      <c r="C449">
        <v>0.30299999999999999</v>
      </c>
      <c r="D449">
        <v>0.49</v>
      </c>
      <c r="E449">
        <v>0.1343</v>
      </c>
      <c r="F449">
        <v>8</v>
      </c>
      <c r="G449">
        <v>83</v>
      </c>
      <c r="H449">
        <v>91</v>
      </c>
    </row>
    <row r="450" spans="1:8">
      <c r="A450">
        <v>448</v>
      </c>
      <c r="B450">
        <v>449</v>
      </c>
      <c r="C450">
        <v>0.31819999999999998</v>
      </c>
      <c r="D450">
        <v>0.49</v>
      </c>
      <c r="E450">
        <v>0.1045</v>
      </c>
      <c r="F450">
        <v>8</v>
      </c>
      <c r="G450">
        <v>207</v>
      </c>
      <c r="H450">
        <v>215</v>
      </c>
    </row>
    <row r="451" spans="1:8">
      <c r="A451">
        <v>449</v>
      </c>
      <c r="B451">
        <v>450</v>
      </c>
      <c r="C451">
        <v>0.2576</v>
      </c>
      <c r="D451">
        <v>0.56000000000000005</v>
      </c>
      <c r="E451">
        <v>0.19400000000000001</v>
      </c>
      <c r="F451">
        <v>1</v>
      </c>
      <c r="G451">
        <v>184</v>
      </c>
      <c r="H451">
        <v>185</v>
      </c>
    </row>
    <row r="452" spans="1:8">
      <c r="A452">
        <v>450</v>
      </c>
      <c r="B452">
        <v>451</v>
      </c>
      <c r="C452">
        <v>0.2273</v>
      </c>
      <c r="D452">
        <v>0.56000000000000005</v>
      </c>
      <c r="E452">
        <v>0.32840000000000003</v>
      </c>
      <c r="F452">
        <v>6</v>
      </c>
      <c r="G452">
        <v>146</v>
      </c>
      <c r="H452">
        <v>152</v>
      </c>
    </row>
    <row r="453" spans="1:8">
      <c r="A453">
        <v>451</v>
      </c>
      <c r="B453">
        <v>452</v>
      </c>
      <c r="C453">
        <v>0.2424</v>
      </c>
      <c r="D453">
        <v>0.6</v>
      </c>
      <c r="E453">
        <v>0.28360000000000002</v>
      </c>
      <c r="F453">
        <v>2</v>
      </c>
      <c r="G453">
        <v>124</v>
      </c>
      <c r="H453">
        <v>126</v>
      </c>
    </row>
    <row r="454" spans="1:8">
      <c r="A454">
        <v>452</v>
      </c>
      <c r="B454">
        <v>453</v>
      </c>
      <c r="C454">
        <v>0.2273</v>
      </c>
      <c r="D454">
        <v>0.6</v>
      </c>
      <c r="E454">
        <v>0.25369999999999998</v>
      </c>
      <c r="F454">
        <v>3</v>
      </c>
      <c r="G454">
        <v>54</v>
      </c>
      <c r="H454">
        <v>57</v>
      </c>
    </row>
    <row r="455" spans="1:8">
      <c r="A455">
        <v>453</v>
      </c>
      <c r="B455">
        <v>454</v>
      </c>
      <c r="C455">
        <v>0.21210000000000001</v>
      </c>
      <c r="D455">
        <v>0.65</v>
      </c>
      <c r="E455">
        <v>0.28360000000000002</v>
      </c>
      <c r="F455">
        <v>0</v>
      </c>
      <c r="G455">
        <v>56</v>
      </c>
      <c r="H455">
        <v>56</v>
      </c>
    </row>
    <row r="456" spans="1:8">
      <c r="A456">
        <v>454</v>
      </c>
      <c r="B456">
        <v>455</v>
      </c>
      <c r="C456">
        <v>0.21210000000000001</v>
      </c>
      <c r="D456">
        <v>0.65</v>
      </c>
      <c r="E456">
        <v>0.32840000000000003</v>
      </c>
      <c r="F456">
        <v>3</v>
      </c>
      <c r="G456">
        <v>28</v>
      </c>
      <c r="H456">
        <v>31</v>
      </c>
    </row>
    <row r="457" spans="1:8">
      <c r="A457">
        <v>455</v>
      </c>
      <c r="B457">
        <v>456</v>
      </c>
      <c r="C457">
        <v>0.2273</v>
      </c>
      <c r="D457">
        <v>0.7</v>
      </c>
      <c r="E457">
        <v>0.25369999999999998</v>
      </c>
      <c r="F457">
        <v>1</v>
      </c>
      <c r="G457">
        <v>20</v>
      </c>
      <c r="H457">
        <v>21</v>
      </c>
    </row>
    <row r="458" spans="1:8">
      <c r="A458">
        <v>456</v>
      </c>
      <c r="B458">
        <v>457</v>
      </c>
      <c r="C458">
        <v>0.2273</v>
      </c>
      <c r="D458">
        <v>0.7</v>
      </c>
      <c r="E458">
        <v>0.25369999999999998</v>
      </c>
      <c r="F458">
        <v>0</v>
      </c>
      <c r="G458">
        <v>6</v>
      </c>
      <c r="H458">
        <v>6</v>
      </c>
    </row>
    <row r="459" spans="1:8">
      <c r="A459">
        <v>457</v>
      </c>
      <c r="B459">
        <v>458</v>
      </c>
      <c r="C459">
        <v>0.2424</v>
      </c>
      <c r="D459">
        <v>0.75</v>
      </c>
      <c r="E459">
        <v>0.16420000000000001</v>
      </c>
      <c r="F459">
        <v>0</v>
      </c>
      <c r="G459">
        <v>2</v>
      </c>
      <c r="H459">
        <v>2</v>
      </c>
    </row>
    <row r="460" spans="1:8">
      <c r="A460">
        <v>458</v>
      </c>
      <c r="B460">
        <v>459</v>
      </c>
      <c r="C460">
        <v>0.21210000000000001</v>
      </c>
      <c r="D460">
        <v>0.8</v>
      </c>
      <c r="E460">
        <v>0.29849999999999999</v>
      </c>
      <c r="F460">
        <v>0</v>
      </c>
      <c r="G460">
        <v>1</v>
      </c>
      <c r="H460">
        <v>1</v>
      </c>
    </row>
    <row r="461" spans="1:8">
      <c r="A461">
        <v>459</v>
      </c>
      <c r="B461">
        <v>460</v>
      </c>
      <c r="C461">
        <v>0.2576</v>
      </c>
      <c r="D461">
        <v>0.87</v>
      </c>
      <c r="E461">
        <v>8.9599999999999999E-2</v>
      </c>
      <c r="F461">
        <v>0</v>
      </c>
      <c r="G461">
        <v>1</v>
      </c>
      <c r="H461">
        <v>1</v>
      </c>
    </row>
    <row r="462" spans="1:8">
      <c r="A462">
        <v>460</v>
      </c>
      <c r="B462">
        <v>461</v>
      </c>
      <c r="C462">
        <v>0.19700000000000001</v>
      </c>
      <c r="D462">
        <v>0.6</v>
      </c>
      <c r="E462">
        <v>0.41789999999999999</v>
      </c>
      <c r="F462">
        <v>1</v>
      </c>
      <c r="G462">
        <v>4</v>
      </c>
      <c r="H462">
        <v>5</v>
      </c>
    </row>
    <row r="463" spans="1:8">
      <c r="A463">
        <v>461</v>
      </c>
      <c r="B463">
        <v>462</v>
      </c>
      <c r="C463">
        <v>0.21210000000000001</v>
      </c>
      <c r="D463">
        <v>0.55000000000000004</v>
      </c>
      <c r="E463">
        <v>0.25369999999999998</v>
      </c>
      <c r="F463">
        <v>0</v>
      </c>
      <c r="G463">
        <v>27</v>
      </c>
      <c r="H463">
        <v>27</v>
      </c>
    </row>
    <row r="464" spans="1:8">
      <c r="A464">
        <v>462</v>
      </c>
      <c r="B464">
        <v>463</v>
      </c>
      <c r="C464">
        <v>0.18179999999999999</v>
      </c>
      <c r="D464">
        <v>0.51</v>
      </c>
      <c r="E464">
        <v>0.28360000000000002</v>
      </c>
      <c r="F464">
        <v>2</v>
      </c>
      <c r="G464">
        <v>66</v>
      </c>
      <c r="H464">
        <v>68</v>
      </c>
    </row>
    <row r="465" spans="1:8">
      <c r="A465">
        <v>463</v>
      </c>
      <c r="B465">
        <v>464</v>
      </c>
      <c r="C465">
        <v>0.18179999999999999</v>
      </c>
      <c r="D465">
        <v>0.47</v>
      </c>
      <c r="E465">
        <v>0.32840000000000003</v>
      </c>
      <c r="F465">
        <v>7</v>
      </c>
      <c r="G465">
        <v>210</v>
      </c>
      <c r="H465">
        <v>217</v>
      </c>
    </row>
    <row r="466" spans="1:8">
      <c r="A466">
        <v>464</v>
      </c>
      <c r="B466">
        <v>465</v>
      </c>
      <c r="C466">
        <v>0.18179999999999999</v>
      </c>
      <c r="D466">
        <v>0.51</v>
      </c>
      <c r="E466">
        <v>0.35820000000000002</v>
      </c>
      <c r="F466">
        <v>7</v>
      </c>
      <c r="G466">
        <v>159</v>
      </c>
      <c r="H466">
        <v>166</v>
      </c>
    </row>
    <row r="467" spans="1:8">
      <c r="A467">
        <v>465</v>
      </c>
      <c r="B467">
        <v>466</v>
      </c>
      <c r="C467">
        <v>0.16669999999999999</v>
      </c>
      <c r="D467">
        <v>0.47</v>
      </c>
      <c r="E467">
        <v>0.4627</v>
      </c>
      <c r="F467">
        <v>6</v>
      </c>
      <c r="G467">
        <v>57</v>
      </c>
      <c r="H467">
        <v>63</v>
      </c>
    </row>
    <row r="468" spans="1:8">
      <c r="A468">
        <v>466</v>
      </c>
      <c r="B468">
        <v>467</v>
      </c>
      <c r="C468">
        <v>0.18179999999999999</v>
      </c>
      <c r="D468">
        <v>0.41</v>
      </c>
      <c r="E468">
        <v>0.4627</v>
      </c>
      <c r="F468">
        <v>6</v>
      </c>
      <c r="G468">
        <v>53</v>
      </c>
      <c r="H468">
        <v>59</v>
      </c>
    </row>
    <row r="469" spans="1:8">
      <c r="A469">
        <v>467</v>
      </c>
      <c r="B469">
        <v>468</v>
      </c>
      <c r="C469">
        <v>0.18179999999999999</v>
      </c>
      <c r="D469">
        <v>0.27</v>
      </c>
      <c r="E469">
        <v>0.58209999999999995</v>
      </c>
      <c r="F469">
        <v>11</v>
      </c>
      <c r="G469">
        <v>67</v>
      </c>
      <c r="H469">
        <v>78</v>
      </c>
    </row>
    <row r="470" spans="1:8">
      <c r="A470">
        <v>468</v>
      </c>
      <c r="B470">
        <v>469</v>
      </c>
      <c r="C470">
        <v>0.1515</v>
      </c>
      <c r="D470">
        <v>0.21</v>
      </c>
      <c r="E470">
        <v>0.58209999999999995</v>
      </c>
      <c r="F470">
        <v>8</v>
      </c>
      <c r="G470">
        <v>65</v>
      </c>
      <c r="H470">
        <v>73</v>
      </c>
    </row>
    <row r="471" spans="1:8">
      <c r="A471">
        <v>469</v>
      </c>
      <c r="B471">
        <v>470</v>
      </c>
      <c r="C471">
        <v>0.1515</v>
      </c>
      <c r="D471">
        <v>0.25</v>
      </c>
      <c r="E471">
        <v>0.52239999999999998</v>
      </c>
      <c r="F471">
        <v>6</v>
      </c>
      <c r="G471">
        <v>56</v>
      </c>
      <c r="H471">
        <v>62</v>
      </c>
    </row>
    <row r="472" spans="1:8">
      <c r="A472">
        <v>470</v>
      </c>
      <c r="B472">
        <v>471</v>
      </c>
      <c r="C472">
        <v>0.1212</v>
      </c>
      <c r="D472">
        <v>0.26</v>
      </c>
      <c r="E472">
        <v>0.44779999999999998</v>
      </c>
      <c r="F472">
        <v>4</v>
      </c>
      <c r="G472">
        <v>61</v>
      </c>
      <c r="H472">
        <v>65</v>
      </c>
    </row>
    <row r="473" spans="1:8">
      <c r="A473">
        <v>471</v>
      </c>
      <c r="B473">
        <v>472</v>
      </c>
      <c r="C473">
        <v>0.13639999999999999</v>
      </c>
      <c r="D473">
        <v>0.26</v>
      </c>
      <c r="E473">
        <v>0.35820000000000002</v>
      </c>
      <c r="F473">
        <v>0</v>
      </c>
      <c r="G473">
        <v>97</v>
      </c>
      <c r="H473">
        <v>97</v>
      </c>
    </row>
    <row r="474" spans="1:8">
      <c r="A474">
        <v>472</v>
      </c>
      <c r="B474">
        <v>473</v>
      </c>
      <c r="C474">
        <v>0.1212</v>
      </c>
      <c r="D474">
        <v>0.28000000000000003</v>
      </c>
      <c r="E474">
        <v>0.35820000000000002</v>
      </c>
      <c r="F474">
        <v>10</v>
      </c>
      <c r="G474">
        <v>151</v>
      </c>
      <c r="H474">
        <v>161</v>
      </c>
    </row>
    <row r="475" spans="1:8">
      <c r="A475">
        <v>473</v>
      </c>
      <c r="B475">
        <v>474</v>
      </c>
      <c r="C475">
        <v>0.1212</v>
      </c>
      <c r="D475">
        <v>0.3</v>
      </c>
      <c r="E475">
        <v>0.25369999999999998</v>
      </c>
      <c r="F475">
        <v>1</v>
      </c>
      <c r="G475">
        <v>119</v>
      </c>
      <c r="H475">
        <v>120</v>
      </c>
    </row>
    <row r="476" spans="1:8">
      <c r="A476">
        <v>474</v>
      </c>
      <c r="B476">
        <v>475</v>
      </c>
      <c r="C476">
        <v>0.1061</v>
      </c>
      <c r="D476">
        <v>0.3</v>
      </c>
      <c r="E476">
        <v>0.32840000000000003</v>
      </c>
      <c r="F476">
        <v>3</v>
      </c>
      <c r="G476">
        <v>93</v>
      </c>
      <c r="H476">
        <v>96</v>
      </c>
    </row>
    <row r="477" spans="1:8">
      <c r="A477">
        <v>475</v>
      </c>
      <c r="B477">
        <v>476</v>
      </c>
      <c r="C477">
        <v>7.5800000000000006E-2</v>
      </c>
      <c r="D477">
        <v>0.33</v>
      </c>
      <c r="E477">
        <v>0.41789999999999999</v>
      </c>
      <c r="F477">
        <v>1</v>
      </c>
      <c r="G477">
        <v>52</v>
      </c>
      <c r="H477">
        <v>53</v>
      </c>
    </row>
    <row r="478" spans="1:8">
      <c r="A478">
        <v>476</v>
      </c>
      <c r="B478">
        <v>477</v>
      </c>
      <c r="C478">
        <v>7.5800000000000006E-2</v>
      </c>
      <c r="D478">
        <v>0.38</v>
      </c>
      <c r="E478">
        <v>0.28360000000000002</v>
      </c>
      <c r="F478">
        <v>0</v>
      </c>
      <c r="G478">
        <v>41</v>
      </c>
      <c r="H478">
        <v>41</v>
      </c>
    </row>
    <row r="479" spans="1:8">
      <c r="A479">
        <v>477</v>
      </c>
      <c r="B479">
        <v>478</v>
      </c>
      <c r="C479">
        <v>3.0300000000000001E-2</v>
      </c>
      <c r="D479">
        <v>0.41</v>
      </c>
      <c r="E479">
        <v>0.3881</v>
      </c>
      <c r="F479">
        <v>1</v>
      </c>
      <c r="G479">
        <v>33</v>
      </c>
      <c r="H479">
        <v>34</v>
      </c>
    </row>
    <row r="480" spans="1:8">
      <c r="A480">
        <v>478</v>
      </c>
      <c r="B480">
        <v>479</v>
      </c>
      <c r="C480">
        <v>4.5499999999999999E-2</v>
      </c>
      <c r="D480">
        <v>0.38</v>
      </c>
      <c r="E480">
        <v>0.32840000000000003</v>
      </c>
      <c r="F480">
        <v>0</v>
      </c>
      <c r="G480">
        <v>27</v>
      </c>
      <c r="H480">
        <v>27</v>
      </c>
    </row>
    <row r="481" spans="1:8">
      <c r="A481">
        <v>479</v>
      </c>
      <c r="B481">
        <v>480</v>
      </c>
      <c r="C481">
        <v>3.0300000000000001E-2</v>
      </c>
      <c r="D481">
        <v>0.45</v>
      </c>
      <c r="E481">
        <v>0.25369999999999998</v>
      </c>
      <c r="F481">
        <v>0</v>
      </c>
      <c r="G481">
        <v>13</v>
      </c>
      <c r="H481">
        <v>13</v>
      </c>
    </row>
    <row r="482" spans="1:8">
      <c r="A482">
        <v>480</v>
      </c>
      <c r="B482">
        <v>481</v>
      </c>
      <c r="C482">
        <v>0</v>
      </c>
      <c r="D482">
        <v>0.41</v>
      </c>
      <c r="E482">
        <v>0.3881</v>
      </c>
      <c r="F482">
        <v>3</v>
      </c>
      <c r="G482">
        <v>9</v>
      </c>
      <c r="H482">
        <v>12</v>
      </c>
    </row>
    <row r="483" spans="1:8">
      <c r="A483">
        <v>481</v>
      </c>
      <c r="B483">
        <v>482</v>
      </c>
      <c r="C483">
        <v>3.0300000000000001E-2</v>
      </c>
      <c r="D483">
        <v>0.41</v>
      </c>
      <c r="E483">
        <v>0.25369999999999998</v>
      </c>
      <c r="F483">
        <v>0</v>
      </c>
      <c r="G483">
        <v>11</v>
      </c>
      <c r="H483">
        <v>11</v>
      </c>
    </row>
    <row r="484" spans="1:8">
      <c r="A484">
        <v>482</v>
      </c>
      <c r="B484">
        <v>483</v>
      </c>
      <c r="C484">
        <v>3.0300000000000001E-2</v>
      </c>
      <c r="D484">
        <v>0.41</v>
      </c>
      <c r="E484">
        <v>0.28360000000000002</v>
      </c>
      <c r="F484">
        <v>1</v>
      </c>
      <c r="G484">
        <v>6</v>
      </c>
      <c r="H484">
        <v>7</v>
      </c>
    </row>
    <row r="485" spans="1:8">
      <c r="A485">
        <v>483</v>
      </c>
      <c r="B485">
        <v>484</v>
      </c>
      <c r="C485">
        <v>1.52E-2</v>
      </c>
      <c r="D485">
        <v>0.48</v>
      </c>
      <c r="E485">
        <v>0.29849999999999999</v>
      </c>
      <c r="F485">
        <v>0</v>
      </c>
      <c r="G485">
        <v>3</v>
      </c>
      <c r="H485">
        <v>3</v>
      </c>
    </row>
    <row r="486" spans="1:8">
      <c r="A486">
        <v>484</v>
      </c>
      <c r="B486">
        <v>485</v>
      </c>
      <c r="C486">
        <v>3.0300000000000001E-2</v>
      </c>
      <c r="D486">
        <v>0.44</v>
      </c>
      <c r="E486">
        <v>0.22389999999999999</v>
      </c>
      <c r="F486">
        <v>0</v>
      </c>
      <c r="G486">
        <v>2</v>
      </c>
      <c r="H486">
        <v>2</v>
      </c>
    </row>
    <row r="487" spans="1:8">
      <c r="A487">
        <v>485</v>
      </c>
      <c r="B487">
        <v>486</v>
      </c>
      <c r="C487">
        <v>1.52E-2</v>
      </c>
      <c r="D487">
        <v>0.44</v>
      </c>
      <c r="E487">
        <v>0.28360000000000002</v>
      </c>
      <c r="F487">
        <v>0</v>
      </c>
      <c r="G487">
        <v>8</v>
      </c>
      <c r="H487">
        <v>8</v>
      </c>
    </row>
    <row r="488" spans="1:8">
      <c r="A488">
        <v>486</v>
      </c>
      <c r="B488">
        <v>487</v>
      </c>
      <c r="C488">
        <v>0</v>
      </c>
      <c r="D488">
        <v>0.44</v>
      </c>
      <c r="E488">
        <v>0.32840000000000003</v>
      </c>
      <c r="F488">
        <v>1</v>
      </c>
      <c r="G488">
        <v>26</v>
      </c>
      <c r="H488">
        <v>27</v>
      </c>
    </row>
    <row r="489" spans="1:8">
      <c r="A489">
        <v>487</v>
      </c>
      <c r="B489">
        <v>488</v>
      </c>
      <c r="C489">
        <v>3.0300000000000001E-2</v>
      </c>
      <c r="D489">
        <v>0.41</v>
      </c>
      <c r="E489">
        <v>0.25369999999999998</v>
      </c>
      <c r="F489">
        <v>3</v>
      </c>
      <c r="G489">
        <v>37</v>
      </c>
      <c r="H489">
        <v>40</v>
      </c>
    </row>
    <row r="490" spans="1:8">
      <c r="A490">
        <v>488</v>
      </c>
      <c r="B490">
        <v>489</v>
      </c>
      <c r="C490">
        <v>6.0600000000000001E-2</v>
      </c>
      <c r="D490">
        <v>0.41</v>
      </c>
      <c r="E490">
        <v>0.16420000000000001</v>
      </c>
      <c r="F490">
        <v>3</v>
      </c>
      <c r="G490">
        <v>50</v>
      </c>
      <c r="H490">
        <v>53</v>
      </c>
    </row>
    <row r="491" spans="1:8">
      <c r="A491">
        <v>489</v>
      </c>
      <c r="B491">
        <v>490</v>
      </c>
      <c r="C491">
        <v>7.5800000000000006E-2</v>
      </c>
      <c r="D491">
        <v>0.38</v>
      </c>
      <c r="E491">
        <v>0.1343</v>
      </c>
      <c r="F491">
        <v>4</v>
      </c>
      <c r="G491">
        <v>59</v>
      </c>
      <c r="H491">
        <v>63</v>
      </c>
    </row>
    <row r="492" spans="1:8">
      <c r="A492">
        <v>490</v>
      </c>
      <c r="B492">
        <v>491</v>
      </c>
      <c r="C492">
        <v>0.1061</v>
      </c>
      <c r="D492">
        <v>0.38</v>
      </c>
      <c r="E492">
        <v>0.1045</v>
      </c>
      <c r="F492">
        <v>10</v>
      </c>
      <c r="G492">
        <v>60</v>
      </c>
      <c r="H492">
        <v>70</v>
      </c>
    </row>
    <row r="493" spans="1:8">
      <c r="A493">
        <v>491</v>
      </c>
      <c r="B493">
        <v>492</v>
      </c>
      <c r="C493">
        <v>0.16669999999999999</v>
      </c>
      <c r="D493">
        <v>0.35</v>
      </c>
      <c r="E493">
        <v>0</v>
      </c>
      <c r="F493">
        <v>12</v>
      </c>
      <c r="G493">
        <v>72</v>
      </c>
      <c r="H493">
        <v>84</v>
      </c>
    </row>
    <row r="494" spans="1:8">
      <c r="A494">
        <v>492</v>
      </c>
      <c r="B494">
        <v>493</v>
      </c>
      <c r="C494">
        <v>0.13639999999999999</v>
      </c>
      <c r="D494">
        <v>0.33</v>
      </c>
      <c r="E494">
        <v>0.1045</v>
      </c>
      <c r="F494">
        <v>11</v>
      </c>
      <c r="G494">
        <v>64</v>
      </c>
      <c r="H494">
        <v>75</v>
      </c>
    </row>
    <row r="495" spans="1:8">
      <c r="A495">
        <v>493</v>
      </c>
      <c r="B495">
        <v>494</v>
      </c>
      <c r="C495">
        <v>0.1515</v>
      </c>
      <c r="D495">
        <v>0.28000000000000003</v>
      </c>
      <c r="E495">
        <v>0</v>
      </c>
      <c r="F495">
        <v>10</v>
      </c>
      <c r="G495">
        <v>93</v>
      </c>
      <c r="H495">
        <v>103</v>
      </c>
    </row>
    <row r="496" spans="1:8">
      <c r="A496">
        <v>494</v>
      </c>
      <c r="B496">
        <v>495</v>
      </c>
      <c r="C496">
        <v>0.13639999999999999</v>
      </c>
      <c r="D496">
        <v>0.28000000000000003</v>
      </c>
      <c r="E496">
        <v>0.19400000000000001</v>
      </c>
      <c r="F496">
        <v>11</v>
      </c>
      <c r="G496">
        <v>72</v>
      </c>
      <c r="H496">
        <v>83</v>
      </c>
    </row>
    <row r="497" spans="1:8">
      <c r="A497">
        <v>495</v>
      </c>
      <c r="B497">
        <v>496</v>
      </c>
      <c r="C497">
        <v>0.19700000000000001</v>
      </c>
      <c r="D497">
        <v>0.28000000000000003</v>
      </c>
      <c r="E497">
        <v>0</v>
      </c>
      <c r="F497">
        <v>8</v>
      </c>
      <c r="G497">
        <v>59</v>
      </c>
      <c r="H497">
        <v>67</v>
      </c>
    </row>
    <row r="498" spans="1:8">
      <c r="A498">
        <v>496</v>
      </c>
      <c r="B498">
        <v>497</v>
      </c>
      <c r="C498">
        <v>9.0899999999999995E-2</v>
      </c>
      <c r="D498">
        <v>0.35</v>
      </c>
      <c r="E498">
        <v>0.19400000000000001</v>
      </c>
      <c r="F498">
        <v>0</v>
      </c>
      <c r="G498">
        <v>54</v>
      </c>
      <c r="H498">
        <v>54</v>
      </c>
    </row>
    <row r="499" spans="1:8">
      <c r="A499">
        <v>497</v>
      </c>
      <c r="B499">
        <v>498</v>
      </c>
      <c r="C499">
        <v>0.1061</v>
      </c>
      <c r="D499">
        <v>0.35</v>
      </c>
      <c r="E499">
        <v>0.1343</v>
      </c>
      <c r="F499">
        <v>6</v>
      </c>
      <c r="G499">
        <v>53</v>
      </c>
      <c r="H499">
        <v>59</v>
      </c>
    </row>
    <row r="500" spans="1:8">
      <c r="A500">
        <v>498</v>
      </c>
      <c r="B500">
        <v>499</v>
      </c>
      <c r="C500">
        <v>7.5800000000000006E-2</v>
      </c>
      <c r="D500">
        <v>0.45</v>
      </c>
      <c r="E500">
        <v>0.16420000000000001</v>
      </c>
      <c r="F500">
        <v>1</v>
      </c>
      <c r="G500">
        <v>44</v>
      </c>
      <c r="H500">
        <v>45</v>
      </c>
    </row>
    <row r="501" spans="1:8">
      <c r="A501">
        <v>499</v>
      </c>
      <c r="B501">
        <v>500</v>
      </c>
      <c r="C501">
        <v>0.1061</v>
      </c>
      <c r="D501">
        <v>0.41</v>
      </c>
      <c r="E501">
        <v>8.9599999999999999E-2</v>
      </c>
      <c r="F501">
        <v>0</v>
      </c>
      <c r="G501">
        <v>39</v>
      </c>
      <c r="H501">
        <v>39</v>
      </c>
    </row>
    <row r="502" spans="1:8">
      <c r="A502">
        <v>500</v>
      </c>
      <c r="B502">
        <v>501</v>
      </c>
      <c r="C502">
        <v>0.1515</v>
      </c>
      <c r="D502">
        <v>0.49</v>
      </c>
      <c r="E502">
        <v>0</v>
      </c>
      <c r="F502">
        <v>7</v>
      </c>
      <c r="G502">
        <v>23</v>
      </c>
      <c r="H502">
        <v>30</v>
      </c>
    </row>
    <row r="503" spans="1:8">
      <c r="A503">
        <v>501</v>
      </c>
      <c r="B503">
        <v>502</v>
      </c>
      <c r="C503">
        <v>7.5800000000000006E-2</v>
      </c>
      <c r="D503">
        <v>0.56999999999999995</v>
      </c>
      <c r="E503">
        <v>0.1045</v>
      </c>
      <c r="F503">
        <v>2</v>
      </c>
      <c r="G503">
        <v>31</v>
      </c>
      <c r="H503">
        <v>33</v>
      </c>
    </row>
    <row r="504" spans="1:8">
      <c r="A504">
        <v>502</v>
      </c>
      <c r="B504">
        <v>503</v>
      </c>
      <c r="C504">
        <v>7.5800000000000006E-2</v>
      </c>
      <c r="D504">
        <v>0.56999999999999995</v>
      </c>
      <c r="E504">
        <v>0.1045</v>
      </c>
      <c r="F504">
        <v>2</v>
      </c>
      <c r="G504">
        <v>20</v>
      </c>
      <c r="H504">
        <v>22</v>
      </c>
    </row>
    <row r="505" spans="1:8">
      <c r="A505">
        <v>503</v>
      </c>
      <c r="B505">
        <v>504</v>
      </c>
      <c r="C505">
        <v>7.5800000000000006E-2</v>
      </c>
      <c r="D505">
        <v>0.56999999999999995</v>
      </c>
      <c r="E505">
        <v>0.1045</v>
      </c>
      <c r="F505">
        <v>1</v>
      </c>
      <c r="G505">
        <v>12</v>
      </c>
      <c r="H505">
        <v>13</v>
      </c>
    </row>
    <row r="506" spans="1:8">
      <c r="A506">
        <v>504</v>
      </c>
      <c r="B506">
        <v>505</v>
      </c>
      <c r="C506">
        <v>6.0600000000000001E-2</v>
      </c>
      <c r="D506">
        <v>0.62</v>
      </c>
      <c r="E506">
        <v>0.1343</v>
      </c>
      <c r="F506">
        <v>3</v>
      </c>
      <c r="G506">
        <v>15</v>
      </c>
      <c r="H506">
        <v>18</v>
      </c>
    </row>
    <row r="507" spans="1:8">
      <c r="A507">
        <v>505</v>
      </c>
      <c r="B507">
        <v>506</v>
      </c>
      <c r="C507">
        <v>6.0600000000000001E-2</v>
      </c>
      <c r="D507">
        <v>0.62</v>
      </c>
      <c r="E507">
        <v>0.1343</v>
      </c>
      <c r="F507">
        <v>1</v>
      </c>
      <c r="G507">
        <v>4</v>
      </c>
      <c r="H507">
        <v>5</v>
      </c>
    </row>
    <row r="508" spans="1:8">
      <c r="A508">
        <v>506</v>
      </c>
      <c r="B508">
        <v>507</v>
      </c>
      <c r="C508">
        <v>7.5800000000000006E-2</v>
      </c>
      <c r="D508">
        <v>0.56999999999999995</v>
      </c>
      <c r="E508">
        <v>0.1045</v>
      </c>
      <c r="F508">
        <v>0</v>
      </c>
      <c r="G508">
        <v>3</v>
      </c>
      <c r="H508">
        <v>3</v>
      </c>
    </row>
    <row r="509" spans="1:8">
      <c r="A509">
        <v>507</v>
      </c>
      <c r="B509">
        <v>508</v>
      </c>
      <c r="C509">
        <v>7.5800000000000006E-2</v>
      </c>
      <c r="D509">
        <v>0.56999999999999995</v>
      </c>
      <c r="E509">
        <v>0.1045</v>
      </c>
      <c r="F509">
        <v>0</v>
      </c>
      <c r="G509">
        <v>1</v>
      </c>
      <c r="H509">
        <v>1</v>
      </c>
    </row>
    <row r="510" spans="1:8">
      <c r="A510">
        <v>508</v>
      </c>
      <c r="B510">
        <v>509</v>
      </c>
      <c r="C510">
        <v>0.1061</v>
      </c>
      <c r="D510">
        <v>0.57999999999999996</v>
      </c>
      <c r="E510">
        <v>0.16420000000000001</v>
      </c>
      <c r="F510">
        <v>1</v>
      </c>
      <c r="G510">
        <v>1</v>
      </c>
      <c r="H510">
        <v>2</v>
      </c>
    </row>
    <row r="511" spans="1:8">
      <c r="A511">
        <v>509</v>
      </c>
      <c r="B511">
        <v>510</v>
      </c>
      <c r="C511">
        <v>7.5800000000000006E-2</v>
      </c>
      <c r="D511">
        <v>0.62</v>
      </c>
      <c r="E511">
        <v>0.16420000000000001</v>
      </c>
      <c r="F511">
        <v>2</v>
      </c>
      <c r="G511">
        <v>17</v>
      </c>
      <c r="H511">
        <v>19</v>
      </c>
    </row>
    <row r="512" spans="1:8">
      <c r="A512">
        <v>510</v>
      </c>
      <c r="B512">
        <v>511</v>
      </c>
      <c r="C512">
        <v>7.5800000000000006E-2</v>
      </c>
      <c r="D512">
        <v>0.54</v>
      </c>
      <c r="E512">
        <v>0.35820000000000002</v>
      </c>
      <c r="F512">
        <v>3</v>
      </c>
      <c r="G512">
        <v>25</v>
      </c>
      <c r="H512">
        <v>28</v>
      </c>
    </row>
    <row r="513" spans="1:8">
      <c r="A513">
        <v>511</v>
      </c>
      <c r="B513">
        <v>512</v>
      </c>
      <c r="C513">
        <v>0.1061</v>
      </c>
      <c r="D513">
        <v>0.46</v>
      </c>
      <c r="E513">
        <v>0.3881</v>
      </c>
      <c r="F513">
        <v>7</v>
      </c>
      <c r="G513">
        <v>51</v>
      </c>
      <c r="H513">
        <v>58</v>
      </c>
    </row>
    <row r="514" spans="1:8">
      <c r="A514">
        <v>512</v>
      </c>
      <c r="B514">
        <v>513</v>
      </c>
      <c r="C514">
        <v>0.13639999999999999</v>
      </c>
      <c r="D514">
        <v>0.43</v>
      </c>
      <c r="E514">
        <v>0.22389999999999999</v>
      </c>
      <c r="F514">
        <v>22</v>
      </c>
      <c r="G514">
        <v>77</v>
      </c>
      <c r="H514">
        <v>99</v>
      </c>
    </row>
    <row r="515" spans="1:8">
      <c r="A515">
        <v>513</v>
      </c>
      <c r="B515">
        <v>514</v>
      </c>
      <c r="C515">
        <v>0.1212</v>
      </c>
      <c r="D515">
        <v>0.37</v>
      </c>
      <c r="E515">
        <v>0.4627</v>
      </c>
      <c r="F515">
        <v>24</v>
      </c>
      <c r="G515">
        <v>92</v>
      </c>
      <c r="H515">
        <v>116</v>
      </c>
    </row>
    <row r="516" spans="1:8">
      <c r="A516">
        <v>514</v>
      </c>
      <c r="B516">
        <v>515</v>
      </c>
      <c r="C516">
        <v>0.1061</v>
      </c>
      <c r="D516">
        <v>0.33</v>
      </c>
      <c r="E516">
        <v>0.3881</v>
      </c>
      <c r="F516">
        <v>12</v>
      </c>
      <c r="G516">
        <v>75</v>
      </c>
      <c r="H516">
        <v>87</v>
      </c>
    </row>
    <row r="517" spans="1:8">
      <c r="A517">
        <v>515</v>
      </c>
      <c r="B517">
        <v>516</v>
      </c>
      <c r="C517">
        <v>0.13639999999999999</v>
      </c>
      <c r="D517">
        <v>0.28000000000000003</v>
      </c>
      <c r="E517">
        <v>0.35820000000000002</v>
      </c>
      <c r="F517">
        <v>17</v>
      </c>
      <c r="G517">
        <v>93</v>
      </c>
      <c r="H517">
        <v>110</v>
      </c>
    </row>
    <row r="518" spans="1:8">
      <c r="A518">
        <v>516</v>
      </c>
      <c r="B518">
        <v>517</v>
      </c>
      <c r="C518">
        <v>0.13639999999999999</v>
      </c>
      <c r="D518">
        <v>0.28000000000000003</v>
      </c>
      <c r="E518">
        <v>0.35820000000000002</v>
      </c>
      <c r="F518">
        <v>13</v>
      </c>
      <c r="G518">
        <v>64</v>
      </c>
      <c r="H518">
        <v>77</v>
      </c>
    </row>
    <row r="519" spans="1:8">
      <c r="A519">
        <v>517</v>
      </c>
      <c r="B519">
        <v>518</v>
      </c>
      <c r="C519">
        <v>0.13639999999999999</v>
      </c>
      <c r="D519">
        <v>0.26</v>
      </c>
      <c r="E519">
        <v>0.32840000000000003</v>
      </c>
      <c r="F519">
        <v>9</v>
      </c>
      <c r="G519">
        <v>56</v>
      </c>
      <c r="H519">
        <v>65</v>
      </c>
    </row>
    <row r="520" spans="1:8">
      <c r="A520">
        <v>518</v>
      </c>
      <c r="B520">
        <v>519</v>
      </c>
      <c r="C520">
        <v>0.1061</v>
      </c>
      <c r="D520">
        <v>0.26</v>
      </c>
      <c r="E520">
        <v>0.3881</v>
      </c>
      <c r="F520">
        <v>5</v>
      </c>
      <c r="G520">
        <v>50</v>
      </c>
      <c r="H520">
        <v>55</v>
      </c>
    </row>
    <row r="521" spans="1:8">
      <c r="A521">
        <v>519</v>
      </c>
      <c r="B521">
        <v>520</v>
      </c>
      <c r="C521">
        <v>0.1212</v>
      </c>
      <c r="D521">
        <v>0.3</v>
      </c>
      <c r="E521">
        <v>0.25369999999999998</v>
      </c>
      <c r="F521">
        <v>5</v>
      </c>
      <c r="G521">
        <v>44</v>
      </c>
      <c r="H521">
        <v>49</v>
      </c>
    </row>
    <row r="522" spans="1:8">
      <c r="A522">
        <v>520</v>
      </c>
      <c r="B522">
        <v>521</v>
      </c>
      <c r="C522">
        <v>0.1212</v>
      </c>
      <c r="D522">
        <v>0.3</v>
      </c>
      <c r="E522">
        <v>0.28360000000000002</v>
      </c>
      <c r="F522">
        <v>5</v>
      </c>
      <c r="G522">
        <v>45</v>
      </c>
      <c r="H522">
        <v>50</v>
      </c>
    </row>
    <row r="523" spans="1:8">
      <c r="A523">
        <v>521</v>
      </c>
      <c r="B523">
        <v>522</v>
      </c>
      <c r="C523">
        <v>0.1061</v>
      </c>
      <c r="D523">
        <v>0.36</v>
      </c>
      <c r="E523">
        <v>0.25369999999999998</v>
      </c>
      <c r="F523">
        <v>4</v>
      </c>
      <c r="G523">
        <v>31</v>
      </c>
      <c r="H523">
        <v>35</v>
      </c>
    </row>
    <row r="524" spans="1:8">
      <c r="A524">
        <v>522</v>
      </c>
      <c r="B524">
        <v>523</v>
      </c>
      <c r="C524">
        <v>0.1061</v>
      </c>
      <c r="D524">
        <v>0.36</v>
      </c>
      <c r="E524">
        <v>0.19400000000000001</v>
      </c>
      <c r="F524">
        <v>5</v>
      </c>
      <c r="G524">
        <v>20</v>
      </c>
      <c r="H524">
        <v>25</v>
      </c>
    </row>
    <row r="525" spans="1:8">
      <c r="A525">
        <v>523</v>
      </c>
      <c r="B525">
        <v>524</v>
      </c>
      <c r="C525">
        <v>9.0899999999999995E-2</v>
      </c>
      <c r="D525">
        <v>0.38</v>
      </c>
      <c r="E525">
        <v>0.19400000000000001</v>
      </c>
      <c r="F525">
        <v>5</v>
      </c>
      <c r="G525">
        <v>23</v>
      </c>
      <c r="H525">
        <v>28</v>
      </c>
    </row>
    <row r="526" spans="1:8">
      <c r="A526">
        <v>524</v>
      </c>
      <c r="B526">
        <v>525</v>
      </c>
      <c r="C526">
        <v>6.0600000000000001E-2</v>
      </c>
      <c r="D526">
        <v>0.41</v>
      </c>
      <c r="E526">
        <v>0.22389999999999999</v>
      </c>
      <c r="F526">
        <v>4</v>
      </c>
      <c r="G526">
        <v>17</v>
      </c>
      <c r="H526">
        <v>21</v>
      </c>
    </row>
    <row r="527" spans="1:8">
      <c r="A527">
        <v>525</v>
      </c>
      <c r="B527">
        <v>526</v>
      </c>
      <c r="C527">
        <v>6.0600000000000001E-2</v>
      </c>
      <c r="D527">
        <v>0.41</v>
      </c>
      <c r="E527">
        <v>0.19400000000000001</v>
      </c>
      <c r="F527">
        <v>0</v>
      </c>
      <c r="G527">
        <v>7</v>
      </c>
      <c r="H527">
        <v>7</v>
      </c>
    </row>
    <row r="528" spans="1:8">
      <c r="A528">
        <v>526</v>
      </c>
      <c r="B528">
        <v>527</v>
      </c>
      <c r="C528">
        <v>4.5499999999999999E-2</v>
      </c>
      <c r="D528">
        <v>0.45</v>
      </c>
      <c r="E528">
        <v>0.19400000000000001</v>
      </c>
      <c r="F528">
        <v>0</v>
      </c>
      <c r="G528">
        <v>1</v>
      </c>
      <c r="H528">
        <v>1</v>
      </c>
    </row>
    <row r="529" spans="1:8">
      <c r="A529">
        <v>527</v>
      </c>
      <c r="B529">
        <v>528</v>
      </c>
      <c r="C529">
        <v>3.0300000000000001E-2</v>
      </c>
      <c r="D529">
        <v>0.45</v>
      </c>
      <c r="E529">
        <v>0.25369999999999998</v>
      </c>
      <c r="F529">
        <v>0</v>
      </c>
      <c r="G529">
        <v>1</v>
      </c>
      <c r="H529">
        <v>1</v>
      </c>
    </row>
    <row r="530" spans="1:8">
      <c r="A530">
        <v>528</v>
      </c>
      <c r="B530">
        <v>529</v>
      </c>
      <c r="C530">
        <v>6.0600000000000001E-2</v>
      </c>
      <c r="D530">
        <v>0.48</v>
      </c>
      <c r="E530">
        <v>0.1343</v>
      </c>
      <c r="F530">
        <v>0</v>
      </c>
      <c r="G530">
        <v>1</v>
      </c>
      <c r="H530">
        <v>1</v>
      </c>
    </row>
    <row r="531" spans="1:8">
      <c r="A531">
        <v>529</v>
      </c>
      <c r="B531">
        <v>530</v>
      </c>
      <c r="C531">
        <v>6.0600000000000001E-2</v>
      </c>
      <c r="D531">
        <v>0.48</v>
      </c>
      <c r="E531">
        <v>0.1343</v>
      </c>
      <c r="F531">
        <v>0</v>
      </c>
      <c r="G531">
        <v>5</v>
      </c>
      <c r="H531">
        <v>5</v>
      </c>
    </row>
    <row r="532" spans="1:8">
      <c r="A532">
        <v>530</v>
      </c>
      <c r="B532">
        <v>531</v>
      </c>
      <c r="C532">
        <v>7.5800000000000006E-2</v>
      </c>
      <c r="D532">
        <v>0.48</v>
      </c>
      <c r="E532">
        <v>8.9599999999999999E-2</v>
      </c>
      <c r="F532">
        <v>0</v>
      </c>
      <c r="G532">
        <v>15</v>
      </c>
      <c r="H532">
        <v>15</v>
      </c>
    </row>
    <row r="533" spans="1:8">
      <c r="A533">
        <v>531</v>
      </c>
      <c r="B533">
        <v>532</v>
      </c>
      <c r="C533">
        <v>0.1212</v>
      </c>
      <c r="D533">
        <v>0.48</v>
      </c>
      <c r="E533">
        <v>0</v>
      </c>
      <c r="F533">
        <v>5</v>
      </c>
      <c r="G533">
        <v>79</v>
      </c>
      <c r="H533">
        <v>84</v>
      </c>
    </row>
    <row r="534" spans="1:8">
      <c r="A534">
        <v>532</v>
      </c>
      <c r="B534">
        <v>533</v>
      </c>
      <c r="C534">
        <v>0.13639999999999999</v>
      </c>
      <c r="D534">
        <v>0.49</v>
      </c>
      <c r="E534">
        <v>0</v>
      </c>
      <c r="F534">
        <v>6</v>
      </c>
      <c r="G534">
        <v>171</v>
      </c>
      <c r="H534">
        <v>177</v>
      </c>
    </row>
    <row r="535" spans="1:8">
      <c r="A535">
        <v>533</v>
      </c>
      <c r="B535">
        <v>534</v>
      </c>
      <c r="C535">
        <v>0.1515</v>
      </c>
      <c r="D535">
        <v>0.41</v>
      </c>
      <c r="E535">
        <v>0</v>
      </c>
      <c r="F535">
        <v>4</v>
      </c>
      <c r="G535">
        <v>98</v>
      </c>
      <c r="H535">
        <v>102</v>
      </c>
    </row>
    <row r="536" spans="1:8">
      <c r="A536">
        <v>534</v>
      </c>
      <c r="B536">
        <v>535</v>
      </c>
      <c r="C536">
        <v>0.13639999999999999</v>
      </c>
      <c r="D536">
        <v>0.42</v>
      </c>
      <c r="E536">
        <v>0</v>
      </c>
      <c r="F536">
        <v>6</v>
      </c>
      <c r="G536">
        <v>34</v>
      </c>
      <c r="H536">
        <v>40</v>
      </c>
    </row>
    <row r="537" spans="1:8">
      <c r="A537">
        <v>535</v>
      </c>
      <c r="B537">
        <v>536</v>
      </c>
      <c r="C537">
        <v>0.1212</v>
      </c>
      <c r="D537">
        <v>0.46</v>
      </c>
      <c r="E537">
        <v>0.1343</v>
      </c>
      <c r="F537">
        <v>3</v>
      </c>
      <c r="G537">
        <v>43</v>
      </c>
      <c r="H537">
        <v>46</v>
      </c>
    </row>
    <row r="538" spans="1:8">
      <c r="A538">
        <v>536</v>
      </c>
      <c r="B538">
        <v>537</v>
      </c>
      <c r="C538">
        <v>0.13639999999999999</v>
      </c>
      <c r="D538">
        <v>0.42</v>
      </c>
      <c r="E538">
        <v>0.19400000000000001</v>
      </c>
      <c r="F538">
        <v>11</v>
      </c>
      <c r="G538">
        <v>52</v>
      </c>
      <c r="H538">
        <v>63</v>
      </c>
    </row>
    <row r="539" spans="1:8">
      <c r="A539">
        <v>537</v>
      </c>
      <c r="B539">
        <v>538</v>
      </c>
      <c r="C539">
        <v>0.13639999999999999</v>
      </c>
      <c r="D539">
        <v>0.43</v>
      </c>
      <c r="E539">
        <v>0.22389999999999999</v>
      </c>
      <c r="F539">
        <v>6</v>
      </c>
      <c r="G539">
        <v>54</v>
      </c>
      <c r="H539">
        <v>60</v>
      </c>
    </row>
    <row r="540" spans="1:8">
      <c r="A540">
        <v>538</v>
      </c>
      <c r="B540">
        <v>539</v>
      </c>
      <c r="C540">
        <v>0.13639999999999999</v>
      </c>
      <c r="D540">
        <v>0.46</v>
      </c>
      <c r="E540">
        <v>0.22389999999999999</v>
      </c>
      <c r="F540">
        <v>2</v>
      </c>
      <c r="G540">
        <v>43</v>
      </c>
      <c r="H540">
        <v>45</v>
      </c>
    </row>
    <row r="541" spans="1:8">
      <c r="A541">
        <v>539</v>
      </c>
      <c r="B541">
        <v>540</v>
      </c>
      <c r="C541">
        <v>0.16669999999999999</v>
      </c>
      <c r="D541">
        <v>0.4</v>
      </c>
      <c r="E541">
        <v>0.16420000000000001</v>
      </c>
      <c r="F541">
        <v>7</v>
      </c>
      <c r="G541">
        <v>50</v>
      </c>
      <c r="H541">
        <v>57</v>
      </c>
    </row>
    <row r="542" spans="1:8">
      <c r="A542">
        <v>540</v>
      </c>
      <c r="B542">
        <v>541</v>
      </c>
      <c r="C542">
        <v>0.1515</v>
      </c>
      <c r="D542">
        <v>0.47</v>
      </c>
      <c r="E542">
        <v>0.25369999999999998</v>
      </c>
      <c r="F542">
        <v>4</v>
      </c>
      <c r="G542">
        <v>66</v>
      </c>
      <c r="H542">
        <v>70</v>
      </c>
    </row>
    <row r="543" spans="1:8">
      <c r="A543">
        <v>541</v>
      </c>
      <c r="B543">
        <v>542</v>
      </c>
      <c r="C543">
        <v>0.1212</v>
      </c>
      <c r="D543">
        <v>0.5</v>
      </c>
      <c r="E543">
        <v>0.25369999999999998</v>
      </c>
      <c r="F543">
        <v>6</v>
      </c>
      <c r="G543">
        <v>178</v>
      </c>
      <c r="H543">
        <v>184</v>
      </c>
    </row>
    <row r="544" spans="1:8">
      <c r="A544">
        <v>542</v>
      </c>
      <c r="B544">
        <v>543</v>
      </c>
      <c r="C544">
        <v>0.13639999999999999</v>
      </c>
      <c r="D544">
        <v>0.59</v>
      </c>
      <c r="E544">
        <v>0.19400000000000001</v>
      </c>
      <c r="F544">
        <v>8</v>
      </c>
      <c r="G544">
        <v>145</v>
      </c>
      <c r="H544">
        <v>153</v>
      </c>
    </row>
    <row r="545" spans="1:8">
      <c r="A545">
        <v>543</v>
      </c>
      <c r="B545">
        <v>544</v>
      </c>
      <c r="C545">
        <v>0.1515</v>
      </c>
      <c r="D545">
        <v>0.54</v>
      </c>
      <c r="E545">
        <v>0.16420000000000001</v>
      </c>
      <c r="F545">
        <v>5</v>
      </c>
      <c r="G545">
        <v>101</v>
      </c>
      <c r="H545">
        <v>106</v>
      </c>
    </row>
    <row r="546" spans="1:8">
      <c r="A546">
        <v>544</v>
      </c>
      <c r="B546">
        <v>545</v>
      </c>
      <c r="C546">
        <v>0.13639999999999999</v>
      </c>
      <c r="D546">
        <v>0.59</v>
      </c>
      <c r="E546">
        <v>0.19400000000000001</v>
      </c>
      <c r="F546">
        <v>1</v>
      </c>
      <c r="G546">
        <v>80</v>
      </c>
      <c r="H546">
        <v>81</v>
      </c>
    </row>
    <row r="547" spans="1:8">
      <c r="A547">
        <v>545</v>
      </c>
      <c r="B547">
        <v>546</v>
      </c>
      <c r="C547">
        <v>0.1515</v>
      </c>
      <c r="D547">
        <v>0.63</v>
      </c>
      <c r="E547">
        <v>0.16420000000000001</v>
      </c>
      <c r="F547">
        <v>6</v>
      </c>
      <c r="G547">
        <v>53</v>
      </c>
      <c r="H547">
        <v>59</v>
      </c>
    </row>
    <row r="548" spans="1:8">
      <c r="A548">
        <v>546</v>
      </c>
      <c r="B548">
        <v>547</v>
      </c>
      <c r="C548">
        <v>0.13639999999999999</v>
      </c>
      <c r="D548">
        <v>0.63</v>
      </c>
      <c r="E548">
        <v>0.22389999999999999</v>
      </c>
      <c r="F548">
        <v>3</v>
      </c>
      <c r="G548">
        <v>32</v>
      </c>
      <c r="H548">
        <v>35</v>
      </c>
    </row>
    <row r="549" spans="1:8">
      <c r="A549">
        <v>547</v>
      </c>
      <c r="B549">
        <v>548</v>
      </c>
      <c r="C549">
        <v>0.1515</v>
      </c>
      <c r="D549">
        <v>0.64</v>
      </c>
      <c r="E549">
        <v>0.25369999999999998</v>
      </c>
      <c r="F549">
        <v>3</v>
      </c>
      <c r="G549">
        <v>21</v>
      </c>
      <c r="H549">
        <v>24</v>
      </c>
    </row>
    <row r="550" spans="1:8">
      <c r="A550">
        <v>548</v>
      </c>
      <c r="B550">
        <v>549</v>
      </c>
      <c r="C550">
        <v>0.13639999999999999</v>
      </c>
      <c r="D550">
        <v>0.69</v>
      </c>
      <c r="E550">
        <v>0.28360000000000002</v>
      </c>
      <c r="F550">
        <v>3</v>
      </c>
      <c r="G550">
        <v>6</v>
      </c>
      <c r="H550">
        <v>9</v>
      </c>
    </row>
    <row r="551" spans="1:8">
      <c r="A551">
        <v>549</v>
      </c>
      <c r="B551">
        <v>550</v>
      </c>
      <c r="C551">
        <v>0.16669999999999999</v>
      </c>
      <c r="D551">
        <v>0.69</v>
      </c>
      <c r="E551">
        <v>0.16420000000000001</v>
      </c>
      <c r="F551">
        <v>0</v>
      </c>
      <c r="G551">
        <v>5</v>
      </c>
      <c r="H551">
        <v>5</v>
      </c>
    </row>
    <row r="552" spans="1:8">
      <c r="A552">
        <v>550</v>
      </c>
      <c r="B552">
        <v>551</v>
      </c>
      <c r="C552">
        <v>0.1515</v>
      </c>
      <c r="D552">
        <v>0.69</v>
      </c>
      <c r="E552">
        <v>0.22389999999999999</v>
      </c>
      <c r="F552">
        <v>0</v>
      </c>
      <c r="G552">
        <v>2</v>
      </c>
      <c r="H552">
        <v>2</v>
      </c>
    </row>
    <row r="553" spans="1:8">
      <c r="A553">
        <v>551</v>
      </c>
      <c r="B553">
        <v>552</v>
      </c>
      <c r="C553">
        <v>0.16669999999999999</v>
      </c>
      <c r="D553">
        <v>0.74</v>
      </c>
      <c r="E553">
        <v>0.1045</v>
      </c>
      <c r="F553">
        <v>0</v>
      </c>
      <c r="G553">
        <v>1</v>
      </c>
      <c r="H553">
        <v>1</v>
      </c>
    </row>
    <row r="554" spans="1:8">
      <c r="A554">
        <v>552</v>
      </c>
      <c r="B554">
        <v>553</v>
      </c>
      <c r="C554">
        <v>0.13639999999999999</v>
      </c>
      <c r="D554">
        <v>0.74</v>
      </c>
      <c r="E554">
        <v>0.22389999999999999</v>
      </c>
      <c r="F554">
        <v>0</v>
      </c>
      <c r="G554">
        <v>9</v>
      </c>
      <c r="H554">
        <v>9</v>
      </c>
    </row>
    <row r="555" spans="1:8">
      <c r="A555">
        <v>553</v>
      </c>
      <c r="B555">
        <v>554</v>
      </c>
      <c r="C555">
        <v>0.18179999999999999</v>
      </c>
      <c r="D555">
        <v>0.74</v>
      </c>
      <c r="E555">
        <v>0.1045</v>
      </c>
      <c r="F555">
        <v>1</v>
      </c>
      <c r="G555">
        <v>35</v>
      </c>
      <c r="H555">
        <v>36</v>
      </c>
    </row>
    <row r="556" spans="1:8">
      <c r="A556">
        <v>554</v>
      </c>
      <c r="B556">
        <v>555</v>
      </c>
      <c r="C556">
        <v>0.1515</v>
      </c>
      <c r="D556">
        <v>0.74</v>
      </c>
      <c r="E556">
        <v>0.22389999999999999</v>
      </c>
      <c r="F556">
        <v>5</v>
      </c>
      <c r="G556">
        <v>103</v>
      </c>
      <c r="H556">
        <v>108</v>
      </c>
    </row>
    <row r="557" spans="1:8">
      <c r="A557">
        <v>555</v>
      </c>
      <c r="B557">
        <v>556</v>
      </c>
      <c r="C557">
        <v>0.18179999999999999</v>
      </c>
      <c r="D557">
        <v>0.74</v>
      </c>
      <c r="E557">
        <v>0.1343</v>
      </c>
      <c r="F557">
        <v>5</v>
      </c>
      <c r="G557">
        <v>233</v>
      </c>
      <c r="H557">
        <v>238</v>
      </c>
    </row>
    <row r="558" spans="1:8">
      <c r="A558">
        <v>556</v>
      </c>
      <c r="B558">
        <v>557</v>
      </c>
      <c r="C558">
        <v>0.2273</v>
      </c>
      <c r="D558">
        <v>0.64</v>
      </c>
      <c r="E558">
        <v>8.9599999999999999E-2</v>
      </c>
      <c r="F558">
        <v>10</v>
      </c>
      <c r="G558">
        <v>134</v>
      </c>
      <c r="H558">
        <v>144</v>
      </c>
    </row>
    <row r="559" spans="1:8">
      <c r="A559">
        <v>557</v>
      </c>
      <c r="B559">
        <v>558</v>
      </c>
      <c r="C559">
        <v>0.2424</v>
      </c>
      <c r="D559">
        <v>0.6</v>
      </c>
      <c r="E559">
        <v>0.1045</v>
      </c>
      <c r="F559">
        <v>6</v>
      </c>
      <c r="G559">
        <v>49</v>
      </c>
      <c r="H559">
        <v>55</v>
      </c>
    </row>
    <row r="560" spans="1:8">
      <c r="A560">
        <v>558</v>
      </c>
      <c r="B560">
        <v>559</v>
      </c>
      <c r="C560">
        <v>0.2424</v>
      </c>
      <c r="D560">
        <v>0.6</v>
      </c>
      <c r="E560">
        <v>0.1343</v>
      </c>
      <c r="F560">
        <v>6</v>
      </c>
      <c r="G560">
        <v>55</v>
      </c>
      <c r="H560">
        <v>61</v>
      </c>
    </row>
    <row r="561" spans="1:8">
      <c r="A561">
        <v>559</v>
      </c>
      <c r="B561">
        <v>560</v>
      </c>
      <c r="C561">
        <v>0.28789999999999999</v>
      </c>
      <c r="D561">
        <v>0.56000000000000005</v>
      </c>
      <c r="E561">
        <v>8.9599999999999999E-2</v>
      </c>
      <c r="F561">
        <v>21</v>
      </c>
      <c r="G561">
        <v>85</v>
      </c>
      <c r="H561">
        <v>106</v>
      </c>
    </row>
    <row r="562" spans="1:8">
      <c r="A562">
        <v>560</v>
      </c>
      <c r="B562">
        <v>561</v>
      </c>
      <c r="C562">
        <v>0.2727</v>
      </c>
      <c r="D562">
        <v>0.56000000000000005</v>
      </c>
      <c r="E562">
        <v>0.1343</v>
      </c>
      <c r="F562">
        <v>21</v>
      </c>
      <c r="G562">
        <v>72</v>
      </c>
      <c r="H562">
        <v>93</v>
      </c>
    </row>
    <row r="563" spans="1:8">
      <c r="A563">
        <v>561</v>
      </c>
      <c r="B563">
        <v>562</v>
      </c>
      <c r="C563">
        <v>0.33329999999999999</v>
      </c>
      <c r="D563">
        <v>0.45</v>
      </c>
      <c r="E563">
        <v>0</v>
      </c>
      <c r="F563">
        <v>11</v>
      </c>
      <c r="G563">
        <v>57</v>
      </c>
      <c r="H563">
        <v>68</v>
      </c>
    </row>
    <row r="564" spans="1:8">
      <c r="A564">
        <v>562</v>
      </c>
      <c r="B564">
        <v>563</v>
      </c>
      <c r="C564">
        <v>0.34849999999999998</v>
      </c>
      <c r="D564">
        <v>0.42</v>
      </c>
      <c r="E564">
        <v>0</v>
      </c>
      <c r="F564">
        <v>21</v>
      </c>
      <c r="G564">
        <v>63</v>
      </c>
      <c r="H564">
        <v>84</v>
      </c>
    </row>
    <row r="565" spans="1:8">
      <c r="A565">
        <v>563</v>
      </c>
      <c r="B565">
        <v>564</v>
      </c>
      <c r="C565">
        <v>0.34849999999999998</v>
      </c>
      <c r="D565">
        <v>0.42</v>
      </c>
      <c r="E565">
        <v>0</v>
      </c>
      <c r="F565">
        <v>14</v>
      </c>
      <c r="G565">
        <v>102</v>
      </c>
      <c r="H565">
        <v>116</v>
      </c>
    </row>
    <row r="566" spans="1:8">
      <c r="A566">
        <v>564</v>
      </c>
      <c r="B566">
        <v>565</v>
      </c>
      <c r="C566">
        <v>0.33329999999999999</v>
      </c>
      <c r="D566">
        <v>0.45</v>
      </c>
      <c r="E566">
        <v>0</v>
      </c>
      <c r="F566">
        <v>14</v>
      </c>
      <c r="G566">
        <v>208</v>
      </c>
      <c r="H566">
        <v>222</v>
      </c>
    </row>
    <row r="567" spans="1:8">
      <c r="A567">
        <v>565</v>
      </c>
      <c r="B567">
        <v>566</v>
      </c>
      <c r="C567">
        <v>0.31819999999999998</v>
      </c>
      <c r="D567">
        <v>0.49</v>
      </c>
      <c r="E567">
        <v>8.9599999999999999E-2</v>
      </c>
      <c r="F567">
        <v>7</v>
      </c>
      <c r="G567">
        <v>218</v>
      </c>
      <c r="H567">
        <v>225</v>
      </c>
    </row>
    <row r="568" spans="1:8">
      <c r="A568">
        <v>566</v>
      </c>
      <c r="B568">
        <v>567</v>
      </c>
      <c r="C568">
        <v>0.2576</v>
      </c>
      <c r="D568">
        <v>0.65</v>
      </c>
      <c r="E568">
        <v>0.16420000000000001</v>
      </c>
      <c r="F568">
        <v>13</v>
      </c>
      <c r="G568">
        <v>133</v>
      </c>
      <c r="H568">
        <v>146</v>
      </c>
    </row>
    <row r="569" spans="1:8">
      <c r="A569">
        <v>567</v>
      </c>
      <c r="B569">
        <v>568</v>
      </c>
      <c r="C569">
        <v>0.2273</v>
      </c>
      <c r="D569">
        <v>0.65</v>
      </c>
      <c r="E569">
        <v>0.19400000000000001</v>
      </c>
      <c r="F569">
        <v>16</v>
      </c>
      <c r="G569">
        <v>103</v>
      </c>
      <c r="H569">
        <v>119</v>
      </c>
    </row>
    <row r="570" spans="1:8">
      <c r="A570">
        <v>568</v>
      </c>
      <c r="B570">
        <v>569</v>
      </c>
      <c r="C570">
        <v>0.2273</v>
      </c>
      <c r="D570">
        <v>0.65</v>
      </c>
      <c r="E570">
        <v>0.19400000000000001</v>
      </c>
      <c r="F570">
        <v>5</v>
      </c>
      <c r="G570">
        <v>40</v>
      </c>
      <c r="H570">
        <v>45</v>
      </c>
    </row>
    <row r="571" spans="1:8">
      <c r="A571">
        <v>569</v>
      </c>
      <c r="B571">
        <v>570</v>
      </c>
      <c r="C571">
        <v>0.2273</v>
      </c>
      <c r="D571">
        <v>0.64</v>
      </c>
      <c r="E571">
        <v>0.16420000000000001</v>
      </c>
      <c r="F571">
        <v>4</v>
      </c>
      <c r="G571">
        <v>49</v>
      </c>
      <c r="H571">
        <v>53</v>
      </c>
    </row>
    <row r="572" spans="1:8">
      <c r="A572">
        <v>570</v>
      </c>
      <c r="B572">
        <v>571</v>
      </c>
      <c r="C572">
        <v>0.2273</v>
      </c>
      <c r="D572">
        <v>0.64</v>
      </c>
      <c r="E572">
        <v>0.16420000000000001</v>
      </c>
      <c r="F572">
        <v>3</v>
      </c>
      <c r="G572">
        <v>37</v>
      </c>
      <c r="H572">
        <v>40</v>
      </c>
    </row>
    <row r="573" spans="1:8">
      <c r="A573">
        <v>571</v>
      </c>
      <c r="B573">
        <v>572</v>
      </c>
      <c r="C573">
        <v>0.2273</v>
      </c>
      <c r="D573">
        <v>0.69</v>
      </c>
      <c r="E573">
        <v>0.1343</v>
      </c>
      <c r="F573">
        <v>3</v>
      </c>
      <c r="G573">
        <v>14</v>
      </c>
      <c r="H573">
        <v>17</v>
      </c>
    </row>
    <row r="574" spans="1:8">
      <c r="A574">
        <v>572</v>
      </c>
      <c r="B574">
        <v>573</v>
      </c>
      <c r="C574">
        <v>0.2424</v>
      </c>
      <c r="D574">
        <v>0.65</v>
      </c>
      <c r="E574">
        <v>0.1343</v>
      </c>
      <c r="F574">
        <v>0</v>
      </c>
      <c r="G574">
        <v>5</v>
      </c>
      <c r="H574">
        <v>5</v>
      </c>
    </row>
    <row r="575" spans="1:8">
      <c r="A575">
        <v>573</v>
      </c>
      <c r="B575">
        <v>574</v>
      </c>
      <c r="C575">
        <v>0.2273</v>
      </c>
      <c r="D575">
        <v>0.69</v>
      </c>
      <c r="E575">
        <v>0.19400000000000001</v>
      </c>
      <c r="F575">
        <v>3</v>
      </c>
      <c r="G575">
        <v>7</v>
      </c>
      <c r="H575">
        <v>10</v>
      </c>
    </row>
    <row r="576" spans="1:8">
      <c r="A576">
        <v>574</v>
      </c>
      <c r="B576">
        <v>575</v>
      </c>
      <c r="C576">
        <v>0.18179999999999999</v>
      </c>
      <c r="D576">
        <v>0.86</v>
      </c>
      <c r="E576">
        <v>0.28360000000000002</v>
      </c>
      <c r="F576">
        <v>0</v>
      </c>
      <c r="G576">
        <v>1</v>
      </c>
      <c r="H576">
        <v>1</v>
      </c>
    </row>
    <row r="577" spans="1:8">
      <c r="A577">
        <v>575</v>
      </c>
      <c r="B577">
        <v>576</v>
      </c>
      <c r="C577">
        <v>0.18179999999999999</v>
      </c>
      <c r="D577">
        <v>0.86</v>
      </c>
      <c r="E577">
        <v>0.28360000000000002</v>
      </c>
      <c r="F577">
        <v>0</v>
      </c>
      <c r="G577">
        <v>8</v>
      </c>
      <c r="H577">
        <v>8</v>
      </c>
    </row>
    <row r="578" spans="1:8">
      <c r="A578">
        <v>576</v>
      </c>
      <c r="B578">
        <v>577</v>
      </c>
      <c r="C578">
        <v>0.21210000000000001</v>
      </c>
      <c r="D578">
        <v>0.87</v>
      </c>
      <c r="E578">
        <v>0.29849999999999999</v>
      </c>
      <c r="F578">
        <v>1</v>
      </c>
      <c r="G578">
        <v>29</v>
      </c>
      <c r="H578">
        <v>30</v>
      </c>
    </row>
    <row r="579" spans="1:8">
      <c r="A579">
        <v>577</v>
      </c>
      <c r="B579">
        <v>578</v>
      </c>
      <c r="C579">
        <v>0.21210000000000001</v>
      </c>
      <c r="D579">
        <v>0.87</v>
      </c>
      <c r="E579">
        <v>0.29849999999999999</v>
      </c>
      <c r="F579">
        <v>3</v>
      </c>
      <c r="G579">
        <v>69</v>
      </c>
      <c r="H579">
        <v>72</v>
      </c>
    </row>
    <row r="580" spans="1:8">
      <c r="A580">
        <v>578</v>
      </c>
      <c r="B580">
        <v>579</v>
      </c>
      <c r="C580">
        <v>0.21210000000000001</v>
      </c>
      <c r="D580">
        <v>0.87</v>
      </c>
      <c r="E580">
        <v>0.29849999999999999</v>
      </c>
      <c r="F580">
        <v>3</v>
      </c>
      <c r="G580">
        <v>55</v>
      </c>
      <c r="H580">
        <v>58</v>
      </c>
    </row>
    <row r="581" spans="1:8">
      <c r="A581">
        <v>579</v>
      </c>
      <c r="B581">
        <v>580</v>
      </c>
      <c r="C581">
        <v>0.21210000000000001</v>
      </c>
      <c r="D581">
        <v>0.93</v>
      </c>
      <c r="E581">
        <v>0.28360000000000002</v>
      </c>
      <c r="F581">
        <v>2</v>
      </c>
      <c r="G581">
        <v>26</v>
      </c>
      <c r="H581">
        <v>28</v>
      </c>
    </row>
    <row r="582" spans="1:8">
      <c r="A582">
        <v>580</v>
      </c>
      <c r="B582">
        <v>581</v>
      </c>
      <c r="C582">
        <v>0.19700000000000001</v>
      </c>
      <c r="D582">
        <v>0.93</v>
      </c>
      <c r="E582">
        <v>0.32840000000000003</v>
      </c>
      <c r="F582">
        <v>6</v>
      </c>
      <c r="G582">
        <v>35</v>
      </c>
      <c r="H582">
        <v>41</v>
      </c>
    </row>
    <row r="583" spans="1:8">
      <c r="A583">
        <v>581</v>
      </c>
      <c r="B583">
        <v>582</v>
      </c>
      <c r="C583">
        <v>0.19700000000000001</v>
      </c>
      <c r="D583">
        <v>0.93</v>
      </c>
      <c r="E583">
        <v>0.32840000000000003</v>
      </c>
      <c r="F583">
        <v>7</v>
      </c>
      <c r="G583">
        <v>41</v>
      </c>
      <c r="H583">
        <v>48</v>
      </c>
    </row>
    <row r="584" spans="1:8">
      <c r="A584">
        <v>582</v>
      </c>
      <c r="B584">
        <v>583</v>
      </c>
      <c r="C584">
        <v>0.19700000000000001</v>
      </c>
      <c r="D584">
        <v>0.93</v>
      </c>
      <c r="E584">
        <v>0.32840000000000003</v>
      </c>
      <c r="F584">
        <v>4</v>
      </c>
      <c r="G584">
        <v>43</v>
      </c>
      <c r="H584">
        <v>47</v>
      </c>
    </row>
    <row r="585" spans="1:8">
      <c r="A585">
        <v>583</v>
      </c>
      <c r="B585">
        <v>584</v>
      </c>
      <c r="C585">
        <v>0.19700000000000001</v>
      </c>
      <c r="D585">
        <v>0.93</v>
      </c>
      <c r="E585">
        <v>0.35820000000000002</v>
      </c>
      <c r="F585">
        <v>0</v>
      </c>
      <c r="G585">
        <v>36</v>
      </c>
      <c r="H585">
        <v>36</v>
      </c>
    </row>
    <row r="586" spans="1:8">
      <c r="A586">
        <v>584</v>
      </c>
      <c r="B586">
        <v>585</v>
      </c>
      <c r="C586">
        <v>0.18179999999999999</v>
      </c>
      <c r="D586">
        <v>0.93</v>
      </c>
      <c r="E586">
        <v>0.4627</v>
      </c>
      <c r="F586">
        <v>1</v>
      </c>
      <c r="G586">
        <v>42</v>
      </c>
      <c r="H586">
        <v>43</v>
      </c>
    </row>
    <row r="587" spans="1:8">
      <c r="A587">
        <v>585</v>
      </c>
      <c r="B587">
        <v>586</v>
      </c>
      <c r="C587">
        <v>0.19700000000000001</v>
      </c>
      <c r="D587">
        <v>0.93</v>
      </c>
      <c r="E587">
        <v>0.32840000000000003</v>
      </c>
      <c r="F587">
        <v>1</v>
      </c>
      <c r="G587">
        <v>35</v>
      </c>
      <c r="H587">
        <v>36</v>
      </c>
    </row>
    <row r="588" spans="1:8">
      <c r="A588">
        <v>586</v>
      </c>
      <c r="B588">
        <v>587</v>
      </c>
      <c r="C588">
        <v>0.18179999999999999</v>
      </c>
      <c r="D588">
        <v>0.93</v>
      </c>
      <c r="E588">
        <v>0.35820000000000002</v>
      </c>
      <c r="F588">
        <v>0</v>
      </c>
      <c r="G588">
        <v>26</v>
      </c>
      <c r="H588">
        <v>26</v>
      </c>
    </row>
    <row r="589" spans="1:8">
      <c r="A589">
        <v>587</v>
      </c>
      <c r="B589">
        <v>588</v>
      </c>
      <c r="C589">
        <v>0.2273</v>
      </c>
      <c r="D589">
        <v>0.55000000000000004</v>
      </c>
      <c r="E589">
        <v>0.19400000000000001</v>
      </c>
      <c r="F589">
        <v>1</v>
      </c>
      <c r="G589">
        <v>23</v>
      </c>
      <c r="H589">
        <v>24</v>
      </c>
    </row>
    <row r="590" spans="1:8">
      <c r="A590">
        <v>588</v>
      </c>
      <c r="B590">
        <v>589</v>
      </c>
      <c r="C590">
        <v>0.2424</v>
      </c>
      <c r="D590">
        <v>0.55000000000000004</v>
      </c>
      <c r="E590">
        <v>0.1045</v>
      </c>
      <c r="F590">
        <v>2</v>
      </c>
      <c r="G590">
        <v>82</v>
      </c>
      <c r="H590">
        <v>84</v>
      </c>
    </row>
    <row r="591" spans="1:8">
      <c r="A591">
        <v>589</v>
      </c>
      <c r="B591">
        <v>590</v>
      </c>
      <c r="C591">
        <v>0.2273</v>
      </c>
      <c r="D591">
        <v>0.69</v>
      </c>
      <c r="E591">
        <v>8.9599999999999999E-2</v>
      </c>
      <c r="F591">
        <v>3</v>
      </c>
      <c r="G591">
        <v>101</v>
      </c>
      <c r="H591">
        <v>104</v>
      </c>
    </row>
    <row r="592" spans="1:8">
      <c r="A592">
        <v>590</v>
      </c>
      <c r="B592">
        <v>591</v>
      </c>
      <c r="C592">
        <v>0.2273</v>
      </c>
      <c r="D592">
        <v>0.69</v>
      </c>
      <c r="E592">
        <v>8.9599999999999999E-2</v>
      </c>
      <c r="F592">
        <v>3</v>
      </c>
      <c r="G592">
        <v>76</v>
      </c>
      <c r="H592">
        <v>79</v>
      </c>
    </row>
    <row r="593" spans="1:8">
      <c r="A593">
        <v>591</v>
      </c>
      <c r="B593">
        <v>592</v>
      </c>
      <c r="C593">
        <v>0.21210000000000001</v>
      </c>
      <c r="D593">
        <v>0.74</v>
      </c>
      <c r="E593">
        <v>8.9599999999999999E-2</v>
      </c>
      <c r="F593">
        <v>4</v>
      </c>
      <c r="G593">
        <v>55</v>
      </c>
      <c r="H593">
        <v>59</v>
      </c>
    </row>
    <row r="594" spans="1:8">
      <c r="A594">
        <v>592</v>
      </c>
      <c r="B594">
        <v>593</v>
      </c>
      <c r="C594">
        <v>0.21210000000000001</v>
      </c>
      <c r="D594">
        <v>0.74</v>
      </c>
      <c r="E594">
        <v>8.9599999999999999E-2</v>
      </c>
      <c r="F594">
        <v>2</v>
      </c>
      <c r="G594">
        <v>36</v>
      </c>
      <c r="H594">
        <v>38</v>
      </c>
    </row>
    <row r="595" spans="1:8">
      <c r="A595">
        <v>593</v>
      </c>
      <c r="B595">
        <v>594</v>
      </c>
      <c r="C595">
        <v>0.21210000000000001</v>
      </c>
      <c r="D595">
        <v>0.74</v>
      </c>
      <c r="E595">
        <v>8.9599999999999999E-2</v>
      </c>
      <c r="F595">
        <v>0</v>
      </c>
      <c r="G595">
        <v>27</v>
      </c>
      <c r="H595">
        <v>27</v>
      </c>
    </row>
    <row r="596" spans="1:8">
      <c r="A596">
        <v>594</v>
      </c>
      <c r="B596">
        <v>595</v>
      </c>
      <c r="C596">
        <v>0.19700000000000001</v>
      </c>
      <c r="D596">
        <v>0.8</v>
      </c>
      <c r="E596">
        <v>0.16420000000000001</v>
      </c>
      <c r="F596">
        <v>0</v>
      </c>
      <c r="G596">
        <v>16</v>
      </c>
      <c r="H596">
        <v>16</v>
      </c>
    </row>
    <row r="597" spans="1:8">
      <c r="A597">
        <v>595</v>
      </c>
      <c r="B597">
        <v>596</v>
      </c>
      <c r="C597">
        <v>0.21210000000000001</v>
      </c>
      <c r="D597">
        <v>0.75</v>
      </c>
      <c r="E597">
        <v>0.1343</v>
      </c>
      <c r="F597">
        <v>0</v>
      </c>
      <c r="G597">
        <v>9</v>
      </c>
      <c r="H597">
        <v>9</v>
      </c>
    </row>
    <row r="598" spans="1:8">
      <c r="A598">
        <v>596</v>
      </c>
      <c r="B598">
        <v>597</v>
      </c>
      <c r="C598">
        <v>0.21210000000000001</v>
      </c>
      <c r="D598">
        <v>0.75</v>
      </c>
      <c r="E598">
        <v>0.1343</v>
      </c>
      <c r="F598">
        <v>1</v>
      </c>
      <c r="G598">
        <v>2</v>
      </c>
      <c r="H598">
        <v>3</v>
      </c>
    </row>
    <row r="599" spans="1:8">
      <c r="A599">
        <v>597</v>
      </c>
      <c r="B599">
        <v>598</v>
      </c>
      <c r="C599">
        <v>0.21210000000000001</v>
      </c>
      <c r="D599">
        <v>0.75</v>
      </c>
      <c r="E599">
        <v>0.16420000000000001</v>
      </c>
      <c r="F599">
        <v>0</v>
      </c>
      <c r="G599">
        <v>2</v>
      </c>
      <c r="H599">
        <v>2</v>
      </c>
    </row>
    <row r="600" spans="1:8">
      <c r="A600">
        <v>598</v>
      </c>
      <c r="B600">
        <v>599</v>
      </c>
      <c r="C600">
        <v>0.2273</v>
      </c>
      <c r="D600">
        <v>0.75</v>
      </c>
      <c r="E600">
        <v>0.1045</v>
      </c>
      <c r="F600">
        <v>1</v>
      </c>
      <c r="G600">
        <v>0</v>
      </c>
      <c r="H600">
        <v>1</v>
      </c>
    </row>
    <row r="601" spans="1:8">
      <c r="A601">
        <v>599</v>
      </c>
      <c r="B601">
        <v>600</v>
      </c>
      <c r="C601">
        <v>0.21210000000000001</v>
      </c>
      <c r="D601">
        <v>0.8</v>
      </c>
      <c r="E601">
        <v>0.1045</v>
      </c>
      <c r="F601">
        <v>0</v>
      </c>
      <c r="G601">
        <v>4</v>
      </c>
      <c r="H601">
        <v>4</v>
      </c>
    </row>
    <row r="602" spans="1:8">
      <c r="A602">
        <v>600</v>
      </c>
      <c r="B602">
        <v>601</v>
      </c>
      <c r="C602">
        <v>0.19700000000000001</v>
      </c>
      <c r="D602">
        <v>0.8</v>
      </c>
      <c r="E602">
        <v>0.1343</v>
      </c>
      <c r="F602">
        <v>0</v>
      </c>
      <c r="G602">
        <v>16</v>
      </c>
      <c r="H602">
        <v>16</v>
      </c>
    </row>
    <row r="603" spans="1:8">
      <c r="A603">
        <v>601</v>
      </c>
      <c r="B603">
        <v>602</v>
      </c>
      <c r="C603">
        <v>0.19700000000000001</v>
      </c>
      <c r="D603">
        <v>0.86</v>
      </c>
      <c r="E603">
        <v>8.9599999999999999E-2</v>
      </c>
      <c r="F603">
        <v>2</v>
      </c>
      <c r="G603">
        <v>58</v>
      </c>
      <c r="H603">
        <v>60</v>
      </c>
    </row>
    <row r="604" spans="1:8">
      <c r="A604">
        <v>602</v>
      </c>
      <c r="B604">
        <v>603</v>
      </c>
      <c r="C604">
        <v>0.19700000000000001</v>
      </c>
      <c r="D604">
        <v>0.86</v>
      </c>
      <c r="E604">
        <v>8.9599999999999999E-2</v>
      </c>
      <c r="F604">
        <v>2</v>
      </c>
      <c r="G604">
        <v>155</v>
      </c>
      <c r="H604">
        <v>157</v>
      </c>
    </row>
    <row r="605" spans="1:8">
      <c r="A605">
        <v>603</v>
      </c>
      <c r="B605">
        <v>604</v>
      </c>
      <c r="C605">
        <v>0.21210000000000001</v>
      </c>
      <c r="D605">
        <v>0.86</v>
      </c>
      <c r="E605">
        <v>8.9599999999999999E-2</v>
      </c>
      <c r="F605">
        <v>6</v>
      </c>
      <c r="G605">
        <v>95</v>
      </c>
      <c r="H605">
        <v>101</v>
      </c>
    </row>
    <row r="606" spans="1:8">
      <c r="A606">
        <v>604</v>
      </c>
      <c r="B606">
        <v>605</v>
      </c>
      <c r="C606">
        <v>0.21210000000000001</v>
      </c>
      <c r="D606">
        <v>0.86</v>
      </c>
      <c r="E606">
        <v>0.1045</v>
      </c>
      <c r="F606">
        <v>0</v>
      </c>
      <c r="G606">
        <v>49</v>
      </c>
      <c r="H606">
        <v>49</v>
      </c>
    </row>
    <row r="607" spans="1:8">
      <c r="A607">
        <v>605</v>
      </c>
      <c r="B607">
        <v>606</v>
      </c>
      <c r="C607">
        <v>0.21210000000000001</v>
      </c>
      <c r="D607">
        <v>0.93</v>
      </c>
      <c r="E607">
        <v>0.1045</v>
      </c>
      <c r="F607">
        <v>0</v>
      </c>
      <c r="G607">
        <v>30</v>
      </c>
      <c r="H607">
        <v>30</v>
      </c>
    </row>
    <row r="608" spans="1:8">
      <c r="A608">
        <v>606</v>
      </c>
      <c r="B608">
        <v>607</v>
      </c>
      <c r="C608">
        <v>0.21210000000000001</v>
      </c>
      <c r="D608">
        <v>0.93</v>
      </c>
      <c r="E608">
        <v>0.1045</v>
      </c>
      <c r="F608">
        <v>1</v>
      </c>
      <c r="G608">
        <v>28</v>
      </c>
      <c r="H608">
        <v>29</v>
      </c>
    </row>
    <row r="609" spans="1:8">
      <c r="A609">
        <v>607</v>
      </c>
      <c r="B609">
        <v>608</v>
      </c>
      <c r="C609">
        <v>0.21210000000000001</v>
      </c>
      <c r="D609">
        <v>0.93</v>
      </c>
      <c r="E609">
        <v>0.1045</v>
      </c>
      <c r="F609">
        <v>0</v>
      </c>
      <c r="G609">
        <v>31</v>
      </c>
      <c r="H609">
        <v>31</v>
      </c>
    </row>
    <row r="610" spans="1:8">
      <c r="A610">
        <v>608</v>
      </c>
      <c r="B610">
        <v>609</v>
      </c>
      <c r="C610">
        <v>0.2727</v>
      </c>
      <c r="D610">
        <v>0.8</v>
      </c>
      <c r="E610">
        <v>0</v>
      </c>
      <c r="F610">
        <v>2</v>
      </c>
      <c r="G610">
        <v>36</v>
      </c>
      <c r="H610">
        <v>38</v>
      </c>
    </row>
    <row r="611" spans="1:8">
      <c r="A611">
        <v>609</v>
      </c>
      <c r="B611">
        <v>610</v>
      </c>
      <c r="C611">
        <v>0.2576</v>
      </c>
      <c r="D611">
        <v>0.86</v>
      </c>
      <c r="E611">
        <v>0</v>
      </c>
      <c r="F611">
        <v>1</v>
      </c>
      <c r="G611">
        <v>40</v>
      </c>
      <c r="H611">
        <v>41</v>
      </c>
    </row>
  </sheetData>
  <conditionalFormatting sqref="A1:H611">
    <cfRule type="containsBlanks" dxfId="11" priority="1">
      <formula>LEN(TRIM(A1))=0</formula>
    </cfRule>
  </conditionalFormatting>
  <conditionalFormatting sqref="C10">
    <cfRule type="containsBlanks" dxfId="10" priority="2">
      <formula>LEN(TRIM(C10))=0</formula>
    </cfRule>
  </conditionalFormatting>
  <conditionalFormatting sqref="D8">
    <cfRule type="containsBlanks" priority="3">
      <formula>LEN(TRIM(D8))=0</formula>
    </cfRule>
  </conditionalFormatting>
  <pageMargins left="0.75" right="0.75" top="1" bottom="1" header="0.5" footer="0.5"/>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P391"/>
  <sheetViews>
    <sheetView workbookViewId="0">
      <pane ySplit="1" topLeftCell="A2" activePane="bottomLeft" state="frozen"/>
      <selection pane="bottomLeft" activeCell="H13" sqref="H13"/>
    </sheetView>
  </sheetViews>
  <sheetFormatPr defaultRowHeight="14.4"/>
  <cols>
    <col min="1" max="1" width="12" customWidth="1"/>
    <col min="2" max="2" width="21" customWidth="1"/>
    <col min="3" max="16" width="12" customWidth="1"/>
  </cols>
  <sheetData>
    <row r="1" spans="1:16">
      <c r="A1" s="1" t="s">
        <v>34</v>
      </c>
      <c r="B1" s="1" t="s">
        <v>35</v>
      </c>
      <c r="C1" s="1" t="s">
        <v>36</v>
      </c>
      <c r="D1" s="1" t="s">
        <v>37</v>
      </c>
      <c r="E1" s="1" t="s">
        <v>38</v>
      </c>
      <c r="F1" s="1" t="s">
        <v>39</v>
      </c>
      <c r="G1" s="1" t="s">
        <v>40</v>
      </c>
      <c r="H1" s="1" t="s">
        <v>41</v>
      </c>
      <c r="I1" s="1" t="s">
        <v>42</v>
      </c>
      <c r="J1" s="1" t="s">
        <v>43</v>
      </c>
      <c r="K1" s="1" t="s">
        <v>45</v>
      </c>
      <c r="L1" s="1" t="s">
        <v>46</v>
      </c>
      <c r="M1" s="1" t="s">
        <v>47</v>
      </c>
      <c r="N1" s="1" t="s">
        <v>48</v>
      </c>
      <c r="O1" s="1" t="s">
        <v>49</v>
      </c>
      <c r="P1" s="1" t="s">
        <v>50</v>
      </c>
    </row>
    <row r="2" spans="1:16">
      <c r="A2">
        <v>620</v>
      </c>
      <c r="B2" s="2">
        <v>40572</v>
      </c>
      <c r="C2">
        <v>1</v>
      </c>
      <c r="D2">
        <v>0</v>
      </c>
      <c r="E2">
        <v>1</v>
      </c>
      <c r="F2">
        <v>1</v>
      </c>
      <c r="G2" t="b">
        <v>0</v>
      </c>
      <c r="H2">
        <v>6</v>
      </c>
      <c r="I2">
        <v>1</v>
      </c>
      <c r="J2">
        <v>0.22</v>
      </c>
      <c r="K2">
        <v>0.2273</v>
      </c>
      <c r="L2">
        <v>0.64</v>
      </c>
      <c r="M2">
        <v>0.19400000000000001</v>
      </c>
      <c r="N2">
        <v>0</v>
      </c>
      <c r="O2">
        <v>20</v>
      </c>
      <c r="P2">
        <v>20</v>
      </c>
    </row>
    <row r="3" spans="1:16">
      <c r="A3">
        <v>621</v>
      </c>
      <c r="B3" s="2">
        <v>40572</v>
      </c>
      <c r="C3">
        <v>1</v>
      </c>
      <c r="D3">
        <v>0</v>
      </c>
      <c r="E3">
        <v>1</v>
      </c>
      <c r="F3">
        <v>2</v>
      </c>
      <c r="G3" t="b">
        <v>0</v>
      </c>
      <c r="H3">
        <v>6</v>
      </c>
      <c r="I3">
        <v>1</v>
      </c>
      <c r="J3">
        <v>0.22</v>
      </c>
      <c r="K3">
        <v>0.2273</v>
      </c>
      <c r="L3">
        <v>0.64</v>
      </c>
      <c r="M3">
        <v>0.16420000000000001</v>
      </c>
      <c r="N3">
        <v>0</v>
      </c>
      <c r="O3">
        <v>15</v>
      </c>
      <c r="P3">
        <v>15</v>
      </c>
    </row>
    <row r="4" spans="1:16">
      <c r="A4">
        <v>622</v>
      </c>
      <c r="B4" s="2">
        <v>40572</v>
      </c>
      <c r="C4">
        <v>1</v>
      </c>
      <c r="D4">
        <v>0</v>
      </c>
      <c r="E4">
        <v>1</v>
      </c>
      <c r="F4">
        <v>3</v>
      </c>
      <c r="G4" t="b">
        <v>0</v>
      </c>
      <c r="H4">
        <v>6</v>
      </c>
      <c r="I4">
        <v>1</v>
      </c>
      <c r="J4">
        <v>0.2</v>
      </c>
      <c r="K4">
        <v>0.21210000000000001</v>
      </c>
      <c r="L4">
        <v>0.64</v>
      </c>
      <c r="M4">
        <v>0.1343</v>
      </c>
      <c r="N4">
        <v>3</v>
      </c>
      <c r="O4">
        <v>5</v>
      </c>
      <c r="P4">
        <v>8</v>
      </c>
    </row>
    <row r="5" spans="1:16">
      <c r="A5">
        <v>623</v>
      </c>
      <c r="B5" s="2">
        <v>40572</v>
      </c>
      <c r="C5">
        <v>1</v>
      </c>
      <c r="D5">
        <v>0</v>
      </c>
      <c r="E5">
        <v>1</v>
      </c>
      <c r="F5">
        <v>4</v>
      </c>
      <c r="G5" t="b">
        <v>0</v>
      </c>
      <c r="H5">
        <v>6</v>
      </c>
      <c r="I5">
        <v>1</v>
      </c>
      <c r="J5">
        <v>0.16</v>
      </c>
      <c r="K5">
        <v>0.18179999999999999</v>
      </c>
      <c r="L5">
        <v>0.69</v>
      </c>
      <c r="M5">
        <v>0.1045</v>
      </c>
      <c r="N5">
        <v>1</v>
      </c>
      <c r="O5">
        <v>2</v>
      </c>
      <c r="P5">
        <v>3</v>
      </c>
    </row>
    <row r="6" spans="1:16">
      <c r="A6">
        <v>624</v>
      </c>
      <c r="B6" s="2">
        <v>40572</v>
      </c>
      <c r="C6">
        <v>1</v>
      </c>
      <c r="D6">
        <v>0</v>
      </c>
      <c r="E6">
        <v>1</v>
      </c>
      <c r="F6">
        <v>6</v>
      </c>
      <c r="G6" t="b">
        <v>0</v>
      </c>
      <c r="H6">
        <v>6</v>
      </c>
      <c r="I6">
        <v>1</v>
      </c>
      <c r="J6">
        <v>0.16</v>
      </c>
      <c r="K6">
        <v>0.18179999999999999</v>
      </c>
      <c r="L6">
        <v>0.64</v>
      </c>
      <c r="M6">
        <v>0.1343</v>
      </c>
      <c r="N6">
        <v>0</v>
      </c>
      <c r="O6">
        <v>2</v>
      </c>
      <c r="P6">
        <v>2</v>
      </c>
    </row>
    <row r="7" spans="1:16">
      <c r="A7">
        <v>625</v>
      </c>
      <c r="B7" s="2">
        <v>40572</v>
      </c>
      <c r="C7">
        <v>1</v>
      </c>
      <c r="D7">
        <v>0</v>
      </c>
      <c r="E7">
        <v>1</v>
      </c>
      <c r="F7">
        <v>7</v>
      </c>
      <c r="G7" t="b">
        <v>0</v>
      </c>
      <c r="H7">
        <v>6</v>
      </c>
      <c r="I7">
        <v>1</v>
      </c>
      <c r="J7">
        <v>0.16</v>
      </c>
      <c r="K7">
        <v>0.18179999999999999</v>
      </c>
      <c r="L7">
        <v>0.59</v>
      </c>
      <c r="M7">
        <v>0.1045</v>
      </c>
      <c r="N7">
        <v>1</v>
      </c>
      <c r="O7">
        <v>4</v>
      </c>
      <c r="P7">
        <v>5</v>
      </c>
    </row>
    <row r="8" spans="1:16">
      <c r="A8">
        <v>626</v>
      </c>
      <c r="B8" s="2">
        <v>40572</v>
      </c>
      <c r="C8">
        <v>1</v>
      </c>
      <c r="D8">
        <v>0</v>
      </c>
      <c r="E8">
        <v>1</v>
      </c>
      <c r="F8">
        <v>8</v>
      </c>
      <c r="G8" t="b">
        <v>0</v>
      </c>
      <c r="H8">
        <v>6</v>
      </c>
      <c r="I8">
        <v>1</v>
      </c>
      <c r="J8">
        <v>0.18</v>
      </c>
      <c r="K8">
        <v>0.19700000000000001</v>
      </c>
      <c r="L8">
        <v>0.55000000000000004</v>
      </c>
      <c r="M8">
        <v>0.16420000000000001</v>
      </c>
      <c r="N8">
        <v>3</v>
      </c>
      <c r="O8">
        <v>31</v>
      </c>
      <c r="P8">
        <v>34</v>
      </c>
    </row>
    <row r="9" spans="1:16">
      <c r="A9">
        <v>627</v>
      </c>
      <c r="B9" s="2">
        <v>40572</v>
      </c>
      <c r="C9">
        <v>1</v>
      </c>
      <c r="D9">
        <v>0</v>
      </c>
      <c r="E9">
        <v>1</v>
      </c>
      <c r="F9">
        <v>9</v>
      </c>
      <c r="G9" t="b">
        <v>0</v>
      </c>
      <c r="H9">
        <v>6</v>
      </c>
      <c r="I9">
        <v>1</v>
      </c>
      <c r="J9">
        <v>0.18</v>
      </c>
      <c r="K9">
        <v>0.21210000000000001</v>
      </c>
      <c r="L9">
        <v>0.59</v>
      </c>
      <c r="M9">
        <v>8.9599999999999999E-2</v>
      </c>
      <c r="N9">
        <v>0</v>
      </c>
      <c r="O9">
        <v>34</v>
      </c>
      <c r="P9">
        <v>34</v>
      </c>
    </row>
    <row r="10" spans="1:16">
      <c r="A10">
        <v>628</v>
      </c>
      <c r="B10" s="2">
        <v>40572</v>
      </c>
      <c r="C10">
        <v>1</v>
      </c>
      <c r="D10">
        <v>0</v>
      </c>
      <c r="E10">
        <v>1</v>
      </c>
      <c r="F10">
        <v>10</v>
      </c>
      <c r="G10" t="b">
        <v>0</v>
      </c>
      <c r="H10">
        <v>6</v>
      </c>
      <c r="I10">
        <v>2</v>
      </c>
      <c r="J10">
        <v>0.18</v>
      </c>
      <c r="K10">
        <v>0.21210000000000001</v>
      </c>
      <c r="L10">
        <v>0.64</v>
      </c>
      <c r="M10">
        <v>0.1045</v>
      </c>
      <c r="N10">
        <v>4</v>
      </c>
      <c r="O10">
        <v>51</v>
      </c>
      <c r="P10">
        <v>55</v>
      </c>
    </row>
    <row r="11" spans="1:16">
      <c r="A11">
        <v>629</v>
      </c>
      <c r="B11" s="2">
        <v>40572</v>
      </c>
      <c r="C11">
        <v>1</v>
      </c>
      <c r="D11">
        <v>0</v>
      </c>
      <c r="E11">
        <v>1</v>
      </c>
      <c r="F11">
        <v>11</v>
      </c>
      <c r="G11" t="b">
        <v>0</v>
      </c>
      <c r="H11">
        <v>6</v>
      </c>
      <c r="I11">
        <v>2</v>
      </c>
      <c r="J11">
        <v>0.18</v>
      </c>
      <c r="K11">
        <v>0.19700000000000001</v>
      </c>
      <c r="L11">
        <v>0.64</v>
      </c>
      <c r="M11">
        <v>0.1343</v>
      </c>
      <c r="N11">
        <v>4</v>
      </c>
      <c r="O11">
        <v>60</v>
      </c>
      <c r="P11">
        <v>64</v>
      </c>
    </row>
    <row r="12" spans="1:16">
      <c r="A12">
        <v>630</v>
      </c>
      <c r="B12" s="2">
        <v>40572</v>
      </c>
      <c r="C12">
        <v>1</v>
      </c>
      <c r="D12">
        <v>0</v>
      </c>
      <c r="E12">
        <v>1</v>
      </c>
      <c r="F12">
        <v>12</v>
      </c>
      <c r="G12" t="b">
        <v>0</v>
      </c>
      <c r="H12">
        <v>6</v>
      </c>
      <c r="I12">
        <v>2</v>
      </c>
      <c r="J12">
        <v>0.2</v>
      </c>
      <c r="K12">
        <v>0.19700000000000001</v>
      </c>
      <c r="L12">
        <v>0.59</v>
      </c>
      <c r="M12">
        <v>0.19400000000000001</v>
      </c>
      <c r="N12">
        <v>12</v>
      </c>
      <c r="O12">
        <v>66</v>
      </c>
      <c r="P12">
        <v>78</v>
      </c>
    </row>
    <row r="13" spans="1:16">
      <c r="A13">
        <v>631</v>
      </c>
      <c r="B13" s="2">
        <v>40572</v>
      </c>
      <c r="C13">
        <v>1</v>
      </c>
      <c r="D13">
        <v>0</v>
      </c>
      <c r="E13">
        <v>1</v>
      </c>
      <c r="F13">
        <v>13</v>
      </c>
      <c r="G13" t="b">
        <v>0</v>
      </c>
      <c r="H13">
        <v>6</v>
      </c>
      <c r="I13">
        <v>2</v>
      </c>
      <c r="J13">
        <v>0.22</v>
      </c>
      <c r="K13">
        <v>0.2273</v>
      </c>
      <c r="L13">
        <v>0.55000000000000004</v>
      </c>
      <c r="M13">
        <v>0.16420000000000001</v>
      </c>
      <c r="N13">
        <v>9</v>
      </c>
      <c r="O13">
        <v>56</v>
      </c>
      <c r="P13">
        <v>65</v>
      </c>
    </row>
    <row r="14" spans="1:16">
      <c r="A14">
        <v>632</v>
      </c>
      <c r="B14" s="2">
        <v>40572</v>
      </c>
      <c r="C14">
        <v>1</v>
      </c>
      <c r="D14">
        <v>0</v>
      </c>
      <c r="E14">
        <v>1</v>
      </c>
      <c r="F14">
        <v>14</v>
      </c>
      <c r="G14" t="b">
        <v>0</v>
      </c>
      <c r="H14">
        <v>6</v>
      </c>
      <c r="I14">
        <v>2</v>
      </c>
      <c r="J14">
        <v>0.22</v>
      </c>
      <c r="K14">
        <v>0.2273</v>
      </c>
      <c r="L14">
        <v>0.6</v>
      </c>
      <c r="M14">
        <v>0.1343</v>
      </c>
      <c r="N14">
        <v>10</v>
      </c>
      <c r="O14">
        <v>89</v>
      </c>
      <c r="P14">
        <v>99</v>
      </c>
    </row>
    <row r="15" spans="1:16">
      <c r="A15">
        <v>633</v>
      </c>
      <c r="B15" s="2">
        <v>40572</v>
      </c>
      <c r="C15">
        <v>1</v>
      </c>
      <c r="D15">
        <v>0</v>
      </c>
      <c r="E15">
        <v>1</v>
      </c>
      <c r="F15">
        <v>15</v>
      </c>
      <c r="G15" t="b">
        <v>0</v>
      </c>
      <c r="H15">
        <v>6</v>
      </c>
      <c r="I15">
        <v>1</v>
      </c>
      <c r="J15">
        <v>0.22</v>
      </c>
      <c r="K15">
        <v>0.21210000000000001</v>
      </c>
      <c r="L15">
        <v>0.69</v>
      </c>
      <c r="M15">
        <v>0.25369999999999998</v>
      </c>
      <c r="N15">
        <v>22</v>
      </c>
      <c r="O15">
        <v>98</v>
      </c>
      <c r="P15">
        <v>120</v>
      </c>
    </row>
    <row r="16" spans="1:16">
      <c r="A16">
        <v>634</v>
      </c>
      <c r="B16" s="2">
        <v>40572</v>
      </c>
      <c r="C16">
        <v>1</v>
      </c>
      <c r="D16">
        <v>0</v>
      </c>
      <c r="E16">
        <v>1</v>
      </c>
      <c r="F16">
        <v>16</v>
      </c>
      <c r="G16" t="b">
        <v>0</v>
      </c>
      <c r="H16">
        <v>6</v>
      </c>
      <c r="I16">
        <v>1</v>
      </c>
      <c r="J16">
        <v>0.24</v>
      </c>
      <c r="K16">
        <v>0.2424</v>
      </c>
      <c r="L16">
        <v>0.6</v>
      </c>
      <c r="M16">
        <v>0.16420000000000001</v>
      </c>
      <c r="N16">
        <v>19</v>
      </c>
      <c r="O16">
        <v>88</v>
      </c>
      <c r="P16">
        <v>107</v>
      </c>
    </row>
    <row r="17" spans="1:16">
      <c r="A17">
        <v>635</v>
      </c>
      <c r="B17" s="2">
        <v>40572</v>
      </c>
      <c r="C17">
        <v>1</v>
      </c>
      <c r="D17">
        <v>0</v>
      </c>
      <c r="E17">
        <v>1</v>
      </c>
      <c r="F17">
        <v>17</v>
      </c>
      <c r="G17" t="b">
        <v>0</v>
      </c>
      <c r="H17">
        <v>6</v>
      </c>
      <c r="I17">
        <v>1</v>
      </c>
      <c r="J17">
        <v>0.24</v>
      </c>
      <c r="K17">
        <v>0.28789999999999999</v>
      </c>
      <c r="L17">
        <v>0.6</v>
      </c>
      <c r="M17">
        <v>0</v>
      </c>
      <c r="N17">
        <v>9</v>
      </c>
      <c r="O17">
        <v>82</v>
      </c>
      <c r="P17">
        <v>91</v>
      </c>
    </row>
    <row r="18" spans="1:16">
      <c r="A18">
        <v>636</v>
      </c>
      <c r="B18" s="2">
        <v>40572</v>
      </c>
      <c r="C18">
        <v>1</v>
      </c>
      <c r="D18">
        <v>0</v>
      </c>
      <c r="E18">
        <v>1</v>
      </c>
      <c r="F18">
        <v>18</v>
      </c>
      <c r="G18" t="b">
        <v>0</v>
      </c>
      <c r="H18">
        <v>6</v>
      </c>
      <c r="I18">
        <v>1</v>
      </c>
      <c r="J18">
        <v>0.22</v>
      </c>
      <c r="K18">
        <v>0.2273</v>
      </c>
      <c r="L18">
        <v>0.69</v>
      </c>
      <c r="M18">
        <v>0.1343</v>
      </c>
      <c r="N18">
        <v>9</v>
      </c>
      <c r="O18">
        <v>59</v>
      </c>
      <c r="P18">
        <v>68</v>
      </c>
    </row>
    <row r="19" spans="1:16">
      <c r="A19">
        <v>637</v>
      </c>
      <c r="B19" s="2">
        <v>40572</v>
      </c>
      <c r="C19">
        <v>1</v>
      </c>
      <c r="D19">
        <v>0</v>
      </c>
      <c r="E19">
        <v>1</v>
      </c>
      <c r="F19">
        <v>19</v>
      </c>
      <c r="G19" t="b">
        <v>0</v>
      </c>
      <c r="H19">
        <v>6</v>
      </c>
      <c r="I19">
        <v>2</v>
      </c>
      <c r="J19">
        <v>0.22</v>
      </c>
      <c r="K19">
        <v>0.21210000000000001</v>
      </c>
      <c r="L19">
        <v>0.69</v>
      </c>
      <c r="M19">
        <v>0.25369999999999998</v>
      </c>
      <c r="N19">
        <v>6</v>
      </c>
      <c r="O19">
        <v>52</v>
      </c>
      <c r="P19">
        <v>58</v>
      </c>
    </row>
    <row r="20" spans="1:16">
      <c r="A20">
        <v>638</v>
      </c>
      <c r="B20" s="2">
        <v>40572</v>
      </c>
      <c r="C20">
        <v>1</v>
      </c>
      <c r="D20">
        <v>0</v>
      </c>
      <c r="E20">
        <v>1</v>
      </c>
      <c r="F20">
        <v>20</v>
      </c>
      <c r="G20" t="b">
        <v>0</v>
      </c>
      <c r="H20">
        <v>6</v>
      </c>
      <c r="I20">
        <v>1</v>
      </c>
      <c r="J20">
        <v>0.18</v>
      </c>
      <c r="K20">
        <v>0.21210000000000001</v>
      </c>
      <c r="L20">
        <v>0.74</v>
      </c>
      <c r="M20">
        <v>8.9599999999999999E-2</v>
      </c>
      <c r="N20">
        <v>1</v>
      </c>
      <c r="O20">
        <v>42</v>
      </c>
      <c r="P20">
        <v>43</v>
      </c>
    </row>
    <row r="21" spans="1:16">
      <c r="A21">
        <v>639</v>
      </c>
      <c r="B21" s="2">
        <v>40572</v>
      </c>
      <c r="C21">
        <v>1</v>
      </c>
      <c r="D21">
        <v>0</v>
      </c>
      <c r="E21">
        <v>1</v>
      </c>
      <c r="F21">
        <v>21</v>
      </c>
      <c r="G21" t="b">
        <v>0</v>
      </c>
      <c r="H21">
        <v>6</v>
      </c>
      <c r="I21">
        <v>1</v>
      </c>
      <c r="J21">
        <v>0.18</v>
      </c>
      <c r="K21">
        <v>0.21210000000000001</v>
      </c>
      <c r="L21">
        <v>0.74</v>
      </c>
      <c r="M21">
        <v>8.9599999999999999E-2</v>
      </c>
      <c r="N21">
        <v>1</v>
      </c>
      <c r="O21">
        <v>35</v>
      </c>
      <c r="P21">
        <v>36</v>
      </c>
    </row>
    <row r="22" spans="1:16">
      <c r="A22">
        <v>640</v>
      </c>
      <c r="B22" s="2">
        <v>40572</v>
      </c>
      <c r="C22">
        <v>1</v>
      </c>
      <c r="D22">
        <v>0</v>
      </c>
      <c r="E22">
        <v>1</v>
      </c>
      <c r="F22">
        <v>22</v>
      </c>
      <c r="G22" t="b">
        <v>0</v>
      </c>
      <c r="H22">
        <v>6</v>
      </c>
      <c r="I22">
        <v>1</v>
      </c>
      <c r="J22">
        <v>0.16</v>
      </c>
      <c r="K22">
        <v>0.19700000000000001</v>
      </c>
      <c r="L22">
        <v>0.8</v>
      </c>
      <c r="M22">
        <v>8.9599999999999999E-2</v>
      </c>
      <c r="N22">
        <v>4</v>
      </c>
      <c r="O22">
        <v>28</v>
      </c>
      <c r="P22">
        <v>32</v>
      </c>
    </row>
    <row r="23" spans="1:16">
      <c r="A23">
        <v>641</v>
      </c>
      <c r="B23" s="2">
        <v>40572</v>
      </c>
      <c r="C23">
        <v>1</v>
      </c>
      <c r="D23">
        <v>0</v>
      </c>
      <c r="E23">
        <v>1</v>
      </c>
      <c r="F23">
        <v>23</v>
      </c>
      <c r="G23" t="b">
        <v>0</v>
      </c>
      <c r="H23">
        <v>6</v>
      </c>
      <c r="I23">
        <v>1</v>
      </c>
      <c r="J23">
        <v>0.16</v>
      </c>
      <c r="K23">
        <v>0.19700000000000001</v>
      </c>
      <c r="L23">
        <v>0.8</v>
      </c>
      <c r="M23">
        <v>8.9599999999999999E-2</v>
      </c>
      <c r="N23">
        <v>3</v>
      </c>
      <c r="O23">
        <v>30</v>
      </c>
      <c r="P23">
        <v>33</v>
      </c>
    </row>
    <row r="24" spans="1:16">
      <c r="A24">
        <v>642</v>
      </c>
      <c r="B24" s="2">
        <v>40573</v>
      </c>
      <c r="C24">
        <v>1</v>
      </c>
      <c r="D24">
        <v>0</v>
      </c>
      <c r="E24">
        <v>1</v>
      </c>
      <c r="F24">
        <v>0</v>
      </c>
      <c r="G24" t="b">
        <v>0</v>
      </c>
      <c r="H24">
        <v>0</v>
      </c>
      <c r="I24">
        <v>1</v>
      </c>
      <c r="J24">
        <v>0.16</v>
      </c>
      <c r="K24">
        <v>0.18179999999999999</v>
      </c>
      <c r="L24">
        <v>0.8</v>
      </c>
      <c r="M24">
        <v>0.1045</v>
      </c>
      <c r="N24">
        <v>0</v>
      </c>
      <c r="O24">
        <v>33</v>
      </c>
      <c r="P24">
        <v>33</v>
      </c>
    </row>
    <row r="25" spans="1:16">
      <c r="A25">
        <v>643</v>
      </c>
      <c r="B25" s="2">
        <v>40573</v>
      </c>
      <c r="C25">
        <v>1</v>
      </c>
      <c r="D25">
        <v>0</v>
      </c>
      <c r="E25">
        <v>1</v>
      </c>
      <c r="F25">
        <v>1</v>
      </c>
      <c r="G25" t="b">
        <v>0</v>
      </c>
      <c r="H25">
        <v>0</v>
      </c>
      <c r="I25">
        <v>1</v>
      </c>
      <c r="J25">
        <v>0.14000000000000001</v>
      </c>
      <c r="K25">
        <v>0.21210000000000001</v>
      </c>
      <c r="L25">
        <v>0.8</v>
      </c>
      <c r="M25">
        <v>0</v>
      </c>
      <c r="N25">
        <v>7</v>
      </c>
      <c r="O25">
        <v>22</v>
      </c>
      <c r="P25">
        <v>29</v>
      </c>
    </row>
    <row r="26" spans="1:16">
      <c r="A26">
        <v>644</v>
      </c>
      <c r="B26" s="2">
        <v>40573</v>
      </c>
      <c r="C26">
        <v>1</v>
      </c>
      <c r="D26">
        <v>0</v>
      </c>
      <c r="E26">
        <v>1</v>
      </c>
      <c r="F26">
        <v>2</v>
      </c>
      <c r="G26" t="b">
        <v>0</v>
      </c>
      <c r="H26">
        <v>0</v>
      </c>
      <c r="I26">
        <v>1</v>
      </c>
      <c r="J26">
        <v>0.16</v>
      </c>
      <c r="K26">
        <v>0.2273</v>
      </c>
      <c r="L26">
        <v>0.8</v>
      </c>
      <c r="M26">
        <v>0</v>
      </c>
      <c r="N26">
        <v>1</v>
      </c>
      <c r="O26">
        <v>10</v>
      </c>
      <c r="P26">
        <v>11</v>
      </c>
    </row>
    <row r="27" spans="1:16">
      <c r="A27">
        <v>645</v>
      </c>
      <c r="B27" s="2">
        <v>40573</v>
      </c>
      <c r="C27">
        <v>1</v>
      </c>
      <c r="D27">
        <v>0</v>
      </c>
      <c r="E27">
        <v>1</v>
      </c>
      <c r="F27">
        <v>3</v>
      </c>
      <c r="G27" t="b">
        <v>0</v>
      </c>
      <c r="H27">
        <v>0</v>
      </c>
      <c r="I27">
        <v>1</v>
      </c>
      <c r="J27">
        <v>0.14000000000000001</v>
      </c>
      <c r="K27">
        <v>0.21210000000000001</v>
      </c>
      <c r="L27">
        <v>0.93</v>
      </c>
      <c r="M27">
        <v>0</v>
      </c>
      <c r="N27">
        <v>1</v>
      </c>
      <c r="O27">
        <v>7</v>
      </c>
      <c r="P27">
        <v>8</v>
      </c>
    </row>
    <row r="28" spans="1:16">
      <c r="A28">
        <v>646</v>
      </c>
      <c r="B28" s="2">
        <v>40573</v>
      </c>
      <c r="C28">
        <v>1</v>
      </c>
      <c r="D28">
        <v>0</v>
      </c>
      <c r="E28">
        <v>1</v>
      </c>
      <c r="F28">
        <v>4</v>
      </c>
      <c r="G28" t="b">
        <v>0</v>
      </c>
      <c r="H28">
        <v>0</v>
      </c>
      <c r="I28">
        <v>1</v>
      </c>
      <c r="J28">
        <v>0.14000000000000001</v>
      </c>
      <c r="K28">
        <v>0.21210000000000001</v>
      </c>
      <c r="L28">
        <v>0.93</v>
      </c>
      <c r="M28">
        <v>0</v>
      </c>
      <c r="N28">
        <v>0</v>
      </c>
      <c r="O28">
        <v>1</v>
      </c>
      <c r="P28">
        <v>1</v>
      </c>
    </row>
    <row r="29" spans="1:16">
      <c r="A29">
        <v>647</v>
      </c>
      <c r="B29" s="2">
        <v>40573</v>
      </c>
      <c r="C29">
        <v>1</v>
      </c>
      <c r="D29">
        <v>0</v>
      </c>
      <c r="E29">
        <v>1</v>
      </c>
      <c r="F29">
        <v>5</v>
      </c>
      <c r="G29" t="b">
        <v>0</v>
      </c>
      <c r="H29">
        <v>0</v>
      </c>
      <c r="I29">
        <v>1</v>
      </c>
      <c r="J29">
        <v>0.14000000000000001</v>
      </c>
      <c r="K29">
        <v>0.21210000000000001</v>
      </c>
      <c r="L29">
        <v>0.86</v>
      </c>
      <c r="M29">
        <v>0</v>
      </c>
      <c r="N29">
        <v>0</v>
      </c>
      <c r="O29">
        <v>3</v>
      </c>
      <c r="P29">
        <v>3</v>
      </c>
    </row>
    <row r="30" spans="1:16">
      <c r="A30">
        <v>648</v>
      </c>
      <c r="B30" s="2">
        <v>40573</v>
      </c>
      <c r="C30">
        <v>1</v>
      </c>
      <c r="D30">
        <v>0</v>
      </c>
      <c r="E30">
        <v>1</v>
      </c>
      <c r="F30">
        <v>7</v>
      </c>
      <c r="G30" t="b">
        <v>0</v>
      </c>
      <c r="H30">
        <v>0</v>
      </c>
      <c r="I30">
        <v>1</v>
      </c>
      <c r="J30">
        <v>0.14000000000000001</v>
      </c>
      <c r="K30">
        <v>0.21210000000000001</v>
      </c>
      <c r="L30">
        <v>0.86</v>
      </c>
      <c r="M30">
        <v>0</v>
      </c>
      <c r="N30">
        <v>0</v>
      </c>
      <c r="O30">
        <v>3</v>
      </c>
      <c r="P30">
        <v>3</v>
      </c>
    </row>
    <row r="31" spans="1:16">
      <c r="A31">
        <v>649</v>
      </c>
      <c r="B31" s="2">
        <v>40573</v>
      </c>
      <c r="C31">
        <v>1</v>
      </c>
      <c r="D31">
        <v>0</v>
      </c>
      <c r="E31">
        <v>1</v>
      </c>
      <c r="F31">
        <v>8</v>
      </c>
      <c r="G31" t="b">
        <v>0</v>
      </c>
      <c r="H31">
        <v>0</v>
      </c>
      <c r="I31">
        <v>2</v>
      </c>
      <c r="J31">
        <v>0.14000000000000001</v>
      </c>
      <c r="K31">
        <v>0.21210000000000001</v>
      </c>
      <c r="L31">
        <v>0.86</v>
      </c>
      <c r="M31">
        <v>0</v>
      </c>
      <c r="N31">
        <v>1</v>
      </c>
      <c r="O31">
        <v>11</v>
      </c>
      <c r="P31">
        <v>12</v>
      </c>
    </row>
    <row r="32" spans="1:16">
      <c r="A32">
        <v>650</v>
      </c>
      <c r="B32" s="2">
        <v>40573</v>
      </c>
      <c r="C32">
        <v>1</v>
      </c>
      <c r="D32">
        <v>0</v>
      </c>
      <c r="E32">
        <v>1</v>
      </c>
      <c r="F32">
        <v>9</v>
      </c>
      <c r="G32" t="b">
        <v>0</v>
      </c>
      <c r="H32">
        <v>0</v>
      </c>
      <c r="I32">
        <v>2</v>
      </c>
      <c r="J32">
        <v>0.16</v>
      </c>
      <c r="K32">
        <v>0.2273</v>
      </c>
      <c r="L32">
        <v>0.8</v>
      </c>
      <c r="M32">
        <v>0</v>
      </c>
      <c r="N32">
        <v>4</v>
      </c>
      <c r="O32">
        <v>34</v>
      </c>
      <c r="P32">
        <v>38</v>
      </c>
    </row>
    <row r="33" spans="1:16">
      <c r="A33">
        <v>651</v>
      </c>
      <c r="B33" s="2">
        <v>40573</v>
      </c>
      <c r="C33">
        <v>1</v>
      </c>
      <c r="D33">
        <v>0</v>
      </c>
      <c r="E33">
        <v>1</v>
      </c>
      <c r="F33">
        <v>10</v>
      </c>
      <c r="G33" t="b">
        <v>0</v>
      </c>
      <c r="H33">
        <v>0</v>
      </c>
      <c r="I33">
        <v>2</v>
      </c>
      <c r="J33">
        <v>0.18</v>
      </c>
      <c r="K33">
        <v>0.2424</v>
      </c>
      <c r="L33">
        <v>0.8</v>
      </c>
      <c r="M33">
        <v>0</v>
      </c>
      <c r="N33">
        <v>7</v>
      </c>
      <c r="O33">
        <v>57</v>
      </c>
      <c r="P33">
        <v>64</v>
      </c>
    </row>
    <row r="34" spans="1:16">
      <c r="A34">
        <v>652</v>
      </c>
      <c r="B34" s="2">
        <v>40573</v>
      </c>
      <c r="C34">
        <v>1</v>
      </c>
      <c r="D34">
        <v>0</v>
      </c>
      <c r="E34">
        <v>1</v>
      </c>
      <c r="F34">
        <v>11</v>
      </c>
      <c r="G34" t="b">
        <v>0</v>
      </c>
      <c r="H34">
        <v>0</v>
      </c>
      <c r="I34">
        <v>1</v>
      </c>
      <c r="J34">
        <v>0.22</v>
      </c>
      <c r="K34">
        <v>0.2727</v>
      </c>
      <c r="L34">
        <v>0.75</v>
      </c>
      <c r="M34">
        <v>0</v>
      </c>
      <c r="N34">
        <v>9</v>
      </c>
      <c r="O34">
        <v>50</v>
      </c>
      <c r="P34">
        <v>59</v>
      </c>
    </row>
    <row r="35" spans="1:16">
      <c r="A35">
        <v>653</v>
      </c>
      <c r="B35" s="2">
        <v>40573</v>
      </c>
      <c r="C35">
        <v>1</v>
      </c>
      <c r="D35">
        <v>0</v>
      </c>
      <c r="E35">
        <v>1</v>
      </c>
      <c r="F35">
        <v>12</v>
      </c>
      <c r="G35" t="b">
        <v>0</v>
      </c>
      <c r="H35">
        <v>0</v>
      </c>
      <c r="I35">
        <v>1</v>
      </c>
      <c r="J35">
        <v>0.3</v>
      </c>
      <c r="K35">
        <v>0.31819999999999998</v>
      </c>
      <c r="L35">
        <v>0.52</v>
      </c>
      <c r="M35">
        <v>0.1045</v>
      </c>
      <c r="N35">
        <v>10</v>
      </c>
      <c r="O35">
        <v>87</v>
      </c>
      <c r="P35">
        <v>97</v>
      </c>
    </row>
    <row r="36" spans="1:16">
      <c r="A36">
        <v>654</v>
      </c>
      <c r="B36" s="2">
        <v>40573</v>
      </c>
      <c r="C36">
        <v>1</v>
      </c>
      <c r="D36">
        <v>0</v>
      </c>
      <c r="E36">
        <v>1</v>
      </c>
      <c r="F36">
        <v>13</v>
      </c>
      <c r="G36" t="b">
        <v>0</v>
      </c>
      <c r="H36">
        <v>0</v>
      </c>
      <c r="I36">
        <v>1</v>
      </c>
      <c r="J36">
        <v>0.28000000000000003</v>
      </c>
      <c r="K36">
        <v>0.28789999999999999</v>
      </c>
      <c r="L36">
        <v>0.61</v>
      </c>
      <c r="M36">
        <v>0.1045</v>
      </c>
      <c r="N36">
        <v>13</v>
      </c>
      <c r="O36">
        <v>71</v>
      </c>
      <c r="P36">
        <v>84</v>
      </c>
    </row>
    <row r="37" spans="1:16">
      <c r="A37">
        <v>655</v>
      </c>
      <c r="B37" s="2">
        <v>40573</v>
      </c>
      <c r="C37">
        <v>1</v>
      </c>
      <c r="D37">
        <v>0</v>
      </c>
      <c r="E37">
        <v>1</v>
      </c>
      <c r="F37">
        <v>14</v>
      </c>
      <c r="G37" t="b">
        <v>0</v>
      </c>
      <c r="H37">
        <v>0</v>
      </c>
      <c r="I37">
        <v>1</v>
      </c>
      <c r="J37">
        <v>0.28000000000000003</v>
      </c>
      <c r="K37">
        <v>0.30299999999999999</v>
      </c>
      <c r="L37">
        <v>0.61</v>
      </c>
      <c r="M37">
        <v>8.9599999999999999E-2</v>
      </c>
      <c r="N37">
        <v>18</v>
      </c>
      <c r="O37">
        <v>104</v>
      </c>
      <c r="P37">
        <v>122</v>
      </c>
    </row>
    <row r="38" spans="1:16">
      <c r="A38">
        <v>656</v>
      </c>
      <c r="B38" s="2">
        <v>40573</v>
      </c>
      <c r="C38">
        <v>1</v>
      </c>
      <c r="D38">
        <v>0</v>
      </c>
      <c r="E38">
        <v>1</v>
      </c>
      <c r="F38">
        <v>15</v>
      </c>
      <c r="G38" t="b">
        <v>0</v>
      </c>
      <c r="H38">
        <v>0</v>
      </c>
      <c r="I38">
        <v>1</v>
      </c>
      <c r="J38">
        <v>0.3</v>
      </c>
      <c r="K38">
        <v>0.33329999999999999</v>
      </c>
      <c r="L38">
        <v>0.56000000000000005</v>
      </c>
      <c r="M38">
        <v>0</v>
      </c>
      <c r="N38">
        <v>14</v>
      </c>
      <c r="O38">
        <v>95</v>
      </c>
      <c r="P38">
        <v>109</v>
      </c>
    </row>
    <row r="39" spans="1:16">
      <c r="A39">
        <v>657</v>
      </c>
      <c r="B39" s="2">
        <v>40573</v>
      </c>
      <c r="C39">
        <v>1</v>
      </c>
      <c r="D39">
        <v>0</v>
      </c>
      <c r="E39">
        <v>1</v>
      </c>
      <c r="F39">
        <v>16</v>
      </c>
      <c r="G39" t="b">
        <v>0</v>
      </c>
      <c r="H39">
        <v>0</v>
      </c>
      <c r="I39">
        <v>1</v>
      </c>
      <c r="J39">
        <v>0.3</v>
      </c>
      <c r="K39">
        <v>0.33329999999999999</v>
      </c>
      <c r="L39">
        <v>0.56000000000000005</v>
      </c>
      <c r="M39">
        <v>0</v>
      </c>
      <c r="N39">
        <v>19</v>
      </c>
      <c r="O39">
        <v>104</v>
      </c>
      <c r="P39">
        <v>123</v>
      </c>
    </row>
    <row r="40" spans="1:16">
      <c r="A40">
        <v>658</v>
      </c>
      <c r="B40" s="2">
        <v>40573</v>
      </c>
      <c r="C40">
        <v>1</v>
      </c>
      <c r="D40">
        <v>0</v>
      </c>
      <c r="E40">
        <v>1</v>
      </c>
      <c r="F40">
        <v>17</v>
      </c>
      <c r="G40" t="b">
        <v>0</v>
      </c>
      <c r="H40">
        <v>0</v>
      </c>
      <c r="I40">
        <v>1</v>
      </c>
      <c r="J40">
        <v>0.3</v>
      </c>
      <c r="K40">
        <v>0.28789999999999999</v>
      </c>
      <c r="L40">
        <v>0.56000000000000005</v>
      </c>
      <c r="M40">
        <v>0.19400000000000001</v>
      </c>
      <c r="N40">
        <v>6</v>
      </c>
      <c r="O40">
        <v>71</v>
      </c>
      <c r="P40">
        <v>77</v>
      </c>
    </row>
    <row r="41" spans="1:16">
      <c r="A41">
        <v>659</v>
      </c>
      <c r="B41" s="2">
        <v>40573</v>
      </c>
      <c r="C41">
        <v>1</v>
      </c>
      <c r="D41">
        <v>0</v>
      </c>
      <c r="E41">
        <v>1</v>
      </c>
      <c r="F41">
        <v>18</v>
      </c>
      <c r="G41" t="b">
        <v>0</v>
      </c>
      <c r="H41">
        <v>0</v>
      </c>
      <c r="I41">
        <v>1</v>
      </c>
      <c r="J41">
        <v>0.26</v>
      </c>
      <c r="K41">
        <v>0.2576</v>
      </c>
      <c r="L41">
        <v>0.65</v>
      </c>
      <c r="M41">
        <v>0.16420000000000001</v>
      </c>
      <c r="N41">
        <v>8</v>
      </c>
      <c r="O41">
        <v>57</v>
      </c>
      <c r="P41">
        <v>65</v>
      </c>
    </row>
    <row r="42" spans="1:16">
      <c r="A42">
        <v>660</v>
      </c>
      <c r="B42" s="2">
        <v>40573</v>
      </c>
      <c r="C42">
        <v>1</v>
      </c>
      <c r="D42">
        <v>0</v>
      </c>
      <c r="E42">
        <v>1</v>
      </c>
      <c r="F42">
        <v>19</v>
      </c>
      <c r="G42" t="b">
        <v>0</v>
      </c>
      <c r="H42">
        <v>0</v>
      </c>
      <c r="I42">
        <v>1</v>
      </c>
      <c r="J42">
        <v>0.26</v>
      </c>
      <c r="K42">
        <v>0.2576</v>
      </c>
      <c r="L42">
        <v>0.65</v>
      </c>
      <c r="M42">
        <v>0.19400000000000001</v>
      </c>
      <c r="N42">
        <v>9</v>
      </c>
      <c r="O42">
        <v>46</v>
      </c>
      <c r="P42">
        <v>55</v>
      </c>
    </row>
    <row r="43" spans="1:16">
      <c r="A43">
        <v>661</v>
      </c>
      <c r="B43" s="2">
        <v>40573</v>
      </c>
      <c r="C43">
        <v>1</v>
      </c>
      <c r="D43">
        <v>0</v>
      </c>
      <c r="E43">
        <v>1</v>
      </c>
      <c r="F43">
        <v>20</v>
      </c>
      <c r="G43" t="b">
        <v>0</v>
      </c>
      <c r="H43">
        <v>0</v>
      </c>
      <c r="I43">
        <v>2</v>
      </c>
      <c r="J43">
        <v>0.26</v>
      </c>
      <c r="K43">
        <v>0.2727</v>
      </c>
      <c r="L43">
        <v>0.65</v>
      </c>
      <c r="M43">
        <v>0.1045</v>
      </c>
      <c r="N43">
        <v>3</v>
      </c>
      <c r="O43">
        <v>30</v>
      </c>
      <c r="P43">
        <v>33</v>
      </c>
    </row>
    <row r="44" spans="1:16">
      <c r="A44">
        <v>662</v>
      </c>
      <c r="B44" s="2">
        <v>40573</v>
      </c>
      <c r="C44">
        <v>1</v>
      </c>
      <c r="D44">
        <v>0</v>
      </c>
      <c r="E44">
        <v>1</v>
      </c>
      <c r="F44">
        <v>21</v>
      </c>
      <c r="G44" t="b">
        <v>0</v>
      </c>
      <c r="H44">
        <v>0</v>
      </c>
      <c r="I44">
        <v>2</v>
      </c>
      <c r="J44">
        <v>0.24</v>
      </c>
      <c r="K44">
        <v>0.2424</v>
      </c>
      <c r="L44">
        <v>0.7</v>
      </c>
      <c r="M44">
        <v>0.16420000000000001</v>
      </c>
      <c r="N44">
        <v>3</v>
      </c>
      <c r="O44">
        <v>25</v>
      </c>
      <c r="P44">
        <v>28</v>
      </c>
    </row>
    <row r="45" spans="1:16">
      <c r="A45">
        <v>663</v>
      </c>
      <c r="B45" s="2">
        <v>40573</v>
      </c>
      <c r="C45">
        <v>1</v>
      </c>
      <c r="D45">
        <v>0</v>
      </c>
      <c r="E45">
        <v>1</v>
      </c>
      <c r="F45">
        <v>22</v>
      </c>
      <c r="G45" t="b">
        <v>0</v>
      </c>
      <c r="H45">
        <v>0</v>
      </c>
      <c r="I45">
        <v>2</v>
      </c>
      <c r="J45">
        <v>0.24</v>
      </c>
      <c r="K45">
        <v>0.2273</v>
      </c>
      <c r="L45">
        <v>0.7</v>
      </c>
      <c r="M45">
        <v>0.19400000000000001</v>
      </c>
      <c r="N45">
        <v>2</v>
      </c>
      <c r="O45">
        <v>19</v>
      </c>
      <c r="P45">
        <v>21</v>
      </c>
    </row>
    <row r="46" spans="1:16">
      <c r="A46">
        <v>664</v>
      </c>
      <c r="B46" s="2">
        <v>40573</v>
      </c>
      <c r="C46">
        <v>1</v>
      </c>
      <c r="D46">
        <v>0</v>
      </c>
      <c r="E46">
        <v>1</v>
      </c>
      <c r="F46">
        <v>23</v>
      </c>
      <c r="G46" t="b">
        <v>0</v>
      </c>
      <c r="H46">
        <v>0</v>
      </c>
      <c r="I46">
        <v>2</v>
      </c>
      <c r="J46">
        <v>0.24</v>
      </c>
      <c r="K46">
        <v>0.21210000000000001</v>
      </c>
      <c r="L46">
        <v>0.65</v>
      </c>
      <c r="M46">
        <v>0.28360000000000002</v>
      </c>
      <c r="N46">
        <v>5</v>
      </c>
      <c r="O46">
        <v>16</v>
      </c>
      <c r="P46">
        <v>21</v>
      </c>
    </row>
    <row r="47" spans="1:16">
      <c r="A47">
        <v>665</v>
      </c>
      <c r="B47" s="2">
        <v>40574</v>
      </c>
      <c r="C47">
        <v>1</v>
      </c>
      <c r="D47">
        <v>0</v>
      </c>
      <c r="E47">
        <v>1</v>
      </c>
      <c r="F47">
        <v>0</v>
      </c>
      <c r="G47" t="b">
        <v>0</v>
      </c>
      <c r="H47">
        <v>1</v>
      </c>
      <c r="I47">
        <v>2</v>
      </c>
      <c r="J47">
        <v>0.24</v>
      </c>
      <c r="K47">
        <v>0.2273</v>
      </c>
      <c r="L47">
        <v>0.65</v>
      </c>
      <c r="M47">
        <v>0.22389999999999999</v>
      </c>
      <c r="N47">
        <v>1</v>
      </c>
      <c r="O47">
        <v>6</v>
      </c>
      <c r="P47">
        <v>7</v>
      </c>
    </row>
    <row r="48" spans="1:16">
      <c r="A48">
        <v>666</v>
      </c>
      <c r="B48" s="2">
        <v>40574</v>
      </c>
      <c r="C48">
        <v>1</v>
      </c>
      <c r="D48">
        <v>0</v>
      </c>
      <c r="E48">
        <v>1</v>
      </c>
      <c r="F48">
        <v>1</v>
      </c>
      <c r="G48" t="b">
        <v>0</v>
      </c>
      <c r="H48">
        <v>1</v>
      </c>
      <c r="I48">
        <v>1</v>
      </c>
      <c r="J48">
        <v>0.22</v>
      </c>
      <c r="K48">
        <v>0.21210000000000001</v>
      </c>
      <c r="L48">
        <v>0.64</v>
      </c>
      <c r="M48">
        <v>0.25369999999999998</v>
      </c>
      <c r="N48">
        <v>2</v>
      </c>
      <c r="O48">
        <v>5</v>
      </c>
      <c r="P48">
        <v>7</v>
      </c>
    </row>
    <row r="49" spans="1:16">
      <c r="A49">
        <v>667</v>
      </c>
      <c r="B49" s="2">
        <v>40574</v>
      </c>
      <c r="C49">
        <v>1</v>
      </c>
      <c r="D49">
        <v>0</v>
      </c>
      <c r="E49">
        <v>1</v>
      </c>
      <c r="F49">
        <v>2</v>
      </c>
      <c r="G49" t="b">
        <v>0</v>
      </c>
      <c r="H49">
        <v>1</v>
      </c>
      <c r="I49">
        <v>1</v>
      </c>
      <c r="J49">
        <v>0.22</v>
      </c>
      <c r="K49">
        <v>0.2273</v>
      </c>
      <c r="L49">
        <v>0.64</v>
      </c>
      <c r="M49">
        <v>0.19400000000000001</v>
      </c>
      <c r="N49">
        <v>0</v>
      </c>
      <c r="O49">
        <v>1</v>
      </c>
      <c r="P49">
        <v>1</v>
      </c>
    </row>
    <row r="50" spans="1:16">
      <c r="A50">
        <v>668</v>
      </c>
      <c r="B50" s="2">
        <v>40574</v>
      </c>
      <c r="C50">
        <v>1</v>
      </c>
      <c r="D50">
        <v>0</v>
      </c>
      <c r="E50">
        <v>1</v>
      </c>
      <c r="F50">
        <v>3</v>
      </c>
      <c r="G50" t="b">
        <v>0</v>
      </c>
      <c r="H50">
        <v>1</v>
      </c>
      <c r="I50">
        <v>1</v>
      </c>
      <c r="J50">
        <v>0.22</v>
      </c>
      <c r="K50">
        <v>0.2273</v>
      </c>
      <c r="L50">
        <v>0.64</v>
      </c>
      <c r="M50">
        <v>0.19400000000000001</v>
      </c>
      <c r="N50">
        <v>0</v>
      </c>
      <c r="O50">
        <v>2</v>
      </c>
      <c r="P50">
        <v>2</v>
      </c>
    </row>
    <row r="51" spans="1:16">
      <c r="A51">
        <v>669</v>
      </c>
      <c r="B51" s="2">
        <v>40574</v>
      </c>
      <c r="C51">
        <v>1</v>
      </c>
      <c r="D51">
        <v>0</v>
      </c>
      <c r="E51">
        <v>1</v>
      </c>
      <c r="F51">
        <v>4</v>
      </c>
      <c r="G51" t="b">
        <v>0</v>
      </c>
      <c r="H51">
        <v>1</v>
      </c>
      <c r="I51">
        <v>1</v>
      </c>
      <c r="J51">
        <v>0.2</v>
      </c>
      <c r="K51">
        <v>0.19700000000000001</v>
      </c>
      <c r="L51">
        <v>0.59</v>
      </c>
      <c r="M51">
        <v>0.22389999999999999</v>
      </c>
      <c r="N51">
        <v>0</v>
      </c>
      <c r="O51">
        <v>2</v>
      </c>
      <c r="P51">
        <v>2</v>
      </c>
    </row>
    <row r="52" spans="1:16">
      <c r="A52">
        <v>670</v>
      </c>
      <c r="B52" s="2">
        <v>40574</v>
      </c>
      <c r="C52">
        <v>1</v>
      </c>
      <c r="D52">
        <v>0</v>
      </c>
      <c r="E52">
        <v>1</v>
      </c>
      <c r="F52">
        <v>5</v>
      </c>
      <c r="G52" t="b">
        <v>0</v>
      </c>
      <c r="H52">
        <v>1</v>
      </c>
      <c r="I52">
        <v>1</v>
      </c>
      <c r="J52">
        <v>0.18</v>
      </c>
      <c r="K52">
        <v>0.16669999999999999</v>
      </c>
      <c r="L52">
        <v>0.64</v>
      </c>
      <c r="M52">
        <v>0.28360000000000002</v>
      </c>
      <c r="N52">
        <v>0</v>
      </c>
      <c r="O52">
        <v>8</v>
      </c>
      <c r="P52">
        <v>8</v>
      </c>
    </row>
    <row r="53" spans="1:16">
      <c r="A53">
        <v>671</v>
      </c>
      <c r="B53" s="2">
        <v>40574</v>
      </c>
      <c r="C53">
        <v>1</v>
      </c>
      <c r="D53">
        <v>0</v>
      </c>
      <c r="E53">
        <v>1</v>
      </c>
      <c r="F53">
        <v>6</v>
      </c>
      <c r="G53" t="b">
        <v>0</v>
      </c>
      <c r="H53">
        <v>1</v>
      </c>
      <c r="I53">
        <v>1</v>
      </c>
      <c r="J53">
        <v>0.16</v>
      </c>
      <c r="K53">
        <v>0.13639999999999999</v>
      </c>
      <c r="L53">
        <v>0.69</v>
      </c>
      <c r="M53">
        <v>0.32840000000000003</v>
      </c>
      <c r="N53">
        <v>0</v>
      </c>
      <c r="O53">
        <v>37</v>
      </c>
      <c r="P53">
        <v>37</v>
      </c>
    </row>
    <row r="54" spans="1:16">
      <c r="A54">
        <v>672</v>
      </c>
      <c r="B54" s="2">
        <v>40574</v>
      </c>
      <c r="C54">
        <v>1</v>
      </c>
      <c r="D54">
        <v>0</v>
      </c>
      <c r="E54">
        <v>1</v>
      </c>
      <c r="F54">
        <v>7</v>
      </c>
      <c r="G54" t="b">
        <v>0</v>
      </c>
      <c r="H54">
        <v>1</v>
      </c>
      <c r="I54">
        <v>2</v>
      </c>
      <c r="J54">
        <v>0.16</v>
      </c>
      <c r="K54">
        <v>0.13639999999999999</v>
      </c>
      <c r="L54">
        <v>0.64</v>
      </c>
      <c r="M54">
        <v>0.28360000000000002</v>
      </c>
      <c r="N54">
        <v>1</v>
      </c>
      <c r="O54">
        <v>71</v>
      </c>
      <c r="P54">
        <v>72</v>
      </c>
    </row>
    <row r="55" spans="1:16">
      <c r="A55">
        <v>673</v>
      </c>
      <c r="B55" s="2">
        <v>40574</v>
      </c>
      <c r="C55">
        <v>1</v>
      </c>
      <c r="D55">
        <v>0</v>
      </c>
      <c r="E55">
        <v>1</v>
      </c>
      <c r="F55">
        <v>8</v>
      </c>
      <c r="G55" t="b">
        <v>0</v>
      </c>
      <c r="H55">
        <v>1</v>
      </c>
      <c r="I55">
        <v>2</v>
      </c>
      <c r="J55">
        <v>0.16</v>
      </c>
      <c r="K55">
        <v>0.13639999999999999</v>
      </c>
      <c r="L55">
        <v>0.59</v>
      </c>
      <c r="M55">
        <v>0.28360000000000002</v>
      </c>
      <c r="N55">
        <v>3</v>
      </c>
      <c r="O55">
        <v>182</v>
      </c>
      <c r="P55">
        <v>185</v>
      </c>
    </row>
    <row r="56" spans="1:16">
      <c r="A56">
        <v>674</v>
      </c>
      <c r="B56" s="2">
        <v>40574</v>
      </c>
      <c r="C56">
        <v>1</v>
      </c>
      <c r="D56">
        <v>0</v>
      </c>
      <c r="E56">
        <v>1</v>
      </c>
      <c r="F56">
        <v>9</v>
      </c>
      <c r="G56" t="b">
        <v>0</v>
      </c>
      <c r="H56">
        <v>1</v>
      </c>
      <c r="I56">
        <v>2</v>
      </c>
      <c r="J56">
        <v>0.16</v>
      </c>
      <c r="K56">
        <v>0.13639999999999999</v>
      </c>
      <c r="L56">
        <v>0.59</v>
      </c>
      <c r="M56">
        <v>0.29849999999999999</v>
      </c>
      <c r="N56">
        <v>0</v>
      </c>
      <c r="O56">
        <v>112</v>
      </c>
      <c r="P56">
        <v>112</v>
      </c>
    </row>
    <row r="57" spans="1:16">
      <c r="A57">
        <v>675</v>
      </c>
      <c r="B57" s="2">
        <v>40574</v>
      </c>
      <c r="C57">
        <v>1</v>
      </c>
      <c r="D57">
        <v>0</v>
      </c>
      <c r="E57">
        <v>1</v>
      </c>
      <c r="F57">
        <v>10</v>
      </c>
      <c r="G57" t="b">
        <v>0</v>
      </c>
      <c r="H57">
        <v>1</v>
      </c>
      <c r="I57">
        <v>2</v>
      </c>
      <c r="J57">
        <v>0.16</v>
      </c>
      <c r="K57">
        <v>0.1515</v>
      </c>
      <c r="L57">
        <v>0.59</v>
      </c>
      <c r="M57">
        <v>0.19400000000000001</v>
      </c>
      <c r="N57">
        <v>1</v>
      </c>
      <c r="O57">
        <v>68</v>
      </c>
      <c r="P57">
        <v>69</v>
      </c>
    </row>
    <row r="58" spans="1:16">
      <c r="A58">
        <v>676</v>
      </c>
      <c r="B58" s="2">
        <v>40574</v>
      </c>
      <c r="C58">
        <v>1</v>
      </c>
      <c r="D58">
        <v>0</v>
      </c>
      <c r="E58">
        <v>1</v>
      </c>
      <c r="F58">
        <v>11</v>
      </c>
      <c r="G58" t="b">
        <v>0</v>
      </c>
      <c r="H58">
        <v>1</v>
      </c>
      <c r="I58">
        <v>2</v>
      </c>
      <c r="J58">
        <v>0.16</v>
      </c>
      <c r="K58">
        <v>0.1515</v>
      </c>
      <c r="L58">
        <v>0.59</v>
      </c>
      <c r="M58">
        <v>0.19400000000000001</v>
      </c>
      <c r="N58">
        <v>2</v>
      </c>
      <c r="O58">
        <v>46</v>
      </c>
      <c r="P58">
        <v>48</v>
      </c>
    </row>
    <row r="59" spans="1:16">
      <c r="A59">
        <v>677</v>
      </c>
      <c r="B59" s="2">
        <v>40574</v>
      </c>
      <c r="C59">
        <v>1</v>
      </c>
      <c r="D59">
        <v>0</v>
      </c>
      <c r="E59">
        <v>1</v>
      </c>
      <c r="F59">
        <v>12</v>
      </c>
      <c r="G59" t="b">
        <v>0</v>
      </c>
      <c r="H59">
        <v>1</v>
      </c>
      <c r="I59">
        <v>2</v>
      </c>
      <c r="J59">
        <v>0.18</v>
      </c>
      <c r="K59">
        <v>0.21210000000000001</v>
      </c>
      <c r="L59">
        <v>0.55000000000000004</v>
      </c>
      <c r="M59">
        <v>0.1045</v>
      </c>
      <c r="N59">
        <v>6</v>
      </c>
      <c r="O59">
        <v>62</v>
      </c>
      <c r="P59">
        <v>68</v>
      </c>
    </row>
    <row r="60" spans="1:16">
      <c r="A60">
        <v>678</v>
      </c>
      <c r="B60" s="2">
        <v>40574</v>
      </c>
      <c r="C60">
        <v>1</v>
      </c>
      <c r="D60">
        <v>0</v>
      </c>
      <c r="E60">
        <v>1</v>
      </c>
      <c r="F60">
        <v>13</v>
      </c>
      <c r="G60" t="b">
        <v>0</v>
      </c>
      <c r="H60">
        <v>1</v>
      </c>
      <c r="I60">
        <v>2</v>
      </c>
      <c r="J60">
        <v>0.16</v>
      </c>
      <c r="K60">
        <v>0.2273</v>
      </c>
      <c r="L60">
        <v>0.59</v>
      </c>
      <c r="M60">
        <v>0</v>
      </c>
      <c r="N60">
        <v>2</v>
      </c>
      <c r="O60">
        <v>52</v>
      </c>
      <c r="P60">
        <v>54</v>
      </c>
    </row>
    <row r="61" spans="1:16">
      <c r="A61">
        <v>679</v>
      </c>
      <c r="B61" s="2">
        <v>40574</v>
      </c>
      <c r="C61">
        <v>1</v>
      </c>
      <c r="D61">
        <v>0</v>
      </c>
      <c r="E61">
        <v>1</v>
      </c>
      <c r="F61">
        <v>14</v>
      </c>
      <c r="G61" t="b">
        <v>0</v>
      </c>
      <c r="H61">
        <v>1</v>
      </c>
      <c r="I61">
        <v>2</v>
      </c>
      <c r="J61">
        <v>0.18</v>
      </c>
      <c r="K61">
        <v>0.19700000000000001</v>
      </c>
      <c r="L61">
        <v>0.55000000000000004</v>
      </c>
      <c r="M61">
        <v>0.1343</v>
      </c>
      <c r="N61">
        <v>1</v>
      </c>
      <c r="O61">
        <v>85</v>
      </c>
      <c r="P61">
        <v>86</v>
      </c>
    </row>
    <row r="62" spans="1:16">
      <c r="A62">
        <v>680</v>
      </c>
      <c r="B62" s="2">
        <v>40574</v>
      </c>
      <c r="C62">
        <v>1</v>
      </c>
      <c r="D62">
        <v>0</v>
      </c>
      <c r="E62">
        <v>1</v>
      </c>
      <c r="F62">
        <v>15</v>
      </c>
      <c r="G62" t="b">
        <v>0</v>
      </c>
      <c r="H62">
        <v>1</v>
      </c>
      <c r="I62">
        <v>2</v>
      </c>
      <c r="J62">
        <v>0.16</v>
      </c>
      <c r="K62">
        <v>0.18179999999999999</v>
      </c>
      <c r="L62">
        <v>0.59</v>
      </c>
      <c r="M62">
        <v>0.1343</v>
      </c>
      <c r="N62">
        <v>3</v>
      </c>
      <c r="O62">
        <v>41</v>
      </c>
      <c r="P62">
        <v>44</v>
      </c>
    </row>
    <row r="63" spans="1:16">
      <c r="A63">
        <v>681</v>
      </c>
      <c r="B63" s="2">
        <v>40574</v>
      </c>
      <c r="C63">
        <v>1</v>
      </c>
      <c r="D63">
        <v>0</v>
      </c>
      <c r="E63">
        <v>1</v>
      </c>
      <c r="F63">
        <v>16</v>
      </c>
      <c r="G63" t="b">
        <v>0</v>
      </c>
      <c r="H63">
        <v>1</v>
      </c>
      <c r="I63">
        <v>2</v>
      </c>
      <c r="J63">
        <v>0.16</v>
      </c>
      <c r="K63">
        <v>0.18179999999999999</v>
      </c>
      <c r="L63">
        <v>0.56000000000000005</v>
      </c>
      <c r="M63">
        <v>0.19400000000000001</v>
      </c>
      <c r="N63">
        <v>3</v>
      </c>
      <c r="O63">
        <v>83</v>
      </c>
      <c r="P63">
        <v>86</v>
      </c>
    </row>
    <row r="64" spans="1:16">
      <c r="A64">
        <v>682</v>
      </c>
      <c r="B64" s="2">
        <v>40574</v>
      </c>
      <c r="C64">
        <v>1</v>
      </c>
      <c r="D64">
        <v>0</v>
      </c>
      <c r="E64">
        <v>1</v>
      </c>
      <c r="F64">
        <v>17</v>
      </c>
      <c r="G64" t="b">
        <v>0</v>
      </c>
      <c r="H64">
        <v>1</v>
      </c>
      <c r="I64">
        <v>2</v>
      </c>
      <c r="J64">
        <v>0.16</v>
      </c>
      <c r="K64">
        <v>0.1515</v>
      </c>
      <c r="L64">
        <v>0.59</v>
      </c>
      <c r="M64">
        <v>0.19400000000000001</v>
      </c>
      <c r="N64">
        <v>6</v>
      </c>
      <c r="O64">
        <v>155</v>
      </c>
      <c r="P64">
        <v>161</v>
      </c>
    </row>
    <row r="65" spans="1:16">
      <c r="A65">
        <v>683</v>
      </c>
      <c r="B65" s="2">
        <v>40574</v>
      </c>
      <c r="C65">
        <v>1</v>
      </c>
      <c r="D65">
        <v>0</v>
      </c>
      <c r="E65">
        <v>1</v>
      </c>
      <c r="F65">
        <v>18</v>
      </c>
      <c r="G65" t="b">
        <v>0</v>
      </c>
      <c r="H65">
        <v>1</v>
      </c>
      <c r="I65">
        <v>2</v>
      </c>
      <c r="J65">
        <v>0.16</v>
      </c>
      <c r="K65">
        <v>0.1515</v>
      </c>
      <c r="L65">
        <v>0.55000000000000004</v>
      </c>
      <c r="M65">
        <v>0.22389999999999999</v>
      </c>
      <c r="N65">
        <v>3</v>
      </c>
      <c r="O65">
        <v>153</v>
      </c>
      <c r="P65">
        <v>156</v>
      </c>
    </row>
    <row r="66" spans="1:16">
      <c r="A66">
        <v>684</v>
      </c>
      <c r="B66" s="2">
        <v>40574</v>
      </c>
      <c r="C66">
        <v>1</v>
      </c>
      <c r="D66">
        <v>0</v>
      </c>
      <c r="E66">
        <v>1</v>
      </c>
      <c r="F66">
        <v>19</v>
      </c>
      <c r="G66" t="b">
        <v>0</v>
      </c>
      <c r="H66">
        <v>1</v>
      </c>
      <c r="I66">
        <v>1</v>
      </c>
      <c r="J66">
        <v>0.3</v>
      </c>
      <c r="K66">
        <v>0.31819999999999998</v>
      </c>
      <c r="L66">
        <v>0.61</v>
      </c>
      <c r="M66">
        <v>0.1045</v>
      </c>
      <c r="N66">
        <v>3</v>
      </c>
      <c r="O66">
        <v>108</v>
      </c>
      <c r="P66">
        <v>111</v>
      </c>
    </row>
    <row r="67" spans="1:16">
      <c r="A67">
        <v>685</v>
      </c>
      <c r="B67" s="2">
        <v>40574</v>
      </c>
      <c r="C67">
        <v>1</v>
      </c>
      <c r="D67">
        <v>0</v>
      </c>
      <c r="E67">
        <v>1</v>
      </c>
      <c r="F67">
        <v>20</v>
      </c>
      <c r="G67" t="b">
        <v>0</v>
      </c>
      <c r="H67">
        <v>1</v>
      </c>
      <c r="I67">
        <v>3</v>
      </c>
      <c r="J67">
        <v>0.16</v>
      </c>
      <c r="K67">
        <v>0.16669999999999999</v>
      </c>
      <c r="L67">
        <v>0.59</v>
      </c>
      <c r="M67">
        <v>0.16420000000000001</v>
      </c>
      <c r="N67">
        <v>0</v>
      </c>
      <c r="O67">
        <v>78</v>
      </c>
      <c r="P67">
        <v>78</v>
      </c>
    </row>
    <row r="68" spans="1:16">
      <c r="A68">
        <v>686</v>
      </c>
      <c r="B68" s="2">
        <v>40574</v>
      </c>
      <c r="C68">
        <v>1</v>
      </c>
      <c r="D68">
        <v>0</v>
      </c>
      <c r="E68">
        <v>1</v>
      </c>
      <c r="F68">
        <v>21</v>
      </c>
      <c r="G68" t="b">
        <v>0</v>
      </c>
      <c r="H68">
        <v>1</v>
      </c>
      <c r="I68">
        <v>3</v>
      </c>
      <c r="J68">
        <v>0.16</v>
      </c>
      <c r="K68">
        <v>0.19700000000000001</v>
      </c>
      <c r="L68">
        <v>0.59</v>
      </c>
      <c r="M68">
        <v>8.9599999999999999E-2</v>
      </c>
      <c r="N68">
        <v>3</v>
      </c>
      <c r="O68">
        <v>53</v>
      </c>
      <c r="P68">
        <v>56</v>
      </c>
    </row>
    <row r="69" spans="1:16">
      <c r="A69">
        <v>687</v>
      </c>
      <c r="B69" s="2">
        <v>40574</v>
      </c>
      <c r="C69">
        <v>1</v>
      </c>
      <c r="D69">
        <v>0</v>
      </c>
      <c r="E69">
        <v>1</v>
      </c>
      <c r="F69">
        <v>22</v>
      </c>
      <c r="G69" t="b">
        <v>0</v>
      </c>
      <c r="H69">
        <v>1</v>
      </c>
      <c r="I69">
        <v>2</v>
      </c>
      <c r="J69">
        <v>0.16</v>
      </c>
      <c r="K69">
        <v>0.18179999999999999</v>
      </c>
      <c r="L69">
        <v>0.59</v>
      </c>
      <c r="M69">
        <v>0.1045</v>
      </c>
      <c r="N69">
        <v>0</v>
      </c>
      <c r="O69">
        <v>34</v>
      </c>
      <c r="P69">
        <v>34</v>
      </c>
    </row>
    <row r="70" spans="1:16">
      <c r="A70">
        <v>688</v>
      </c>
      <c r="B70" s="2">
        <v>40574</v>
      </c>
      <c r="C70">
        <v>1</v>
      </c>
      <c r="D70">
        <v>0</v>
      </c>
      <c r="E70">
        <v>1</v>
      </c>
      <c r="F70">
        <v>23</v>
      </c>
      <c r="G70" t="b">
        <v>0</v>
      </c>
      <c r="H70">
        <v>1</v>
      </c>
      <c r="I70">
        <v>2</v>
      </c>
      <c r="J70">
        <v>0.16</v>
      </c>
      <c r="K70">
        <v>0.19700000000000001</v>
      </c>
      <c r="L70">
        <v>0.64</v>
      </c>
      <c r="M70">
        <v>8.9599999999999999E-2</v>
      </c>
      <c r="N70">
        <v>2</v>
      </c>
      <c r="O70">
        <v>15</v>
      </c>
      <c r="P70">
        <v>17</v>
      </c>
    </row>
    <row r="71" spans="1:16">
      <c r="A71">
        <v>689</v>
      </c>
      <c r="B71" s="2">
        <v>40575</v>
      </c>
      <c r="C71">
        <v>1</v>
      </c>
      <c r="D71">
        <v>0</v>
      </c>
      <c r="E71">
        <v>2</v>
      </c>
      <c r="F71">
        <v>0</v>
      </c>
      <c r="G71" t="b">
        <v>0</v>
      </c>
      <c r="H71">
        <v>2</v>
      </c>
      <c r="I71">
        <v>2</v>
      </c>
      <c r="J71">
        <v>0.16</v>
      </c>
      <c r="K71">
        <v>0.18179999999999999</v>
      </c>
      <c r="L71">
        <v>0.64</v>
      </c>
      <c r="M71">
        <v>0.1045</v>
      </c>
      <c r="N71">
        <v>2</v>
      </c>
      <c r="O71">
        <v>6</v>
      </c>
      <c r="P71">
        <v>8</v>
      </c>
    </row>
    <row r="72" spans="1:16">
      <c r="A72">
        <v>690</v>
      </c>
      <c r="B72" s="2">
        <v>40575</v>
      </c>
      <c r="C72">
        <v>1</v>
      </c>
      <c r="D72">
        <v>0</v>
      </c>
      <c r="E72">
        <v>2</v>
      </c>
      <c r="F72">
        <v>1</v>
      </c>
      <c r="G72" t="b">
        <v>0</v>
      </c>
      <c r="H72">
        <v>2</v>
      </c>
      <c r="I72">
        <v>2</v>
      </c>
      <c r="J72">
        <v>0.16</v>
      </c>
      <c r="K72">
        <v>0.18179999999999999</v>
      </c>
      <c r="L72">
        <v>0.69</v>
      </c>
      <c r="M72">
        <v>0.1045</v>
      </c>
      <c r="N72">
        <v>0</v>
      </c>
      <c r="O72">
        <v>3</v>
      </c>
      <c r="P72">
        <v>3</v>
      </c>
    </row>
    <row r="73" spans="1:16">
      <c r="A73">
        <v>691</v>
      </c>
      <c r="B73" s="2">
        <v>40575</v>
      </c>
      <c r="C73">
        <v>1</v>
      </c>
      <c r="D73">
        <v>0</v>
      </c>
      <c r="E73">
        <v>2</v>
      </c>
      <c r="F73">
        <v>2</v>
      </c>
      <c r="G73" t="b">
        <v>0</v>
      </c>
      <c r="H73">
        <v>2</v>
      </c>
      <c r="I73">
        <v>2</v>
      </c>
      <c r="J73">
        <v>0.16</v>
      </c>
      <c r="K73">
        <v>0.2273</v>
      </c>
      <c r="L73">
        <v>0.69</v>
      </c>
      <c r="M73">
        <v>0</v>
      </c>
      <c r="N73">
        <v>0</v>
      </c>
      <c r="O73">
        <v>2</v>
      </c>
      <c r="P73">
        <v>2</v>
      </c>
    </row>
    <row r="74" spans="1:16">
      <c r="A74">
        <v>692</v>
      </c>
      <c r="B74" s="2">
        <v>40575</v>
      </c>
      <c r="C74">
        <v>1</v>
      </c>
      <c r="D74">
        <v>0</v>
      </c>
      <c r="E74">
        <v>2</v>
      </c>
      <c r="F74">
        <v>3</v>
      </c>
      <c r="G74" t="b">
        <v>0</v>
      </c>
      <c r="H74">
        <v>2</v>
      </c>
      <c r="I74">
        <v>2</v>
      </c>
      <c r="J74">
        <v>0.16</v>
      </c>
      <c r="K74">
        <v>0.2273</v>
      </c>
      <c r="L74">
        <v>0.69</v>
      </c>
      <c r="M74">
        <v>0</v>
      </c>
      <c r="N74">
        <v>0</v>
      </c>
      <c r="O74">
        <v>2</v>
      </c>
      <c r="P74">
        <v>2</v>
      </c>
    </row>
    <row r="75" spans="1:16">
      <c r="A75">
        <v>693</v>
      </c>
      <c r="B75" s="2">
        <v>40575</v>
      </c>
      <c r="C75">
        <v>1</v>
      </c>
      <c r="D75">
        <v>0</v>
      </c>
      <c r="E75">
        <v>2</v>
      </c>
      <c r="F75">
        <v>5</v>
      </c>
      <c r="G75" t="b">
        <v>0</v>
      </c>
      <c r="H75">
        <v>2</v>
      </c>
      <c r="I75">
        <v>3</v>
      </c>
      <c r="J75">
        <v>0.14000000000000001</v>
      </c>
      <c r="K75">
        <v>0.21210000000000001</v>
      </c>
      <c r="L75">
        <v>0.93</v>
      </c>
      <c r="M75">
        <v>0</v>
      </c>
      <c r="N75">
        <v>0</v>
      </c>
      <c r="O75">
        <v>3</v>
      </c>
      <c r="P75">
        <v>3</v>
      </c>
    </row>
    <row r="76" spans="1:16">
      <c r="A76">
        <v>694</v>
      </c>
      <c r="B76" s="2">
        <v>40575</v>
      </c>
      <c r="C76">
        <v>1</v>
      </c>
      <c r="D76">
        <v>0</v>
      </c>
      <c r="E76">
        <v>2</v>
      </c>
      <c r="F76">
        <v>6</v>
      </c>
      <c r="G76" t="b">
        <v>0</v>
      </c>
      <c r="H76">
        <v>2</v>
      </c>
      <c r="I76">
        <v>3</v>
      </c>
      <c r="J76">
        <v>0.14000000000000001</v>
      </c>
      <c r="K76">
        <v>0.21210000000000001</v>
      </c>
      <c r="L76">
        <v>0.93</v>
      </c>
      <c r="M76">
        <v>0</v>
      </c>
      <c r="N76">
        <v>0</v>
      </c>
      <c r="O76">
        <v>22</v>
      </c>
      <c r="P76">
        <v>22</v>
      </c>
    </row>
    <row r="77" spans="1:16">
      <c r="A77">
        <v>695</v>
      </c>
      <c r="B77" s="2">
        <v>40575</v>
      </c>
      <c r="C77">
        <v>1</v>
      </c>
      <c r="D77">
        <v>0</v>
      </c>
      <c r="E77">
        <v>2</v>
      </c>
      <c r="F77">
        <v>7</v>
      </c>
      <c r="G77" t="b">
        <v>0</v>
      </c>
      <c r="H77">
        <v>2</v>
      </c>
      <c r="I77">
        <v>3</v>
      </c>
      <c r="J77">
        <v>0.16</v>
      </c>
      <c r="K77">
        <v>0.2273</v>
      </c>
      <c r="L77">
        <v>0.93</v>
      </c>
      <c r="M77">
        <v>0</v>
      </c>
      <c r="N77">
        <v>0</v>
      </c>
      <c r="O77">
        <v>52</v>
      </c>
      <c r="P77">
        <v>52</v>
      </c>
    </row>
    <row r="78" spans="1:16">
      <c r="A78">
        <v>696</v>
      </c>
      <c r="B78" s="2">
        <v>40575</v>
      </c>
      <c r="C78">
        <v>1</v>
      </c>
      <c r="D78">
        <v>0</v>
      </c>
      <c r="E78">
        <v>2</v>
      </c>
      <c r="F78">
        <v>8</v>
      </c>
      <c r="G78" t="b">
        <v>0</v>
      </c>
      <c r="H78">
        <v>2</v>
      </c>
      <c r="I78">
        <v>3</v>
      </c>
      <c r="J78">
        <v>0.16</v>
      </c>
      <c r="K78">
        <v>0.2273</v>
      </c>
      <c r="L78">
        <v>0.93</v>
      </c>
      <c r="M78">
        <v>0</v>
      </c>
      <c r="N78">
        <v>3</v>
      </c>
      <c r="O78">
        <v>132</v>
      </c>
      <c r="P78">
        <v>135</v>
      </c>
    </row>
    <row r="79" spans="1:16">
      <c r="A79">
        <v>697</v>
      </c>
      <c r="B79" s="2">
        <v>40575</v>
      </c>
      <c r="C79">
        <v>1</v>
      </c>
      <c r="D79">
        <v>0</v>
      </c>
      <c r="E79">
        <v>2</v>
      </c>
      <c r="F79">
        <v>9</v>
      </c>
      <c r="G79" t="b">
        <v>0</v>
      </c>
      <c r="H79">
        <v>2</v>
      </c>
      <c r="I79">
        <v>2</v>
      </c>
      <c r="J79">
        <v>0.16</v>
      </c>
      <c r="K79">
        <v>0.2273</v>
      </c>
      <c r="L79">
        <v>0.93</v>
      </c>
      <c r="M79">
        <v>0</v>
      </c>
      <c r="N79">
        <v>2</v>
      </c>
      <c r="O79">
        <v>114</v>
      </c>
      <c r="P79">
        <v>116</v>
      </c>
    </row>
    <row r="80" spans="1:16">
      <c r="A80">
        <v>698</v>
      </c>
      <c r="B80" s="2">
        <v>40575</v>
      </c>
      <c r="C80">
        <v>1</v>
      </c>
      <c r="D80">
        <v>0</v>
      </c>
      <c r="E80">
        <v>2</v>
      </c>
      <c r="F80">
        <v>10</v>
      </c>
      <c r="G80" t="b">
        <v>0</v>
      </c>
      <c r="H80">
        <v>2</v>
      </c>
      <c r="I80">
        <v>2</v>
      </c>
      <c r="J80">
        <v>0.16</v>
      </c>
      <c r="K80">
        <v>0.2273</v>
      </c>
      <c r="L80">
        <v>0.93</v>
      </c>
      <c r="M80">
        <v>0</v>
      </c>
      <c r="N80">
        <v>0</v>
      </c>
      <c r="O80">
        <v>47</v>
      </c>
      <c r="P80">
        <v>47</v>
      </c>
    </row>
    <row r="81" spans="1:16">
      <c r="A81">
        <v>699</v>
      </c>
      <c r="B81" s="2">
        <v>40575</v>
      </c>
      <c r="C81">
        <v>1</v>
      </c>
      <c r="D81">
        <v>0</v>
      </c>
      <c r="E81">
        <v>2</v>
      </c>
      <c r="F81">
        <v>11</v>
      </c>
      <c r="G81" t="b">
        <v>0</v>
      </c>
      <c r="H81">
        <v>2</v>
      </c>
      <c r="I81">
        <v>2</v>
      </c>
      <c r="J81">
        <v>0.18</v>
      </c>
      <c r="K81">
        <v>0.2424</v>
      </c>
      <c r="L81">
        <v>0.86</v>
      </c>
      <c r="M81">
        <v>0</v>
      </c>
      <c r="N81">
        <v>2</v>
      </c>
      <c r="O81">
        <v>49</v>
      </c>
      <c r="P81">
        <v>51</v>
      </c>
    </row>
    <row r="82" spans="1:16">
      <c r="A82">
        <v>700</v>
      </c>
      <c r="B82" s="2">
        <v>40575</v>
      </c>
      <c r="C82">
        <v>1</v>
      </c>
      <c r="D82">
        <v>0</v>
      </c>
      <c r="E82">
        <v>2</v>
      </c>
      <c r="F82">
        <v>12</v>
      </c>
      <c r="G82" t="b">
        <v>0</v>
      </c>
      <c r="H82">
        <v>2</v>
      </c>
      <c r="I82">
        <v>2</v>
      </c>
      <c r="J82">
        <v>0.2</v>
      </c>
      <c r="K82">
        <v>0.2576</v>
      </c>
      <c r="L82">
        <v>0.86</v>
      </c>
      <c r="M82">
        <v>0</v>
      </c>
      <c r="N82">
        <v>2</v>
      </c>
      <c r="O82">
        <v>53</v>
      </c>
      <c r="P82">
        <v>55</v>
      </c>
    </row>
    <row r="83" spans="1:16">
      <c r="A83">
        <v>701</v>
      </c>
      <c r="B83" s="2">
        <v>40575</v>
      </c>
      <c r="C83">
        <v>1</v>
      </c>
      <c r="D83">
        <v>0</v>
      </c>
      <c r="E83">
        <v>2</v>
      </c>
      <c r="F83">
        <v>13</v>
      </c>
      <c r="G83" t="b">
        <v>0</v>
      </c>
      <c r="H83">
        <v>2</v>
      </c>
      <c r="I83">
        <v>2</v>
      </c>
      <c r="J83">
        <v>0.2</v>
      </c>
      <c r="K83">
        <v>0.2576</v>
      </c>
      <c r="L83">
        <v>0.86</v>
      </c>
      <c r="M83">
        <v>0</v>
      </c>
      <c r="N83">
        <v>3</v>
      </c>
      <c r="O83">
        <v>49</v>
      </c>
      <c r="P83">
        <v>52</v>
      </c>
    </row>
    <row r="84" spans="1:16">
      <c r="A84">
        <v>702</v>
      </c>
      <c r="B84" s="2">
        <v>40575</v>
      </c>
      <c r="C84">
        <v>1</v>
      </c>
      <c r="D84">
        <v>0</v>
      </c>
      <c r="E84">
        <v>2</v>
      </c>
      <c r="F84">
        <v>14</v>
      </c>
      <c r="G84" t="b">
        <v>0</v>
      </c>
      <c r="H84">
        <v>2</v>
      </c>
      <c r="I84">
        <v>2</v>
      </c>
      <c r="J84">
        <v>0.22</v>
      </c>
      <c r="K84">
        <v>0.2576</v>
      </c>
      <c r="L84">
        <v>0.8</v>
      </c>
      <c r="M84">
        <v>8.9599999999999999E-2</v>
      </c>
      <c r="N84">
        <v>5</v>
      </c>
      <c r="O84">
        <v>49</v>
      </c>
      <c r="P84">
        <v>54</v>
      </c>
    </row>
    <row r="85" spans="1:16">
      <c r="A85">
        <v>703</v>
      </c>
      <c r="B85" s="2">
        <v>40575</v>
      </c>
      <c r="C85">
        <v>1</v>
      </c>
      <c r="D85">
        <v>0</v>
      </c>
      <c r="E85">
        <v>2</v>
      </c>
      <c r="F85">
        <v>15</v>
      </c>
      <c r="G85" t="b">
        <v>0</v>
      </c>
      <c r="H85">
        <v>2</v>
      </c>
      <c r="I85">
        <v>2</v>
      </c>
      <c r="J85">
        <v>0.24</v>
      </c>
      <c r="K85">
        <v>0.28789999999999999</v>
      </c>
      <c r="L85">
        <v>0.75</v>
      </c>
      <c r="M85">
        <v>0</v>
      </c>
      <c r="N85">
        <v>7</v>
      </c>
      <c r="O85">
        <v>45</v>
      </c>
      <c r="P85">
        <v>52</v>
      </c>
    </row>
    <row r="86" spans="1:16">
      <c r="A86">
        <v>704</v>
      </c>
      <c r="B86" s="2">
        <v>40575</v>
      </c>
      <c r="C86">
        <v>1</v>
      </c>
      <c r="D86">
        <v>0</v>
      </c>
      <c r="E86">
        <v>2</v>
      </c>
      <c r="F86">
        <v>16</v>
      </c>
      <c r="G86" t="b">
        <v>0</v>
      </c>
      <c r="H86">
        <v>2</v>
      </c>
      <c r="I86">
        <v>2</v>
      </c>
      <c r="J86">
        <v>0.24</v>
      </c>
      <c r="K86">
        <v>0.2424</v>
      </c>
      <c r="L86">
        <v>0.75</v>
      </c>
      <c r="M86">
        <v>0.1343</v>
      </c>
      <c r="N86">
        <v>3</v>
      </c>
      <c r="O86">
        <v>61</v>
      </c>
      <c r="P86">
        <v>64</v>
      </c>
    </row>
    <row r="87" spans="1:16">
      <c r="A87">
        <v>705</v>
      </c>
      <c r="B87" s="2">
        <v>40575</v>
      </c>
      <c r="C87">
        <v>1</v>
      </c>
      <c r="D87">
        <v>0</v>
      </c>
      <c r="E87">
        <v>2</v>
      </c>
      <c r="F87">
        <v>17</v>
      </c>
      <c r="G87" t="b">
        <v>0</v>
      </c>
      <c r="H87">
        <v>2</v>
      </c>
      <c r="I87">
        <v>2</v>
      </c>
      <c r="J87">
        <v>0.24</v>
      </c>
      <c r="K87">
        <v>0.28789999999999999</v>
      </c>
      <c r="L87">
        <v>0.75</v>
      </c>
      <c r="M87">
        <v>0</v>
      </c>
      <c r="N87">
        <v>4</v>
      </c>
      <c r="O87">
        <v>172</v>
      </c>
      <c r="P87">
        <v>176</v>
      </c>
    </row>
    <row r="88" spans="1:16">
      <c r="A88">
        <v>706</v>
      </c>
      <c r="B88" s="2">
        <v>40575</v>
      </c>
      <c r="C88">
        <v>1</v>
      </c>
      <c r="D88">
        <v>0</v>
      </c>
      <c r="E88">
        <v>2</v>
      </c>
      <c r="F88">
        <v>18</v>
      </c>
      <c r="G88" t="b">
        <v>0</v>
      </c>
      <c r="H88">
        <v>2</v>
      </c>
      <c r="I88">
        <v>2</v>
      </c>
      <c r="J88">
        <v>0.24</v>
      </c>
      <c r="K88">
        <v>0.2576</v>
      </c>
      <c r="L88">
        <v>0.81</v>
      </c>
      <c r="M88">
        <v>0.1045</v>
      </c>
      <c r="N88">
        <v>3</v>
      </c>
      <c r="O88">
        <v>165</v>
      </c>
      <c r="P88">
        <v>168</v>
      </c>
    </row>
    <row r="89" spans="1:16">
      <c r="A89">
        <v>707</v>
      </c>
      <c r="B89" s="2">
        <v>40575</v>
      </c>
      <c r="C89">
        <v>1</v>
      </c>
      <c r="D89">
        <v>0</v>
      </c>
      <c r="E89">
        <v>2</v>
      </c>
      <c r="F89">
        <v>19</v>
      </c>
      <c r="G89" t="b">
        <v>0</v>
      </c>
      <c r="H89">
        <v>2</v>
      </c>
      <c r="I89">
        <v>2</v>
      </c>
      <c r="J89">
        <v>0.24</v>
      </c>
      <c r="K89">
        <v>0.2424</v>
      </c>
      <c r="L89">
        <v>0.81</v>
      </c>
      <c r="M89">
        <v>0.1343</v>
      </c>
      <c r="N89">
        <v>3</v>
      </c>
      <c r="O89">
        <v>105</v>
      </c>
      <c r="P89">
        <v>108</v>
      </c>
    </row>
    <row r="90" spans="1:16">
      <c r="A90">
        <v>708</v>
      </c>
      <c r="B90" s="2">
        <v>40575</v>
      </c>
      <c r="C90">
        <v>1</v>
      </c>
      <c r="D90">
        <v>0</v>
      </c>
      <c r="E90">
        <v>2</v>
      </c>
      <c r="F90">
        <v>20</v>
      </c>
      <c r="G90" t="b">
        <v>0</v>
      </c>
      <c r="H90">
        <v>2</v>
      </c>
      <c r="I90">
        <v>2</v>
      </c>
      <c r="J90">
        <v>0.22</v>
      </c>
      <c r="K90">
        <v>0.2273</v>
      </c>
      <c r="L90">
        <v>0.87</v>
      </c>
      <c r="M90">
        <v>0.1343</v>
      </c>
      <c r="N90">
        <v>5</v>
      </c>
      <c r="O90">
        <v>69</v>
      </c>
      <c r="P90">
        <v>74</v>
      </c>
    </row>
    <row r="91" spans="1:16">
      <c r="A91">
        <v>709</v>
      </c>
      <c r="B91" s="2">
        <v>40575</v>
      </c>
      <c r="C91">
        <v>1</v>
      </c>
      <c r="D91">
        <v>0</v>
      </c>
      <c r="E91">
        <v>2</v>
      </c>
      <c r="F91">
        <v>21</v>
      </c>
      <c r="G91" t="b">
        <v>0</v>
      </c>
      <c r="H91">
        <v>2</v>
      </c>
      <c r="I91">
        <v>2</v>
      </c>
      <c r="J91">
        <v>0.22</v>
      </c>
      <c r="K91">
        <v>0.2273</v>
      </c>
      <c r="L91">
        <v>0.87</v>
      </c>
      <c r="M91">
        <v>0.1343</v>
      </c>
      <c r="N91">
        <v>0</v>
      </c>
      <c r="O91">
        <v>64</v>
      </c>
      <c r="P91">
        <v>64</v>
      </c>
    </row>
    <row r="92" spans="1:16">
      <c r="A92">
        <v>710</v>
      </c>
      <c r="B92" s="2">
        <v>40575</v>
      </c>
      <c r="C92">
        <v>1</v>
      </c>
      <c r="D92">
        <v>0</v>
      </c>
      <c r="E92">
        <v>2</v>
      </c>
      <c r="F92">
        <v>22</v>
      </c>
      <c r="G92" t="b">
        <v>0</v>
      </c>
      <c r="H92">
        <v>2</v>
      </c>
      <c r="I92">
        <v>2</v>
      </c>
      <c r="J92">
        <v>0.22</v>
      </c>
      <c r="K92">
        <v>0.2576</v>
      </c>
      <c r="L92">
        <v>0.87</v>
      </c>
      <c r="M92">
        <v>8.9599999999999999E-2</v>
      </c>
      <c r="N92">
        <v>2</v>
      </c>
      <c r="O92">
        <v>34</v>
      </c>
      <c r="P92">
        <v>36</v>
      </c>
    </row>
    <row r="93" spans="1:16">
      <c r="A93">
        <v>711</v>
      </c>
      <c r="B93" s="2">
        <v>40575</v>
      </c>
      <c r="C93">
        <v>1</v>
      </c>
      <c r="D93">
        <v>0</v>
      </c>
      <c r="E93">
        <v>2</v>
      </c>
      <c r="F93">
        <v>23</v>
      </c>
      <c r="G93" t="b">
        <v>0</v>
      </c>
      <c r="H93">
        <v>2</v>
      </c>
      <c r="I93">
        <v>3</v>
      </c>
      <c r="J93">
        <v>0.2</v>
      </c>
      <c r="K93">
        <v>0.19700000000000001</v>
      </c>
      <c r="L93">
        <v>0.93</v>
      </c>
      <c r="M93">
        <v>0.19400000000000001</v>
      </c>
      <c r="N93">
        <v>1</v>
      </c>
      <c r="O93">
        <v>15</v>
      </c>
      <c r="P93">
        <v>16</v>
      </c>
    </row>
    <row r="94" spans="1:16">
      <c r="A94">
        <v>712</v>
      </c>
      <c r="B94" s="2">
        <v>40576</v>
      </c>
      <c r="C94">
        <v>1</v>
      </c>
      <c r="D94">
        <v>0</v>
      </c>
      <c r="E94">
        <v>2</v>
      </c>
      <c r="F94">
        <v>0</v>
      </c>
      <c r="G94" t="b">
        <v>0</v>
      </c>
      <c r="H94">
        <v>3</v>
      </c>
      <c r="I94">
        <v>3</v>
      </c>
      <c r="J94">
        <v>0.22</v>
      </c>
      <c r="K94">
        <v>0.2424</v>
      </c>
      <c r="L94">
        <v>0.93</v>
      </c>
      <c r="M94">
        <v>0.1045</v>
      </c>
      <c r="N94">
        <v>0</v>
      </c>
      <c r="O94">
        <v>2</v>
      </c>
      <c r="P94">
        <v>2</v>
      </c>
    </row>
    <row r="95" spans="1:16">
      <c r="A95">
        <v>713</v>
      </c>
      <c r="B95" s="2">
        <v>40576</v>
      </c>
      <c r="C95">
        <v>1</v>
      </c>
      <c r="D95">
        <v>0</v>
      </c>
      <c r="E95">
        <v>2</v>
      </c>
      <c r="F95">
        <v>1</v>
      </c>
      <c r="G95" t="b">
        <v>0</v>
      </c>
      <c r="H95">
        <v>3</v>
      </c>
      <c r="I95">
        <v>3</v>
      </c>
      <c r="J95">
        <v>0.22</v>
      </c>
      <c r="K95">
        <v>0.2273</v>
      </c>
      <c r="L95">
        <v>0.93</v>
      </c>
      <c r="M95">
        <v>0.19400000000000001</v>
      </c>
      <c r="N95">
        <v>0</v>
      </c>
      <c r="O95">
        <v>3</v>
      </c>
      <c r="P95">
        <v>3</v>
      </c>
    </row>
    <row r="96" spans="1:16">
      <c r="A96">
        <v>714</v>
      </c>
      <c r="B96" s="2">
        <v>40576</v>
      </c>
      <c r="C96">
        <v>1</v>
      </c>
      <c r="D96">
        <v>0</v>
      </c>
      <c r="E96">
        <v>2</v>
      </c>
      <c r="F96">
        <v>2</v>
      </c>
      <c r="G96" t="b">
        <v>0</v>
      </c>
      <c r="H96">
        <v>3</v>
      </c>
      <c r="I96">
        <v>3</v>
      </c>
      <c r="J96">
        <v>0.22</v>
      </c>
      <c r="K96">
        <v>0.2273</v>
      </c>
      <c r="L96">
        <v>0.93</v>
      </c>
      <c r="M96">
        <v>0.1343</v>
      </c>
      <c r="N96">
        <v>4</v>
      </c>
      <c r="O96">
        <v>0</v>
      </c>
      <c r="P96">
        <v>4</v>
      </c>
    </row>
    <row r="97" spans="1:16">
      <c r="A97">
        <v>715</v>
      </c>
      <c r="B97" s="2">
        <v>40576</v>
      </c>
      <c r="C97">
        <v>1</v>
      </c>
      <c r="D97">
        <v>0</v>
      </c>
      <c r="E97">
        <v>2</v>
      </c>
      <c r="F97">
        <v>3</v>
      </c>
      <c r="G97" t="b">
        <v>0</v>
      </c>
      <c r="H97">
        <v>3</v>
      </c>
      <c r="I97">
        <v>3</v>
      </c>
      <c r="J97">
        <v>0.22</v>
      </c>
      <c r="K97">
        <v>0.2273</v>
      </c>
      <c r="L97">
        <v>0.93</v>
      </c>
      <c r="M97">
        <v>0.1343</v>
      </c>
      <c r="N97">
        <v>0</v>
      </c>
      <c r="O97">
        <v>1</v>
      </c>
      <c r="P97">
        <v>1</v>
      </c>
    </row>
    <row r="98" spans="1:16">
      <c r="A98">
        <v>716</v>
      </c>
      <c r="B98" s="2">
        <v>40576</v>
      </c>
      <c r="C98">
        <v>1</v>
      </c>
      <c r="D98">
        <v>0</v>
      </c>
      <c r="E98">
        <v>2</v>
      </c>
      <c r="F98">
        <v>4</v>
      </c>
      <c r="G98" t="b">
        <v>0</v>
      </c>
      <c r="H98">
        <v>3</v>
      </c>
      <c r="I98">
        <v>3</v>
      </c>
      <c r="J98">
        <v>0.22</v>
      </c>
      <c r="K98">
        <v>0.21210000000000001</v>
      </c>
      <c r="L98">
        <v>0.93</v>
      </c>
      <c r="M98">
        <v>0.28360000000000002</v>
      </c>
      <c r="N98">
        <v>0</v>
      </c>
      <c r="O98">
        <v>1</v>
      </c>
      <c r="P98">
        <v>1</v>
      </c>
    </row>
    <row r="99" spans="1:16">
      <c r="A99">
        <v>717</v>
      </c>
      <c r="B99" s="2">
        <v>40576</v>
      </c>
      <c r="C99">
        <v>1</v>
      </c>
      <c r="D99">
        <v>0</v>
      </c>
      <c r="E99">
        <v>2</v>
      </c>
      <c r="F99">
        <v>5</v>
      </c>
      <c r="G99" t="b">
        <v>0</v>
      </c>
      <c r="H99">
        <v>3</v>
      </c>
      <c r="I99">
        <v>3</v>
      </c>
      <c r="J99">
        <v>0.22</v>
      </c>
      <c r="K99">
        <v>0.2424</v>
      </c>
      <c r="L99">
        <v>0.93</v>
      </c>
      <c r="M99">
        <v>0.1045</v>
      </c>
      <c r="N99">
        <v>0</v>
      </c>
      <c r="O99">
        <v>3</v>
      </c>
      <c r="P99">
        <v>3</v>
      </c>
    </row>
    <row r="100" spans="1:16">
      <c r="A100">
        <v>718</v>
      </c>
      <c r="B100" s="2">
        <v>40576</v>
      </c>
      <c r="C100">
        <v>1</v>
      </c>
      <c r="D100">
        <v>0</v>
      </c>
      <c r="E100">
        <v>2</v>
      </c>
      <c r="F100">
        <v>6</v>
      </c>
      <c r="G100" t="b">
        <v>0</v>
      </c>
      <c r="H100">
        <v>3</v>
      </c>
      <c r="I100">
        <v>3</v>
      </c>
      <c r="J100">
        <v>0.22</v>
      </c>
      <c r="K100">
        <v>0.2424</v>
      </c>
      <c r="L100">
        <v>0.93</v>
      </c>
      <c r="M100">
        <v>0.1045</v>
      </c>
      <c r="N100">
        <v>1</v>
      </c>
      <c r="O100">
        <v>17</v>
      </c>
      <c r="P100">
        <v>18</v>
      </c>
    </row>
    <row r="101" spans="1:16">
      <c r="A101">
        <v>719</v>
      </c>
      <c r="B101" s="2">
        <v>40576</v>
      </c>
      <c r="C101">
        <v>1</v>
      </c>
      <c r="D101">
        <v>0</v>
      </c>
      <c r="E101">
        <v>2</v>
      </c>
      <c r="F101">
        <v>7</v>
      </c>
      <c r="G101" t="b">
        <v>0</v>
      </c>
      <c r="H101">
        <v>3</v>
      </c>
      <c r="I101">
        <v>3</v>
      </c>
      <c r="J101">
        <v>0.22</v>
      </c>
      <c r="K101">
        <v>0.21210000000000001</v>
      </c>
      <c r="L101">
        <v>0.93</v>
      </c>
      <c r="M101">
        <v>0.22389999999999999</v>
      </c>
      <c r="N101">
        <v>1</v>
      </c>
      <c r="O101">
        <v>48</v>
      </c>
      <c r="P101">
        <v>49</v>
      </c>
    </row>
    <row r="102" spans="1:16">
      <c r="A102">
        <v>720</v>
      </c>
      <c r="B102" s="2">
        <v>40576</v>
      </c>
      <c r="C102">
        <v>1</v>
      </c>
      <c r="D102">
        <v>0</v>
      </c>
      <c r="E102">
        <v>2</v>
      </c>
      <c r="F102">
        <v>8</v>
      </c>
      <c r="G102" t="b">
        <v>0</v>
      </c>
      <c r="H102">
        <v>3</v>
      </c>
      <c r="I102">
        <v>3</v>
      </c>
      <c r="J102">
        <v>0.22</v>
      </c>
      <c r="K102">
        <v>0.21210000000000001</v>
      </c>
      <c r="L102">
        <v>0.93</v>
      </c>
      <c r="M102">
        <v>0.22389999999999999</v>
      </c>
      <c r="N102">
        <v>1</v>
      </c>
      <c r="O102">
        <v>154</v>
      </c>
      <c r="P102">
        <v>155</v>
      </c>
    </row>
    <row r="103" spans="1:16">
      <c r="A103">
        <v>721</v>
      </c>
      <c r="B103" s="2">
        <v>40576</v>
      </c>
      <c r="C103">
        <v>1</v>
      </c>
      <c r="D103">
        <v>0</v>
      </c>
      <c r="E103">
        <v>2</v>
      </c>
      <c r="F103">
        <v>9</v>
      </c>
      <c r="G103" t="b">
        <v>0</v>
      </c>
      <c r="H103">
        <v>3</v>
      </c>
      <c r="I103">
        <v>2</v>
      </c>
      <c r="J103">
        <v>0.24</v>
      </c>
      <c r="K103">
        <v>0.2576</v>
      </c>
      <c r="L103">
        <v>0.93</v>
      </c>
      <c r="M103">
        <v>8.9599999999999999E-2</v>
      </c>
      <c r="N103">
        <v>4</v>
      </c>
      <c r="O103">
        <v>119</v>
      </c>
      <c r="P103">
        <v>123</v>
      </c>
    </row>
    <row r="104" spans="1:16">
      <c r="A104">
        <v>722</v>
      </c>
      <c r="B104" s="2">
        <v>40576</v>
      </c>
      <c r="C104">
        <v>1</v>
      </c>
      <c r="D104">
        <v>0</v>
      </c>
      <c r="E104">
        <v>2</v>
      </c>
      <c r="F104">
        <v>10</v>
      </c>
      <c r="G104" t="b">
        <v>0</v>
      </c>
      <c r="H104">
        <v>3</v>
      </c>
      <c r="I104">
        <v>2</v>
      </c>
      <c r="J104">
        <v>0.22</v>
      </c>
      <c r="K104">
        <v>0.2727</v>
      </c>
      <c r="L104">
        <v>1</v>
      </c>
      <c r="M104">
        <v>0</v>
      </c>
      <c r="N104">
        <v>2</v>
      </c>
      <c r="O104">
        <v>59</v>
      </c>
      <c r="P104">
        <v>61</v>
      </c>
    </row>
    <row r="105" spans="1:16">
      <c r="A105">
        <v>723</v>
      </c>
      <c r="B105" s="2">
        <v>40576</v>
      </c>
      <c r="C105">
        <v>1</v>
      </c>
      <c r="D105">
        <v>0</v>
      </c>
      <c r="E105">
        <v>2</v>
      </c>
      <c r="F105">
        <v>11</v>
      </c>
      <c r="G105" t="b">
        <v>0</v>
      </c>
      <c r="H105">
        <v>3</v>
      </c>
      <c r="I105">
        <v>2</v>
      </c>
      <c r="J105">
        <v>0.24</v>
      </c>
      <c r="K105">
        <v>0.2273</v>
      </c>
      <c r="L105">
        <v>0.93</v>
      </c>
      <c r="M105">
        <v>0.19400000000000001</v>
      </c>
      <c r="N105">
        <v>5</v>
      </c>
      <c r="O105">
        <v>47</v>
      </c>
      <c r="P105">
        <v>52</v>
      </c>
    </row>
    <row r="106" spans="1:16">
      <c r="A106">
        <v>724</v>
      </c>
      <c r="B106" s="2">
        <v>40576</v>
      </c>
      <c r="C106">
        <v>1</v>
      </c>
      <c r="D106">
        <v>0</v>
      </c>
      <c r="E106">
        <v>2</v>
      </c>
      <c r="F106">
        <v>12</v>
      </c>
      <c r="G106" t="b">
        <v>0</v>
      </c>
      <c r="H106">
        <v>3</v>
      </c>
      <c r="I106">
        <v>2</v>
      </c>
      <c r="J106">
        <v>0.24</v>
      </c>
      <c r="K106">
        <v>0.2273</v>
      </c>
      <c r="L106">
        <v>0.93</v>
      </c>
      <c r="M106">
        <v>0.22389999999999999</v>
      </c>
      <c r="N106">
        <v>3</v>
      </c>
      <c r="O106">
        <v>61</v>
      </c>
      <c r="P106">
        <v>64</v>
      </c>
    </row>
    <row r="107" spans="1:16">
      <c r="A107">
        <v>725</v>
      </c>
      <c r="B107" s="2">
        <v>40576</v>
      </c>
      <c r="C107">
        <v>1</v>
      </c>
      <c r="D107">
        <v>0</v>
      </c>
      <c r="E107">
        <v>2</v>
      </c>
      <c r="F107">
        <v>13</v>
      </c>
      <c r="G107" t="b">
        <v>0</v>
      </c>
      <c r="H107">
        <v>3</v>
      </c>
      <c r="I107">
        <v>1</v>
      </c>
      <c r="J107">
        <v>0.34</v>
      </c>
      <c r="K107">
        <v>0.33329999999999999</v>
      </c>
      <c r="L107">
        <v>0.93</v>
      </c>
      <c r="M107">
        <v>0.16420000000000001</v>
      </c>
      <c r="N107">
        <v>1</v>
      </c>
      <c r="O107">
        <v>74</v>
      </c>
      <c r="P107">
        <v>75</v>
      </c>
    </row>
    <row r="108" spans="1:16">
      <c r="A108">
        <v>726</v>
      </c>
      <c r="B108" s="2">
        <v>40576</v>
      </c>
      <c r="C108">
        <v>1</v>
      </c>
      <c r="D108">
        <v>0</v>
      </c>
      <c r="E108">
        <v>2</v>
      </c>
      <c r="F108">
        <v>14</v>
      </c>
      <c r="G108" t="b">
        <v>0</v>
      </c>
      <c r="H108">
        <v>3</v>
      </c>
      <c r="I108">
        <v>1</v>
      </c>
      <c r="J108">
        <v>0.38</v>
      </c>
      <c r="K108">
        <v>0.39389999999999997</v>
      </c>
      <c r="L108">
        <v>0.82</v>
      </c>
      <c r="M108">
        <v>0.3881</v>
      </c>
      <c r="N108">
        <v>2</v>
      </c>
      <c r="O108">
        <v>61</v>
      </c>
      <c r="P108">
        <v>63</v>
      </c>
    </row>
    <row r="109" spans="1:16">
      <c r="A109">
        <v>727</v>
      </c>
      <c r="B109" s="2">
        <v>40576</v>
      </c>
      <c r="C109">
        <v>1</v>
      </c>
      <c r="D109">
        <v>0</v>
      </c>
      <c r="E109">
        <v>2</v>
      </c>
      <c r="F109">
        <v>15</v>
      </c>
      <c r="G109" t="b">
        <v>0</v>
      </c>
      <c r="H109">
        <v>3</v>
      </c>
      <c r="I109">
        <v>1</v>
      </c>
      <c r="J109">
        <v>0.38</v>
      </c>
      <c r="K109">
        <v>0.39389999999999997</v>
      </c>
      <c r="L109">
        <v>0.76</v>
      </c>
      <c r="M109">
        <v>0.32840000000000003</v>
      </c>
      <c r="N109">
        <v>10</v>
      </c>
      <c r="O109">
        <v>66</v>
      </c>
      <c r="P109">
        <v>76</v>
      </c>
    </row>
    <row r="110" spans="1:16">
      <c r="A110">
        <v>728</v>
      </c>
      <c r="B110" s="2">
        <v>40576</v>
      </c>
      <c r="C110">
        <v>1</v>
      </c>
      <c r="D110">
        <v>0</v>
      </c>
      <c r="E110">
        <v>2</v>
      </c>
      <c r="F110">
        <v>16</v>
      </c>
      <c r="G110" t="b">
        <v>0</v>
      </c>
      <c r="H110">
        <v>3</v>
      </c>
      <c r="I110">
        <v>1</v>
      </c>
      <c r="J110">
        <v>0.36</v>
      </c>
      <c r="K110">
        <v>0.33329999999999999</v>
      </c>
      <c r="L110">
        <v>0.71</v>
      </c>
      <c r="M110">
        <v>0.29849999999999999</v>
      </c>
      <c r="N110">
        <v>8</v>
      </c>
      <c r="O110">
        <v>95</v>
      </c>
      <c r="P110">
        <v>103</v>
      </c>
    </row>
    <row r="111" spans="1:16">
      <c r="A111">
        <v>729</v>
      </c>
      <c r="B111" s="2">
        <v>40576</v>
      </c>
      <c r="C111">
        <v>1</v>
      </c>
      <c r="D111">
        <v>0</v>
      </c>
      <c r="E111">
        <v>2</v>
      </c>
      <c r="F111">
        <v>17</v>
      </c>
      <c r="G111" t="b">
        <v>0</v>
      </c>
      <c r="H111">
        <v>3</v>
      </c>
      <c r="I111">
        <v>1</v>
      </c>
      <c r="J111">
        <v>0.36</v>
      </c>
      <c r="K111">
        <v>0.31819999999999998</v>
      </c>
      <c r="L111">
        <v>0.53</v>
      </c>
      <c r="M111">
        <v>0.52239999999999998</v>
      </c>
      <c r="N111">
        <v>7</v>
      </c>
      <c r="O111">
        <v>183</v>
      </c>
      <c r="P111">
        <v>190</v>
      </c>
    </row>
    <row r="112" spans="1:16">
      <c r="A112">
        <v>730</v>
      </c>
      <c r="B112" s="2">
        <v>40576</v>
      </c>
      <c r="C112">
        <v>1</v>
      </c>
      <c r="D112">
        <v>0</v>
      </c>
      <c r="E112">
        <v>2</v>
      </c>
      <c r="F112">
        <v>18</v>
      </c>
      <c r="G112" t="b">
        <v>0</v>
      </c>
      <c r="H112">
        <v>3</v>
      </c>
      <c r="I112">
        <v>1</v>
      </c>
      <c r="J112">
        <v>0.34</v>
      </c>
      <c r="K112">
        <v>0.28789999999999999</v>
      </c>
      <c r="L112">
        <v>0.42</v>
      </c>
      <c r="M112">
        <v>0.55220000000000002</v>
      </c>
      <c r="N112">
        <v>7</v>
      </c>
      <c r="O112">
        <v>175</v>
      </c>
      <c r="P112">
        <v>182</v>
      </c>
    </row>
    <row r="113" spans="1:16">
      <c r="A113">
        <v>731</v>
      </c>
      <c r="B113" s="2">
        <v>40576</v>
      </c>
      <c r="C113">
        <v>1</v>
      </c>
      <c r="D113">
        <v>0</v>
      </c>
      <c r="E113">
        <v>2</v>
      </c>
      <c r="F113">
        <v>19</v>
      </c>
      <c r="G113" t="b">
        <v>0</v>
      </c>
      <c r="H113">
        <v>3</v>
      </c>
      <c r="I113">
        <v>1</v>
      </c>
      <c r="J113">
        <v>0.28000000000000003</v>
      </c>
      <c r="K113">
        <v>0.2424</v>
      </c>
      <c r="L113">
        <v>0.45</v>
      </c>
      <c r="M113">
        <v>0.49249999999999999</v>
      </c>
      <c r="N113">
        <v>3</v>
      </c>
      <c r="O113">
        <v>88</v>
      </c>
      <c r="P113">
        <v>91</v>
      </c>
    </row>
    <row r="114" spans="1:16">
      <c r="A114">
        <v>732</v>
      </c>
      <c r="B114" s="2">
        <v>40576</v>
      </c>
      <c r="C114">
        <v>1</v>
      </c>
      <c r="D114">
        <v>0</v>
      </c>
      <c r="E114">
        <v>2</v>
      </c>
      <c r="F114">
        <v>20</v>
      </c>
      <c r="G114" t="b">
        <v>0</v>
      </c>
      <c r="H114">
        <v>3</v>
      </c>
      <c r="I114">
        <v>1</v>
      </c>
      <c r="J114">
        <v>0.24</v>
      </c>
      <c r="K114">
        <v>0.19700000000000001</v>
      </c>
      <c r="L114">
        <v>0.48</v>
      </c>
      <c r="M114">
        <v>0.55220000000000002</v>
      </c>
      <c r="N114">
        <v>4</v>
      </c>
      <c r="O114">
        <v>71</v>
      </c>
      <c r="P114">
        <v>75</v>
      </c>
    </row>
    <row r="115" spans="1:16">
      <c r="A115">
        <v>733</v>
      </c>
      <c r="B115" s="2">
        <v>40576</v>
      </c>
      <c r="C115">
        <v>1</v>
      </c>
      <c r="D115">
        <v>0</v>
      </c>
      <c r="E115">
        <v>2</v>
      </c>
      <c r="F115">
        <v>21</v>
      </c>
      <c r="G115" t="b">
        <v>0</v>
      </c>
      <c r="H115">
        <v>3</v>
      </c>
      <c r="I115">
        <v>1</v>
      </c>
      <c r="J115">
        <v>0.22</v>
      </c>
      <c r="K115">
        <v>0.19700000000000001</v>
      </c>
      <c r="L115">
        <v>0.47</v>
      </c>
      <c r="M115">
        <v>0.32840000000000003</v>
      </c>
      <c r="N115">
        <v>1</v>
      </c>
      <c r="O115">
        <v>62</v>
      </c>
      <c r="P115">
        <v>63</v>
      </c>
    </row>
    <row r="116" spans="1:16">
      <c r="A116">
        <v>734</v>
      </c>
      <c r="B116" s="2">
        <v>40576</v>
      </c>
      <c r="C116">
        <v>1</v>
      </c>
      <c r="D116">
        <v>0</v>
      </c>
      <c r="E116">
        <v>2</v>
      </c>
      <c r="F116">
        <v>22</v>
      </c>
      <c r="G116" t="b">
        <v>0</v>
      </c>
      <c r="H116">
        <v>3</v>
      </c>
      <c r="I116">
        <v>1</v>
      </c>
      <c r="J116">
        <v>0.22</v>
      </c>
      <c r="K116">
        <v>0.21210000000000001</v>
      </c>
      <c r="L116">
        <v>0.44</v>
      </c>
      <c r="M116">
        <v>0.25369999999999998</v>
      </c>
      <c r="N116">
        <v>5</v>
      </c>
      <c r="O116">
        <v>35</v>
      </c>
      <c r="P116">
        <v>40</v>
      </c>
    </row>
    <row r="117" spans="1:16">
      <c r="A117">
        <v>735</v>
      </c>
      <c r="B117" s="2">
        <v>40576</v>
      </c>
      <c r="C117">
        <v>1</v>
      </c>
      <c r="D117">
        <v>0</v>
      </c>
      <c r="E117">
        <v>2</v>
      </c>
      <c r="F117">
        <v>23</v>
      </c>
      <c r="G117" t="b">
        <v>0</v>
      </c>
      <c r="H117">
        <v>3</v>
      </c>
      <c r="I117">
        <v>1</v>
      </c>
      <c r="J117">
        <v>0.2</v>
      </c>
      <c r="K117">
        <v>0.16669999999999999</v>
      </c>
      <c r="L117">
        <v>0.44</v>
      </c>
      <c r="M117">
        <v>0.44779999999999998</v>
      </c>
      <c r="N117">
        <v>3</v>
      </c>
      <c r="O117">
        <v>29</v>
      </c>
      <c r="P117">
        <v>32</v>
      </c>
    </row>
    <row r="118" spans="1:16">
      <c r="A118">
        <v>736</v>
      </c>
      <c r="B118" s="2">
        <v>40577</v>
      </c>
      <c r="C118">
        <v>1</v>
      </c>
      <c r="D118">
        <v>0</v>
      </c>
      <c r="E118">
        <v>2</v>
      </c>
      <c r="F118">
        <v>0</v>
      </c>
      <c r="G118" t="b">
        <v>0</v>
      </c>
      <c r="H118">
        <v>4</v>
      </c>
      <c r="I118">
        <v>1</v>
      </c>
      <c r="J118">
        <v>0.2</v>
      </c>
      <c r="K118">
        <v>0.16669999999999999</v>
      </c>
      <c r="L118">
        <v>0.4</v>
      </c>
      <c r="M118">
        <v>0.44779999999999998</v>
      </c>
      <c r="N118">
        <v>1</v>
      </c>
      <c r="O118">
        <v>11</v>
      </c>
      <c r="P118">
        <v>12</v>
      </c>
    </row>
    <row r="119" spans="1:16">
      <c r="A119">
        <v>737</v>
      </c>
      <c r="B119" s="2">
        <v>40577</v>
      </c>
      <c r="C119">
        <v>1</v>
      </c>
      <c r="D119">
        <v>0</v>
      </c>
      <c r="E119">
        <v>2</v>
      </c>
      <c r="F119">
        <v>1</v>
      </c>
      <c r="G119" t="b">
        <v>0</v>
      </c>
      <c r="H119">
        <v>4</v>
      </c>
      <c r="I119">
        <v>1</v>
      </c>
      <c r="J119">
        <v>0.2</v>
      </c>
      <c r="K119">
        <v>0.1515</v>
      </c>
      <c r="L119">
        <v>0.44</v>
      </c>
      <c r="M119">
        <v>0.52239999999999998</v>
      </c>
      <c r="N119">
        <v>0</v>
      </c>
      <c r="O119">
        <v>5</v>
      </c>
      <c r="P119">
        <v>5</v>
      </c>
    </row>
    <row r="120" spans="1:16">
      <c r="A120">
        <v>738</v>
      </c>
      <c r="B120" s="2">
        <v>40577</v>
      </c>
      <c r="C120">
        <v>1</v>
      </c>
      <c r="D120">
        <v>0</v>
      </c>
      <c r="E120">
        <v>2</v>
      </c>
      <c r="F120">
        <v>2</v>
      </c>
      <c r="G120" t="b">
        <v>0</v>
      </c>
      <c r="H120">
        <v>4</v>
      </c>
      <c r="I120">
        <v>1</v>
      </c>
      <c r="J120">
        <v>0.18</v>
      </c>
      <c r="K120">
        <v>0.16669999999999999</v>
      </c>
      <c r="L120">
        <v>0.43</v>
      </c>
      <c r="M120">
        <v>0.25369999999999998</v>
      </c>
      <c r="N120">
        <v>0</v>
      </c>
      <c r="O120">
        <v>2</v>
      </c>
      <c r="P120">
        <v>2</v>
      </c>
    </row>
    <row r="121" spans="1:16">
      <c r="A121">
        <v>739</v>
      </c>
      <c r="B121" s="2">
        <v>40577</v>
      </c>
      <c r="C121">
        <v>1</v>
      </c>
      <c r="D121">
        <v>0</v>
      </c>
      <c r="E121">
        <v>2</v>
      </c>
      <c r="F121">
        <v>3</v>
      </c>
      <c r="G121" t="b">
        <v>0</v>
      </c>
      <c r="H121">
        <v>4</v>
      </c>
      <c r="I121">
        <v>1</v>
      </c>
      <c r="J121">
        <v>0.18</v>
      </c>
      <c r="K121">
        <v>0.16669999999999999</v>
      </c>
      <c r="L121">
        <v>0.43</v>
      </c>
      <c r="M121">
        <v>0.25369999999999998</v>
      </c>
      <c r="N121">
        <v>0</v>
      </c>
      <c r="O121">
        <v>1</v>
      </c>
      <c r="P121">
        <v>1</v>
      </c>
    </row>
    <row r="122" spans="1:16">
      <c r="A122">
        <v>740</v>
      </c>
      <c r="B122" s="2">
        <v>40577</v>
      </c>
      <c r="C122">
        <v>1</v>
      </c>
      <c r="D122">
        <v>0</v>
      </c>
      <c r="E122">
        <v>2</v>
      </c>
      <c r="F122">
        <v>5</v>
      </c>
      <c r="G122" t="b">
        <v>0</v>
      </c>
      <c r="H122">
        <v>4</v>
      </c>
      <c r="I122">
        <v>1</v>
      </c>
      <c r="J122">
        <v>0.16</v>
      </c>
      <c r="K122">
        <v>0.13639999999999999</v>
      </c>
      <c r="L122">
        <v>0.5</v>
      </c>
      <c r="M122">
        <v>0.29849999999999999</v>
      </c>
      <c r="N122">
        <v>0</v>
      </c>
      <c r="O122">
        <v>2</v>
      </c>
      <c r="P122">
        <v>2</v>
      </c>
    </row>
    <row r="123" spans="1:16">
      <c r="A123">
        <v>741</v>
      </c>
      <c r="B123" s="2">
        <v>40577</v>
      </c>
      <c r="C123">
        <v>1</v>
      </c>
      <c r="D123">
        <v>0</v>
      </c>
      <c r="E123">
        <v>2</v>
      </c>
      <c r="F123">
        <v>6</v>
      </c>
      <c r="G123" t="b">
        <v>0</v>
      </c>
      <c r="H123">
        <v>4</v>
      </c>
      <c r="I123">
        <v>1</v>
      </c>
      <c r="J123">
        <v>0.16</v>
      </c>
      <c r="K123">
        <v>0.13639999999999999</v>
      </c>
      <c r="L123">
        <v>0.43</v>
      </c>
      <c r="M123">
        <v>0.35820000000000002</v>
      </c>
      <c r="N123">
        <v>0</v>
      </c>
      <c r="O123">
        <v>39</v>
      </c>
      <c r="P123">
        <v>39</v>
      </c>
    </row>
    <row r="124" spans="1:16">
      <c r="A124">
        <v>742</v>
      </c>
      <c r="B124" s="2">
        <v>40577</v>
      </c>
      <c r="C124">
        <v>1</v>
      </c>
      <c r="D124">
        <v>0</v>
      </c>
      <c r="E124">
        <v>2</v>
      </c>
      <c r="F124">
        <v>7</v>
      </c>
      <c r="G124" t="b">
        <v>0</v>
      </c>
      <c r="H124">
        <v>4</v>
      </c>
      <c r="I124">
        <v>1</v>
      </c>
      <c r="J124">
        <v>0.14000000000000001</v>
      </c>
      <c r="K124">
        <v>0.1212</v>
      </c>
      <c r="L124">
        <v>0.5</v>
      </c>
      <c r="M124">
        <v>0.32840000000000003</v>
      </c>
      <c r="N124">
        <v>1</v>
      </c>
      <c r="O124">
        <v>86</v>
      </c>
      <c r="P124">
        <v>87</v>
      </c>
    </row>
    <row r="125" spans="1:16">
      <c r="A125">
        <v>743</v>
      </c>
      <c r="B125" s="2">
        <v>40577</v>
      </c>
      <c r="C125">
        <v>1</v>
      </c>
      <c r="D125">
        <v>0</v>
      </c>
      <c r="E125">
        <v>2</v>
      </c>
      <c r="F125">
        <v>8</v>
      </c>
      <c r="G125" t="b">
        <v>0</v>
      </c>
      <c r="H125">
        <v>4</v>
      </c>
      <c r="I125">
        <v>1</v>
      </c>
      <c r="J125">
        <v>0.14000000000000001</v>
      </c>
      <c r="K125">
        <v>0.1212</v>
      </c>
      <c r="L125">
        <v>0.5</v>
      </c>
      <c r="M125">
        <v>0.35820000000000002</v>
      </c>
      <c r="N125">
        <v>4</v>
      </c>
      <c r="O125">
        <v>184</v>
      </c>
      <c r="P125">
        <v>188</v>
      </c>
    </row>
    <row r="126" spans="1:16">
      <c r="A126">
        <v>744</v>
      </c>
      <c r="B126" s="2">
        <v>40577</v>
      </c>
      <c r="C126">
        <v>1</v>
      </c>
      <c r="D126">
        <v>0</v>
      </c>
      <c r="E126">
        <v>2</v>
      </c>
      <c r="F126">
        <v>9</v>
      </c>
      <c r="G126" t="b">
        <v>0</v>
      </c>
      <c r="H126">
        <v>4</v>
      </c>
      <c r="I126">
        <v>1</v>
      </c>
      <c r="J126">
        <v>0.16</v>
      </c>
      <c r="K126">
        <v>0.13639999999999999</v>
      </c>
      <c r="L126">
        <v>0.47</v>
      </c>
      <c r="M126">
        <v>0.29849999999999999</v>
      </c>
      <c r="N126">
        <v>6</v>
      </c>
      <c r="O126">
        <v>127</v>
      </c>
      <c r="P126">
        <v>133</v>
      </c>
    </row>
    <row r="127" spans="1:16">
      <c r="A127">
        <v>745</v>
      </c>
      <c r="B127" s="2">
        <v>40577</v>
      </c>
      <c r="C127">
        <v>1</v>
      </c>
      <c r="D127">
        <v>0</v>
      </c>
      <c r="E127">
        <v>2</v>
      </c>
      <c r="F127">
        <v>10</v>
      </c>
      <c r="G127" t="b">
        <v>0</v>
      </c>
      <c r="H127">
        <v>4</v>
      </c>
      <c r="I127">
        <v>1</v>
      </c>
      <c r="J127">
        <v>0.18</v>
      </c>
      <c r="K127">
        <v>0.1515</v>
      </c>
      <c r="L127">
        <v>0.43</v>
      </c>
      <c r="M127">
        <v>0.32840000000000003</v>
      </c>
      <c r="N127">
        <v>2</v>
      </c>
      <c r="O127">
        <v>50</v>
      </c>
      <c r="P127">
        <v>52</v>
      </c>
    </row>
    <row r="128" spans="1:16">
      <c r="A128">
        <v>746</v>
      </c>
      <c r="B128" s="2">
        <v>40577</v>
      </c>
      <c r="C128">
        <v>1</v>
      </c>
      <c r="D128">
        <v>0</v>
      </c>
      <c r="E128">
        <v>2</v>
      </c>
      <c r="F128">
        <v>11</v>
      </c>
      <c r="G128" t="b">
        <v>0</v>
      </c>
      <c r="H128">
        <v>4</v>
      </c>
      <c r="I128">
        <v>1</v>
      </c>
      <c r="J128">
        <v>0.18</v>
      </c>
      <c r="K128">
        <v>0.13639999999999999</v>
      </c>
      <c r="L128">
        <v>0.43</v>
      </c>
      <c r="M128">
        <v>0.44779999999999998</v>
      </c>
      <c r="N128">
        <v>9</v>
      </c>
      <c r="O128">
        <v>55</v>
      </c>
      <c r="P128">
        <v>64</v>
      </c>
    </row>
    <row r="129" spans="1:16">
      <c r="A129">
        <v>747</v>
      </c>
      <c r="B129" s="2">
        <v>40577</v>
      </c>
      <c r="C129">
        <v>1</v>
      </c>
      <c r="D129">
        <v>0</v>
      </c>
      <c r="E129">
        <v>2</v>
      </c>
      <c r="F129">
        <v>12</v>
      </c>
      <c r="G129" t="b">
        <v>0</v>
      </c>
      <c r="H129">
        <v>4</v>
      </c>
      <c r="I129">
        <v>1</v>
      </c>
      <c r="J129">
        <v>0.2</v>
      </c>
      <c r="K129">
        <v>0.18179999999999999</v>
      </c>
      <c r="L129">
        <v>0.4</v>
      </c>
      <c r="M129">
        <v>0.35820000000000002</v>
      </c>
      <c r="N129">
        <v>2</v>
      </c>
      <c r="O129">
        <v>67</v>
      </c>
      <c r="P129">
        <v>69</v>
      </c>
    </row>
    <row r="130" spans="1:16">
      <c r="A130">
        <v>748</v>
      </c>
      <c r="B130" s="2">
        <v>40577</v>
      </c>
      <c r="C130">
        <v>1</v>
      </c>
      <c r="D130">
        <v>0</v>
      </c>
      <c r="E130">
        <v>2</v>
      </c>
      <c r="F130">
        <v>13</v>
      </c>
      <c r="G130" t="b">
        <v>0</v>
      </c>
      <c r="H130">
        <v>4</v>
      </c>
      <c r="I130">
        <v>1</v>
      </c>
      <c r="J130">
        <v>0.2</v>
      </c>
      <c r="K130">
        <v>0.16669999999999999</v>
      </c>
      <c r="L130">
        <v>0.4</v>
      </c>
      <c r="M130">
        <v>0.41789999999999999</v>
      </c>
      <c r="N130">
        <v>4</v>
      </c>
      <c r="O130">
        <v>47</v>
      </c>
      <c r="P130">
        <v>51</v>
      </c>
    </row>
    <row r="131" spans="1:16">
      <c r="A131">
        <v>749</v>
      </c>
      <c r="B131" s="2">
        <v>40577</v>
      </c>
      <c r="C131">
        <v>1</v>
      </c>
      <c r="D131">
        <v>0</v>
      </c>
      <c r="E131">
        <v>2</v>
      </c>
      <c r="F131">
        <v>14</v>
      </c>
      <c r="G131" t="b">
        <v>0</v>
      </c>
      <c r="H131">
        <v>4</v>
      </c>
      <c r="I131">
        <v>1</v>
      </c>
      <c r="J131">
        <v>0.22</v>
      </c>
      <c r="K131">
        <v>0.19700000000000001</v>
      </c>
      <c r="L131">
        <v>0.37</v>
      </c>
      <c r="M131">
        <v>0.3881</v>
      </c>
      <c r="N131">
        <v>4</v>
      </c>
      <c r="O131">
        <v>43</v>
      </c>
      <c r="P131">
        <v>47</v>
      </c>
    </row>
    <row r="132" spans="1:16">
      <c r="A132">
        <v>750</v>
      </c>
      <c r="B132" s="2">
        <v>40577</v>
      </c>
      <c r="C132">
        <v>1</v>
      </c>
      <c r="D132">
        <v>0</v>
      </c>
      <c r="E132">
        <v>2</v>
      </c>
      <c r="F132">
        <v>15</v>
      </c>
      <c r="G132" t="b">
        <v>0</v>
      </c>
      <c r="H132">
        <v>4</v>
      </c>
      <c r="I132">
        <v>1</v>
      </c>
      <c r="J132">
        <v>0.22</v>
      </c>
      <c r="K132">
        <v>0.19700000000000001</v>
      </c>
      <c r="L132">
        <v>0.37</v>
      </c>
      <c r="M132">
        <v>0.32840000000000003</v>
      </c>
      <c r="N132">
        <v>4</v>
      </c>
      <c r="O132">
        <v>56</v>
      </c>
      <c r="P132">
        <v>60</v>
      </c>
    </row>
    <row r="133" spans="1:16">
      <c r="A133">
        <v>751</v>
      </c>
      <c r="B133" s="2">
        <v>40577</v>
      </c>
      <c r="C133">
        <v>1</v>
      </c>
      <c r="D133">
        <v>0</v>
      </c>
      <c r="E133">
        <v>2</v>
      </c>
      <c r="F133">
        <v>16</v>
      </c>
      <c r="G133" t="b">
        <v>0</v>
      </c>
      <c r="H133">
        <v>4</v>
      </c>
      <c r="I133">
        <v>1</v>
      </c>
      <c r="J133">
        <v>0.22</v>
      </c>
      <c r="K133">
        <v>0.21210000000000001</v>
      </c>
      <c r="L133">
        <v>0.37</v>
      </c>
      <c r="M133">
        <v>0.25369999999999998</v>
      </c>
      <c r="N133">
        <v>5</v>
      </c>
      <c r="O133">
        <v>73</v>
      </c>
      <c r="P133">
        <v>78</v>
      </c>
    </row>
    <row r="134" spans="1:16">
      <c r="A134">
        <v>752</v>
      </c>
      <c r="B134" s="2">
        <v>40577</v>
      </c>
      <c r="C134">
        <v>1</v>
      </c>
      <c r="D134">
        <v>0</v>
      </c>
      <c r="E134">
        <v>2</v>
      </c>
      <c r="F134">
        <v>17</v>
      </c>
      <c r="G134" t="b">
        <v>0</v>
      </c>
      <c r="H134">
        <v>4</v>
      </c>
      <c r="I134">
        <v>1</v>
      </c>
      <c r="J134">
        <v>0.2</v>
      </c>
      <c r="K134">
        <v>0.19700000000000001</v>
      </c>
      <c r="L134">
        <v>0.4</v>
      </c>
      <c r="M134">
        <v>0.19400000000000001</v>
      </c>
      <c r="N134">
        <v>5</v>
      </c>
      <c r="O134">
        <v>170</v>
      </c>
      <c r="P134">
        <v>175</v>
      </c>
    </row>
    <row r="135" spans="1:16">
      <c r="A135">
        <v>753</v>
      </c>
      <c r="B135" s="2">
        <v>40577</v>
      </c>
      <c r="C135">
        <v>1</v>
      </c>
      <c r="D135">
        <v>0</v>
      </c>
      <c r="E135">
        <v>2</v>
      </c>
      <c r="F135">
        <v>18</v>
      </c>
      <c r="G135" t="b">
        <v>0</v>
      </c>
      <c r="H135">
        <v>4</v>
      </c>
      <c r="I135">
        <v>1</v>
      </c>
      <c r="J135">
        <v>0.2</v>
      </c>
      <c r="K135">
        <v>0.21210000000000001</v>
      </c>
      <c r="L135">
        <v>0.4</v>
      </c>
      <c r="M135">
        <v>0.16420000000000001</v>
      </c>
      <c r="N135">
        <v>2</v>
      </c>
      <c r="O135">
        <v>145</v>
      </c>
      <c r="P135">
        <v>147</v>
      </c>
    </row>
    <row r="136" spans="1:16">
      <c r="A136">
        <v>754</v>
      </c>
      <c r="B136" s="2">
        <v>40577</v>
      </c>
      <c r="C136">
        <v>1</v>
      </c>
      <c r="D136">
        <v>0</v>
      </c>
      <c r="E136">
        <v>2</v>
      </c>
      <c r="F136">
        <v>19</v>
      </c>
      <c r="G136" t="b">
        <v>0</v>
      </c>
      <c r="H136">
        <v>4</v>
      </c>
      <c r="I136">
        <v>1</v>
      </c>
      <c r="J136">
        <v>0.2</v>
      </c>
      <c r="K136">
        <v>0.2576</v>
      </c>
      <c r="L136">
        <v>0.4</v>
      </c>
      <c r="M136">
        <v>0</v>
      </c>
      <c r="N136">
        <v>4</v>
      </c>
      <c r="O136">
        <v>92</v>
      </c>
      <c r="P136">
        <v>96</v>
      </c>
    </row>
    <row r="137" spans="1:16">
      <c r="A137">
        <v>755</v>
      </c>
      <c r="B137" s="2">
        <v>40577</v>
      </c>
      <c r="C137">
        <v>1</v>
      </c>
      <c r="D137">
        <v>0</v>
      </c>
      <c r="E137">
        <v>2</v>
      </c>
      <c r="F137">
        <v>20</v>
      </c>
      <c r="G137" t="b">
        <v>0</v>
      </c>
      <c r="H137">
        <v>4</v>
      </c>
      <c r="I137">
        <v>1</v>
      </c>
      <c r="J137">
        <v>0.2</v>
      </c>
      <c r="K137">
        <v>0.2273</v>
      </c>
      <c r="L137">
        <v>0.47</v>
      </c>
      <c r="M137">
        <v>8.9599999999999999E-2</v>
      </c>
      <c r="N137">
        <v>1</v>
      </c>
      <c r="O137">
        <v>108</v>
      </c>
      <c r="P137">
        <v>109</v>
      </c>
    </row>
    <row r="138" spans="1:16">
      <c r="A138">
        <v>756</v>
      </c>
      <c r="B138" s="2">
        <v>40577</v>
      </c>
      <c r="C138">
        <v>1</v>
      </c>
      <c r="D138">
        <v>0</v>
      </c>
      <c r="E138">
        <v>2</v>
      </c>
      <c r="F138">
        <v>21</v>
      </c>
      <c r="G138" t="b">
        <v>0</v>
      </c>
      <c r="H138">
        <v>4</v>
      </c>
      <c r="I138">
        <v>1</v>
      </c>
      <c r="J138">
        <v>0.18</v>
      </c>
      <c r="K138">
        <v>0.21210000000000001</v>
      </c>
      <c r="L138">
        <v>0.55000000000000004</v>
      </c>
      <c r="M138">
        <v>0.1045</v>
      </c>
      <c r="N138">
        <v>1</v>
      </c>
      <c r="O138">
        <v>53</v>
      </c>
      <c r="P138">
        <v>54</v>
      </c>
    </row>
    <row r="139" spans="1:16">
      <c r="A139">
        <v>757</v>
      </c>
      <c r="B139" s="2">
        <v>40577</v>
      </c>
      <c r="C139">
        <v>1</v>
      </c>
      <c r="D139">
        <v>0</v>
      </c>
      <c r="E139">
        <v>2</v>
      </c>
      <c r="F139">
        <v>22</v>
      </c>
      <c r="G139" t="b">
        <v>0</v>
      </c>
      <c r="H139">
        <v>4</v>
      </c>
      <c r="I139">
        <v>1</v>
      </c>
      <c r="J139">
        <v>0.18</v>
      </c>
      <c r="K139">
        <v>0.21210000000000001</v>
      </c>
      <c r="L139">
        <v>0.51</v>
      </c>
      <c r="M139">
        <v>8.9599999999999999E-2</v>
      </c>
      <c r="N139">
        <v>2</v>
      </c>
      <c r="O139">
        <v>39</v>
      </c>
      <c r="P139">
        <v>41</v>
      </c>
    </row>
    <row r="140" spans="1:16">
      <c r="A140">
        <v>758</v>
      </c>
      <c r="B140" s="2">
        <v>40577</v>
      </c>
      <c r="C140">
        <v>1</v>
      </c>
      <c r="D140">
        <v>0</v>
      </c>
      <c r="E140">
        <v>2</v>
      </c>
      <c r="F140">
        <v>23</v>
      </c>
      <c r="G140" t="b">
        <v>0</v>
      </c>
      <c r="H140">
        <v>4</v>
      </c>
      <c r="I140">
        <v>1</v>
      </c>
      <c r="J140">
        <v>0.2</v>
      </c>
      <c r="K140">
        <v>0.2273</v>
      </c>
      <c r="L140">
        <v>0.47</v>
      </c>
      <c r="M140">
        <v>0.1045</v>
      </c>
      <c r="N140">
        <v>4</v>
      </c>
      <c r="O140">
        <v>34</v>
      </c>
      <c r="P140">
        <v>38</v>
      </c>
    </row>
    <row r="141" spans="1:16">
      <c r="A141">
        <v>759</v>
      </c>
      <c r="B141" s="2">
        <v>40578</v>
      </c>
      <c r="C141">
        <v>1</v>
      </c>
      <c r="D141">
        <v>0</v>
      </c>
      <c r="E141">
        <v>2</v>
      </c>
      <c r="F141">
        <v>0</v>
      </c>
      <c r="G141" t="b">
        <v>0</v>
      </c>
      <c r="H141">
        <v>5</v>
      </c>
      <c r="I141">
        <v>2</v>
      </c>
      <c r="J141">
        <v>0.2</v>
      </c>
      <c r="K141">
        <v>0.2576</v>
      </c>
      <c r="L141">
        <v>0.44</v>
      </c>
      <c r="M141">
        <v>0</v>
      </c>
      <c r="N141">
        <v>3</v>
      </c>
      <c r="O141">
        <v>10</v>
      </c>
      <c r="P141">
        <v>13</v>
      </c>
    </row>
    <row r="142" spans="1:16">
      <c r="A142">
        <v>760</v>
      </c>
      <c r="B142" s="2">
        <v>40578</v>
      </c>
      <c r="C142">
        <v>1</v>
      </c>
      <c r="D142">
        <v>0</v>
      </c>
      <c r="E142">
        <v>2</v>
      </c>
      <c r="F142">
        <v>1</v>
      </c>
      <c r="G142" t="b">
        <v>0</v>
      </c>
      <c r="H142">
        <v>5</v>
      </c>
      <c r="I142">
        <v>2</v>
      </c>
      <c r="J142">
        <v>0.16</v>
      </c>
      <c r="K142">
        <v>0.2273</v>
      </c>
      <c r="L142">
        <v>0.59</v>
      </c>
      <c r="M142">
        <v>0</v>
      </c>
      <c r="N142">
        <v>0</v>
      </c>
      <c r="O142">
        <v>7</v>
      </c>
      <c r="P142">
        <v>7</v>
      </c>
    </row>
    <row r="143" spans="1:16">
      <c r="A143">
        <v>761</v>
      </c>
      <c r="B143" s="2">
        <v>40578</v>
      </c>
      <c r="C143">
        <v>1</v>
      </c>
      <c r="D143">
        <v>0</v>
      </c>
      <c r="E143">
        <v>2</v>
      </c>
      <c r="F143">
        <v>2</v>
      </c>
      <c r="G143" t="b">
        <v>0</v>
      </c>
      <c r="H143">
        <v>5</v>
      </c>
      <c r="I143">
        <v>2</v>
      </c>
      <c r="J143">
        <v>0.14000000000000001</v>
      </c>
      <c r="K143">
        <v>0.16669999999999999</v>
      </c>
      <c r="L143">
        <v>0.63</v>
      </c>
      <c r="M143">
        <v>0.1045</v>
      </c>
      <c r="N143">
        <v>0</v>
      </c>
      <c r="O143">
        <v>1</v>
      </c>
      <c r="P143">
        <v>1</v>
      </c>
    </row>
    <row r="144" spans="1:16">
      <c r="A144">
        <v>762</v>
      </c>
      <c r="B144" s="2">
        <v>40578</v>
      </c>
      <c r="C144">
        <v>1</v>
      </c>
      <c r="D144">
        <v>0</v>
      </c>
      <c r="E144">
        <v>2</v>
      </c>
      <c r="F144">
        <v>3</v>
      </c>
      <c r="G144" t="b">
        <v>0</v>
      </c>
      <c r="H144">
        <v>5</v>
      </c>
      <c r="I144">
        <v>2</v>
      </c>
      <c r="J144">
        <v>0.14000000000000001</v>
      </c>
      <c r="K144">
        <v>0.16669999999999999</v>
      </c>
      <c r="L144">
        <v>0.63</v>
      </c>
      <c r="M144">
        <v>0.1045</v>
      </c>
      <c r="N144">
        <v>0</v>
      </c>
      <c r="O144">
        <v>1</v>
      </c>
      <c r="P144">
        <v>1</v>
      </c>
    </row>
    <row r="145" spans="1:16">
      <c r="A145">
        <v>763</v>
      </c>
      <c r="B145" s="2">
        <v>40578</v>
      </c>
      <c r="C145">
        <v>1</v>
      </c>
      <c r="D145">
        <v>0</v>
      </c>
      <c r="E145">
        <v>2</v>
      </c>
      <c r="F145">
        <v>5</v>
      </c>
      <c r="G145" t="b">
        <v>0</v>
      </c>
      <c r="H145">
        <v>5</v>
      </c>
      <c r="I145">
        <v>2</v>
      </c>
      <c r="J145">
        <v>0.14000000000000001</v>
      </c>
      <c r="K145">
        <v>0.1515</v>
      </c>
      <c r="L145">
        <v>0.63</v>
      </c>
      <c r="M145">
        <v>0.1343</v>
      </c>
      <c r="N145">
        <v>0</v>
      </c>
      <c r="O145">
        <v>7</v>
      </c>
      <c r="P145">
        <v>7</v>
      </c>
    </row>
    <row r="146" spans="1:16">
      <c r="A146">
        <v>764</v>
      </c>
      <c r="B146" s="2">
        <v>40578</v>
      </c>
      <c r="C146">
        <v>1</v>
      </c>
      <c r="D146">
        <v>0</v>
      </c>
      <c r="E146">
        <v>2</v>
      </c>
      <c r="F146">
        <v>6</v>
      </c>
      <c r="G146" t="b">
        <v>0</v>
      </c>
      <c r="H146">
        <v>5</v>
      </c>
      <c r="I146">
        <v>2</v>
      </c>
      <c r="J146">
        <v>0.16</v>
      </c>
      <c r="K146">
        <v>0.2273</v>
      </c>
      <c r="L146">
        <v>0.55000000000000004</v>
      </c>
      <c r="M146">
        <v>0</v>
      </c>
      <c r="N146">
        <v>2</v>
      </c>
      <c r="O146">
        <v>26</v>
      </c>
      <c r="P146">
        <v>28</v>
      </c>
    </row>
    <row r="147" spans="1:16">
      <c r="A147">
        <v>765</v>
      </c>
      <c r="B147" s="2">
        <v>40578</v>
      </c>
      <c r="C147">
        <v>1</v>
      </c>
      <c r="D147">
        <v>0</v>
      </c>
      <c r="E147">
        <v>2</v>
      </c>
      <c r="F147">
        <v>7</v>
      </c>
      <c r="G147" t="b">
        <v>0</v>
      </c>
      <c r="H147">
        <v>5</v>
      </c>
      <c r="I147">
        <v>1</v>
      </c>
      <c r="J147">
        <v>0.14000000000000001</v>
      </c>
      <c r="K147">
        <v>0.21210000000000001</v>
      </c>
      <c r="L147">
        <v>0.59</v>
      </c>
      <c r="M147">
        <v>0</v>
      </c>
      <c r="N147">
        <v>0</v>
      </c>
      <c r="O147">
        <v>87</v>
      </c>
      <c r="P147">
        <v>87</v>
      </c>
    </row>
    <row r="148" spans="1:16">
      <c r="A148">
        <v>766</v>
      </c>
      <c r="B148" s="2">
        <v>40578</v>
      </c>
      <c r="C148">
        <v>1</v>
      </c>
      <c r="D148">
        <v>0</v>
      </c>
      <c r="E148">
        <v>2</v>
      </c>
      <c r="F148">
        <v>8</v>
      </c>
      <c r="G148" t="b">
        <v>0</v>
      </c>
      <c r="H148">
        <v>5</v>
      </c>
      <c r="I148">
        <v>1</v>
      </c>
      <c r="J148">
        <v>0.14000000000000001</v>
      </c>
      <c r="K148">
        <v>0.1515</v>
      </c>
      <c r="L148">
        <v>0.74</v>
      </c>
      <c r="M148">
        <v>0.1343</v>
      </c>
      <c r="N148">
        <v>3</v>
      </c>
      <c r="O148">
        <v>217</v>
      </c>
      <c r="P148">
        <v>220</v>
      </c>
    </row>
    <row r="149" spans="1:16">
      <c r="A149">
        <v>767</v>
      </c>
      <c r="B149" s="2">
        <v>40578</v>
      </c>
      <c r="C149">
        <v>1</v>
      </c>
      <c r="D149">
        <v>0</v>
      </c>
      <c r="E149">
        <v>2</v>
      </c>
      <c r="F149">
        <v>9</v>
      </c>
      <c r="G149" t="b">
        <v>0</v>
      </c>
      <c r="H149">
        <v>5</v>
      </c>
      <c r="I149">
        <v>2</v>
      </c>
      <c r="J149">
        <v>0.16</v>
      </c>
      <c r="K149">
        <v>0.18179999999999999</v>
      </c>
      <c r="L149">
        <v>0.8</v>
      </c>
      <c r="M149">
        <v>0.1343</v>
      </c>
      <c r="N149">
        <v>3</v>
      </c>
      <c r="O149">
        <v>124</v>
      </c>
      <c r="P149">
        <v>127</v>
      </c>
    </row>
    <row r="150" spans="1:16">
      <c r="A150">
        <v>768</v>
      </c>
      <c r="B150" s="2">
        <v>40578</v>
      </c>
      <c r="C150">
        <v>1</v>
      </c>
      <c r="D150">
        <v>0</v>
      </c>
      <c r="E150">
        <v>2</v>
      </c>
      <c r="F150">
        <v>10</v>
      </c>
      <c r="G150" t="b">
        <v>0</v>
      </c>
      <c r="H150">
        <v>5</v>
      </c>
      <c r="I150">
        <v>2</v>
      </c>
      <c r="J150">
        <v>0.2</v>
      </c>
      <c r="K150">
        <v>0.21210000000000001</v>
      </c>
      <c r="L150">
        <v>0.51</v>
      </c>
      <c r="M150">
        <v>0.1343</v>
      </c>
      <c r="N150">
        <v>5</v>
      </c>
      <c r="O150">
        <v>46</v>
      </c>
      <c r="P150">
        <v>51</v>
      </c>
    </row>
    <row r="151" spans="1:16">
      <c r="A151">
        <v>769</v>
      </c>
      <c r="B151" s="2">
        <v>40578</v>
      </c>
      <c r="C151">
        <v>1</v>
      </c>
      <c r="D151">
        <v>0</v>
      </c>
      <c r="E151">
        <v>2</v>
      </c>
      <c r="F151">
        <v>11</v>
      </c>
      <c r="G151" t="b">
        <v>0</v>
      </c>
      <c r="H151">
        <v>5</v>
      </c>
      <c r="I151">
        <v>1</v>
      </c>
      <c r="J151">
        <v>0.22</v>
      </c>
      <c r="K151">
        <v>0.2273</v>
      </c>
      <c r="L151">
        <v>0.51</v>
      </c>
      <c r="M151">
        <v>0.16420000000000001</v>
      </c>
      <c r="N151">
        <v>3</v>
      </c>
      <c r="O151">
        <v>61</v>
      </c>
      <c r="P151">
        <v>64</v>
      </c>
    </row>
    <row r="152" spans="1:16">
      <c r="A152">
        <v>770</v>
      </c>
      <c r="B152" s="2">
        <v>40578</v>
      </c>
      <c r="C152">
        <v>1</v>
      </c>
      <c r="D152">
        <v>0</v>
      </c>
      <c r="E152">
        <v>2</v>
      </c>
      <c r="F152">
        <v>12</v>
      </c>
      <c r="G152" t="b">
        <v>0</v>
      </c>
      <c r="H152">
        <v>5</v>
      </c>
      <c r="I152">
        <v>2</v>
      </c>
      <c r="J152">
        <v>0.24</v>
      </c>
      <c r="K152">
        <v>0.2424</v>
      </c>
      <c r="L152">
        <v>0.48</v>
      </c>
      <c r="M152">
        <v>0.16420000000000001</v>
      </c>
      <c r="N152">
        <v>8</v>
      </c>
      <c r="O152">
        <v>78</v>
      </c>
      <c r="P152">
        <v>86</v>
      </c>
    </row>
    <row r="153" spans="1:16">
      <c r="A153">
        <v>771</v>
      </c>
      <c r="B153" s="2">
        <v>40578</v>
      </c>
      <c r="C153">
        <v>1</v>
      </c>
      <c r="D153">
        <v>0</v>
      </c>
      <c r="E153">
        <v>2</v>
      </c>
      <c r="F153">
        <v>13</v>
      </c>
      <c r="G153" t="b">
        <v>0</v>
      </c>
      <c r="H153">
        <v>5</v>
      </c>
      <c r="I153">
        <v>2</v>
      </c>
      <c r="J153">
        <v>0.26</v>
      </c>
      <c r="K153">
        <v>0.2576</v>
      </c>
      <c r="L153">
        <v>0.5</v>
      </c>
      <c r="M153">
        <v>0.22389999999999999</v>
      </c>
      <c r="N153">
        <v>9</v>
      </c>
      <c r="O153">
        <v>73</v>
      </c>
      <c r="P153">
        <v>82</v>
      </c>
    </row>
    <row r="154" spans="1:16">
      <c r="A154">
        <v>772</v>
      </c>
      <c r="B154" s="2">
        <v>40578</v>
      </c>
      <c r="C154">
        <v>1</v>
      </c>
      <c r="D154">
        <v>0</v>
      </c>
      <c r="E154">
        <v>2</v>
      </c>
      <c r="F154">
        <v>14</v>
      </c>
      <c r="G154" t="b">
        <v>0</v>
      </c>
      <c r="H154">
        <v>5</v>
      </c>
      <c r="I154">
        <v>2</v>
      </c>
      <c r="J154">
        <v>0.28000000000000003</v>
      </c>
      <c r="K154">
        <v>0.2727</v>
      </c>
      <c r="L154">
        <v>0.45</v>
      </c>
      <c r="M154">
        <v>0.16420000000000001</v>
      </c>
      <c r="N154">
        <v>15</v>
      </c>
      <c r="O154">
        <v>76</v>
      </c>
      <c r="P154">
        <v>91</v>
      </c>
    </row>
    <row r="155" spans="1:16">
      <c r="A155">
        <v>773</v>
      </c>
      <c r="B155" s="2">
        <v>40578</v>
      </c>
      <c r="C155">
        <v>1</v>
      </c>
      <c r="D155">
        <v>0</v>
      </c>
      <c r="E155">
        <v>2</v>
      </c>
      <c r="F155">
        <v>15</v>
      </c>
      <c r="G155" t="b">
        <v>0</v>
      </c>
      <c r="H155">
        <v>5</v>
      </c>
      <c r="I155">
        <v>2</v>
      </c>
      <c r="J155">
        <v>0.28000000000000003</v>
      </c>
      <c r="K155">
        <v>0.2727</v>
      </c>
      <c r="L155">
        <v>0.48</v>
      </c>
      <c r="M155">
        <v>0.25369999999999998</v>
      </c>
      <c r="N155">
        <v>9</v>
      </c>
      <c r="O155">
        <v>81</v>
      </c>
      <c r="P155">
        <v>90</v>
      </c>
    </row>
    <row r="156" spans="1:16">
      <c r="A156">
        <v>774</v>
      </c>
      <c r="B156" s="2">
        <v>40578</v>
      </c>
      <c r="C156">
        <v>1</v>
      </c>
      <c r="D156">
        <v>0</v>
      </c>
      <c r="E156">
        <v>2</v>
      </c>
      <c r="F156">
        <v>16</v>
      </c>
      <c r="G156" t="b">
        <v>0</v>
      </c>
      <c r="H156">
        <v>5</v>
      </c>
      <c r="I156">
        <v>2</v>
      </c>
      <c r="J156">
        <v>0.3</v>
      </c>
      <c r="K156">
        <v>0.28789999999999999</v>
      </c>
      <c r="L156">
        <v>0.42</v>
      </c>
      <c r="M156">
        <v>0.22389999999999999</v>
      </c>
      <c r="N156">
        <v>8</v>
      </c>
      <c r="O156">
        <v>91</v>
      </c>
      <c r="P156">
        <v>99</v>
      </c>
    </row>
    <row r="157" spans="1:16">
      <c r="A157">
        <v>775</v>
      </c>
      <c r="B157" s="2">
        <v>40578</v>
      </c>
      <c r="C157">
        <v>1</v>
      </c>
      <c r="D157">
        <v>0</v>
      </c>
      <c r="E157">
        <v>2</v>
      </c>
      <c r="F157">
        <v>17</v>
      </c>
      <c r="G157" t="b">
        <v>0</v>
      </c>
      <c r="H157">
        <v>5</v>
      </c>
      <c r="I157">
        <v>2</v>
      </c>
      <c r="J157">
        <v>0.26</v>
      </c>
      <c r="K157">
        <v>0.2727</v>
      </c>
      <c r="L157">
        <v>0.56000000000000005</v>
      </c>
      <c r="M157">
        <v>0.1343</v>
      </c>
      <c r="N157">
        <v>10</v>
      </c>
      <c r="O157">
        <v>195</v>
      </c>
      <c r="P157">
        <v>205</v>
      </c>
    </row>
    <row r="158" spans="1:16">
      <c r="A158">
        <v>776</v>
      </c>
      <c r="B158" s="2">
        <v>40578</v>
      </c>
      <c r="C158">
        <v>1</v>
      </c>
      <c r="D158">
        <v>0</v>
      </c>
      <c r="E158">
        <v>2</v>
      </c>
      <c r="F158">
        <v>18</v>
      </c>
      <c r="G158" t="b">
        <v>0</v>
      </c>
      <c r="H158">
        <v>5</v>
      </c>
      <c r="I158">
        <v>2</v>
      </c>
      <c r="J158">
        <v>0.24</v>
      </c>
      <c r="K158">
        <v>0.2576</v>
      </c>
      <c r="L158">
        <v>0.6</v>
      </c>
      <c r="M158">
        <v>0.1045</v>
      </c>
      <c r="N158">
        <v>3</v>
      </c>
      <c r="O158">
        <v>152</v>
      </c>
      <c r="P158">
        <v>155</v>
      </c>
    </row>
    <row r="159" spans="1:16">
      <c r="A159">
        <v>777</v>
      </c>
      <c r="B159" s="2">
        <v>40578</v>
      </c>
      <c r="C159">
        <v>1</v>
      </c>
      <c r="D159">
        <v>0</v>
      </c>
      <c r="E159">
        <v>2</v>
      </c>
      <c r="F159">
        <v>19</v>
      </c>
      <c r="G159" t="b">
        <v>0</v>
      </c>
      <c r="H159">
        <v>5</v>
      </c>
      <c r="I159">
        <v>2</v>
      </c>
      <c r="J159">
        <v>0.24</v>
      </c>
      <c r="K159">
        <v>0.2424</v>
      </c>
      <c r="L159">
        <v>0.65</v>
      </c>
      <c r="M159">
        <v>0.1343</v>
      </c>
      <c r="N159">
        <v>1</v>
      </c>
      <c r="O159">
        <v>102</v>
      </c>
      <c r="P159">
        <v>103</v>
      </c>
    </row>
    <row r="160" spans="1:16">
      <c r="A160">
        <v>778</v>
      </c>
      <c r="B160" s="2">
        <v>40578</v>
      </c>
      <c r="C160">
        <v>1</v>
      </c>
      <c r="D160">
        <v>0</v>
      </c>
      <c r="E160">
        <v>2</v>
      </c>
      <c r="F160">
        <v>20</v>
      </c>
      <c r="G160" t="b">
        <v>0</v>
      </c>
      <c r="H160">
        <v>5</v>
      </c>
      <c r="I160">
        <v>2</v>
      </c>
      <c r="J160">
        <v>0.24</v>
      </c>
      <c r="K160">
        <v>0.2424</v>
      </c>
      <c r="L160">
        <v>0.65</v>
      </c>
      <c r="M160">
        <v>0.16420000000000001</v>
      </c>
      <c r="N160">
        <v>2</v>
      </c>
      <c r="O160">
        <v>69</v>
      </c>
      <c r="P160">
        <v>71</v>
      </c>
    </row>
    <row r="161" spans="1:16">
      <c r="A161">
        <v>779</v>
      </c>
      <c r="B161" s="2">
        <v>40578</v>
      </c>
      <c r="C161">
        <v>1</v>
      </c>
      <c r="D161">
        <v>0</v>
      </c>
      <c r="E161">
        <v>2</v>
      </c>
      <c r="F161">
        <v>21</v>
      </c>
      <c r="G161" t="b">
        <v>0</v>
      </c>
      <c r="H161">
        <v>5</v>
      </c>
      <c r="I161">
        <v>2</v>
      </c>
      <c r="J161">
        <v>0.24</v>
      </c>
      <c r="K161">
        <v>0.2424</v>
      </c>
      <c r="L161">
        <v>0.7</v>
      </c>
      <c r="M161">
        <v>0.16420000000000001</v>
      </c>
      <c r="N161">
        <v>2</v>
      </c>
      <c r="O161">
        <v>41</v>
      </c>
      <c r="P161">
        <v>43</v>
      </c>
    </row>
    <row r="162" spans="1:16">
      <c r="A162">
        <v>780</v>
      </c>
      <c r="B162" s="2">
        <v>40578</v>
      </c>
      <c r="C162">
        <v>1</v>
      </c>
      <c r="D162">
        <v>0</v>
      </c>
      <c r="E162">
        <v>2</v>
      </c>
      <c r="F162">
        <v>22</v>
      </c>
      <c r="G162" t="b">
        <v>0</v>
      </c>
      <c r="H162">
        <v>5</v>
      </c>
      <c r="I162">
        <v>2</v>
      </c>
      <c r="J162">
        <v>0.24</v>
      </c>
      <c r="K162">
        <v>0.2424</v>
      </c>
      <c r="L162">
        <v>0.65</v>
      </c>
      <c r="M162">
        <v>0.16420000000000001</v>
      </c>
      <c r="N162">
        <v>1</v>
      </c>
      <c r="O162">
        <v>45</v>
      </c>
      <c r="P162">
        <v>46</v>
      </c>
    </row>
    <row r="163" spans="1:16">
      <c r="A163">
        <v>781</v>
      </c>
      <c r="B163" s="2">
        <v>40578</v>
      </c>
      <c r="C163">
        <v>1</v>
      </c>
      <c r="D163">
        <v>0</v>
      </c>
      <c r="E163">
        <v>2</v>
      </c>
      <c r="F163">
        <v>23</v>
      </c>
      <c r="G163" t="b">
        <v>0</v>
      </c>
      <c r="H163">
        <v>5</v>
      </c>
      <c r="I163">
        <v>2</v>
      </c>
      <c r="J163">
        <v>0.24</v>
      </c>
      <c r="K163">
        <v>0.2424</v>
      </c>
      <c r="L163">
        <v>0.7</v>
      </c>
      <c r="M163">
        <v>0.1343</v>
      </c>
      <c r="N163">
        <v>1</v>
      </c>
      <c r="O163">
        <v>30</v>
      </c>
      <c r="P163">
        <v>31</v>
      </c>
    </row>
    <row r="164" spans="1:16">
      <c r="A164">
        <v>782</v>
      </c>
      <c r="B164" s="2">
        <v>40579</v>
      </c>
      <c r="C164">
        <v>1</v>
      </c>
      <c r="D164">
        <v>0</v>
      </c>
      <c r="E164">
        <v>2</v>
      </c>
      <c r="F164">
        <v>0</v>
      </c>
      <c r="G164" t="b">
        <v>0</v>
      </c>
      <c r="H164">
        <v>6</v>
      </c>
      <c r="I164">
        <v>2</v>
      </c>
      <c r="J164">
        <v>0.24</v>
      </c>
      <c r="K164">
        <v>0.2424</v>
      </c>
      <c r="L164">
        <v>0.7</v>
      </c>
      <c r="M164">
        <v>0.16420000000000001</v>
      </c>
      <c r="N164">
        <v>3</v>
      </c>
      <c r="O164">
        <v>36</v>
      </c>
      <c r="P164">
        <v>39</v>
      </c>
    </row>
    <row r="165" spans="1:16">
      <c r="A165">
        <v>783</v>
      </c>
      <c r="B165" s="2">
        <v>40579</v>
      </c>
      <c r="C165">
        <v>1</v>
      </c>
      <c r="D165">
        <v>0</v>
      </c>
      <c r="E165">
        <v>2</v>
      </c>
      <c r="F165">
        <v>1</v>
      </c>
      <c r="G165" t="b">
        <v>0</v>
      </c>
      <c r="H165">
        <v>6</v>
      </c>
      <c r="I165">
        <v>2</v>
      </c>
      <c r="J165">
        <v>0.24</v>
      </c>
      <c r="K165">
        <v>0.2424</v>
      </c>
      <c r="L165">
        <v>0.65</v>
      </c>
      <c r="M165">
        <v>0.16420000000000001</v>
      </c>
      <c r="N165">
        <v>1</v>
      </c>
      <c r="O165">
        <v>17</v>
      </c>
      <c r="P165">
        <v>18</v>
      </c>
    </row>
    <row r="166" spans="1:16">
      <c r="A166">
        <v>784</v>
      </c>
      <c r="B166" s="2">
        <v>40579</v>
      </c>
      <c r="C166">
        <v>1</v>
      </c>
      <c r="D166">
        <v>0</v>
      </c>
      <c r="E166">
        <v>2</v>
      </c>
      <c r="F166">
        <v>2</v>
      </c>
      <c r="G166" t="b">
        <v>0</v>
      </c>
      <c r="H166">
        <v>6</v>
      </c>
      <c r="I166">
        <v>2</v>
      </c>
      <c r="J166">
        <v>0.24</v>
      </c>
      <c r="K166">
        <v>0.2424</v>
      </c>
      <c r="L166">
        <v>0.75</v>
      </c>
      <c r="M166">
        <v>0.16420000000000001</v>
      </c>
      <c r="N166">
        <v>5</v>
      </c>
      <c r="O166">
        <v>12</v>
      </c>
      <c r="P166">
        <v>17</v>
      </c>
    </row>
    <row r="167" spans="1:16">
      <c r="A167">
        <v>785</v>
      </c>
      <c r="B167" s="2">
        <v>40579</v>
      </c>
      <c r="C167">
        <v>1</v>
      </c>
      <c r="D167">
        <v>0</v>
      </c>
      <c r="E167">
        <v>2</v>
      </c>
      <c r="F167">
        <v>3</v>
      </c>
      <c r="G167" t="b">
        <v>0</v>
      </c>
      <c r="H167">
        <v>6</v>
      </c>
      <c r="I167">
        <v>2</v>
      </c>
      <c r="J167">
        <v>0.24</v>
      </c>
      <c r="K167">
        <v>0.2424</v>
      </c>
      <c r="L167">
        <v>0.75</v>
      </c>
      <c r="M167">
        <v>0.16420000000000001</v>
      </c>
      <c r="N167">
        <v>1</v>
      </c>
      <c r="O167">
        <v>10</v>
      </c>
      <c r="P167">
        <v>11</v>
      </c>
    </row>
    <row r="168" spans="1:16">
      <c r="A168">
        <v>786</v>
      </c>
      <c r="B168" s="2">
        <v>40579</v>
      </c>
      <c r="C168">
        <v>1</v>
      </c>
      <c r="D168">
        <v>0</v>
      </c>
      <c r="E168">
        <v>2</v>
      </c>
      <c r="F168">
        <v>4</v>
      </c>
      <c r="G168" t="b">
        <v>0</v>
      </c>
      <c r="H168">
        <v>6</v>
      </c>
      <c r="I168">
        <v>3</v>
      </c>
      <c r="J168">
        <v>0.22</v>
      </c>
      <c r="K168">
        <v>0.2273</v>
      </c>
      <c r="L168">
        <v>0.93</v>
      </c>
      <c r="M168">
        <v>0.1343</v>
      </c>
      <c r="N168">
        <v>0</v>
      </c>
      <c r="O168">
        <v>8</v>
      </c>
      <c r="P168">
        <v>8</v>
      </c>
    </row>
    <row r="169" spans="1:16">
      <c r="A169">
        <v>787</v>
      </c>
      <c r="B169" s="2">
        <v>40579</v>
      </c>
      <c r="C169">
        <v>1</v>
      </c>
      <c r="D169">
        <v>0</v>
      </c>
      <c r="E169">
        <v>2</v>
      </c>
      <c r="F169">
        <v>5</v>
      </c>
      <c r="G169" t="b">
        <v>0</v>
      </c>
      <c r="H169">
        <v>6</v>
      </c>
      <c r="I169">
        <v>3</v>
      </c>
      <c r="J169">
        <v>0.2</v>
      </c>
      <c r="K169">
        <v>0.2273</v>
      </c>
      <c r="L169">
        <v>1</v>
      </c>
      <c r="M169">
        <v>8.9599999999999999E-2</v>
      </c>
      <c r="N169">
        <v>0</v>
      </c>
      <c r="O169">
        <v>9</v>
      </c>
      <c r="P169">
        <v>9</v>
      </c>
    </row>
    <row r="170" spans="1:16">
      <c r="A170">
        <v>788</v>
      </c>
      <c r="B170" s="2">
        <v>40579</v>
      </c>
      <c r="C170">
        <v>1</v>
      </c>
      <c r="D170">
        <v>0</v>
      </c>
      <c r="E170">
        <v>2</v>
      </c>
      <c r="F170">
        <v>6</v>
      </c>
      <c r="G170" t="b">
        <v>0</v>
      </c>
      <c r="H170">
        <v>6</v>
      </c>
      <c r="I170">
        <v>3</v>
      </c>
      <c r="J170">
        <v>0.2</v>
      </c>
      <c r="K170">
        <v>0.2576</v>
      </c>
      <c r="L170">
        <v>1</v>
      </c>
      <c r="M170">
        <v>0</v>
      </c>
      <c r="N170">
        <v>0</v>
      </c>
      <c r="O170">
        <v>4</v>
      </c>
      <c r="P170">
        <v>4</v>
      </c>
    </row>
    <row r="171" spans="1:16">
      <c r="A171">
        <v>789</v>
      </c>
      <c r="B171" s="2">
        <v>40579</v>
      </c>
      <c r="C171">
        <v>1</v>
      </c>
      <c r="D171">
        <v>0</v>
      </c>
      <c r="E171">
        <v>2</v>
      </c>
      <c r="F171">
        <v>7</v>
      </c>
      <c r="G171" t="b">
        <v>0</v>
      </c>
      <c r="H171">
        <v>6</v>
      </c>
      <c r="I171">
        <v>3</v>
      </c>
      <c r="J171">
        <v>0.22</v>
      </c>
      <c r="K171">
        <v>0.2576</v>
      </c>
      <c r="L171">
        <v>0.93</v>
      </c>
      <c r="M171">
        <v>8.9599999999999999E-2</v>
      </c>
      <c r="N171">
        <v>0</v>
      </c>
      <c r="O171">
        <v>4</v>
      </c>
      <c r="P171">
        <v>4</v>
      </c>
    </row>
    <row r="172" spans="1:16">
      <c r="A172">
        <v>790</v>
      </c>
      <c r="B172" s="2">
        <v>40579</v>
      </c>
      <c r="C172">
        <v>1</v>
      </c>
      <c r="D172">
        <v>0</v>
      </c>
      <c r="E172">
        <v>2</v>
      </c>
      <c r="F172">
        <v>8</v>
      </c>
      <c r="G172" t="b">
        <v>0</v>
      </c>
      <c r="H172">
        <v>6</v>
      </c>
      <c r="I172">
        <v>3</v>
      </c>
      <c r="J172">
        <v>0.2</v>
      </c>
      <c r="K172">
        <v>0.2273</v>
      </c>
      <c r="L172">
        <v>1</v>
      </c>
      <c r="M172">
        <v>8.9599999999999999E-2</v>
      </c>
      <c r="N172">
        <v>0</v>
      </c>
      <c r="O172">
        <v>10</v>
      </c>
      <c r="P172">
        <v>10</v>
      </c>
    </row>
    <row r="173" spans="1:16">
      <c r="A173">
        <v>791</v>
      </c>
      <c r="B173" s="2">
        <v>40579</v>
      </c>
      <c r="C173">
        <v>1</v>
      </c>
      <c r="D173">
        <v>0</v>
      </c>
      <c r="E173">
        <v>2</v>
      </c>
      <c r="F173">
        <v>9</v>
      </c>
      <c r="G173" t="b">
        <v>0</v>
      </c>
      <c r="H173">
        <v>6</v>
      </c>
      <c r="I173">
        <v>3</v>
      </c>
      <c r="J173">
        <v>0.2</v>
      </c>
      <c r="K173">
        <v>0.2273</v>
      </c>
      <c r="L173">
        <v>1</v>
      </c>
      <c r="M173">
        <v>8.9599999999999999E-2</v>
      </c>
      <c r="N173">
        <v>3</v>
      </c>
      <c r="O173">
        <v>17</v>
      </c>
      <c r="P173">
        <v>20</v>
      </c>
    </row>
    <row r="174" spans="1:16">
      <c r="A174">
        <v>792</v>
      </c>
      <c r="B174" s="2">
        <v>40579</v>
      </c>
      <c r="C174">
        <v>1</v>
      </c>
      <c r="D174">
        <v>0</v>
      </c>
      <c r="E174">
        <v>2</v>
      </c>
      <c r="F174">
        <v>10</v>
      </c>
      <c r="G174" t="b">
        <v>0</v>
      </c>
      <c r="H174">
        <v>6</v>
      </c>
      <c r="I174">
        <v>3</v>
      </c>
      <c r="J174">
        <v>0.2</v>
      </c>
      <c r="K174">
        <v>0.21210000000000001</v>
      </c>
      <c r="L174">
        <v>1</v>
      </c>
      <c r="M174">
        <v>0.1343</v>
      </c>
      <c r="N174">
        <v>3</v>
      </c>
      <c r="O174">
        <v>31</v>
      </c>
      <c r="P174">
        <v>34</v>
      </c>
    </row>
    <row r="175" spans="1:16">
      <c r="A175">
        <v>793</v>
      </c>
      <c r="B175" s="2">
        <v>40579</v>
      </c>
      <c r="C175">
        <v>1</v>
      </c>
      <c r="D175">
        <v>0</v>
      </c>
      <c r="E175">
        <v>2</v>
      </c>
      <c r="F175">
        <v>11</v>
      </c>
      <c r="G175" t="b">
        <v>0</v>
      </c>
      <c r="H175">
        <v>6</v>
      </c>
      <c r="I175">
        <v>3</v>
      </c>
      <c r="J175">
        <v>0.22</v>
      </c>
      <c r="K175">
        <v>0.2273</v>
      </c>
      <c r="L175">
        <v>1</v>
      </c>
      <c r="M175">
        <v>0.1343</v>
      </c>
      <c r="N175">
        <v>1</v>
      </c>
      <c r="O175">
        <v>46</v>
      </c>
      <c r="P175">
        <v>47</v>
      </c>
    </row>
    <row r="176" spans="1:16">
      <c r="A176">
        <v>794</v>
      </c>
      <c r="B176" s="2">
        <v>40579</v>
      </c>
      <c r="C176">
        <v>1</v>
      </c>
      <c r="D176">
        <v>0</v>
      </c>
      <c r="E176">
        <v>2</v>
      </c>
      <c r="F176">
        <v>12</v>
      </c>
      <c r="G176" t="b">
        <v>0</v>
      </c>
      <c r="H176">
        <v>6</v>
      </c>
      <c r="I176">
        <v>3</v>
      </c>
      <c r="J176">
        <v>0.22</v>
      </c>
      <c r="K176">
        <v>0.2273</v>
      </c>
      <c r="L176">
        <v>1</v>
      </c>
      <c r="M176">
        <v>0.16420000000000001</v>
      </c>
      <c r="N176">
        <v>10</v>
      </c>
      <c r="O176">
        <v>42</v>
      </c>
      <c r="P176">
        <v>52</v>
      </c>
    </row>
    <row r="177" spans="1:16">
      <c r="A177">
        <v>795</v>
      </c>
      <c r="B177" s="2">
        <v>40579</v>
      </c>
      <c r="C177">
        <v>1</v>
      </c>
      <c r="D177">
        <v>0</v>
      </c>
      <c r="E177">
        <v>2</v>
      </c>
      <c r="F177">
        <v>13</v>
      </c>
      <c r="G177" t="b">
        <v>0</v>
      </c>
      <c r="H177">
        <v>6</v>
      </c>
      <c r="I177">
        <v>3</v>
      </c>
      <c r="J177">
        <v>0.22</v>
      </c>
      <c r="K177">
        <v>0.2273</v>
      </c>
      <c r="L177">
        <v>1</v>
      </c>
      <c r="M177">
        <v>0.16420000000000001</v>
      </c>
      <c r="N177">
        <v>10</v>
      </c>
      <c r="O177">
        <v>62</v>
      </c>
      <c r="P177">
        <v>72</v>
      </c>
    </row>
    <row r="178" spans="1:16">
      <c r="A178">
        <v>796</v>
      </c>
      <c r="B178" s="2">
        <v>40579</v>
      </c>
      <c r="C178">
        <v>1</v>
      </c>
      <c r="D178">
        <v>0</v>
      </c>
      <c r="E178">
        <v>2</v>
      </c>
      <c r="F178">
        <v>14</v>
      </c>
      <c r="G178" t="b">
        <v>0</v>
      </c>
      <c r="H178">
        <v>6</v>
      </c>
      <c r="I178">
        <v>3</v>
      </c>
      <c r="J178">
        <v>0.22</v>
      </c>
      <c r="K178">
        <v>0.2727</v>
      </c>
      <c r="L178">
        <v>1</v>
      </c>
      <c r="M178">
        <v>0</v>
      </c>
      <c r="N178">
        <v>5</v>
      </c>
      <c r="O178">
        <v>50</v>
      </c>
      <c r="P178">
        <v>55</v>
      </c>
    </row>
    <row r="179" spans="1:16">
      <c r="A179">
        <v>797</v>
      </c>
      <c r="B179" s="2">
        <v>40579</v>
      </c>
      <c r="C179">
        <v>1</v>
      </c>
      <c r="D179">
        <v>0</v>
      </c>
      <c r="E179">
        <v>2</v>
      </c>
      <c r="F179">
        <v>15</v>
      </c>
      <c r="G179" t="b">
        <v>0</v>
      </c>
      <c r="H179">
        <v>6</v>
      </c>
      <c r="I179">
        <v>3</v>
      </c>
      <c r="J179">
        <v>0.22</v>
      </c>
      <c r="K179">
        <v>0.2727</v>
      </c>
      <c r="L179">
        <v>1</v>
      </c>
      <c r="M179">
        <v>0</v>
      </c>
      <c r="N179">
        <v>11</v>
      </c>
      <c r="O179">
        <v>49</v>
      </c>
      <c r="P179">
        <v>60</v>
      </c>
    </row>
    <row r="180" spans="1:16">
      <c r="A180">
        <v>798</v>
      </c>
      <c r="B180" s="2">
        <v>40579</v>
      </c>
      <c r="C180">
        <v>1</v>
      </c>
      <c r="D180">
        <v>0</v>
      </c>
      <c r="E180">
        <v>2</v>
      </c>
      <c r="F180">
        <v>16</v>
      </c>
      <c r="G180" t="b">
        <v>0</v>
      </c>
      <c r="H180">
        <v>6</v>
      </c>
      <c r="I180">
        <v>3</v>
      </c>
      <c r="J180">
        <v>0.22</v>
      </c>
      <c r="K180">
        <v>0.2273</v>
      </c>
      <c r="L180">
        <v>1</v>
      </c>
      <c r="M180">
        <v>0.1343</v>
      </c>
      <c r="N180">
        <v>8</v>
      </c>
      <c r="O180">
        <v>63</v>
      </c>
      <c r="P180">
        <v>71</v>
      </c>
    </row>
    <row r="181" spans="1:16">
      <c r="A181">
        <v>799</v>
      </c>
      <c r="B181" s="2">
        <v>40579</v>
      </c>
      <c r="C181">
        <v>1</v>
      </c>
      <c r="D181">
        <v>0</v>
      </c>
      <c r="E181">
        <v>2</v>
      </c>
      <c r="F181">
        <v>17</v>
      </c>
      <c r="G181" t="b">
        <v>0</v>
      </c>
      <c r="H181">
        <v>6</v>
      </c>
      <c r="I181">
        <v>2</v>
      </c>
      <c r="J181">
        <v>0.24</v>
      </c>
      <c r="K181">
        <v>0.21210000000000001</v>
      </c>
      <c r="L181">
        <v>1</v>
      </c>
      <c r="M181">
        <v>0.28360000000000002</v>
      </c>
      <c r="N181">
        <v>14</v>
      </c>
      <c r="O181">
        <v>64</v>
      </c>
      <c r="P181">
        <v>78</v>
      </c>
    </row>
    <row r="182" spans="1:16">
      <c r="A182">
        <v>800</v>
      </c>
      <c r="B182" s="2">
        <v>40579</v>
      </c>
      <c r="C182">
        <v>1</v>
      </c>
      <c r="D182">
        <v>0</v>
      </c>
      <c r="E182">
        <v>2</v>
      </c>
      <c r="F182">
        <v>18</v>
      </c>
      <c r="G182" t="b">
        <v>0</v>
      </c>
      <c r="H182">
        <v>6</v>
      </c>
      <c r="I182">
        <v>2</v>
      </c>
      <c r="J182">
        <v>0.28000000000000003</v>
      </c>
      <c r="K182">
        <v>0.2424</v>
      </c>
      <c r="L182">
        <v>0.93</v>
      </c>
      <c r="M182">
        <v>0.44779999999999998</v>
      </c>
      <c r="N182">
        <v>2</v>
      </c>
      <c r="O182">
        <v>81</v>
      </c>
      <c r="P182">
        <v>83</v>
      </c>
    </row>
    <row r="183" spans="1:16">
      <c r="A183">
        <v>801</v>
      </c>
      <c r="B183" s="2">
        <v>40579</v>
      </c>
      <c r="C183">
        <v>1</v>
      </c>
      <c r="D183">
        <v>0</v>
      </c>
      <c r="E183">
        <v>2</v>
      </c>
      <c r="F183">
        <v>19</v>
      </c>
      <c r="G183" t="b">
        <v>0</v>
      </c>
      <c r="H183">
        <v>6</v>
      </c>
      <c r="I183">
        <v>2</v>
      </c>
      <c r="J183">
        <v>0.28000000000000003</v>
      </c>
      <c r="K183">
        <v>0.2424</v>
      </c>
      <c r="L183">
        <v>0.93</v>
      </c>
      <c r="M183">
        <v>0.44779999999999998</v>
      </c>
      <c r="N183">
        <v>6</v>
      </c>
      <c r="O183">
        <v>78</v>
      </c>
      <c r="P183">
        <v>84</v>
      </c>
    </row>
    <row r="184" spans="1:16">
      <c r="A184">
        <v>802</v>
      </c>
      <c r="B184" s="2">
        <v>40579</v>
      </c>
      <c r="C184">
        <v>1</v>
      </c>
      <c r="D184">
        <v>0</v>
      </c>
      <c r="E184">
        <v>2</v>
      </c>
      <c r="F184">
        <v>20</v>
      </c>
      <c r="G184" t="b">
        <v>0</v>
      </c>
      <c r="H184">
        <v>6</v>
      </c>
      <c r="I184">
        <v>1</v>
      </c>
      <c r="J184">
        <v>0.3</v>
      </c>
      <c r="K184">
        <v>0.28789999999999999</v>
      </c>
      <c r="L184">
        <v>0.87</v>
      </c>
      <c r="M184">
        <v>0.25369999999999998</v>
      </c>
      <c r="N184">
        <v>5</v>
      </c>
      <c r="O184">
        <v>64</v>
      </c>
      <c r="P184">
        <v>69</v>
      </c>
    </row>
    <row r="185" spans="1:16">
      <c r="A185">
        <v>803</v>
      </c>
      <c r="B185" s="2">
        <v>40579</v>
      </c>
      <c r="C185">
        <v>1</v>
      </c>
      <c r="D185">
        <v>0</v>
      </c>
      <c r="E185">
        <v>2</v>
      </c>
      <c r="F185">
        <v>21</v>
      </c>
      <c r="G185" t="b">
        <v>0</v>
      </c>
      <c r="H185">
        <v>6</v>
      </c>
      <c r="I185">
        <v>1</v>
      </c>
      <c r="J185">
        <v>0.26</v>
      </c>
      <c r="K185">
        <v>0.2576</v>
      </c>
      <c r="L185">
        <v>1</v>
      </c>
      <c r="M185">
        <v>0.19400000000000001</v>
      </c>
      <c r="N185">
        <v>3</v>
      </c>
      <c r="O185">
        <v>53</v>
      </c>
      <c r="P185">
        <v>56</v>
      </c>
    </row>
    <row r="186" spans="1:16">
      <c r="A186">
        <v>804</v>
      </c>
      <c r="B186" s="2">
        <v>40579</v>
      </c>
      <c r="C186">
        <v>1</v>
      </c>
      <c r="D186">
        <v>0</v>
      </c>
      <c r="E186">
        <v>2</v>
      </c>
      <c r="F186">
        <v>22</v>
      </c>
      <c r="G186" t="b">
        <v>0</v>
      </c>
      <c r="H186">
        <v>6</v>
      </c>
      <c r="I186">
        <v>1</v>
      </c>
      <c r="J186">
        <v>0.26</v>
      </c>
      <c r="K186">
        <v>0.2727</v>
      </c>
      <c r="L186">
        <v>0.93</v>
      </c>
      <c r="M186">
        <v>0.1343</v>
      </c>
      <c r="N186">
        <v>2</v>
      </c>
      <c r="O186">
        <v>43</v>
      </c>
      <c r="P186">
        <v>45</v>
      </c>
    </row>
    <row r="187" spans="1:16">
      <c r="A187">
        <v>805</v>
      </c>
      <c r="B187" s="2">
        <v>40579</v>
      </c>
      <c r="C187">
        <v>1</v>
      </c>
      <c r="D187">
        <v>0</v>
      </c>
      <c r="E187">
        <v>2</v>
      </c>
      <c r="F187">
        <v>23</v>
      </c>
      <c r="G187" t="b">
        <v>0</v>
      </c>
      <c r="H187">
        <v>6</v>
      </c>
      <c r="I187">
        <v>1</v>
      </c>
      <c r="J187">
        <v>0.26</v>
      </c>
      <c r="K187">
        <v>0.2576</v>
      </c>
      <c r="L187">
        <v>0.93</v>
      </c>
      <c r="M187">
        <v>0.22389999999999999</v>
      </c>
      <c r="N187">
        <v>7</v>
      </c>
      <c r="O187">
        <v>52</v>
      </c>
      <c r="P187">
        <v>59</v>
      </c>
    </row>
    <row r="188" spans="1:16">
      <c r="A188">
        <v>806</v>
      </c>
      <c r="B188" s="2">
        <v>40580</v>
      </c>
      <c r="C188">
        <v>1</v>
      </c>
      <c r="D188">
        <v>0</v>
      </c>
      <c r="E188">
        <v>2</v>
      </c>
      <c r="F188">
        <v>0</v>
      </c>
      <c r="G188" t="b">
        <v>0</v>
      </c>
      <c r="H188">
        <v>0</v>
      </c>
      <c r="I188">
        <v>1</v>
      </c>
      <c r="J188">
        <v>0.26</v>
      </c>
      <c r="K188">
        <v>0.2576</v>
      </c>
      <c r="L188">
        <v>0.7</v>
      </c>
      <c r="M188">
        <v>0.19400000000000001</v>
      </c>
      <c r="N188">
        <v>2</v>
      </c>
      <c r="O188">
        <v>37</v>
      </c>
      <c r="P188">
        <v>39</v>
      </c>
    </row>
    <row r="189" spans="1:16">
      <c r="A189">
        <v>807</v>
      </c>
      <c r="B189" s="2">
        <v>40580</v>
      </c>
      <c r="C189">
        <v>1</v>
      </c>
      <c r="D189">
        <v>0</v>
      </c>
      <c r="E189">
        <v>2</v>
      </c>
      <c r="F189">
        <v>1</v>
      </c>
      <c r="G189" t="b">
        <v>0</v>
      </c>
      <c r="H189">
        <v>0</v>
      </c>
      <c r="I189">
        <v>1</v>
      </c>
      <c r="J189">
        <v>0.26</v>
      </c>
      <c r="K189">
        <v>0.2273</v>
      </c>
      <c r="L189">
        <v>0.65</v>
      </c>
      <c r="M189">
        <v>0.41789999999999999</v>
      </c>
      <c r="N189">
        <v>4</v>
      </c>
      <c r="O189">
        <v>40</v>
      </c>
      <c r="P189">
        <v>44</v>
      </c>
    </row>
    <row r="190" spans="1:16">
      <c r="A190">
        <v>808</v>
      </c>
      <c r="B190" s="2">
        <v>40580</v>
      </c>
      <c r="C190">
        <v>1</v>
      </c>
      <c r="D190">
        <v>0</v>
      </c>
      <c r="E190">
        <v>2</v>
      </c>
      <c r="F190">
        <v>2</v>
      </c>
      <c r="G190" t="b">
        <v>0</v>
      </c>
      <c r="H190">
        <v>0</v>
      </c>
      <c r="I190">
        <v>1</v>
      </c>
      <c r="J190">
        <v>0.26</v>
      </c>
      <c r="K190">
        <v>0.2273</v>
      </c>
      <c r="L190">
        <v>0.6</v>
      </c>
      <c r="M190">
        <v>0.32840000000000003</v>
      </c>
      <c r="N190">
        <v>0</v>
      </c>
      <c r="O190">
        <v>20</v>
      </c>
      <c r="P190">
        <v>20</v>
      </c>
    </row>
    <row r="191" spans="1:16">
      <c r="A191">
        <v>809</v>
      </c>
      <c r="B191" s="2">
        <v>40580</v>
      </c>
      <c r="C191">
        <v>1</v>
      </c>
      <c r="D191">
        <v>0</v>
      </c>
      <c r="E191">
        <v>2</v>
      </c>
      <c r="F191">
        <v>3</v>
      </c>
      <c r="G191" t="b">
        <v>0</v>
      </c>
      <c r="H191">
        <v>0</v>
      </c>
      <c r="I191">
        <v>1</v>
      </c>
      <c r="J191">
        <v>0.26</v>
      </c>
      <c r="K191">
        <v>0.28789999999999999</v>
      </c>
      <c r="L191">
        <v>0.6</v>
      </c>
      <c r="M191">
        <v>8.9599999999999999E-2</v>
      </c>
      <c r="N191">
        <v>3</v>
      </c>
      <c r="O191">
        <v>10</v>
      </c>
      <c r="P191">
        <v>13</v>
      </c>
    </row>
    <row r="192" spans="1:16">
      <c r="A192">
        <v>810</v>
      </c>
      <c r="B192" s="2">
        <v>40580</v>
      </c>
      <c r="C192">
        <v>1</v>
      </c>
      <c r="D192">
        <v>0</v>
      </c>
      <c r="E192">
        <v>2</v>
      </c>
      <c r="F192">
        <v>4</v>
      </c>
      <c r="G192" t="b">
        <v>0</v>
      </c>
      <c r="H192">
        <v>0</v>
      </c>
      <c r="I192">
        <v>1</v>
      </c>
      <c r="J192">
        <v>0.26</v>
      </c>
      <c r="K192">
        <v>0.2273</v>
      </c>
      <c r="L192">
        <v>0.6</v>
      </c>
      <c r="M192">
        <v>0.35820000000000002</v>
      </c>
      <c r="N192">
        <v>0</v>
      </c>
      <c r="O192">
        <v>2</v>
      </c>
      <c r="P192">
        <v>2</v>
      </c>
    </row>
    <row r="193" spans="1:16">
      <c r="A193">
        <v>811</v>
      </c>
      <c r="B193" s="2">
        <v>40580</v>
      </c>
      <c r="C193">
        <v>1</v>
      </c>
      <c r="D193">
        <v>0</v>
      </c>
      <c r="E193">
        <v>2</v>
      </c>
      <c r="F193">
        <v>5</v>
      </c>
      <c r="G193" t="b">
        <v>0</v>
      </c>
      <c r="H193">
        <v>0</v>
      </c>
      <c r="I193">
        <v>1</v>
      </c>
      <c r="J193">
        <v>0.26</v>
      </c>
      <c r="K193">
        <v>0.2576</v>
      </c>
      <c r="L193">
        <v>0.6</v>
      </c>
      <c r="M193">
        <v>0.22389999999999999</v>
      </c>
      <c r="N193">
        <v>0</v>
      </c>
      <c r="O193">
        <v>1</v>
      </c>
      <c r="P193">
        <v>1</v>
      </c>
    </row>
    <row r="194" spans="1:16">
      <c r="A194">
        <v>812</v>
      </c>
      <c r="B194" s="2">
        <v>40580</v>
      </c>
      <c r="C194">
        <v>1</v>
      </c>
      <c r="D194">
        <v>0</v>
      </c>
      <c r="E194">
        <v>2</v>
      </c>
      <c r="F194">
        <v>6</v>
      </c>
      <c r="G194" t="b">
        <v>0</v>
      </c>
      <c r="H194">
        <v>0</v>
      </c>
      <c r="I194">
        <v>1</v>
      </c>
      <c r="J194">
        <v>0.26</v>
      </c>
      <c r="K194">
        <v>0.2576</v>
      </c>
      <c r="L194">
        <v>0.6</v>
      </c>
      <c r="M194">
        <v>0.22389999999999999</v>
      </c>
      <c r="N194">
        <v>0</v>
      </c>
      <c r="O194">
        <v>1</v>
      </c>
      <c r="P194">
        <v>1</v>
      </c>
    </row>
    <row r="195" spans="1:16">
      <c r="A195">
        <v>813</v>
      </c>
      <c r="B195" s="2">
        <v>40580</v>
      </c>
      <c r="C195">
        <v>1</v>
      </c>
      <c r="D195">
        <v>0</v>
      </c>
      <c r="E195">
        <v>2</v>
      </c>
      <c r="F195">
        <v>7</v>
      </c>
      <c r="G195" t="b">
        <v>0</v>
      </c>
      <c r="H195">
        <v>0</v>
      </c>
      <c r="I195">
        <v>1</v>
      </c>
      <c r="J195">
        <v>0.24</v>
      </c>
      <c r="K195">
        <v>0.2424</v>
      </c>
      <c r="L195">
        <v>0.65</v>
      </c>
      <c r="M195">
        <v>0.16420000000000001</v>
      </c>
      <c r="N195">
        <v>0</v>
      </c>
      <c r="O195">
        <v>8</v>
      </c>
      <c r="P195">
        <v>8</v>
      </c>
    </row>
    <row r="196" spans="1:16">
      <c r="A196">
        <v>814</v>
      </c>
      <c r="B196" s="2">
        <v>40580</v>
      </c>
      <c r="C196">
        <v>1</v>
      </c>
      <c r="D196">
        <v>0</v>
      </c>
      <c r="E196">
        <v>2</v>
      </c>
      <c r="F196">
        <v>8</v>
      </c>
      <c r="G196" t="b">
        <v>0</v>
      </c>
      <c r="H196">
        <v>0</v>
      </c>
      <c r="I196">
        <v>1</v>
      </c>
      <c r="J196">
        <v>0.24</v>
      </c>
      <c r="K196">
        <v>0.2576</v>
      </c>
      <c r="L196">
        <v>0.65</v>
      </c>
      <c r="M196">
        <v>0.1045</v>
      </c>
      <c r="N196">
        <v>2</v>
      </c>
      <c r="O196">
        <v>21</v>
      </c>
      <c r="P196">
        <v>23</v>
      </c>
    </row>
    <row r="197" spans="1:16">
      <c r="A197">
        <v>815</v>
      </c>
      <c r="B197" s="2">
        <v>40580</v>
      </c>
      <c r="C197">
        <v>1</v>
      </c>
      <c r="D197">
        <v>0</v>
      </c>
      <c r="E197">
        <v>2</v>
      </c>
      <c r="F197">
        <v>9</v>
      </c>
      <c r="G197" t="b">
        <v>0</v>
      </c>
      <c r="H197">
        <v>0</v>
      </c>
      <c r="I197">
        <v>1</v>
      </c>
      <c r="J197">
        <v>0.28000000000000003</v>
      </c>
      <c r="K197">
        <v>0.28789999999999999</v>
      </c>
      <c r="L197">
        <v>0.56000000000000005</v>
      </c>
      <c r="M197">
        <v>0.1045</v>
      </c>
      <c r="N197">
        <v>7</v>
      </c>
      <c r="O197">
        <v>38</v>
      </c>
      <c r="P197">
        <v>45</v>
      </c>
    </row>
    <row r="198" spans="1:16">
      <c r="A198">
        <v>816</v>
      </c>
      <c r="B198" s="2">
        <v>40580</v>
      </c>
      <c r="C198">
        <v>1</v>
      </c>
      <c r="D198">
        <v>0</v>
      </c>
      <c r="E198">
        <v>2</v>
      </c>
      <c r="F198">
        <v>10</v>
      </c>
      <c r="G198" t="b">
        <v>0</v>
      </c>
      <c r="H198">
        <v>0</v>
      </c>
      <c r="I198">
        <v>1</v>
      </c>
      <c r="J198">
        <v>0.3</v>
      </c>
      <c r="K198">
        <v>0.28789999999999999</v>
      </c>
      <c r="L198">
        <v>0.52</v>
      </c>
      <c r="M198">
        <v>0.25369999999999998</v>
      </c>
      <c r="N198">
        <v>15</v>
      </c>
      <c r="O198">
        <v>74</v>
      </c>
      <c r="P198">
        <v>89</v>
      </c>
    </row>
    <row r="199" spans="1:16">
      <c r="A199">
        <v>817</v>
      </c>
      <c r="B199" s="2">
        <v>40580</v>
      </c>
      <c r="C199">
        <v>1</v>
      </c>
      <c r="D199">
        <v>0</v>
      </c>
      <c r="E199">
        <v>2</v>
      </c>
      <c r="F199">
        <v>11</v>
      </c>
      <c r="G199" t="b">
        <v>0</v>
      </c>
      <c r="H199">
        <v>0</v>
      </c>
      <c r="I199">
        <v>1</v>
      </c>
      <c r="J199">
        <v>0.32</v>
      </c>
      <c r="K199">
        <v>0.30299999999999999</v>
      </c>
      <c r="L199">
        <v>0.49</v>
      </c>
      <c r="M199">
        <v>0.25369999999999998</v>
      </c>
      <c r="N199">
        <v>28</v>
      </c>
      <c r="O199">
        <v>89</v>
      </c>
      <c r="P199">
        <v>117</v>
      </c>
    </row>
    <row r="200" spans="1:16">
      <c r="A200">
        <v>818</v>
      </c>
      <c r="B200" s="2">
        <v>40580</v>
      </c>
      <c r="C200">
        <v>1</v>
      </c>
      <c r="D200">
        <v>0</v>
      </c>
      <c r="E200">
        <v>2</v>
      </c>
      <c r="F200">
        <v>12</v>
      </c>
      <c r="G200" t="b">
        <v>0</v>
      </c>
      <c r="H200">
        <v>0</v>
      </c>
      <c r="I200">
        <v>1</v>
      </c>
      <c r="J200">
        <v>0.34</v>
      </c>
      <c r="K200">
        <v>0.33329999999999999</v>
      </c>
      <c r="L200">
        <v>0.46</v>
      </c>
      <c r="M200">
        <v>0</v>
      </c>
      <c r="N200">
        <v>48</v>
      </c>
      <c r="O200">
        <v>126</v>
      </c>
      <c r="P200">
        <v>174</v>
      </c>
    </row>
    <row r="201" spans="1:16">
      <c r="A201">
        <v>819</v>
      </c>
      <c r="B201" s="2">
        <v>40580</v>
      </c>
      <c r="C201">
        <v>1</v>
      </c>
      <c r="D201">
        <v>0</v>
      </c>
      <c r="E201">
        <v>2</v>
      </c>
      <c r="F201">
        <v>13</v>
      </c>
      <c r="G201" t="b">
        <v>0</v>
      </c>
      <c r="H201">
        <v>0</v>
      </c>
      <c r="I201">
        <v>1</v>
      </c>
      <c r="J201">
        <v>0.34</v>
      </c>
      <c r="K201">
        <v>0.36359999999999998</v>
      </c>
      <c r="L201">
        <v>0.46</v>
      </c>
      <c r="M201">
        <v>0</v>
      </c>
      <c r="N201">
        <v>47</v>
      </c>
      <c r="O201">
        <v>135</v>
      </c>
      <c r="P201">
        <v>182</v>
      </c>
    </row>
    <row r="202" spans="1:16">
      <c r="A202">
        <v>820</v>
      </c>
      <c r="B202" s="2">
        <v>40580</v>
      </c>
      <c r="C202">
        <v>1</v>
      </c>
      <c r="D202">
        <v>0</v>
      </c>
      <c r="E202">
        <v>2</v>
      </c>
      <c r="F202">
        <v>14</v>
      </c>
      <c r="G202" t="b">
        <v>0</v>
      </c>
      <c r="H202">
        <v>0</v>
      </c>
      <c r="I202">
        <v>1</v>
      </c>
      <c r="J202">
        <v>0.34</v>
      </c>
      <c r="K202">
        <v>0.34849999999999998</v>
      </c>
      <c r="L202">
        <v>0.46</v>
      </c>
      <c r="M202">
        <v>8.9599999999999999E-2</v>
      </c>
      <c r="N202">
        <v>47</v>
      </c>
      <c r="O202">
        <v>114</v>
      </c>
      <c r="P202">
        <v>161</v>
      </c>
    </row>
    <row r="203" spans="1:16">
      <c r="A203">
        <v>821</v>
      </c>
      <c r="B203" s="2">
        <v>40580</v>
      </c>
      <c r="C203">
        <v>1</v>
      </c>
      <c r="D203">
        <v>0</v>
      </c>
      <c r="E203">
        <v>2</v>
      </c>
      <c r="F203">
        <v>15</v>
      </c>
      <c r="G203" t="b">
        <v>0</v>
      </c>
      <c r="H203">
        <v>0</v>
      </c>
      <c r="I203">
        <v>1</v>
      </c>
      <c r="J203">
        <v>0.34</v>
      </c>
      <c r="K203">
        <v>0.34849999999999998</v>
      </c>
      <c r="L203">
        <v>0.46</v>
      </c>
      <c r="M203">
        <v>8.9599999999999999E-2</v>
      </c>
      <c r="N203">
        <v>52</v>
      </c>
      <c r="O203">
        <v>130</v>
      </c>
      <c r="P203">
        <v>182</v>
      </c>
    </row>
    <row r="204" spans="1:16">
      <c r="A204">
        <v>822</v>
      </c>
      <c r="B204" s="2">
        <v>40580</v>
      </c>
      <c r="C204">
        <v>1</v>
      </c>
      <c r="D204">
        <v>0</v>
      </c>
      <c r="E204">
        <v>2</v>
      </c>
      <c r="F204">
        <v>16</v>
      </c>
      <c r="G204" t="b">
        <v>0</v>
      </c>
      <c r="H204">
        <v>0</v>
      </c>
      <c r="I204">
        <v>1</v>
      </c>
      <c r="J204">
        <v>0.34</v>
      </c>
      <c r="K204">
        <v>0.34849999999999998</v>
      </c>
      <c r="L204">
        <v>0.49</v>
      </c>
      <c r="M204">
        <v>0.1045</v>
      </c>
      <c r="N204">
        <v>42</v>
      </c>
      <c r="O204">
        <v>115</v>
      </c>
      <c r="P204">
        <v>157</v>
      </c>
    </row>
    <row r="205" spans="1:16">
      <c r="A205">
        <v>823</v>
      </c>
      <c r="B205" s="2">
        <v>40580</v>
      </c>
      <c r="C205">
        <v>1</v>
      </c>
      <c r="D205">
        <v>0</v>
      </c>
      <c r="E205">
        <v>2</v>
      </c>
      <c r="F205">
        <v>17</v>
      </c>
      <c r="G205" t="b">
        <v>0</v>
      </c>
      <c r="H205">
        <v>0</v>
      </c>
      <c r="I205">
        <v>1</v>
      </c>
      <c r="J205">
        <v>0.34</v>
      </c>
      <c r="K205">
        <v>0.36359999999999998</v>
      </c>
      <c r="L205">
        <v>0.46</v>
      </c>
      <c r="M205">
        <v>0</v>
      </c>
      <c r="N205">
        <v>24</v>
      </c>
      <c r="O205">
        <v>97</v>
      </c>
      <c r="P205">
        <v>121</v>
      </c>
    </row>
    <row r="206" spans="1:16">
      <c r="A206">
        <v>824</v>
      </c>
      <c r="B206" s="2">
        <v>40580</v>
      </c>
      <c r="C206">
        <v>1</v>
      </c>
      <c r="D206">
        <v>0</v>
      </c>
      <c r="E206">
        <v>2</v>
      </c>
      <c r="F206">
        <v>18</v>
      </c>
      <c r="G206" t="b">
        <v>0</v>
      </c>
      <c r="H206">
        <v>0</v>
      </c>
      <c r="I206">
        <v>1</v>
      </c>
      <c r="J206">
        <v>0.3</v>
      </c>
      <c r="K206">
        <v>0.30299999999999999</v>
      </c>
      <c r="L206">
        <v>0.56000000000000005</v>
      </c>
      <c r="M206">
        <v>0.16420000000000001</v>
      </c>
      <c r="N206">
        <v>13</v>
      </c>
      <c r="O206">
        <v>65</v>
      </c>
      <c r="P206">
        <v>78</v>
      </c>
    </row>
    <row r="207" spans="1:16">
      <c r="A207">
        <v>825</v>
      </c>
      <c r="B207" s="2">
        <v>40580</v>
      </c>
      <c r="C207">
        <v>1</v>
      </c>
      <c r="D207">
        <v>0</v>
      </c>
      <c r="E207">
        <v>2</v>
      </c>
      <c r="F207">
        <v>19</v>
      </c>
      <c r="G207" t="b">
        <v>0</v>
      </c>
      <c r="H207">
        <v>0</v>
      </c>
      <c r="I207">
        <v>1</v>
      </c>
      <c r="J207">
        <v>0.28000000000000003</v>
      </c>
      <c r="K207">
        <v>0.28789999999999999</v>
      </c>
      <c r="L207">
        <v>0.61</v>
      </c>
      <c r="M207">
        <v>0.1343</v>
      </c>
      <c r="N207">
        <v>1</v>
      </c>
      <c r="O207">
        <v>20</v>
      </c>
      <c r="P207">
        <v>21</v>
      </c>
    </row>
    <row r="208" spans="1:16">
      <c r="A208">
        <v>826</v>
      </c>
      <c r="B208" s="2">
        <v>40580</v>
      </c>
      <c r="C208">
        <v>1</v>
      </c>
      <c r="D208">
        <v>0</v>
      </c>
      <c r="E208">
        <v>2</v>
      </c>
      <c r="F208">
        <v>20</v>
      </c>
      <c r="G208" t="b">
        <v>0</v>
      </c>
      <c r="H208">
        <v>0</v>
      </c>
      <c r="I208">
        <v>1</v>
      </c>
      <c r="J208">
        <v>0.28000000000000003</v>
      </c>
      <c r="K208">
        <v>0.28789999999999999</v>
      </c>
      <c r="L208">
        <v>0.61</v>
      </c>
      <c r="M208">
        <v>0.1045</v>
      </c>
      <c r="N208">
        <v>5</v>
      </c>
      <c r="O208">
        <v>21</v>
      </c>
      <c r="P208">
        <v>26</v>
      </c>
    </row>
    <row r="209" spans="1:16">
      <c r="A209">
        <v>827</v>
      </c>
      <c r="B209" s="2">
        <v>40580</v>
      </c>
      <c r="C209">
        <v>1</v>
      </c>
      <c r="D209">
        <v>0</v>
      </c>
      <c r="E209">
        <v>2</v>
      </c>
      <c r="F209">
        <v>21</v>
      </c>
      <c r="G209" t="b">
        <v>0</v>
      </c>
      <c r="H209">
        <v>0</v>
      </c>
      <c r="I209">
        <v>1</v>
      </c>
      <c r="J209">
        <v>0.26</v>
      </c>
      <c r="K209">
        <v>0.30299999999999999</v>
      </c>
      <c r="L209">
        <v>0.6</v>
      </c>
      <c r="M209">
        <v>0</v>
      </c>
      <c r="N209">
        <v>5</v>
      </c>
      <c r="O209">
        <v>22</v>
      </c>
      <c r="P209">
        <v>27</v>
      </c>
    </row>
    <row r="210" spans="1:16">
      <c r="A210">
        <v>828</v>
      </c>
      <c r="B210" s="2">
        <v>40580</v>
      </c>
      <c r="C210">
        <v>1</v>
      </c>
      <c r="D210">
        <v>0</v>
      </c>
      <c r="E210">
        <v>2</v>
      </c>
      <c r="F210">
        <v>22</v>
      </c>
      <c r="G210" t="b">
        <v>0</v>
      </c>
      <c r="H210">
        <v>0</v>
      </c>
      <c r="I210">
        <v>1</v>
      </c>
      <c r="J210">
        <v>0.26</v>
      </c>
      <c r="K210">
        <v>0.30299999999999999</v>
      </c>
      <c r="L210">
        <v>0.6</v>
      </c>
      <c r="M210">
        <v>0</v>
      </c>
      <c r="N210">
        <v>5</v>
      </c>
      <c r="O210">
        <v>57</v>
      </c>
      <c r="P210">
        <v>62</v>
      </c>
    </row>
    <row r="211" spans="1:16">
      <c r="A211">
        <v>829</v>
      </c>
      <c r="B211" s="2">
        <v>40580</v>
      </c>
      <c r="C211">
        <v>1</v>
      </c>
      <c r="D211">
        <v>0</v>
      </c>
      <c r="E211">
        <v>2</v>
      </c>
      <c r="F211">
        <v>23</v>
      </c>
      <c r="G211" t="b">
        <v>0</v>
      </c>
      <c r="H211">
        <v>0</v>
      </c>
      <c r="I211">
        <v>1</v>
      </c>
      <c r="J211">
        <v>0.24</v>
      </c>
      <c r="K211">
        <v>0.28789999999999999</v>
      </c>
      <c r="L211">
        <v>0.65</v>
      </c>
      <c r="M211">
        <v>0</v>
      </c>
      <c r="N211">
        <v>4</v>
      </c>
      <c r="O211">
        <v>26</v>
      </c>
      <c r="P211">
        <v>30</v>
      </c>
    </row>
    <row r="212" spans="1:16">
      <c r="A212">
        <v>830</v>
      </c>
      <c r="B212" s="2">
        <v>40581</v>
      </c>
      <c r="C212">
        <v>1</v>
      </c>
      <c r="D212">
        <v>0</v>
      </c>
      <c r="E212">
        <v>2</v>
      </c>
      <c r="F212">
        <v>0</v>
      </c>
      <c r="G212" t="b">
        <v>0</v>
      </c>
      <c r="H212">
        <v>1</v>
      </c>
      <c r="I212">
        <v>1</v>
      </c>
      <c r="J212">
        <v>0.24</v>
      </c>
      <c r="K212">
        <v>0.28789999999999999</v>
      </c>
      <c r="L212">
        <v>0.65</v>
      </c>
      <c r="M212">
        <v>0</v>
      </c>
      <c r="N212">
        <v>1</v>
      </c>
      <c r="O212">
        <v>14</v>
      </c>
      <c r="P212">
        <v>15</v>
      </c>
    </row>
    <row r="213" spans="1:16">
      <c r="A213">
        <v>831</v>
      </c>
      <c r="B213" s="2">
        <v>40581</v>
      </c>
      <c r="C213">
        <v>1</v>
      </c>
      <c r="D213">
        <v>0</v>
      </c>
      <c r="E213">
        <v>2</v>
      </c>
      <c r="F213">
        <v>1</v>
      </c>
      <c r="G213" t="b">
        <v>0</v>
      </c>
      <c r="H213">
        <v>1</v>
      </c>
      <c r="I213">
        <v>1</v>
      </c>
      <c r="J213">
        <v>0.22</v>
      </c>
      <c r="K213">
        <v>0.2727</v>
      </c>
      <c r="L213">
        <v>0.75</v>
      </c>
      <c r="M213">
        <v>0</v>
      </c>
      <c r="N213">
        <v>1</v>
      </c>
      <c r="O213">
        <v>4</v>
      </c>
      <c r="P213">
        <v>5</v>
      </c>
    </row>
    <row r="214" spans="1:16">
      <c r="A214">
        <v>832</v>
      </c>
      <c r="B214" s="2">
        <v>40581</v>
      </c>
      <c r="C214">
        <v>1</v>
      </c>
      <c r="D214">
        <v>0</v>
      </c>
      <c r="E214">
        <v>2</v>
      </c>
      <c r="F214">
        <v>2</v>
      </c>
      <c r="G214" t="b">
        <v>0</v>
      </c>
      <c r="H214">
        <v>1</v>
      </c>
      <c r="I214">
        <v>1</v>
      </c>
      <c r="J214">
        <v>0.2</v>
      </c>
      <c r="K214">
        <v>0.2576</v>
      </c>
      <c r="L214">
        <v>0.8</v>
      </c>
      <c r="M214">
        <v>0</v>
      </c>
      <c r="N214">
        <v>0</v>
      </c>
      <c r="O214">
        <v>3</v>
      </c>
      <c r="P214">
        <v>3</v>
      </c>
    </row>
    <row r="215" spans="1:16">
      <c r="A215">
        <v>833</v>
      </c>
      <c r="B215" s="2">
        <v>40581</v>
      </c>
      <c r="C215">
        <v>1</v>
      </c>
      <c r="D215">
        <v>0</v>
      </c>
      <c r="E215">
        <v>2</v>
      </c>
      <c r="F215">
        <v>3</v>
      </c>
      <c r="G215" t="b">
        <v>0</v>
      </c>
      <c r="H215">
        <v>1</v>
      </c>
      <c r="I215">
        <v>1</v>
      </c>
      <c r="J215">
        <v>0.2</v>
      </c>
      <c r="K215">
        <v>0.2576</v>
      </c>
      <c r="L215">
        <v>0.86</v>
      </c>
      <c r="M215">
        <v>0</v>
      </c>
      <c r="N215">
        <v>0</v>
      </c>
      <c r="O215">
        <v>1</v>
      </c>
      <c r="P215">
        <v>1</v>
      </c>
    </row>
    <row r="216" spans="1:16">
      <c r="A216">
        <v>834</v>
      </c>
      <c r="B216" s="2">
        <v>40581</v>
      </c>
      <c r="C216">
        <v>1</v>
      </c>
      <c r="D216">
        <v>0</v>
      </c>
      <c r="E216">
        <v>2</v>
      </c>
      <c r="F216">
        <v>4</v>
      </c>
      <c r="G216" t="b">
        <v>0</v>
      </c>
      <c r="H216">
        <v>1</v>
      </c>
      <c r="I216">
        <v>1</v>
      </c>
      <c r="J216">
        <v>0.2</v>
      </c>
      <c r="K216">
        <v>0.2576</v>
      </c>
      <c r="L216">
        <v>0.86</v>
      </c>
      <c r="M216">
        <v>0</v>
      </c>
      <c r="N216">
        <v>1</v>
      </c>
      <c r="O216">
        <v>1</v>
      </c>
      <c r="P216">
        <v>2</v>
      </c>
    </row>
    <row r="217" spans="1:16">
      <c r="A217">
        <v>835</v>
      </c>
      <c r="B217" s="2">
        <v>40581</v>
      </c>
      <c r="C217">
        <v>1</v>
      </c>
      <c r="D217">
        <v>0</v>
      </c>
      <c r="E217">
        <v>2</v>
      </c>
      <c r="F217">
        <v>5</v>
      </c>
      <c r="G217" t="b">
        <v>0</v>
      </c>
      <c r="H217">
        <v>1</v>
      </c>
      <c r="I217">
        <v>1</v>
      </c>
      <c r="J217">
        <v>0.2</v>
      </c>
      <c r="K217">
        <v>0.2576</v>
      </c>
      <c r="L217">
        <v>0.86</v>
      </c>
      <c r="M217">
        <v>0</v>
      </c>
      <c r="N217">
        <v>1</v>
      </c>
      <c r="O217">
        <v>9</v>
      </c>
      <c r="P217">
        <v>10</v>
      </c>
    </row>
    <row r="218" spans="1:16">
      <c r="A218">
        <v>836</v>
      </c>
      <c r="B218" s="2">
        <v>40581</v>
      </c>
      <c r="C218">
        <v>1</v>
      </c>
      <c r="D218">
        <v>0</v>
      </c>
      <c r="E218">
        <v>2</v>
      </c>
      <c r="F218">
        <v>6</v>
      </c>
      <c r="G218" t="b">
        <v>0</v>
      </c>
      <c r="H218">
        <v>1</v>
      </c>
      <c r="I218">
        <v>1</v>
      </c>
      <c r="J218">
        <v>0.18</v>
      </c>
      <c r="K218">
        <v>0.2424</v>
      </c>
      <c r="L218">
        <v>0.93</v>
      </c>
      <c r="M218">
        <v>0</v>
      </c>
      <c r="N218">
        <v>1</v>
      </c>
      <c r="O218">
        <v>29</v>
      </c>
      <c r="P218">
        <v>30</v>
      </c>
    </row>
    <row r="219" spans="1:16">
      <c r="A219">
        <v>837</v>
      </c>
      <c r="B219" s="2">
        <v>40581</v>
      </c>
      <c r="C219">
        <v>1</v>
      </c>
      <c r="D219">
        <v>0</v>
      </c>
      <c r="E219">
        <v>2</v>
      </c>
      <c r="F219">
        <v>7</v>
      </c>
      <c r="G219" t="b">
        <v>0</v>
      </c>
      <c r="H219">
        <v>1</v>
      </c>
      <c r="I219">
        <v>1</v>
      </c>
      <c r="J219">
        <v>0.18</v>
      </c>
      <c r="K219">
        <v>0.2424</v>
      </c>
      <c r="L219">
        <v>0.86</v>
      </c>
      <c r="M219">
        <v>0</v>
      </c>
      <c r="N219">
        <v>6</v>
      </c>
      <c r="O219">
        <v>89</v>
      </c>
      <c r="P219">
        <v>95</v>
      </c>
    </row>
    <row r="220" spans="1:16">
      <c r="A220">
        <v>838</v>
      </c>
      <c r="B220" s="2">
        <v>40581</v>
      </c>
      <c r="C220">
        <v>1</v>
      </c>
      <c r="D220">
        <v>0</v>
      </c>
      <c r="E220">
        <v>2</v>
      </c>
      <c r="F220">
        <v>8</v>
      </c>
      <c r="G220" t="b">
        <v>0</v>
      </c>
      <c r="H220">
        <v>1</v>
      </c>
      <c r="I220">
        <v>2</v>
      </c>
      <c r="J220">
        <v>0.16</v>
      </c>
      <c r="K220">
        <v>0.2273</v>
      </c>
      <c r="L220">
        <v>1</v>
      </c>
      <c r="M220">
        <v>0</v>
      </c>
      <c r="N220">
        <v>7</v>
      </c>
      <c r="O220">
        <v>223</v>
      </c>
      <c r="P220">
        <v>230</v>
      </c>
    </row>
    <row r="221" spans="1:16">
      <c r="A221">
        <v>839</v>
      </c>
      <c r="B221" s="2">
        <v>40581</v>
      </c>
      <c r="C221">
        <v>1</v>
      </c>
      <c r="D221">
        <v>0</v>
      </c>
      <c r="E221">
        <v>2</v>
      </c>
      <c r="F221">
        <v>9</v>
      </c>
      <c r="G221" t="b">
        <v>0</v>
      </c>
      <c r="H221">
        <v>1</v>
      </c>
      <c r="I221">
        <v>1</v>
      </c>
      <c r="J221">
        <v>0.22</v>
      </c>
      <c r="K221">
        <v>0.2727</v>
      </c>
      <c r="L221">
        <v>0.8</v>
      </c>
      <c r="M221">
        <v>0</v>
      </c>
      <c r="N221">
        <v>3</v>
      </c>
      <c r="O221">
        <v>115</v>
      </c>
      <c r="P221">
        <v>118</v>
      </c>
    </row>
    <row r="222" spans="1:16">
      <c r="A222">
        <v>840</v>
      </c>
      <c r="B222" s="2">
        <v>40581</v>
      </c>
      <c r="C222">
        <v>1</v>
      </c>
      <c r="D222">
        <v>0</v>
      </c>
      <c r="E222">
        <v>2</v>
      </c>
      <c r="F222">
        <v>10</v>
      </c>
      <c r="G222" t="b">
        <v>0</v>
      </c>
      <c r="H222">
        <v>1</v>
      </c>
      <c r="I222">
        <v>1</v>
      </c>
      <c r="J222">
        <v>0.24</v>
      </c>
      <c r="K222">
        <v>0.2576</v>
      </c>
      <c r="L222">
        <v>0.75</v>
      </c>
      <c r="M222">
        <v>0.1045</v>
      </c>
      <c r="N222">
        <v>6</v>
      </c>
      <c r="O222">
        <v>49</v>
      </c>
      <c r="P222">
        <v>55</v>
      </c>
    </row>
    <row r="223" spans="1:16">
      <c r="A223">
        <v>841</v>
      </c>
      <c r="B223" s="2">
        <v>40581</v>
      </c>
      <c r="C223">
        <v>1</v>
      </c>
      <c r="D223">
        <v>0</v>
      </c>
      <c r="E223">
        <v>2</v>
      </c>
      <c r="F223">
        <v>11</v>
      </c>
      <c r="G223" t="b">
        <v>0</v>
      </c>
      <c r="H223">
        <v>1</v>
      </c>
      <c r="I223">
        <v>1</v>
      </c>
      <c r="J223">
        <v>0.3</v>
      </c>
      <c r="K223">
        <v>0.31819999999999998</v>
      </c>
      <c r="L223">
        <v>0.65</v>
      </c>
      <c r="M223">
        <v>8.9599999999999999E-2</v>
      </c>
      <c r="N223">
        <v>11</v>
      </c>
      <c r="O223">
        <v>36</v>
      </c>
      <c r="P223">
        <v>47</v>
      </c>
    </row>
    <row r="224" spans="1:16">
      <c r="A224">
        <v>842</v>
      </c>
      <c r="B224" s="2">
        <v>40581</v>
      </c>
      <c r="C224">
        <v>1</v>
      </c>
      <c r="D224">
        <v>0</v>
      </c>
      <c r="E224">
        <v>2</v>
      </c>
      <c r="F224">
        <v>12</v>
      </c>
      <c r="G224" t="b">
        <v>0</v>
      </c>
      <c r="H224">
        <v>1</v>
      </c>
      <c r="I224">
        <v>2</v>
      </c>
      <c r="J224">
        <v>0.32</v>
      </c>
      <c r="K224">
        <v>0.34849999999999998</v>
      </c>
      <c r="L224">
        <v>0.62</v>
      </c>
      <c r="M224">
        <v>0</v>
      </c>
      <c r="N224">
        <v>7</v>
      </c>
      <c r="O224">
        <v>59</v>
      </c>
      <c r="P224">
        <v>66</v>
      </c>
    </row>
    <row r="225" spans="1:16">
      <c r="A225">
        <v>843</v>
      </c>
      <c r="B225" s="2">
        <v>40581</v>
      </c>
      <c r="C225">
        <v>1</v>
      </c>
      <c r="D225">
        <v>0</v>
      </c>
      <c r="E225">
        <v>2</v>
      </c>
      <c r="F225">
        <v>13</v>
      </c>
      <c r="G225" t="b">
        <v>0</v>
      </c>
      <c r="H225">
        <v>1</v>
      </c>
      <c r="I225">
        <v>2</v>
      </c>
      <c r="J225">
        <v>0.36</v>
      </c>
      <c r="K225">
        <v>0.36359999999999998</v>
      </c>
      <c r="L225">
        <v>0.56999999999999995</v>
      </c>
      <c r="M225">
        <v>8.9599999999999999E-2</v>
      </c>
      <c r="N225">
        <v>10</v>
      </c>
      <c r="O225">
        <v>54</v>
      </c>
      <c r="P225">
        <v>64</v>
      </c>
    </row>
    <row r="226" spans="1:16">
      <c r="A226">
        <v>844</v>
      </c>
      <c r="B226" s="2">
        <v>40581</v>
      </c>
      <c r="C226">
        <v>1</v>
      </c>
      <c r="D226">
        <v>0</v>
      </c>
      <c r="E226">
        <v>2</v>
      </c>
      <c r="F226">
        <v>14</v>
      </c>
      <c r="G226" t="b">
        <v>0</v>
      </c>
      <c r="H226">
        <v>1</v>
      </c>
      <c r="I226">
        <v>2</v>
      </c>
      <c r="J226">
        <v>0.36</v>
      </c>
      <c r="K226">
        <v>0.36359999999999998</v>
      </c>
      <c r="L226">
        <v>0.56999999999999995</v>
      </c>
      <c r="M226">
        <v>8.9599999999999999E-2</v>
      </c>
      <c r="N226">
        <v>8</v>
      </c>
      <c r="O226">
        <v>52</v>
      </c>
      <c r="P226">
        <v>60</v>
      </c>
    </row>
    <row r="227" spans="1:16">
      <c r="A227">
        <v>845</v>
      </c>
      <c r="B227" s="2">
        <v>40581</v>
      </c>
      <c r="C227">
        <v>1</v>
      </c>
      <c r="D227">
        <v>0</v>
      </c>
      <c r="E227">
        <v>2</v>
      </c>
      <c r="F227">
        <v>15</v>
      </c>
      <c r="G227" t="b">
        <v>0</v>
      </c>
      <c r="H227">
        <v>1</v>
      </c>
      <c r="I227">
        <v>2</v>
      </c>
      <c r="J227">
        <v>0.38</v>
      </c>
      <c r="K227">
        <v>0.39389999999999997</v>
      </c>
      <c r="L227">
        <v>0.54</v>
      </c>
      <c r="M227">
        <v>8.9599999999999999E-2</v>
      </c>
      <c r="N227">
        <v>4</v>
      </c>
      <c r="O227">
        <v>46</v>
      </c>
      <c r="P227">
        <v>50</v>
      </c>
    </row>
    <row r="228" spans="1:16">
      <c r="A228">
        <v>846</v>
      </c>
      <c r="B228" s="2">
        <v>40581</v>
      </c>
      <c r="C228">
        <v>1</v>
      </c>
      <c r="D228">
        <v>0</v>
      </c>
      <c r="E228">
        <v>2</v>
      </c>
      <c r="F228">
        <v>16</v>
      </c>
      <c r="G228" t="b">
        <v>0</v>
      </c>
      <c r="H228">
        <v>1</v>
      </c>
      <c r="I228">
        <v>2</v>
      </c>
      <c r="J228">
        <v>0.36</v>
      </c>
      <c r="K228">
        <v>0.34849999999999998</v>
      </c>
      <c r="L228">
        <v>0.56999999999999995</v>
      </c>
      <c r="M228">
        <v>0.1343</v>
      </c>
      <c r="N228">
        <v>16</v>
      </c>
      <c r="O228">
        <v>98</v>
      </c>
      <c r="P228">
        <v>114</v>
      </c>
    </row>
    <row r="229" spans="1:16">
      <c r="A229">
        <v>847</v>
      </c>
      <c r="B229" s="2">
        <v>40581</v>
      </c>
      <c r="C229">
        <v>1</v>
      </c>
      <c r="D229">
        <v>0</v>
      </c>
      <c r="E229">
        <v>2</v>
      </c>
      <c r="F229">
        <v>17</v>
      </c>
      <c r="G229" t="b">
        <v>0</v>
      </c>
      <c r="H229">
        <v>1</v>
      </c>
      <c r="I229">
        <v>2</v>
      </c>
      <c r="J229">
        <v>0.32</v>
      </c>
      <c r="K229">
        <v>0.31819999999999998</v>
      </c>
      <c r="L229">
        <v>0.7</v>
      </c>
      <c r="M229">
        <v>0.16420000000000001</v>
      </c>
      <c r="N229">
        <v>9</v>
      </c>
      <c r="O229">
        <v>207</v>
      </c>
      <c r="P229">
        <v>216</v>
      </c>
    </row>
    <row r="230" spans="1:16">
      <c r="A230">
        <v>848</v>
      </c>
      <c r="B230" s="2">
        <v>40581</v>
      </c>
      <c r="C230">
        <v>1</v>
      </c>
      <c r="D230">
        <v>0</v>
      </c>
      <c r="E230">
        <v>2</v>
      </c>
      <c r="F230">
        <v>18</v>
      </c>
      <c r="G230" t="b">
        <v>0</v>
      </c>
      <c r="H230">
        <v>1</v>
      </c>
      <c r="I230">
        <v>2</v>
      </c>
      <c r="J230">
        <v>0.34</v>
      </c>
      <c r="K230">
        <v>0.33329999999999999</v>
      </c>
      <c r="L230">
        <v>0.66</v>
      </c>
      <c r="M230">
        <v>0.1343</v>
      </c>
      <c r="N230">
        <v>5</v>
      </c>
      <c r="O230">
        <v>170</v>
      </c>
      <c r="P230">
        <v>175</v>
      </c>
    </row>
    <row r="231" spans="1:16">
      <c r="A231">
        <v>849</v>
      </c>
      <c r="B231" s="2">
        <v>40581</v>
      </c>
      <c r="C231">
        <v>1</v>
      </c>
      <c r="D231">
        <v>0</v>
      </c>
      <c r="E231">
        <v>2</v>
      </c>
      <c r="F231">
        <v>19</v>
      </c>
      <c r="G231" t="b">
        <v>0</v>
      </c>
      <c r="H231">
        <v>1</v>
      </c>
      <c r="I231">
        <v>2</v>
      </c>
      <c r="J231">
        <v>0.32</v>
      </c>
      <c r="K231">
        <v>0.34849999999999998</v>
      </c>
      <c r="L231">
        <v>0.7</v>
      </c>
      <c r="M231">
        <v>0</v>
      </c>
      <c r="N231">
        <v>5</v>
      </c>
      <c r="O231">
        <v>123</v>
      </c>
      <c r="P231">
        <v>128</v>
      </c>
    </row>
    <row r="232" spans="1:16">
      <c r="A232">
        <v>850</v>
      </c>
      <c r="B232" s="2">
        <v>40581</v>
      </c>
      <c r="C232">
        <v>1</v>
      </c>
      <c r="D232">
        <v>0</v>
      </c>
      <c r="E232">
        <v>2</v>
      </c>
      <c r="F232">
        <v>20</v>
      </c>
      <c r="G232" t="b">
        <v>0</v>
      </c>
      <c r="H232">
        <v>1</v>
      </c>
      <c r="I232">
        <v>2</v>
      </c>
      <c r="J232">
        <v>0.32</v>
      </c>
      <c r="K232">
        <v>0.33329999999999999</v>
      </c>
      <c r="L232">
        <v>0.7</v>
      </c>
      <c r="M232">
        <v>0.1045</v>
      </c>
      <c r="N232">
        <v>6</v>
      </c>
      <c r="O232">
        <v>82</v>
      </c>
      <c r="P232">
        <v>88</v>
      </c>
    </row>
    <row r="233" spans="1:16">
      <c r="A233">
        <v>851</v>
      </c>
      <c r="B233" s="2">
        <v>40581</v>
      </c>
      <c r="C233">
        <v>1</v>
      </c>
      <c r="D233">
        <v>0</v>
      </c>
      <c r="E233">
        <v>2</v>
      </c>
      <c r="F233">
        <v>21</v>
      </c>
      <c r="G233" t="b">
        <v>0</v>
      </c>
      <c r="H233">
        <v>1</v>
      </c>
      <c r="I233">
        <v>1</v>
      </c>
      <c r="J233">
        <v>0.32</v>
      </c>
      <c r="K233">
        <v>0.34849999999999998</v>
      </c>
      <c r="L233">
        <v>0.7</v>
      </c>
      <c r="M233">
        <v>0</v>
      </c>
      <c r="N233">
        <v>3</v>
      </c>
      <c r="O233">
        <v>75</v>
      </c>
      <c r="P233">
        <v>78</v>
      </c>
    </row>
    <row r="234" spans="1:16">
      <c r="A234">
        <v>852</v>
      </c>
      <c r="B234" s="2">
        <v>40581</v>
      </c>
      <c r="C234">
        <v>1</v>
      </c>
      <c r="D234">
        <v>0</v>
      </c>
      <c r="E234">
        <v>2</v>
      </c>
      <c r="F234">
        <v>22</v>
      </c>
      <c r="G234" t="b">
        <v>0</v>
      </c>
      <c r="H234">
        <v>1</v>
      </c>
      <c r="I234">
        <v>1</v>
      </c>
      <c r="J234">
        <v>0.28000000000000003</v>
      </c>
      <c r="K234">
        <v>0.30299999999999999</v>
      </c>
      <c r="L234">
        <v>0.81</v>
      </c>
      <c r="M234">
        <v>8.9599999999999999E-2</v>
      </c>
      <c r="N234">
        <v>3</v>
      </c>
      <c r="O234">
        <v>34</v>
      </c>
      <c r="P234">
        <v>37</v>
      </c>
    </row>
    <row r="235" spans="1:16">
      <c r="A235">
        <v>853</v>
      </c>
      <c r="B235" s="2">
        <v>40581</v>
      </c>
      <c r="C235">
        <v>1</v>
      </c>
      <c r="D235">
        <v>0</v>
      </c>
      <c r="E235">
        <v>2</v>
      </c>
      <c r="F235">
        <v>23</v>
      </c>
      <c r="G235" t="b">
        <v>0</v>
      </c>
      <c r="H235">
        <v>1</v>
      </c>
      <c r="I235">
        <v>2</v>
      </c>
      <c r="J235">
        <v>0.3</v>
      </c>
      <c r="K235">
        <v>0.33329999999999999</v>
      </c>
      <c r="L235">
        <v>0.81</v>
      </c>
      <c r="M235">
        <v>0</v>
      </c>
      <c r="N235">
        <v>6</v>
      </c>
      <c r="O235">
        <v>19</v>
      </c>
      <c r="P235">
        <v>25</v>
      </c>
    </row>
    <row r="236" spans="1:16">
      <c r="A236">
        <v>854</v>
      </c>
      <c r="B236" s="2">
        <v>40582</v>
      </c>
      <c r="C236">
        <v>1</v>
      </c>
      <c r="D236">
        <v>0</v>
      </c>
      <c r="E236">
        <v>2</v>
      </c>
      <c r="F236">
        <v>0</v>
      </c>
      <c r="G236" t="b">
        <v>0</v>
      </c>
      <c r="H236">
        <v>2</v>
      </c>
      <c r="I236">
        <v>2</v>
      </c>
      <c r="J236">
        <v>0.28000000000000003</v>
      </c>
      <c r="K236">
        <v>0.31819999999999998</v>
      </c>
      <c r="L236">
        <v>0.87</v>
      </c>
      <c r="M236">
        <v>0</v>
      </c>
      <c r="N236">
        <v>4</v>
      </c>
      <c r="O236">
        <v>6</v>
      </c>
      <c r="P236">
        <v>10</v>
      </c>
    </row>
    <row r="237" spans="1:16">
      <c r="A237">
        <v>855</v>
      </c>
      <c r="B237" s="2">
        <v>40582</v>
      </c>
      <c r="C237">
        <v>1</v>
      </c>
      <c r="D237">
        <v>0</v>
      </c>
      <c r="E237">
        <v>2</v>
      </c>
      <c r="F237">
        <v>1</v>
      </c>
      <c r="G237" t="b">
        <v>0</v>
      </c>
      <c r="H237">
        <v>2</v>
      </c>
      <c r="I237">
        <v>2</v>
      </c>
      <c r="J237">
        <v>0.28000000000000003</v>
      </c>
      <c r="K237">
        <v>0.31819999999999998</v>
      </c>
      <c r="L237">
        <v>0.87</v>
      </c>
      <c r="M237">
        <v>0</v>
      </c>
      <c r="N237">
        <v>0</v>
      </c>
      <c r="O237">
        <v>4</v>
      </c>
      <c r="P237">
        <v>4</v>
      </c>
    </row>
    <row r="238" spans="1:16">
      <c r="A238">
        <v>856</v>
      </c>
      <c r="B238" s="2">
        <v>40582</v>
      </c>
      <c r="C238">
        <v>1</v>
      </c>
      <c r="D238">
        <v>0</v>
      </c>
      <c r="E238">
        <v>2</v>
      </c>
      <c r="F238">
        <v>2</v>
      </c>
      <c r="G238" t="b">
        <v>0</v>
      </c>
      <c r="H238">
        <v>2</v>
      </c>
      <c r="I238">
        <v>2</v>
      </c>
      <c r="J238">
        <v>0.26</v>
      </c>
      <c r="K238">
        <v>0.2727</v>
      </c>
      <c r="L238">
        <v>0.93</v>
      </c>
      <c r="M238">
        <v>0.1045</v>
      </c>
      <c r="N238">
        <v>1</v>
      </c>
      <c r="O238">
        <v>1</v>
      </c>
      <c r="P238">
        <v>2</v>
      </c>
    </row>
    <row r="239" spans="1:16">
      <c r="A239">
        <v>857</v>
      </c>
      <c r="B239" s="2">
        <v>40582</v>
      </c>
      <c r="C239">
        <v>1</v>
      </c>
      <c r="D239">
        <v>0</v>
      </c>
      <c r="E239">
        <v>2</v>
      </c>
      <c r="F239">
        <v>3</v>
      </c>
      <c r="G239" t="b">
        <v>0</v>
      </c>
      <c r="H239">
        <v>2</v>
      </c>
      <c r="I239">
        <v>3</v>
      </c>
      <c r="J239">
        <v>0.28000000000000003</v>
      </c>
      <c r="K239">
        <v>0.2727</v>
      </c>
      <c r="L239">
        <v>0.93</v>
      </c>
      <c r="M239">
        <v>0.16420000000000001</v>
      </c>
      <c r="N239">
        <v>0</v>
      </c>
      <c r="O239">
        <v>1</v>
      </c>
      <c r="P239">
        <v>1</v>
      </c>
    </row>
    <row r="240" spans="1:16">
      <c r="A240">
        <v>858</v>
      </c>
      <c r="B240" s="2">
        <v>40582</v>
      </c>
      <c r="C240">
        <v>1</v>
      </c>
      <c r="D240">
        <v>0</v>
      </c>
      <c r="E240">
        <v>2</v>
      </c>
      <c r="F240">
        <v>4</v>
      </c>
      <c r="G240" t="b">
        <v>0</v>
      </c>
      <c r="H240">
        <v>2</v>
      </c>
      <c r="I240">
        <v>1</v>
      </c>
      <c r="J240">
        <v>0.26</v>
      </c>
      <c r="K240">
        <v>0.2576</v>
      </c>
      <c r="L240">
        <v>0.93</v>
      </c>
      <c r="M240">
        <v>0.16420000000000001</v>
      </c>
      <c r="N240">
        <v>0</v>
      </c>
      <c r="O240">
        <v>3</v>
      </c>
      <c r="P240">
        <v>3</v>
      </c>
    </row>
    <row r="241" spans="1:16">
      <c r="A241">
        <v>859</v>
      </c>
      <c r="B241" s="2">
        <v>40582</v>
      </c>
      <c r="C241">
        <v>1</v>
      </c>
      <c r="D241">
        <v>0</v>
      </c>
      <c r="E241">
        <v>2</v>
      </c>
      <c r="F241">
        <v>5</v>
      </c>
      <c r="G241" t="b">
        <v>0</v>
      </c>
      <c r="H241">
        <v>2</v>
      </c>
      <c r="I241">
        <v>1</v>
      </c>
      <c r="J241">
        <v>0.26</v>
      </c>
      <c r="K241">
        <v>0.2273</v>
      </c>
      <c r="L241">
        <v>0.81</v>
      </c>
      <c r="M241">
        <v>0.32840000000000003</v>
      </c>
      <c r="N241">
        <v>0</v>
      </c>
      <c r="O241">
        <v>2</v>
      </c>
      <c r="P241">
        <v>2</v>
      </c>
    </row>
    <row r="242" spans="1:16">
      <c r="A242">
        <v>860</v>
      </c>
      <c r="B242" s="2">
        <v>40582</v>
      </c>
      <c r="C242">
        <v>1</v>
      </c>
      <c r="D242">
        <v>0</v>
      </c>
      <c r="E242">
        <v>2</v>
      </c>
      <c r="F242">
        <v>6</v>
      </c>
      <c r="G242" t="b">
        <v>0</v>
      </c>
      <c r="H242">
        <v>2</v>
      </c>
      <c r="I242">
        <v>1</v>
      </c>
      <c r="J242">
        <v>0.26</v>
      </c>
      <c r="K242">
        <v>0.2273</v>
      </c>
      <c r="L242">
        <v>0.7</v>
      </c>
      <c r="M242">
        <v>0.32840000000000003</v>
      </c>
      <c r="N242">
        <v>0</v>
      </c>
      <c r="O242">
        <v>39</v>
      </c>
      <c r="P242">
        <v>39</v>
      </c>
    </row>
    <row r="243" spans="1:16">
      <c r="A243">
        <v>861</v>
      </c>
      <c r="B243" s="2">
        <v>40582</v>
      </c>
      <c r="C243">
        <v>1</v>
      </c>
      <c r="D243">
        <v>0</v>
      </c>
      <c r="E243">
        <v>2</v>
      </c>
      <c r="F243">
        <v>7</v>
      </c>
      <c r="G243" t="b">
        <v>0</v>
      </c>
      <c r="H243">
        <v>2</v>
      </c>
      <c r="I243">
        <v>1</v>
      </c>
      <c r="J243">
        <v>0.24</v>
      </c>
      <c r="K243">
        <v>0.19700000000000001</v>
      </c>
      <c r="L243">
        <v>0.65</v>
      </c>
      <c r="M243">
        <v>0.41789999999999999</v>
      </c>
      <c r="N243">
        <v>3</v>
      </c>
      <c r="O243">
        <v>97</v>
      </c>
      <c r="P243">
        <v>100</v>
      </c>
    </row>
    <row r="244" spans="1:16">
      <c r="A244">
        <v>862</v>
      </c>
      <c r="B244" s="2">
        <v>40582</v>
      </c>
      <c r="C244">
        <v>1</v>
      </c>
      <c r="D244">
        <v>0</v>
      </c>
      <c r="E244">
        <v>2</v>
      </c>
      <c r="F244">
        <v>8</v>
      </c>
      <c r="G244" t="b">
        <v>0</v>
      </c>
      <c r="H244">
        <v>2</v>
      </c>
      <c r="I244">
        <v>1</v>
      </c>
      <c r="J244">
        <v>0.24</v>
      </c>
      <c r="K244">
        <v>0.19700000000000001</v>
      </c>
      <c r="L244">
        <v>0.56000000000000005</v>
      </c>
      <c r="M244">
        <v>0.49249999999999999</v>
      </c>
      <c r="N244">
        <v>7</v>
      </c>
      <c r="O244">
        <v>236</v>
      </c>
      <c r="P244">
        <v>243</v>
      </c>
    </row>
    <row r="245" spans="1:16">
      <c r="A245">
        <v>863</v>
      </c>
      <c r="B245" s="2">
        <v>40582</v>
      </c>
      <c r="C245">
        <v>1</v>
      </c>
      <c r="D245">
        <v>0</v>
      </c>
      <c r="E245">
        <v>2</v>
      </c>
      <c r="F245">
        <v>9</v>
      </c>
      <c r="G245" t="b">
        <v>0</v>
      </c>
      <c r="H245">
        <v>2</v>
      </c>
      <c r="I245">
        <v>1</v>
      </c>
      <c r="J245">
        <v>0.24</v>
      </c>
      <c r="K245">
        <v>0.19700000000000001</v>
      </c>
      <c r="L245">
        <v>0.52</v>
      </c>
      <c r="M245">
        <v>0.49249999999999999</v>
      </c>
      <c r="N245">
        <v>7</v>
      </c>
      <c r="O245">
        <v>128</v>
      </c>
      <c r="P245">
        <v>135</v>
      </c>
    </row>
    <row r="246" spans="1:16">
      <c r="A246">
        <v>864</v>
      </c>
      <c r="B246" s="2">
        <v>40582</v>
      </c>
      <c r="C246">
        <v>1</v>
      </c>
      <c r="D246">
        <v>0</v>
      </c>
      <c r="E246">
        <v>2</v>
      </c>
      <c r="F246">
        <v>10</v>
      </c>
      <c r="G246" t="b">
        <v>0</v>
      </c>
      <c r="H246">
        <v>2</v>
      </c>
      <c r="I246">
        <v>1</v>
      </c>
      <c r="J246">
        <v>0.22</v>
      </c>
      <c r="K246">
        <v>0.18179999999999999</v>
      </c>
      <c r="L246">
        <v>0.47</v>
      </c>
      <c r="M246">
        <v>0.55220000000000002</v>
      </c>
      <c r="N246">
        <v>4</v>
      </c>
      <c r="O246">
        <v>44</v>
      </c>
      <c r="P246">
        <v>48</v>
      </c>
    </row>
    <row r="247" spans="1:16">
      <c r="A247">
        <v>865</v>
      </c>
      <c r="B247" s="2">
        <v>40582</v>
      </c>
      <c r="C247">
        <v>1</v>
      </c>
      <c r="D247">
        <v>0</v>
      </c>
      <c r="E247">
        <v>2</v>
      </c>
      <c r="F247">
        <v>11</v>
      </c>
      <c r="G247" t="b">
        <v>0</v>
      </c>
      <c r="H247">
        <v>2</v>
      </c>
      <c r="I247">
        <v>1</v>
      </c>
      <c r="J247">
        <v>0.22</v>
      </c>
      <c r="K247">
        <v>0.18179999999999999</v>
      </c>
      <c r="L247">
        <v>0.47</v>
      </c>
      <c r="M247">
        <v>0.4627</v>
      </c>
      <c r="N247">
        <v>1</v>
      </c>
      <c r="O247">
        <v>49</v>
      </c>
      <c r="P247">
        <v>50</v>
      </c>
    </row>
    <row r="248" spans="1:16">
      <c r="A248">
        <v>866</v>
      </c>
      <c r="B248" s="2">
        <v>40582</v>
      </c>
      <c r="C248">
        <v>1</v>
      </c>
      <c r="D248">
        <v>0</v>
      </c>
      <c r="E248">
        <v>2</v>
      </c>
      <c r="F248">
        <v>12</v>
      </c>
      <c r="G248" t="b">
        <v>0</v>
      </c>
      <c r="H248">
        <v>2</v>
      </c>
      <c r="I248">
        <v>1</v>
      </c>
      <c r="J248">
        <v>0.24</v>
      </c>
      <c r="K248">
        <v>0.19700000000000001</v>
      </c>
      <c r="L248">
        <v>0.38</v>
      </c>
      <c r="M248">
        <v>0.49249999999999999</v>
      </c>
      <c r="N248">
        <v>2</v>
      </c>
      <c r="O248">
        <v>63</v>
      </c>
      <c r="P248">
        <v>65</v>
      </c>
    </row>
    <row r="249" spans="1:16">
      <c r="A249">
        <v>867</v>
      </c>
      <c r="B249" s="2">
        <v>40582</v>
      </c>
      <c r="C249">
        <v>1</v>
      </c>
      <c r="D249">
        <v>0</v>
      </c>
      <c r="E249">
        <v>2</v>
      </c>
      <c r="F249">
        <v>13</v>
      </c>
      <c r="G249" t="b">
        <v>0</v>
      </c>
      <c r="H249">
        <v>2</v>
      </c>
      <c r="I249">
        <v>2</v>
      </c>
      <c r="J249">
        <v>0.24</v>
      </c>
      <c r="K249">
        <v>0.19700000000000001</v>
      </c>
      <c r="L249">
        <v>0.32</v>
      </c>
      <c r="M249">
        <v>0.44779999999999998</v>
      </c>
      <c r="N249">
        <v>2</v>
      </c>
      <c r="O249">
        <v>48</v>
      </c>
      <c r="P249">
        <v>50</v>
      </c>
    </row>
    <row r="250" spans="1:16">
      <c r="A250">
        <v>868</v>
      </c>
      <c r="B250" s="2">
        <v>40582</v>
      </c>
      <c r="C250">
        <v>1</v>
      </c>
      <c r="D250">
        <v>0</v>
      </c>
      <c r="E250">
        <v>2</v>
      </c>
      <c r="F250">
        <v>14</v>
      </c>
      <c r="G250" t="b">
        <v>0</v>
      </c>
      <c r="H250">
        <v>2</v>
      </c>
      <c r="I250">
        <v>1</v>
      </c>
      <c r="J250">
        <v>0.22</v>
      </c>
      <c r="K250">
        <v>0.19700000000000001</v>
      </c>
      <c r="L250">
        <v>0.37</v>
      </c>
      <c r="M250">
        <v>0.41789999999999999</v>
      </c>
      <c r="N250">
        <v>3</v>
      </c>
      <c r="O250">
        <v>61</v>
      </c>
      <c r="P250">
        <v>64</v>
      </c>
    </row>
    <row r="251" spans="1:16">
      <c r="A251">
        <v>869</v>
      </c>
      <c r="B251" s="2">
        <v>40582</v>
      </c>
      <c r="C251">
        <v>1</v>
      </c>
      <c r="D251">
        <v>0</v>
      </c>
      <c r="E251">
        <v>2</v>
      </c>
      <c r="F251">
        <v>15</v>
      </c>
      <c r="G251" t="b">
        <v>0</v>
      </c>
      <c r="H251">
        <v>2</v>
      </c>
      <c r="I251">
        <v>1</v>
      </c>
      <c r="J251">
        <v>0.22</v>
      </c>
      <c r="K251">
        <v>0.19700000000000001</v>
      </c>
      <c r="L251">
        <v>0.35</v>
      </c>
      <c r="M251">
        <v>0.3881</v>
      </c>
      <c r="N251">
        <v>6</v>
      </c>
      <c r="O251">
        <v>45</v>
      </c>
      <c r="P251">
        <v>51</v>
      </c>
    </row>
    <row r="252" spans="1:16">
      <c r="A252">
        <v>870</v>
      </c>
      <c r="B252" s="2">
        <v>40582</v>
      </c>
      <c r="C252">
        <v>1</v>
      </c>
      <c r="D252">
        <v>0</v>
      </c>
      <c r="E252">
        <v>2</v>
      </c>
      <c r="F252">
        <v>16</v>
      </c>
      <c r="G252" t="b">
        <v>0</v>
      </c>
      <c r="H252">
        <v>2</v>
      </c>
      <c r="I252">
        <v>1</v>
      </c>
      <c r="J252">
        <v>0.22</v>
      </c>
      <c r="K252">
        <v>0.18179999999999999</v>
      </c>
      <c r="L252">
        <v>0.35</v>
      </c>
      <c r="M252">
        <v>0.52239999999999998</v>
      </c>
      <c r="N252">
        <v>4</v>
      </c>
      <c r="O252">
        <v>79</v>
      </c>
      <c r="P252">
        <v>83</v>
      </c>
    </row>
    <row r="253" spans="1:16">
      <c r="A253">
        <v>871</v>
      </c>
      <c r="B253" s="2">
        <v>40582</v>
      </c>
      <c r="C253">
        <v>1</v>
      </c>
      <c r="D253">
        <v>0</v>
      </c>
      <c r="E253">
        <v>2</v>
      </c>
      <c r="F253">
        <v>17</v>
      </c>
      <c r="G253" t="b">
        <v>0</v>
      </c>
      <c r="H253">
        <v>2</v>
      </c>
      <c r="I253">
        <v>1</v>
      </c>
      <c r="J253">
        <v>0.22</v>
      </c>
      <c r="K253">
        <v>0.18179999999999999</v>
      </c>
      <c r="L253">
        <v>0.32</v>
      </c>
      <c r="M253">
        <v>0.58209999999999995</v>
      </c>
      <c r="N253">
        <v>4</v>
      </c>
      <c r="O253">
        <v>172</v>
      </c>
      <c r="P253">
        <v>176</v>
      </c>
    </row>
    <row r="254" spans="1:16">
      <c r="A254">
        <v>872</v>
      </c>
      <c r="B254" s="2">
        <v>40582</v>
      </c>
      <c r="C254">
        <v>1</v>
      </c>
      <c r="D254">
        <v>0</v>
      </c>
      <c r="E254">
        <v>2</v>
      </c>
      <c r="F254">
        <v>18</v>
      </c>
      <c r="G254" t="b">
        <v>0</v>
      </c>
      <c r="H254">
        <v>2</v>
      </c>
      <c r="I254">
        <v>1</v>
      </c>
      <c r="J254">
        <v>0.2</v>
      </c>
      <c r="K254">
        <v>0.18179999999999999</v>
      </c>
      <c r="L254">
        <v>0.32</v>
      </c>
      <c r="M254">
        <v>0.3881</v>
      </c>
      <c r="N254">
        <v>1</v>
      </c>
      <c r="O254">
        <v>151</v>
      </c>
      <c r="P254">
        <v>152</v>
      </c>
    </row>
    <row r="255" spans="1:16">
      <c r="A255">
        <v>873</v>
      </c>
      <c r="B255" s="2">
        <v>40582</v>
      </c>
      <c r="C255">
        <v>1</v>
      </c>
      <c r="D255">
        <v>0</v>
      </c>
      <c r="E255">
        <v>2</v>
      </c>
      <c r="F255">
        <v>19</v>
      </c>
      <c r="G255" t="b">
        <v>0</v>
      </c>
      <c r="H255">
        <v>2</v>
      </c>
      <c r="I255">
        <v>1</v>
      </c>
      <c r="J255">
        <v>0.16</v>
      </c>
      <c r="K255">
        <v>0.1212</v>
      </c>
      <c r="L255">
        <v>0.4</v>
      </c>
      <c r="M255">
        <v>0.4627</v>
      </c>
      <c r="N255">
        <v>1</v>
      </c>
      <c r="O255">
        <v>100</v>
      </c>
      <c r="P255">
        <v>101</v>
      </c>
    </row>
    <row r="256" spans="1:16">
      <c r="A256">
        <v>874</v>
      </c>
      <c r="B256" s="2">
        <v>40582</v>
      </c>
      <c r="C256">
        <v>1</v>
      </c>
      <c r="D256">
        <v>0</v>
      </c>
      <c r="E256">
        <v>2</v>
      </c>
      <c r="F256">
        <v>20</v>
      </c>
      <c r="G256" t="b">
        <v>0</v>
      </c>
      <c r="H256">
        <v>2</v>
      </c>
      <c r="I256">
        <v>1</v>
      </c>
      <c r="J256">
        <v>0.16</v>
      </c>
      <c r="K256">
        <v>0.13639999999999999</v>
      </c>
      <c r="L256">
        <v>0.4</v>
      </c>
      <c r="M256">
        <v>0.32840000000000003</v>
      </c>
      <c r="N256">
        <v>3</v>
      </c>
      <c r="O256">
        <v>53</v>
      </c>
      <c r="P256">
        <v>56</v>
      </c>
    </row>
    <row r="257" spans="1:16">
      <c r="A257">
        <v>875</v>
      </c>
      <c r="B257" s="2">
        <v>40582</v>
      </c>
      <c r="C257">
        <v>1</v>
      </c>
      <c r="D257">
        <v>0</v>
      </c>
      <c r="E257">
        <v>2</v>
      </c>
      <c r="F257">
        <v>21</v>
      </c>
      <c r="G257" t="b">
        <v>0</v>
      </c>
      <c r="H257">
        <v>2</v>
      </c>
      <c r="I257">
        <v>1</v>
      </c>
      <c r="J257">
        <v>0.14000000000000001</v>
      </c>
      <c r="K257">
        <v>0.1061</v>
      </c>
      <c r="L257">
        <v>0.33</v>
      </c>
      <c r="M257">
        <v>0.4627</v>
      </c>
      <c r="N257">
        <v>8</v>
      </c>
      <c r="O257">
        <v>46</v>
      </c>
      <c r="P257">
        <v>54</v>
      </c>
    </row>
    <row r="258" spans="1:16">
      <c r="A258">
        <v>876</v>
      </c>
      <c r="B258" s="2">
        <v>40582</v>
      </c>
      <c r="C258">
        <v>1</v>
      </c>
      <c r="D258">
        <v>0</v>
      </c>
      <c r="E258">
        <v>2</v>
      </c>
      <c r="F258">
        <v>22</v>
      </c>
      <c r="G258" t="b">
        <v>0</v>
      </c>
      <c r="H258">
        <v>2</v>
      </c>
      <c r="I258">
        <v>1</v>
      </c>
      <c r="J258">
        <v>0.12</v>
      </c>
      <c r="K258">
        <v>0.1061</v>
      </c>
      <c r="L258">
        <v>0.33</v>
      </c>
      <c r="M258">
        <v>0.35820000000000002</v>
      </c>
      <c r="N258">
        <v>0</v>
      </c>
      <c r="O258">
        <v>29</v>
      </c>
      <c r="P258">
        <v>29</v>
      </c>
    </row>
    <row r="259" spans="1:16">
      <c r="A259">
        <v>877</v>
      </c>
      <c r="B259" s="2">
        <v>40582</v>
      </c>
      <c r="C259">
        <v>1</v>
      </c>
      <c r="D259">
        <v>0</v>
      </c>
      <c r="E259">
        <v>2</v>
      </c>
      <c r="F259">
        <v>23</v>
      </c>
      <c r="G259" t="b">
        <v>0</v>
      </c>
      <c r="H259">
        <v>2</v>
      </c>
      <c r="I259">
        <v>1</v>
      </c>
      <c r="J259">
        <v>0.12</v>
      </c>
      <c r="K259">
        <v>0.1061</v>
      </c>
      <c r="L259">
        <v>0.33</v>
      </c>
      <c r="M259">
        <v>0.32840000000000003</v>
      </c>
      <c r="N259">
        <v>3</v>
      </c>
      <c r="O259">
        <v>9</v>
      </c>
      <c r="P259">
        <v>12</v>
      </c>
    </row>
    <row r="260" spans="1:16">
      <c r="A260">
        <v>878</v>
      </c>
      <c r="B260" s="2">
        <v>40583</v>
      </c>
      <c r="C260">
        <v>1</v>
      </c>
      <c r="D260">
        <v>0</v>
      </c>
      <c r="E260">
        <v>2</v>
      </c>
      <c r="F260">
        <v>0</v>
      </c>
      <c r="G260" t="b">
        <v>0</v>
      </c>
      <c r="H260">
        <v>3</v>
      </c>
      <c r="I260">
        <v>1</v>
      </c>
      <c r="J260">
        <v>0.1</v>
      </c>
      <c r="K260">
        <v>7.5800000000000006E-2</v>
      </c>
      <c r="L260">
        <v>0.36</v>
      </c>
      <c r="M260">
        <v>0.35820000000000002</v>
      </c>
      <c r="N260">
        <v>0</v>
      </c>
      <c r="O260">
        <v>17</v>
      </c>
      <c r="P260">
        <v>17</v>
      </c>
    </row>
    <row r="261" spans="1:16">
      <c r="A261">
        <v>879</v>
      </c>
      <c r="B261" s="2">
        <v>40583</v>
      </c>
      <c r="C261">
        <v>1</v>
      </c>
      <c r="D261">
        <v>0</v>
      </c>
      <c r="E261">
        <v>2</v>
      </c>
      <c r="F261">
        <v>1</v>
      </c>
      <c r="G261" t="b">
        <v>0</v>
      </c>
      <c r="H261">
        <v>3</v>
      </c>
      <c r="I261">
        <v>1</v>
      </c>
      <c r="J261">
        <v>0.1</v>
      </c>
      <c r="K261">
        <v>0.1061</v>
      </c>
      <c r="L261">
        <v>0.36</v>
      </c>
      <c r="M261">
        <v>0.22389999999999999</v>
      </c>
      <c r="N261">
        <v>0</v>
      </c>
      <c r="O261">
        <v>7</v>
      </c>
      <c r="P261">
        <v>7</v>
      </c>
    </row>
    <row r="262" spans="1:16">
      <c r="A262">
        <v>880</v>
      </c>
      <c r="B262" s="2">
        <v>40583</v>
      </c>
      <c r="C262">
        <v>1</v>
      </c>
      <c r="D262">
        <v>0</v>
      </c>
      <c r="E262">
        <v>2</v>
      </c>
      <c r="F262">
        <v>2</v>
      </c>
      <c r="G262" t="b">
        <v>0</v>
      </c>
      <c r="H262">
        <v>3</v>
      </c>
      <c r="I262">
        <v>1</v>
      </c>
      <c r="J262">
        <v>0.08</v>
      </c>
      <c r="K262">
        <v>7.5800000000000006E-2</v>
      </c>
      <c r="L262">
        <v>0.38</v>
      </c>
      <c r="M262">
        <v>0.28360000000000002</v>
      </c>
      <c r="N262">
        <v>1</v>
      </c>
      <c r="O262">
        <v>2</v>
      </c>
      <c r="P262">
        <v>3</v>
      </c>
    </row>
    <row r="263" spans="1:16">
      <c r="A263">
        <v>881</v>
      </c>
      <c r="B263" s="2">
        <v>40583</v>
      </c>
      <c r="C263">
        <v>1</v>
      </c>
      <c r="D263">
        <v>0</v>
      </c>
      <c r="E263">
        <v>2</v>
      </c>
      <c r="F263">
        <v>3</v>
      </c>
      <c r="G263" t="b">
        <v>0</v>
      </c>
      <c r="H263">
        <v>3</v>
      </c>
      <c r="I263">
        <v>1</v>
      </c>
      <c r="J263">
        <v>0.06</v>
      </c>
      <c r="K263">
        <v>7.5800000000000006E-2</v>
      </c>
      <c r="L263">
        <v>0.45</v>
      </c>
      <c r="M263">
        <v>0.1343</v>
      </c>
      <c r="N263">
        <v>0</v>
      </c>
      <c r="O263">
        <v>2</v>
      </c>
      <c r="P263">
        <v>2</v>
      </c>
    </row>
    <row r="264" spans="1:16">
      <c r="A264">
        <v>882</v>
      </c>
      <c r="B264" s="2">
        <v>40583</v>
      </c>
      <c r="C264">
        <v>1</v>
      </c>
      <c r="D264">
        <v>0</v>
      </c>
      <c r="E264">
        <v>2</v>
      </c>
      <c r="F264">
        <v>5</v>
      </c>
      <c r="G264" t="b">
        <v>0</v>
      </c>
      <c r="H264">
        <v>3</v>
      </c>
      <c r="I264">
        <v>1</v>
      </c>
      <c r="J264">
        <v>0.06</v>
      </c>
      <c r="K264">
        <v>0.1061</v>
      </c>
      <c r="L264">
        <v>0.45</v>
      </c>
      <c r="M264">
        <v>0.1045</v>
      </c>
      <c r="N264">
        <v>0</v>
      </c>
      <c r="O264">
        <v>7</v>
      </c>
      <c r="P264">
        <v>7</v>
      </c>
    </row>
    <row r="265" spans="1:16">
      <c r="A265">
        <v>883</v>
      </c>
      <c r="B265" s="2">
        <v>40583</v>
      </c>
      <c r="C265">
        <v>1</v>
      </c>
      <c r="D265">
        <v>0</v>
      </c>
      <c r="E265">
        <v>2</v>
      </c>
      <c r="F265">
        <v>6</v>
      </c>
      <c r="G265" t="b">
        <v>0</v>
      </c>
      <c r="H265">
        <v>3</v>
      </c>
      <c r="I265">
        <v>1</v>
      </c>
      <c r="J265">
        <v>0.06</v>
      </c>
      <c r="K265">
        <v>0.1515</v>
      </c>
      <c r="L265">
        <v>0.45</v>
      </c>
      <c r="M265">
        <v>0</v>
      </c>
      <c r="N265">
        <v>0</v>
      </c>
      <c r="O265">
        <v>43</v>
      </c>
      <c r="P265">
        <v>43</v>
      </c>
    </row>
    <row r="266" spans="1:16">
      <c r="A266">
        <v>884</v>
      </c>
      <c r="B266" s="2">
        <v>40583</v>
      </c>
      <c r="C266">
        <v>1</v>
      </c>
      <c r="D266">
        <v>0</v>
      </c>
      <c r="E266">
        <v>2</v>
      </c>
      <c r="F266">
        <v>7</v>
      </c>
      <c r="G266" t="b">
        <v>0</v>
      </c>
      <c r="H266">
        <v>3</v>
      </c>
      <c r="I266">
        <v>1</v>
      </c>
      <c r="J266">
        <v>0.06</v>
      </c>
      <c r="K266">
        <v>0.1061</v>
      </c>
      <c r="L266">
        <v>0.49</v>
      </c>
      <c r="M266">
        <v>0.1045</v>
      </c>
      <c r="N266">
        <v>4</v>
      </c>
      <c r="O266">
        <v>95</v>
      </c>
      <c r="P266">
        <v>99</v>
      </c>
    </row>
    <row r="267" spans="1:16">
      <c r="A267">
        <v>885</v>
      </c>
      <c r="B267" s="2">
        <v>40583</v>
      </c>
      <c r="C267">
        <v>1</v>
      </c>
      <c r="D267">
        <v>0</v>
      </c>
      <c r="E267">
        <v>2</v>
      </c>
      <c r="F267">
        <v>8</v>
      </c>
      <c r="G267" t="b">
        <v>0</v>
      </c>
      <c r="H267">
        <v>3</v>
      </c>
      <c r="I267">
        <v>1</v>
      </c>
      <c r="J267">
        <v>0.1</v>
      </c>
      <c r="K267">
        <v>0.13639999999999999</v>
      </c>
      <c r="L267">
        <v>0.42</v>
      </c>
      <c r="M267">
        <v>0</v>
      </c>
      <c r="N267">
        <v>1</v>
      </c>
      <c r="O267">
        <v>198</v>
      </c>
      <c r="P267">
        <v>199</v>
      </c>
    </row>
    <row r="268" spans="1:16">
      <c r="A268">
        <v>886</v>
      </c>
      <c r="B268" s="2">
        <v>40583</v>
      </c>
      <c r="C268">
        <v>1</v>
      </c>
      <c r="D268">
        <v>0</v>
      </c>
      <c r="E268">
        <v>2</v>
      </c>
      <c r="F268">
        <v>9</v>
      </c>
      <c r="G268" t="b">
        <v>0</v>
      </c>
      <c r="H268">
        <v>3</v>
      </c>
      <c r="I268">
        <v>1</v>
      </c>
      <c r="J268">
        <v>0.12</v>
      </c>
      <c r="K268">
        <v>0.13639999999999999</v>
      </c>
      <c r="L268">
        <v>0.39</v>
      </c>
      <c r="M268">
        <v>0.16420000000000001</v>
      </c>
      <c r="N268">
        <v>4</v>
      </c>
      <c r="O268">
        <v>119</v>
      </c>
      <c r="P268">
        <v>123</v>
      </c>
    </row>
    <row r="269" spans="1:16">
      <c r="A269">
        <v>887</v>
      </c>
      <c r="B269" s="2">
        <v>40583</v>
      </c>
      <c r="C269">
        <v>1</v>
      </c>
      <c r="D269">
        <v>0</v>
      </c>
      <c r="E269">
        <v>2</v>
      </c>
      <c r="F269">
        <v>10</v>
      </c>
      <c r="G269" t="b">
        <v>0</v>
      </c>
      <c r="H269">
        <v>3</v>
      </c>
      <c r="I269">
        <v>1</v>
      </c>
      <c r="J269">
        <v>0.14000000000000001</v>
      </c>
      <c r="K269">
        <v>0.18179999999999999</v>
      </c>
      <c r="L269">
        <v>0.36</v>
      </c>
      <c r="M269">
        <v>0</v>
      </c>
      <c r="N269">
        <v>8</v>
      </c>
      <c r="O269">
        <v>51</v>
      </c>
      <c r="P269">
        <v>59</v>
      </c>
    </row>
    <row r="270" spans="1:16">
      <c r="A270">
        <v>888</v>
      </c>
      <c r="B270" s="2">
        <v>40583</v>
      </c>
      <c r="C270">
        <v>1</v>
      </c>
      <c r="D270">
        <v>0</v>
      </c>
      <c r="E270">
        <v>2</v>
      </c>
      <c r="F270">
        <v>11</v>
      </c>
      <c r="G270" t="b">
        <v>0</v>
      </c>
      <c r="H270">
        <v>3</v>
      </c>
      <c r="I270">
        <v>2</v>
      </c>
      <c r="J270">
        <v>0.14000000000000001</v>
      </c>
      <c r="K270">
        <v>0.1515</v>
      </c>
      <c r="L270">
        <v>0.43</v>
      </c>
      <c r="M270">
        <v>0.16420000000000001</v>
      </c>
      <c r="N270">
        <v>1</v>
      </c>
      <c r="O270">
        <v>40</v>
      </c>
      <c r="P270">
        <v>41</v>
      </c>
    </row>
    <row r="271" spans="1:16">
      <c r="A271">
        <v>889</v>
      </c>
      <c r="B271" s="2">
        <v>40583</v>
      </c>
      <c r="C271">
        <v>1</v>
      </c>
      <c r="D271">
        <v>0</v>
      </c>
      <c r="E271">
        <v>2</v>
      </c>
      <c r="F271">
        <v>12</v>
      </c>
      <c r="G271" t="b">
        <v>0</v>
      </c>
      <c r="H271">
        <v>3</v>
      </c>
      <c r="I271">
        <v>2</v>
      </c>
      <c r="J271">
        <v>0.18</v>
      </c>
      <c r="K271">
        <v>0.18179999999999999</v>
      </c>
      <c r="L271">
        <v>0.4</v>
      </c>
      <c r="M271">
        <v>0.22389999999999999</v>
      </c>
      <c r="N271">
        <v>4</v>
      </c>
      <c r="O271">
        <v>57</v>
      </c>
      <c r="P271">
        <v>61</v>
      </c>
    </row>
    <row r="272" spans="1:16">
      <c r="A272">
        <v>890</v>
      </c>
      <c r="B272" s="2">
        <v>40583</v>
      </c>
      <c r="C272">
        <v>1</v>
      </c>
      <c r="D272">
        <v>0</v>
      </c>
      <c r="E272">
        <v>2</v>
      </c>
      <c r="F272">
        <v>13</v>
      </c>
      <c r="G272" t="b">
        <v>0</v>
      </c>
      <c r="H272">
        <v>3</v>
      </c>
      <c r="I272">
        <v>1</v>
      </c>
      <c r="J272">
        <v>0.18</v>
      </c>
      <c r="K272">
        <v>0.16669999999999999</v>
      </c>
      <c r="L272">
        <v>0.4</v>
      </c>
      <c r="M272">
        <v>0.25369999999999998</v>
      </c>
      <c r="N272">
        <v>2</v>
      </c>
      <c r="O272">
        <v>67</v>
      </c>
      <c r="P272">
        <v>69</v>
      </c>
    </row>
    <row r="273" spans="1:16">
      <c r="A273">
        <v>891</v>
      </c>
      <c r="B273" s="2">
        <v>40583</v>
      </c>
      <c r="C273">
        <v>1</v>
      </c>
      <c r="D273">
        <v>0</v>
      </c>
      <c r="E273">
        <v>2</v>
      </c>
      <c r="F273">
        <v>14</v>
      </c>
      <c r="G273" t="b">
        <v>0</v>
      </c>
      <c r="H273">
        <v>3</v>
      </c>
      <c r="I273">
        <v>1</v>
      </c>
      <c r="J273">
        <v>0.2</v>
      </c>
      <c r="K273">
        <v>0.18179999999999999</v>
      </c>
      <c r="L273">
        <v>0.34</v>
      </c>
      <c r="M273">
        <v>0.29849999999999999</v>
      </c>
      <c r="N273">
        <v>2</v>
      </c>
      <c r="O273">
        <v>56</v>
      </c>
      <c r="P273">
        <v>58</v>
      </c>
    </row>
    <row r="274" spans="1:16">
      <c r="A274">
        <v>892</v>
      </c>
      <c r="B274" s="2">
        <v>40583</v>
      </c>
      <c r="C274">
        <v>1</v>
      </c>
      <c r="D274">
        <v>0</v>
      </c>
      <c r="E274">
        <v>2</v>
      </c>
      <c r="F274">
        <v>15</v>
      </c>
      <c r="G274" t="b">
        <v>0</v>
      </c>
      <c r="H274">
        <v>3</v>
      </c>
      <c r="I274">
        <v>2</v>
      </c>
      <c r="J274">
        <v>0.2</v>
      </c>
      <c r="K274">
        <v>0.18179999999999999</v>
      </c>
      <c r="L274">
        <v>0.34</v>
      </c>
      <c r="M274">
        <v>0.28360000000000002</v>
      </c>
      <c r="N274">
        <v>3</v>
      </c>
      <c r="O274">
        <v>61</v>
      </c>
      <c r="P274">
        <v>64</v>
      </c>
    </row>
    <row r="275" spans="1:16">
      <c r="A275">
        <v>893</v>
      </c>
      <c r="B275" s="2">
        <v>40583</v>
      </c>
      <c r="C275">
        <v>1</v>
      </c>
      <c r="D275">
        <v>0</v>
      </c>
      <c r="E275">
        <v>2</v>
      </c>
      <c r="F275">
        <v>16</v>
      </c>
      <c r="G275" t="b">
        <v>0</v>
      </c>
      <c r="H275">
        <v>3</v>
      </c>
      <c r="I275">
        <v>2</v>
      </c>
      <c r="J275">
        <v>0.2</v>
      </c>
      <c r="K275">
        <v>0.19700000000000001</v>
      </c>
      <c r="L275">
        <v>0.37</v>
      </c>
      <c r="M275">
        <v>0.25369999999999998</v>
      </c>
      <c r="N275">
        <v>7</v>
      </c>
      <c r="O275">
        <v>72</v>
      </c>
      <c r="P275">
        <v>79</v>
      </c>
    </row>
    <row r="276" spans="1:16">
      <c r="A276">
        <v>894</v>
      </c>
      <c r="B276" s="2">
        <v>40583</v>
      </c>
      <c r="C276">
        <v>1</v>
      </c>
      <c r="D276">
        <v>0</v>
      </c>
      <c r="E276">
        <v>2</v>
      </c>
      <c r="F276">
        <v>17</v>
      </c>
      <c r="G276" t="b">
        <v>0</v>
      </c>
      <c r="H276">
        <v>3</v>
      </c>
      <c r="I276">
        <v>2</v>
      </c>
      <c r="J276">
        <v>0.2</v>
      </c>
      <c r="K276">
        <v>0.19700000000000001</v>
      </c>
      <c r="L276">
        <v>0.34</v>
      </c>
      <c r="M276">
        <v>0.25369999999999998</v>
      </c>
      <c r="N276">
        <v>9</v>
      </c>
      <c r="O276">
        <v>157</v>
      </c>
      <c r="P276">
        <v>166</v>
      </c>
    </row>
    <row r="277" spans="1:16">
      <c r="A277">
        <v>895</v>
      </c>
      <c r="B277" s="2">
        <v>40583</v>
      </c>
      <c r="C277">
        <v>1</v>
      </c>
      <c r="D277">
        <v>0</v>
      </c>
      <c r="E277">
        <v>2</v>
      </c>
      <c r="F277">
        <v>18</v>
      </c>
      <c r="G277" t="b">
        <v>0</v>
      </c>
      <c r="H277">
        <v>3</v>
      </c>
      <c r="I277">
        <v>2</v>
      </c>
      <c r="J277">
        <v>0.18</v>
      </c>
      <c r="K277">
        <v>0.16669999999999999</v>
      </c>
      <c r="L277">
        <v>0.47</v>
      </c>
      <c r="M277">
        <v>0.29849999999999999</v>
      </c>
      <c r="N277">
        <v>2</v>
      </c>
      <c r="O277">
        <v>168</v>
      </c>
      <c r="P277">
        <v>170</v>
      </c>
    </row>
    <row r="278" spans="1:16">
      <c r="A278">
        <v>896</v>
      </c>
      <c r="B278" s="2">
        <v>40583</v>
      </c>
      <c r="C278">
        <v>1</v>
      </c>
      <c r="D278">
        <v>0</v>
      </c>
      <c r="E278">
        <v>2</v>
      </c>
      <c r="F278">
        <v>19</v>
      </c>
      <c r="G278" t="b">
        <v>0</v>
      </c>
      <c r="H278">
        <v>3</v>
      </c>
      <c r="I278">
        <v>3</v>
      </c>
      <c r="J278">
        <v>0.14000000000000001</v>
      </c>
      <c r="K278">
        <v>0.1212</v>
      </c>
      <c r="L278">
        <v>0.86</v>
      </c>
      <c r="M278">
        <v>0.25369999999999998</v>
      </c>
      <c r="N278">
        <v>1</v>
      </c>
      <c r="O278">
        <v>87</v>
      </c>
      <c r="P278">
        <v>88</v>
      </c>
    </row>
    <row r="279" spans="1:16">
      <c r="A279">
        <v>897</v>
      </c>
      <c r="B279" s="2">
        <v>40583</v>
      </c>
      <c r="C279">
        <v>1</v>
      </c>
      <c r="D279">
        <v>0</v>
      </c>
      <c r="E279">
        <v>2</v>
      </c>
      <c r="F279">
        <v>20</v>
      </c>
      <c r="G279" t="b">
        <v>0</v>
      </c>
      <c r="H279">
        <v>3</v>
      </c>
      <c r="I279">
        <v>3</v>
      </c>
      <c r="J279">
        <v>0.14000000000000001</v>
      </c>
      <c r="K279">
        <v>0.1515</v>
      </c>
      <c r="L279">
        <v>0.86</v>
      </c>
      <c r="M279">
        <v>0.16420000000000001</v>
      </c>
      <c r="N279">
        <v>0</v>
      </c>
      <c r="O279">
        <v>84</v>
      </c>
      <c r="P279">
        <v>84</v>
      </c>
    </row>
    <row r="280" spans="1:16">
      <c r="A280">
        <v>898</v>
      </c>
      <c r="B280" s="2">
        <v>40583</v>
      </c>
      <c r="C280">
        <v>1</v>
      </c>
      <c r="D280">
        <v>0</v>
      </c>
      <c r="E280">
        <v>2</v>
      </c>
      <c r="F280">
        <v>21</v>
      </c>
      <c r="G280" t="b">
        <v>0</v>
      </c>
      <c r="H280">
        <v>3</v>
      </c>
      <c r="I280">
        <v>2</v>
      </c>
      <c r="J280">
        <v>0.14000000000000001</v>
      </c>
      <c r="K280">
        <v>0.1515</v>
      </c>
      <c r="L280">
        <v>0.86</v>
      </c>
      <c r="M280">
        <v>0.16420000000000001</v>
      </c>
      <c r="N280">
        <v>0</v>
      </c>
      <c r="O280">
        <v>83</v>
      </c>
      <c r="P280">
        <v>83</v>
      </c>
    </row>
    <row r="281" spans="1:16">
      <c r="A281">
        <v>899</v>
      </c>
      <c r="B281" s="2">
        <v>40583</v>
      </c>
      <c r="C281">
        <v>1</v>
      </c>
      <c r="D281">
        <v>0</v>
      </c>
      <c r="E281">
        <v>2</v>
      </c>
      <c r="F281">
        <v>22</v>
      </c>
      <c r="G281" t="b">
        <v>0</v>
      </c>
      <c r="H281">
        <v>3</v>
      </c>
      <c r="I281">
        <v>3</v>
      </c>
      <c r="J281">
        <v>0.16</v>
      </c>
      <c r="K281">
        <v>0.16669999999999999</v>
      </c>
      <c r="L281">
        <v>0.8</v>
      </c>
      <c r="M281">
        <v>0.16420000000000001</v>
      </c>
      <c r="N281">
        <v>4</v>
      </c>
      <c r="O281">
        <v>42</v>
      </c>
      <c r="P281">
        <v>46</v>
      </c>
    </row>
    <row r="282" spans="1:16">
      <c r="A282">
        <v>900</v>
      </c>
      <c r="B282" s="2">
        <v>40583</v>
      </c>
      <c r="C282">
        <v>1</v>
      </c>
      <c r="D282">
        <v>0</v>
      </c>
      <c r="E282">
        <v>2</v>
      </c>
      <c r="F282">
        <v>23</v>
      </c>
      <c r="G282" t="b">
        <v>0</v>
      </c>
      <c r="H282">
        <v>3</v>
      </c>
      <c r="I282">
        <v>3</v>
      </c>
      <c r="J282">
        <v>0.16</v>
      </c>
      <c r="K282">
        <v>0.1515</v>
      </c>
      <c r="L282">
        <v>0.8</v>
      </c>
      <c r="M282">
        <v>0.19400000000000001</v>
      </c>
      <c r="N282">
        <v>0</v>
      </c>
      <c r="O282">
        <v>37</v>
      </c>
      <c r="P282">
        <v>37</v>
      </c>
    </row>
    <row r="283" spans="1:16">
      <c r="A283">
        <v>901</v>
      </c>
      <c r="B283" s="2">
        <v>40584</v>
      </c>
      <c r="C283">
        <v>1</v>
      </c>
      <c r="D283">
        <v>0</v>
      </c>
      <c r="E283">
        <v>2</v>
      </c>
      <c r="F283">
        <v>0</v>
      </c>
      <c r="G283" t="b">
        <v>0</v>
      </c>
      <c r="H283">
        <v>4</v>
      </c>
      <c r="I283">
        <v>3</v>
      </c>
      <c r="J283">
        <v>0.14000000000000001</v>
      </c>
      <c r="K283">
        <v>0.13639999999999999</v>
      </c>
      <c r="L283">
        <v>0.86</v>
      </c>
      <c r="M283">
        <v>0.19400000000000001</v>
      </c>
      <c r="N283">
        <v>0</v>
      </c>
      <c r="O283">
        <v>16</v>
      </c>
      <c r="P283">
        <v>16</v>
      </c>
    </row>
    <row r="284" spans="1:16">
      <c r="A284">
        <v>902</v>
      </c>
      <c r="B284" s="2">
        <v>40584</v>
      </c>
      <c r="C284">
        <v>1</v>
      </c>
      <c r="D284">
        <v>0</v>
      </c>
      <c r="E284">
        <v>2</v>
      </c>
      <c r="F284">
        <v>1</v>
      </c>
      <c r="G284" t="b">
        <v>0</v>
      </c>
      <c r="H284">
        <v>4</v>
      </c>
      <c r="I284">
        <v>3</v>
      </c>
      <c r="J284">
        <v>0.14000000000000001</v>
      </c>
      <c r="K284">
        <v>0.1515</v>
      </c>
      <c r="L284">
        <v>0.8</v>
      </c>
      <c r="M284">
        <v>0.1343</v>
      </c>
      <c r="N284">
        <v>0</v>
      </c>
      <c r="O284">
        <v>7</v>
      </c>
      <c r="P284">
        <v>7</v>
      </c>
    </row>
    <row r="285" spans="1:16">
      <c r="A285">
        <v>903</v>
      </c>
      <c r="B285" s="2">
        <v>40584</v>
      </c>
      <c r="C285">
        <v>1</v>
      </c>
      <c r="D285">
        <v>0</v>
      </c>
      <c r="E285">
        <v>2</v>
      </c>
      <c r="F285">
        <v>2</v>
      </c>
      <c r="G285" t="b">
        <v>0</v>
      </c>
      <c r="H285">
        <v>4</v>
      </c>
      <c r="I285">
        <v>3</v>
      </c>
      <c r="J285">
        <v>0.14000000000000001</v>
      </c>
      <c r="K285">
        <v>0.1515</v>
      </c>
      <c r="L285">
        <v>0.8</v>
      </c>
      <c r="M285">
        <v>0.1343</v>
      </c>
      <c r="N285">
        <v>0</v>
      </c>
      <c r="O285">
        <v>3</v>
      </c>
      <c r="P285">
        <v>3</v>
      </c>
    </row>
    <row r="286" spans="1:16">
      <c r="A286">
        <v>904</v>
      </c>
      <c r="B286" s="2">
        <v>40584</v>
      </c>
      <c r="C286">
        <v>1</v>
      </c>
      <c r="D286">
        <v>0</v>
      </c>
      <c r="E286">
        <v>2</v>
      </c>
      <c r="F286">
        <v>4</v>
      </c>
      <c r="G286" t="b">
        <v>0</v>
      </c>
      <c r="H286">
        <v>4</v>
      </c>
      <c r="I286">
        <v>2</v>
      </c>
      <c r="J286">
        <v>0.14000000000000001</v>
      </c>
      <c r="K286">
        <v>0.13639999999999999</v>
      </c>
      <c r="L286">
        <v>0.59</v>
      </c>
      <c r="M286">
        <v>0.22389999999999999</v>
      </c>
      <c r="N286">
        <v>0</v>
      </c>
      <c r="O286">
        <v>1</v>
      </c>
      <c r="P286">
        <v>1</v>
      </c>
    </row>
    <row r="287" spans="1:16">
      <c r="A287">
        <v>905</v>
      </c>
      <c r="B287" s="2">
        <v>40584</v>
      </c>
      <c r="C287">
        <v>1</v>
      </c>
      <c r="D287">
        <v>0</v>
      </c>
      <c r="E287">
        <v>2</v>
      </c>
      <c r="F287">
        <v>5</v>
      </c>
      <c r="G287" t="b">
        <v>0</v>
      </c>
      <c r="H287">
        <v>4</v>
      </c>
      <c r="I287">
        <v>2</v>
      </c>
      <c r="J287">
        <v>0.12</v>
      </c>
      <c r="K287">
        <v>0.1212</v>
      </c>
      <c r="L287">
        <v>0.5</v>
      </c>
      <c r="M287">
        <v>0.22389999999999999</v>
      </c>
      <c r="N287">
        <v>0</v>
      </c>
      <c r="O287">
        <v>6</v>
      </c>
      <c r="P287">
        <v>6</v>
      </c>
    </row>
    <row r="288" spans="1:16">
      <c r="A288">
        <v>906</v>
      </c>
      <c r="B288" s="2">
        <v>40584</v>
      </c>
      <c r="C288">
        <v>1</v>
      </c>
      <c r="D288">
        <v>0</v>
      </c>
      <c r="E288">
        <v>2</v>
      </c>
      <c r="F288">
        <v>6</v>
      </c>
      <c r="G288" t="b">
        <v>0</v>
      </c>
      <c r="H288">
        <v>4</v>
      </c>
      <c r="I288">
        <v>2</v>
      </c>
      <c r="J288">
        <v>0.12</v>
      </c>
      <c r="K288">
        <v>0.1212</v>
      </c>
      <c r="L288">
        <v>0.54</v>
      </c>
      <c r="M288">
        <v>0.28360000000000002</v>
      </c>
      <c r="N288">
        <v>0</v>
      </c>
      <c r="O288">
        <v>26</v>
      </c>
      <c r="P288">
        <v>26</v>
      </c>
    </row>
    <row r="289" spans="1:16">
      <c r="A289">
        <v>907</v>
      </c>
      <c r="B289" s="2">
        <v>40584</v>
      </c>
      <c r="C289">
        <v>1</v>
      </c>
      <c r="D289">
        <v>0</v>
      </c>
      <c r="E289">
        <v>2</v>
      </c>
      <c r="F289">
        <v>7</v>
      </c>
      <c r="G289" t="b">
        <v>0</v>
      </c>
      <c r="H289">
        <v>4</v>
      </c>
      <c r="I289">
        <v>1</v>
      </c>
      <c r="J289">
        <v>0.1</v>
      </c>
      <c r="K289">
        <v>7.5800000000000006E-2</v>
      </c>
      <c r="L289">
        <v>0.5</v>
      </c>
      <c r="M289">
        <v>0.41789999999999999</v>
      </c>
      <c r="N289">
        <v>0</v>
      </c>
      <c r="O289">
        <v>99</v>
      </c>
      <c r="P289">
        <v>99</v>
      </c>
    </row>
    <row r="290" spans="1:16">
      <c r="A290">
        <v>908</v>
      </c>
      <c r="B290" s="2">
        <v>40584</v>
      </c>
      <c r="C290">
        <v>1</v>
      </c>
      <c r="D290">
        <v>0</v>
      </c>
      <c r="E290">
        <v>2</v>
      </c>
      <c r="F290">
        <v>8</v>
      </c>
      <c r="G290" t="b">
        <v>0</v>
      </c>
      <c r="H290">
        <v>4</v>
      </c>
      <c r="I290">
        <v>1</v>
      </c>
      <c r="J290">
        <v>0.1</v>
      </c>
      <c r="K290">
        <v>7.5800000000000006E-2</v>
      </c>
      <c r="L290">
        <v>0.49</v>
      </c>
      <c r="M290">
        <v>0.32840000000000003</v>
      </c>
      <c r="N290">
        <v>5</v>
      </c>
      <c r="O290">
        <v>173</v>
      </c>
      <c r="P290">
        <v>178</v>
      </c>
    </row>
    <row r="291" spans="1:16">
      <c r="A291">
        <v>909</v>
      </c>
      <c r="B291" s="2">
        <v>40584</v>
      </c>
      <c r="C291">
        <v>1</v>
      </c>
      <c r="D291">
        <v>0</v>
      </c>
      <c r="E291">
        <v>2</v>
      </c>
      <c r="F291">
        <v>9</v>
      </c>
      <c r="G291" t="b">
        <v>0</v>
      </c>
      <c r="H291">
        <v>4</v>
      </c>
      <c r="I291">
        <v>1</v>
      </c>
      <c r="J291">
        <v>0.12</v>
      </c>
      <c r="K291">
        <v>0.1061</v>
      </c>
      <c r="L291">
        <v>0.42</v>
      </c>
      <c r="M291">
        <v>0.35820000000000002</v>
      </c>
      <c r="N291">
        <v>1</v>
      </c>
      <c r="O291">
        <v>121</v>
      </c>
      <c r="P291">
        <v>122</v>
      </c>
    </row>
    <row r="292" spans="1:16">
      <c r="A292">
        <v>910</v>
      </c>
      <c r="B292" s="2">
        <v>40584</v>
      </c>
      <c r="C292">
        <v>1</v>
      </c>
      <c r="D292">
        <v>0</v>
      </c>
      <c r="E292">
        <v>2</v>
      </c>
      <c r="F292">
        <v>10</v>
      </c>
      <c r="G292" t="b">
        <v>0</v>
      </c>
      <c r="H292">
        <v>4</v>
      </c>
      <c r="I292">
        <v>1</v>
      </c>
      <c r="J292">
        <v>0.12</v>
      </c>
      <c r="K292">
        <v>0.1061</v>
      </c>
      <c r="L292">
        <v>0.42</v>
      </c>
      <c r="M292">
        <v>0.29849999999999999</v>
      </c>
      <c r="N292">
        <v>1</v>
      </c>
      <c r="O292">
        <v>34</v>
      </c>
      <c r="P292">
        <v>35</v>
      </c>
    </row>
    <row r="293" spans="1:16">
      <c r="A293">
        <v>911</v>
      </c>
      <c r="B293" s="2">
        <v>40584</v>
      </c>
      <c r="C293">
        <v>1</v>
      </c>
      <c r="D293">
        <v>0</v>
      </c>
      <c r="E293">
        <v>2</v>
      </c>
      <c r="F293">
        <v>11</v>
      </c>
      <c r="G293" t="b">
        <v>0</v>
      </c>
      <c r="H293">
        <v>4</v>
      </c>
      <c r="I293">
        <v>1</v>
      </c>
      <c r="J293">
        <v>0.14000000000000001</v>
      </c>
      <c r="K293">
        <v>0.1212</v>
      </c>
      <c r="L293">
        <v>0.39</v>
      </c>
      <c r="M293">
        <v>0.35820000000000002</v>
      </c>
      <c r="N293">
        <v>1</v>
      </c>
      <c r="O293">
        <v>44</v>
      </c>
      <c r="P293">
        <v>45</v>
      </c>
    </row>
    <row r="294" spans="1:16">
      <c r="A294">
        <v>912</v>
      </c>
      <c r="B294" s="2">
        <v>40584</v>
      </c>
      <c r="C294">
        <v>1</v>
      </c>
      <c r="D294">
        <v>0</v>
      </c>
      <c r="E294">
        <v>2</v>
      </c>
      <c r="F294">
        <v>12</v>
      </c>
      <c r="G294" t="b">
        <v>0</v>
      </c>
      <c r="H294">
        <v>4</v>
      </c>
      <c r="I294">
        <v>1</v>
      </c>
      <c r="J294">
        <v>0.16</v>
      </c>
      <c r="K294">
        <v>0.13639999999999999</v>
      </c>
      <c r="L294">
        <v>0.34</v>
      </c>
      <c r="M294">
        <v>0.3881</v>
      </c>
      <c r="N294">
        <v>4</v>
      </c>
      <c r="O294">
        <v>65</v>
      </c>
      <c r="P294">
        <v>69</v>
      </c>
    </row>
    <row r="295" spans="1:16">
      <c r="A295">
        <v>913</v>
      </c>
      <c r="B295" s="2">
        <v>40584</v>
      </c>
      <c r="C295">
        <v>1</v>
      </c>
      <c r="D295">
        <v>0</v>
      </c>
      <c r="E295">
        <v>2</v>
      </c>
      <c r="F295">
        <v>13</v>
      </c>
      <c r="G295" t="b">
        <v>0</v>
      </c>
      <c r="H295">
        <v>4</v>
      </c>
      <c r="I295">
        <v>1</v>
      </c>
      <c r="J295">
        <v>0.18</v>
      </c>
      <c r="K295">
        <v>0.16669999999999999</v>
      </c>
      <c r="L295">
        <v>0.28999999999999998</v>
      </c>
      <c r="M295">
        <v>0.29849999999999999</v>
      </c>
      <c r="N295">
        <v>3</v>
      </c>
      <c r="O295">
        <v>59</v>
      </c>
      <c r="P295">
        <v>62</v>
      </c>
    </row>
    <row r="296" spans="1:16">
      <c r="A296">
        <v>914</v>
      </c>
      <c r="B296" s="2">
        <v>40584</v>
      </c>
      <c r="C296">
        <v>1</v>
      </c>
      <c r="D296">
        <v>0</v>
      </c>
      <c r="E296">
        <v>2</v>
      </c>
      <c r="F296">
        <v>14</v>
      </c>
      <c r="G296" t="b">
        <v>0</v>
      </c>
      <c r="H296">
        <v>4</v>
      </c>
      <c r="I296">
        <v>1</v>
      </c>
      <c r="J296">
        <v>0.2</v>
      </c>
      <c r="K296">
        <v>0.18179999999999999</v>
      </c>
      <c r="L296">
        <v>0.27</v>
      </c>
      <c r="M296">
        <v>0.28360000000000002</v>
      </c>
      <c r="N296">
        <v>6</v>
      </c>
      <c r="O296">
        <v>42</v>
      </c>
      <c r="P296">
        <v>48</v>
      </c>
    </row>
    <row r="297" spans="1:16">
      <c r="A297">
        <v>915</v>
      </c>
      <c r="B297" s="2">
        <v>40584</v>
      </c>
      <c r="C297">
        <v>1</v>
      </c>
      <c r="D297">
        <v>0</v>
      </c>
      <c r="E297">
        <v>2</v>
      </c>
      <c r="F297">
        <v>15</v>
      </c>
      <c r="G297" t="b">
        <v>0</v>
      </c>
      <c r="H297">
        <v>4</v>
      </c>
      <c r="I297">
        <v>1</v>
      </c>
      <c r="J297">
        <v>0.2</v>
      </c>
      <c r="K297">
        <v>0.19700000000000001</v>
      </c>
      <c r="L297">
        <v>0.25</v>
      </c>
      <c r="M297">
        <v>0.25369999999999998</v>
      </c>
      <c r="N297">
        <v>0</v>
      </c>
      <c r="O297">
        <v>50</v>
      </c>
      <c r="P297">
        <v>50</v>
      </c>
    </row>
    <row r="298" spans="1:16">
      <c r="A298">
        <v>916</v>
      </c>
      <c r="B298" s="2">
        <v>40584</v>
      </c>
      <c r="C298">
        <v>1</v>
      </c>
      <c r="D298">
        <v>0</v>
      </c>
      <c r="E298">
        <v>2</v>
      </c>
      <c r="F298">
        <v>16</v>
      </c>
      <c r="G298" t="b">
        <v>0</v>
      </c>
      <c r="H298">
        <v>4</v>
      </c>
      <c r="I298">
        <v>1</v>
      </c>
      <c r="J298">
        <v>0.2</v>
      </c>
      <c r="K298">
        <v>0.18179999999999999</v>
      </c>
      <c r="L298">
        <v>0.27</v>
      </c>
      <c r="M298">
        <v>0.29849999999999999</v>
      </c>
      <c r="N298">
        <v>4</v>
      </c>
      <c r="O298">
        <v>76</v>
      </c>
      <c r="P298">
        <v>80</v>
      </c>
    </row>
    <row r="299" spans="1:16">
      <c r="A299">
        <v>917</v>
      </c>
      <c r="B299" s="2">
        <v>40584</v>
      </c>
      <c r="C299">
        <v>1</v>
      </c>
      <c r="D299">
        <v>0</v>
      </c>
      <c r="E299">
        <v>2</v>
      </c>
      <c r="F299">
        <v>17</v>
      </c>
      <c r="G299" t="b">
        <v>0</v>
      </c>
      <c r="H299">
        <v>4</v>
      </c>
      <c r="I299">
        <v>1</v>
      </c>
      <c r="J299">
        <v>0.18</v>
      </c>
      <c r="K299">
        <v>0.18179999999999999</v>
      </c>
      <c r="L299">
        <v>0.26</v>
      </c>
      <c r="M299">
        <v>0.19400000000000001</v>
      </c>
      <c r="N299">
        <v>6</v>
      </c>
      <c r="O299">
        <v>159</v>
      </c>
      <c r="P299">
        <v>165</v>
      </c>
    </row>
    <row r="300" spans="1:16">
      <c r="A300">
        <v>918</v>
      </c>
      <c r="B300" s="2">
        <v>40584</v>
      </c>
      <c r="C300">
        <v>1</v>
      </c>
      <c r="D300">
        <v>0</v>
      </c>
      <c r="E300">
        <v>2</v>
      </c>
      <c r="F300">
        <v>18</v>
      </c>
      <c r="G300" t="b">
        <v>0</v>
      </c>
      <c r="H300">
        <v>4</v>
      </c>
      <c r="I300">
        <v>1</v>
      </c>
      <c r="J300">
        <v>0.16</v>
      </c>
      <c r="K300">
        <v>0.18179999999999999</v>
      </c>
      <c r="L300">
        <v>0.28000000000000003</v>
      </c>
      <c r="M300">
        <v>0.1343</v>
      </c>
      <c r="N300">
        <v>3</v>
      </c>
      <c r="O300">
        <v>157</v>
      </c>
      <c r="P300">
        <v>160</v>
      </c>
    </row>
    <row r="301" spans="1:16">
      <c r="A301">
        <v>919</v>
      </c>
      <c r="B301" s="2">
        <v>40584</v>
      </c>
      <c r="C301">
        <v>1</v>
      </c>
      <c r="D301">
        <v>0</v>
      </c>
      <c r="E301">
        <v>2</v>
      </c>
      <c r="F301">
        <v>19</v>
      </c>
      <c r="G301" t="b">
        <v>0</v>
      </c>
      <c r="H301">
        <v>4</v>
      </c>
      <c r="I301">
        <v>1</v>
      </c>
      <c r="J301">
        <v>0.14000000000000001</v>
      </c>
      <c r="K301">
        <v>0.16669999999999999</v>
      </c>
      <c r="L301">
        <v>0.28000000000000003</v>
      </c>
      <c r="M301">
        <v>0.1045</v>
      </c>
      <c r="N301">
        <v>2</v>
      </c>
      <c r="O301">
        <v>110</v>
      </c>
      <c r="P301">
        <v>112</v>
      </c>
    </row>
    <row r="302" spans="1:16">
      <c r="A302">
        <v>920</v>
      </c>
      <c r="B302" s="2">
        <v>40584</v>
      </c>
      <c r="C302">
        <v>1</v>
      </c>
      <c r="D302">
        <v>0</v>
      </c>
      <c r="E302">
        <v>2</v>
      </c>
      <c r="F302">
        <v>20</v>
      </c>
      <c r="G302" t="b">
        <v>0</v>
      </c>
      <c r="H302">
        <v>4</v>
      </c>
      <c r="I302">
        <v>1</v>
      </c>
      <c r="J302">
        <v>0.14000000000000001</v>
      </c>
      <c r="K302">
        <v>0.18179999999999999</v>
      </c>
      <c r="L302">
        <v>0.31</v>
      </c>
      <c r="M302">
        <v>8.9599999999999999E-2</v>
      </c>
      <c r="N302">
        <v>4</v>
      </c>
      <c r="O302">
        <v>93</v>
      </c>
      <c r="P302">
        <v>97</v>
      </c>
    </row>
    <row r="303" spans="1:16">
      <c r="A303">
        <v>921</v>
      </c>
      <c r="B303" s="2">
        <v>40584</v>
      </c>
      <c r="C303">
        <v>1</v>
      </c>
      <c r="D303">
        <v>0</v>
      </c>
      <c r="E303">
        <v>2</v>
      </c>
      <c r="F303">
        <v>21</v>
      </c>
      <c r="G303" t="b">
        <v>0</v>
      </c>
      <c r="H303">
        <v>4</v>
      </c>
      <c r="I303">
        <v>1</v>
      </c>
      <c r="J303">
        <v>0.14000000000000001</v>
      </c>
      <c r="K303">
        <v>0.21210000000000001</v>
      </c>
      <c r="L303">
        <v>0.39</v>
      </c>
      <c r="M303">
        <v>0</v>
      </c>
      <c r="N303">
        <v>2</v>
      </c>
      <c r="O303">
        <v>70</v>
      </c>
      <c r="P303">
        <v>72</v>
      </c>
    </row>
    <row r="304" spans="1:16">
      <c r="A304">
        <v>922</v>
      </c>
      <c r="B304" s="2">
        <v>40584</v>
      </c>
      <c r="C304">
        <v>1</v>
      </c>
      <c r="D304">
        <v>0</v>
      </c>
      <c r="E304">
        <v>2</v>
      </c>
      <c r="F304">
        <v>22</v>
      </c>
      <c r="G304" t="b">
        <v>0</v>
      </c>
      <c r="H304">
        <v>4</v>
      </c>
      <c r="I304">
        <v>1</v>
      </c>
      <c r="J304">
        <v>0.12</v>
      </c>
      <c r="K304">
        <v>0.19700000000000001</v>
      </c>
      <c r="L304">
        <v>0.39</v>
      </c>
      <c r="M304">
        <v>0</v>
      </c>
      <c r="N304">
        <v>4</v>
      </c>
      <c r="O304">
        <v>47</v>
      </c>
      <c r="P304">
        <v>51</v>
      </c>
    </row>
    <row r="305" spans="1:16">
      <c r="A305">
        <v>923</v>
      </c>
      <c r="B305" s="2">
        <v>40584</v>
      </c>
      <c r="C305">
        <v>1</v>
      </c>
      <c r="D305">
        <v>0</v>
      </c>
      <c r="E305">
        <v>2</v>
      </c>
      <c r="F305">
        <v>23</v>
      </c>
      <c r="G305" t="b">
        <v>0</v>
      </c>
      <c r="H305">
        <v>4</v>
      </c>
      <c r="I305">
        <v>1</v>
      </c>
      <c r="J305">
        <v>0.12</v>
      </c>
      <c r="K305">
        <v>0.1515</v>
      </c>
      <c r="L305">
        <v>0.42</v>
      </c>
      <c r="M305">
        <v>0.1045</v>
      </c>
      <c r="N305">
        <v>1</v>
      </c>
      <c r="O305">
        <v>33</v>
      </c>
      <c r="P305">
        <v>34</v>
      </c>
    </row>
    <row r="306" spans="1:16">
      <c r="A306">
        <v>924</v>
      </c>
      <c r="B306" s="2">
        <v>40585</v>
      </c>
      <c r="C306">
        <v>1</v>
      </c>
      <c r="D306">
        <v>0</v>
      </c>
      <c r="E306">
        <v>2</v>
      </c>
      <c r="F306">
        <v>0</v>
      </c>
      <c r="G306" t="b">
        <v>0</v>
      </c>
      <c r="H306">
        <v>5</v>
      </c>
      <c r="I306">
        <v>1</v>
      </c>
      <c r="J306">
        <v>0.1</v>
      </c>
      <c r="K306">
        <v>0.13639999999999999</v>
      </c>
      <c r="L306">
        <v>0.49</v>
      </c>
      <c r="M306">
        <v>0.1045</v>
      </c>
      <c r="N306">
        <v>2</v>
      </c>
      <c r="O306">
        <v>12</v>
      </c>
      <c r="P306">
        <v>14</v>
      </c>
    </row>
    <row r="307" spans="1:16">
      <c r="A307">
        <v>925</v>
      </c>
      <c r="B307" s="2">
        <v>40585</v>
      </c>
      <c r="C307">
        <v>1</v>
      </c>
      <c r="D307">
        <v>0</v>
      </c>
      <c r="E307">
        <v>2</v>
      </c>
      <c r="F307">
        <v>1</v>
      </c>
      <c r="G307" t="b">
        <v>0</v>
      </c>
      <c r="H307">
        <v>5</v>
      </c>
      <c r="I307">
        <v>1</v>
      </c>
      <c r="J307">
        <v>0.1</v>
      </c>
      <c r="K307">
        <v>0.13639999999999999</v>
      </c>
      <c r="L307">
        <v>0.54</v>
      </c>
      <c r="M307">
        <v>8.9599999999999999E-2</v>
      </c>
      <c r="N307">
        <v>1</v>
      </c>
      <c r="O307">
        <v>6</v>
      </c>
      <c r="P307">
        <v>7</v>
      </c>
    </row>
    <row r="308" spans="1:16">
      <c r="A308">
        <v>926</v>
      </c>
      <c r="B308" s="2">
        <v>40585</v>
      </c>
      <c r="C308">
        <v>1</v>
      </c>
      <c r="D308">
        <v>0</v>
      </c>
      <c r="E308">
        <v>2</v>
      </c>
      <c r="F308">
        <v>2</v>
      </c>
      <c r="G308" t="b">
        <v>0</v>
      </c>
      <c r="H308">
        <v>5</v>
      </c>
      <c r="I308">
        <v>1</v>
      </c>
      <c r="J308">
        <v>0.1</v>
      </c>
      <c r="K308">
        <v>0.13639999999999999</v>
      </c>
      <c r="L308">
        <v>0.54</v>
      </c>
      <c r="M308">
        <v>8.9599999999999999E-2</v>
      </c>
      <c r="N308">
        <v>0</v>
      </c>
      <c r="O308">
        <v>3</v>
      </c>
      <c r="P308">
        <v>3</v>
      </c>
    </row>
    <row r="309" spans="1:16">
      <c r="A309">
        <v>927</v>
      </c>
      <c r="B309" s="2">
        <v>40585</v>
      </c>
      <c r="C309">
        <v>1</v>
      </c>
      <c r="D309">
        <v>0</v>
      </c>
      <c r="E309">
        <v>2</v>
      </c>
      <c r="F309">
        <v>5</v>
      </c>
      <c r="G309" t="b">
        <v>0</v>
      </c>
      <c r="H309">
        <v>5</v>
      </c>
      <c r="I309">
        <v>1</v>
      </c>
      <c r="J309">
        <v>0.08</v>
      </c>
      <c r="K309">
        <v>0.1212</v>
      </c>
      <c r="L309">
        <v>0.63</v>
      </c>
      <c r="M309">
        <v>8.9599999999999999E-2</v>
      </c>
      <c r="N309">
        <v>0</v>
      </c>
      <c r="O309">
        <v>4</v>
      </c>
      <c r="P309">
        <v>4</v>
      </c>
    </row>
    <row r="310" spans="1:16">
      <c r="A310">
        <v>928</v>
      </c>
      <c r="B310" s="2">
        <v>40585</v>
      </c>
      <c r="C310">
        <v>1</v>
      </c>
      <c r="D310">
        <v>0</v>
      </c>
      <c r="E310">
        <v>2</v>
      </c>
      <c r="F310">
        <v>6</v>
      </c>
      <c r="G310" t="b">
        <v>0</v>
      </c>
      <c r="H310">
        <v>5</v>
      </c>
      <c r="I310">
        <v>1</v>
      </c>
      <c r="J310">
        <v>0.1</v>
      </c>
      <c r="K310">
        <v>0.18179999999999999</v>
      </c>
      <c r="L310">
        <v>0.68</v>
      </c>
      <c r="M310">
        <v>0</v>
      </c>
      <c r="N310">
        <v>1</v>
      </c>
      <c r="O310">
        <v>23</v>
      </c>
      <c r="P310">
        <v>24</v>
      </c>
    </row>
    <row r="311" spans="1:16">
      <c r="A311">
        <v>929</v>
      </c>
      <c r="B311" s="2">
        <v>40585</v>
      </c>
      <c r="C311">
        <v>1</v>
      </c>
      <c r="D311">
        <v>0</v>
      </c>
      <c r="E311">
        <v>2</v>
      </c>
      <c r="F311">
        <v>7</v>
      </c>
      <c r="G311" t="b">
        <v>0</v>
      </c>
      <c r="H311">
        <v>5</v>
      </c>
      <c r="I311">
        <v>1</v>
      </c>
      <c r="J311">
        <v>0.08</v>
      </c>
      <c r="K311">
        <v>0.16669999999999999</v>
      </c>
      <c r="L311">
        <v>0.73</v>
      </c>
      <c r="M311">
        <v>0</v>
      </c>
      <c r="N311">
        <v>1</v>
      </c>
      <c r="O311">
        <v>73</v>
      </c>
      <c r="P311">
        <v>74</v>
      </c>
    </row>
    <row r="312" spans="1:16">
      <c r="A312">
        <v>930</v>
      </c>
      <c r="B312" s="2">
        <v>40585</v>
      </c>
      <c r="C312">
        <v>1</v>
      </c>
      <c r="D312">
        <v>0</v>
      </c>
      <c r="E312">
        <v>2</v>
      </c>
      <c r="F312">
        <v>8</v>
      </c>
      <c r="G312" t="b">
        <v>0</v>
      </c>
      <c r="H312">
        <v>5</v>
      </c>
      <c r="I312">
        <v>1</v>
      </c>
      <c r="J312">
        <v>0.1</v>
      </c>
      <c r="K312">
        <v>0.1212</v>
      </c>
      <c r="L312">
        <v>0.74</v>
      </c>
      <c r="M312">
        <v>0.16420000000000001</v>
      </c>
      <c r="N312">
        <v>4</v>
      </c>
      <c r="O312">
        <v>212</v>
      </c>
      <c r="P312">
        <v>216</v>
      </c>
    </row>
    <row r="313" spans="1:16">
      <c r="A313">
        <v>931</v>
      </c>
      <c r="B313" s="2">
        <v>40585</v>
      </c>
      <c r="C313">
        <v>1</v>
      </c>
      <c r="D313">
        <v>0</v>
      </c>
      <c r="E313">
        <v>2</v>
      </c>
      <c r="F313">
        <v>9</v>
      </c>
      <c r="G313" t="b">
        <v>0</v>
      </c>
      <c r="H313">
        <v>5</v>
      </c>
      <c r="I313">
        <v>1</v>
      </c>
      <c r="J313">
        <v>0.12</v>
      </c>
      <c r="K313">
        <v>0.1212</v>
      </c>
      <c r="L313">
        <v>0.74</v>
      </c>
      <c r="M313">
        <v>0.22389999999999999</v>
      </c>
      <c r="N313">
        <v>8</v>
      </c>
      <c r="O313">
        <v>132</v>
      </c>
      <c r="P313">
        <v>140</v>
      </c>
    </row>
    <row r="314" spans="1:16">
      <c r="A314">
        <v>932</v>
      </c>
      <c r="B314" s="2">
        <v>40585</v>
      </c>
      <c r="C314">
        <v>1</v>
      </c>
      <c r="D314">
        <v>0</v>
      </c>
      <c r="E314">
        <v>2</v>
      </c>
      <c r="F314">
        <v>10</v>
      </c>
      <c r="G314" t="b">
        <v>0</v>
      </c>
      <c r="H314">
        <v>5</v>
      </c>
      <c r="I314">
        <v>1</v>
      </c>
      <c r="J314">
        <v>0.14000000000000001</v>
      </c>
      <c r="K314">
        <v>0.13639999999999999</v>
      </c>
      <c r="L314">
        <v>0.69</v>
      </c>
      <c r="M314">
        <v>0.19400000000000001</v>
      </c>
      <c r="N314">
        <v>5</v>
      </c>
      <c r="O314">
        <v>39</v>
      </c>
      <c r="P314">
        <v>44</v>
      </c>
    </row>
    <row r="315" spans="1:16">
      <c r="A315">
        <v>933</v>
      </c>
      <c r="B315" s="2">
        <v>40585</v>
      </c>
      <c r="C315">
        <v>1</v>
      </c>
      <c r="D315">
        <v>0</v>
      </c>
      <c r="E315">
        <v>2</v>
      </c>
      <c r="F315">
        <v>11</v>
      </c>
      <c r="G315" t="b">
        <v>0</v>
      </c>
      <c r="H315">
        <v>5</v>
      </c>
      <c r="I315">
        <v>1</v>
      </c>
      <c r="J315">
        <v>0.22</v>
      </c>
      <c r="K315">
        <v>0.2273</v>
      </c>
      <c r="L315">
        <v>0.47</v>
      </c>
      <c r="M315">
        <v>0.1343</v>
      </c>
      <c r="N315">
        <v>12</v>
      </c>
      <c r="O315">
        <v>52</v>
      </c>
      <c r="P315">
        <v>64</v>
      </c>
    </row>
    <row r="316" spans="1:16">
      <c r="A316">
        <v>934</v>
      </c>
      <c r="B316" s="2">
        <v>40585</v>
      </c>
      <c r="C316">
        <v>1</v>
      </c>
      <c r="D316">
        <v>0</v>
      </c>
      <c r="E316">
        <v>2</v>
      </c>
      <c r="F316">
        <v>12</v>
      </c>
      <c r="G316" t="b">
        <v>0</v>
      </c>
      <c r="H316">
        <v>5</v>
      </c>
      <c r="I316">
        <v>1</v>
      </c>
      <c r="J316">
        <v>0.22</v>
      </c>
      <c r="K316">
        <v>0.2273</v>
      </c>
      <c r="L316">
        <v>0.47</v>
      </c>
      <c r="M316">
        <v>0.1343</v>
      </c>
      <c r="N316">
        <v>7</v>
      </c>
      <c r="O316">
        <v>64</v>
      </c>
      <c r="P316">
        <v>71</v>
      </c>
    </row>
    <row r="317" spans="1:16">
      <c r="A317">
        <v>935</v>
      </c>
      <c r="B317" s="2">
        <v>40585</v>
      </c>
      <c r="C317">
        <v>1</v>
      </c>
      <c r="D317">
        <v>0</v>
      </c>
      <c r="E317">
        <v>2</v>
      </c>
      <c r="F317">
        <v>13</v>
      </c>
      <c r="G317" t="b">
        <v>0</v>
      </c>
      <c r="H317">
        <v>5</v>
      </c>
      <c r="I317">
        <v>1</v>
      </c>
      <c r="J317">
        <v>0.24</v>
      </c>
      <c r="K317">
        <v>0.2273</v>
      </c>
      <c r="L317">
        <v>0.35</v>
      </c>
      <c r="M317">
        <v>0.19400000000000001</v>
      </c>
      <c r="N317">
        <v>21</v>
      </c>
      <c r="O317">
        <v>89</v>
      </c>
      <c r="P317">
        <v>110</v>
      </c>
    </row>
    <row r="318" spans="1:16">
      <c r="A318">
        <v>936</v>
      </c>
      <c r="B318" s="2">
        <v>40585</v>
      </c>
      <c r="C318">
        <v>1</v>
      </c>
      <c r="D318">
        <v>0</v>
      </c>
      <c r="E318">
        <v>2</v>
      </c>
      <c r="F318">
        <v>14</v>
      </c>
      <c r="G318" t="b">
        <v>0</v>
      </c>
      <c r="H318">
        <v>5</v>
      </c>
      <c r="I318">
        <v>1</v>
      </c>
      <c r="J318">
        <v>0.3</v>
      </c>
      <c r="K318">
        <v>0.28789999999999999</v>
      </c>
      <c r="L318">
        <v>0.26</v>
      </c>
      <c r="M318">
        <v>0.25369999999999998</v>
      </c>
      <c r="N318">
        <v>17</v>
      </c>
      <c r="O318">
        <v>67</v>
      </c>
      <c r="P318">
        <v>84</v>
      </c>
    </row>
    <row r="319" spans="1:16">
      <c r="A319">
        <v>937</v>
      </c>
      <c r="B319" s="2">
        <v>40585</v>
      </c>
      <c r="C319">
        <v>1</v>
      </c>
      <c r="D319">
        <v>0</v>
      </c>
      <c r="E319">
        <v>2</v>
      </c>
      <c r="F319">
        <v>15</v>
      </c>
      <c r="G319" t="b">
        <v>0</v>
      </c>
      <c r="H319">
        <v>5</v>
      </c>
      <c r="I319">
        <v>1</v>
      </c>
      <c r="J319">
        <v>0.32</v>
      </c>
      <c r="K319">
        <v>0.31819999999999998</v>
      </c>
      <c r="L319">
        <v>0.21</v>
      </c>
      <c r="M319">
        <v>0.16420000000000001</v>
      </c>
      <c r="N319">
        <v>12</v>
      </c>
      <c r="O319">
        <v>62</v>
      </c>
      <c r="P319">
        <v>74</v>
      </c>
    </row>
    <row r="320" spans="1:16">
      <c r="A320">
        <v>938</v>
      </c>
      <c r="B320" s="2">
        <v>40585</v>
      </c>
      <c r="C320">
        <v>1</v>
      </c>
      <c r="D320">
        <v>0</v>
      </c>
      <c r="E320">
        <v>2</v>
      </c>
      <c r="F320">
        <v>16</v>
      </c>
      <c r="G320" t="b">
        <v>0</v>
      </c>
      <c r="H320">
        <v>5</v>
      </c>
      <c r="I320">
        <v>1</v>
      </c>
      <c r="J320">
        <v>0.3</v>
      </c>
      <c r="K320">
        <v>0.28789999999999999</v>
      </c>
      <c r="L320">
        <v>0.28000000000000003</v>
      </c>
      <c r="M320">
        <v>0.19400000000000001</v>
      </c>
      <c r="N320">
        <v>14</v>
      </c>
      <c r="O320">
        <v>111</v>
      </c>
      <c r="P320">
        <v>125</v>
      </c>
    </row>
    <row r="321" spans="1:16">
      <c r="A321">
        <v>939</v>
      </c>
      <c r="B321" s="2">
        <v>40585</v>
      </c>
      <c r="C321">
        <v>1</v>
      </c>
      <c r="D321">
        <v>0</v>
      </c>
      <c r="E321">
        <v>2</v>
      </c>
      <c r="F321">
        <v>17</v>
      </c>
      <c r="G321" t="b">
        <v>0</v>
      </c>
      <c r="H321">
        <v>5</v>
      </c>
      <c r="I321">
        <v>1</v>
      </c>
      <c r="J321">
        <v>0.3</v>
      </c>
      <c r="K321">
        <v>0.33329999999999999</v>
      </c>
      <c r="L321">
        <v>0.24</v>
      </c>
      <c r="M321">
        <v>0</v>
      </c>
      <c r="N321">
        <v>18</v>
      </c>
      <c r="O321">
        <v>193</v>
      </c>
      <c r="P321">
        <v>211</v>
      </c>
    </row>
    <row r="322" spans="1:16">
      <c r="A322">
        <v>940</v>
      </c>
      <c r="B322" s="2">
        <v>40585</v>
      </c>
      <c r="C322">
        <v>1</v>
      </c>
      <c r="D322">
        <v>0</v>
      </c>
      <c r="E322">
        <v>2</v>
      </c>
      <c r="F322">
        <v>18</v>
      </c>
      <c r="G322" t="b">
        <v>0</v>
      </c>
      <c r="H322">
        <v>5</v>
      </c>
      <c r="I322">
        <v>1</v>
      </c>
      <c r="J322">
        <v>0.28000000000000003</v>
      </c>
      <c r="K322">
        <v>0.31819999999999998</v>
      </c>
      <c r="L322">
        <v>0.28000000000000003</v>
      </c>
      <c r="M322">
        <v>0</v>
      </c>
      <c r="N322">
        <v>9</v>
      </c>
      <c r="O322">
        <v>165</v>
      </c>
      <c r="P322">
        <v>174</v>
      </c>
    </row>
    <row r="323" spans="1:16">
      <c r="A323">
        <v>941</v>
      </c>
      <c r="B323" s="2">
        <v>40585</v>
      </c>
      <c r="C323">
        <v>1</v>
      </c>
      <c r="D323">
        <v>0</v>
      </c>
      <c r="E323">
        <v>2</v>
      </c>
      <c r="F323">
        <v>19</v>
      </c>
      <c r="G323" t="b">
        <v>0</v>
      </c>
      <c r="H323">
        <v>5</v>
      </c>
      <c r="I323">
        <v>1</v>
      </c>
      <c r="J323">
        <v>0.26</v>
      </c>
      <c r="K323">
        <v>0.30299999999999999</v>
      </c>
      <c r="L323">
        <v>0.33</v>
      </c>
      <c r="M323">
        <v>0</v>
      </c>
      <c r="N323">
        <v>7</v>
      </c>
      <c r="O323">
        <v>94</v>
      </c>
      <c r="P323">
        <v>101</v>
      </c>
    </row>
    <row r="324" spans="1:16">
      <c r="A324">
        <v>942</v>
      </c>
      <c r="B324" s="2">
        <v>40585</v>
      </c>
      <c r="C324">
        <v>1</v>
      </c>
      <c r="D324">
        <v>0</v>
      </c>
      <c r="E324">
        <v>2</v>
      </c>
      <c r="F324">
        <v>20</v>
      </c>
      <c r="G324" t="b">
        <v>0</v>
      </c>
      <c r="H324">
        <v>5</v>
      </c>
      <c r="I324">
        <v>1</v>
      </c>
      <c r="J324">
        <v>0.22</v>
      </c>
      <c r="K324">
        <v>0.2273</v>
      </c>
      <c r="L324">
        <v>0.55000000000000004</v>
      </c>
      <c r="M324">
        <v>0.1343</v>
      </c>
      <c r="N324">
        <v>2</v>
      </c>
      <c r="O324">
        <v>61</v>
      </c>
      <c r="P324">
        <v>63</v>
      </c>
    </row>
    <row r="325" spans="1:16">
      <c r="A325">
        <v>943</v>
      </c>
      <c r="B325" s="2">
        <v>40585</v>
      </c>
      <c r="C325">
        <v>1</v>
      </c>
      <c r="D325">
        <v>0</v>
      </c>
      <c r="E325">
        <v>2</v>
      </c>
      <c r="F325">
        <v>21</v>
      </c>
      <c r="G325" t="b">
        <v>0</v>
      </c>
      <c r="H325">
        <v>5</v>
      </c>
      <c r="I325">
        <v>1</v>
      </c>
      <c r="J325">
        <v>0.2</v>
      </c>
      <c r="K325">
        <v>0.21210000000000001</v>
      </c>
      <c r="L325">
        <v>0.59</v>
      </c>
      <c r="M325">
        <v>0.1343</v>
      </c>
      <c r="N325">
        <v>1</v>
      </c>
      <c r="O325">
        <v>46</v>
      </c>
      <c r="P325">
        <v>47</v>
      </c>
    </row>
    <row r="326" spans="1:16">
      <c r="A326">
        <v>944</v>
      </c>
      <c r="B326" s="2">
        <v>40585</v>
      </c>
      <c r="C326">
        <v>1</v>
      </c>
      <c r="D326">
        <v>0</v>
      </c>
      <c r="E326">
        <v>2</v>
      </c>
      <c r="F326">
        <v>22</v>
      </c>
      <c r="G326" t="b">
        <v>0</v>
      </c>
      <c r="H326">
        <v>5</v>
      </c>
      <c r="I326">
        <v>1</v>
      </c>
      <c r="J326">
        <v>0.2</v>
      </c>
      <c r="K326">
        <v>0.2273</v>
      </c>
      <c r="L326">
        <v>0.64</v>
      </c>
      <c r="M326">
        <v>8.9599999999999999E-2</v>
      </c>
      <c r="N326">
        <v>2</v>
      </c>
      <c r="O326">
        <v>41</v>
      </c>
      <c r="P326">
        <v>43</v>
      </c>
    </row>
    <row r="327" spans="1:16">
      <c r="A327">
        <v>945</v>
      </c>
      <c r="B327" s="2">
        <v>40585</v>
      </c>
      <c r="C327">
        <v>1</v>
      </c>
      <c r="D327">
        <v>0</v>
      </c>
      <c r="E327">
        <v>2</v>
      </c>
      <c r="F327">
        <v>23</v>
      </c>
      <c r="G327" t="b">
        <v>0</v>
      </c>
      <c r="H327">
        <v>5</v>
      </c>
      <c r="I327">
        <v>1</v>
      </c>
      <c r="J327">
        <v>0.18</v>
      </c>
      <c r="K327">
        <v>0.2424</v>
      </c>
      <c r="L327">
        <v>0.69</v>
      </c>
      <c r="M327">
        <v>0</v>
      </c>
      <c r="N327">
        <v>5</v>
      </c>
      <c r="O327">
        <v>48</v>
      </c>
      <c r="P327">
        <v>53</v>
      </c>
    </row>
    <row r="328" spans="1:16">
      <c r="A328">
        <v>946</v>
      </c>
      <c r="B328" s="2">
        <v>40586</v>
      </c>
      <c r="C328">
        <v>1</v>
      </c>
      <c r="D328">
        <v>0</v>
      </c>
      <c r="E328">
        <v>2</v>
      </c>
      <c r="F328">
        <v>0</v>
      </c>
      <c r="G328" t="b">
        <v>0</v>
      </c>
      <c r="H328">
        <v>6</v>
      </c>
      <c r="I328">
        <v>1</v>
      </c>
      <c r="J328">
        <v>0.16</v>
      </c>
      <c r="K328">
        <v>0.19700000000000001</v>
      </c>
      <c r="L328">
        <v>0.69</v>
      </c>
      <c r="M328">
        <v>8.9599999999999999E-2</v>
      </c>
      <c r="N328">
        <v>3</v>
      </c>
      <c r="O328">
        <v>27</v>
      </c>
      <c r="P328">
        <v>30</v>
      </c>
    </row>
    <row r="329" spans="1:16">
      <c r="A329">
        <v>947</v>
      </c>
      <c r="B329" s="2">
        <v>40586</v>
      </c>
      <c r="C329">
        <v>1</v>
      </c>
      <c r="D329">
        <v>0</v>
      </c>
      <c r="E329">
        <v>2</v>
      </c>
      <c r="F329">
        <v>1</v>
      </c>
      <c r="G329" t="b">
        <v>0</v>
      </c>
      <c r="H329">
        <v>6</v>
      </c>
      <c r="I329">
        <v>1</v>
      </c>
      <c r="J329">
        <v>0.14000000000000001</v>
      </c>
      <c r="K329">
        <v>0.21210000000000001</v>
      </c>
      <c r="L329">
        <v>0.86</v>
      </c>
      <c r="M329">
        <v>0</v>
      </c>
      <c r="N329">
        <v>2</v>
      </c>
      <c r="O329">
        <v>22</v>
      </c>
      <c r="P329">
        <v>24</v>
      </c>
    </row>
    <row r="330" spans="1:16">
      <c r="A330">
        <v>948</v>
      </c>
      <c r="B330" s="2">
        <v>40586</v>
      </c>
      <c r="C330">
        <v>1</v>
      </c>
      <c r="D330">
        <v>0</v>
      </c>
      <c r="E330">
        <v>2</v>
      </c>
      <c r="F330">
        <v>2</v>
      </c>
      <c r="G330" t="b">
        <v>0</v>
      </c>
      <c r="H330">
        <v>6</v>
      </c>
      <c r="I330">
        <v>1</v>
      </c>
      <c r="J330">
        <v>0.14000000000000001</v>
      </c>
      <c r="K330">
        <v>0.21210000000000001</v>
      </c>
      <c r="L330">
        <v>0.8</v>
      </c>
      <c r="M330">
        <v>0</v>
      </c>
      <c r="N330">
        <v>2</v>
      </c>
      <c r="O330">
        <v>13</v>
      </c>
      <c r="P330">
        <v>15</v>
      </c>
    </row>
    <row r="331" spans="1:16">
      <c r="A331">
        <v>949</v>
      </c>
      <c r="B331" s="2">
        <v>40586</v>
      </c>
      <c r="C331">
        <v>1</v>
      </c>
      <c r="D331">
        <v>0</v>
      </c>
      <c r="E331">
        <v>2</v>
      </c>
      <c r="F331">
        <v>3</v>
      </c>
      <c r="G331" t="b">
        <v>0</v>
      </c>
      <c r="H331">
        <v>6</v>
      </c>
      <c r="I331">
        <v>1</v>
      </c>
      <c r="J331">
        <v>0.12</v>
      </c>
      <c r="K331">
        <v>0.19700000000000001</v>
      </c>
      <c r="L331">
        <v>0.8</v>
      </c>
      <c r="M331">
        <v>0</v>
      </c>
      <c r="N331">
        <v>3</v>
      </c>
      <c r="O331">
        <v>7</v>
      </c>
      <c r="P331">
        <v>10</v>
      </c>
    </row>
    <row r="332" spans="1:16">
      <c r="A332">
        <v>950</v>
      </c>
      <c r="B332" s="2">
        <v>40586</v>
      </c>
      <c r="C332">
        <v>1</v>
      </c>
      <c r="D332">
        <v>0</v>
      </c>
      <c r="E332">
        <v>2</v>
      </c>
      <c r="F332">
        <v>4</v>
      </c>
      <c r="G332" t="b">
        <v>0</v>
      </c>
      <c r="H332">
        <v>6</v>
      </c>
      <c r="I332">
        <v>1</v>
      </c>
      <c r="J332">
        <v>0.12</v>
      </c>
      <c r="K332">
        <v>0.16669999999999999</v>
      </c>
      <c r="L332">
        <v>0.74</v>
      </c>
      <c r="M332">
        <v>8.9599999999999999E-2</v>
      </c>
      <c r="N332">
        <v>0</v>
      </c>
      <c r="O332">
        <v>4</v>
      </c>
      <c r="P332">
        <v>4</v>
      </c>
    </row>
    <row r="333" spans="1:16">
      <c r="A333">
        <v>951</v>
      </c>
      <c r="B333" s="2">
        <v>40586</v>
      </c>
      <c r="C333">
        <v>1</v>
      </c>
      <c r="D333">
        <v>0</v>
      </c>
      <c r="E333">
        <v>2</v>
      </c>
      <c r="F333">
        <v>5</v>
      </c>
      <c r="G333" t="b">
        <v>0</v>
      </c>
      <c r="H333">
        <v>6</v>
      </c>
      <c r="I333">
        <v>1</v>
      </c>
      <c r="J333">
        <v>0.12</v>
      </c>
      <c r="K333">
        <v>0.16669999999999999</v>
      </c>
      <c r="L333">
        <v>0.74</v>
      </c>
      <c r="M333">
        <v>8.9599999999999999E-2</v>
      </c>
      <c r="N333">
        <v>0</v>
      </c>
      <c r="O333">
        <v>1</v>
      </c>
      <c r="P333">
        <v>1</v>
      </c>
    </row>
    <row r="334" spans="1:16">
      <c r="A334">
        <v>952</v>
      </c>
      <c r="B334" s="2">
        <v>40586</v>
      </c>
      <c r="C334">
        <v>1</v>
      </c>
      <c r="D334">
        <v>0</v>
      </c>
      <c r="E334">
        <v>2</v>
      </c>
      <c r="F334">
        <v>6</v>
      </c>
      <c r="G334" t="b">
        <v>0</v>
      </c>
      <c r="H334">
        <v>6</v>
      </c>
      <c r="I334">
        <v>1</v>
      </c>
      <c r="J334">
        <v>0.12</v>
      </c>
      <c r="K334">
        <v>0.13639999999999999</v>
      </c>
      <c r="L334">
        <v>0.93</v>
      </c>
      <c r="M334">
        <v>0.19400000000000001</v>
      </c>
      <c r="N334">
        <v>1</v>
      </c>
      <c r="O334">
        <v>1</v>
      </c>
      <c r="P334">
        <v>2</v>
      </c>
    </row>
    <row r="335" spans="1:16">
      <c r="A335">
        <v>953</v>
      </c>
      <c r="B335" s="2">
        <v>40586</v>
      </c>
      <c r="C335">
        <v>1</v>
      </c>
      <c r="D335">
        <v>0</v>
      </c>
      <c r="E335">
        <v>2</v>
      </c>
      <c r="F335">
        <v>7</v>
      </c>
      <c r="G335" t="b">
        <v>0</v>
      </c>
      <c r="H335">
        <v>6</v>
      </c>
      <c r="I335">
        <v>1</v>
      </c>
      <c r="J335">
        <v>0.12</v>
      </c>
      <c r="K335">
        <v>0.1515</v>
      </c>
      <c r="L335">
        <v>0.8</v>
      </c>
      <c r="M335">
        <v>0.1045</v>
      </c>
      <c r="N335">
        <v>2</v>
      </c>
      <c r="O335">
        <v>9</v>
      </c>
      <c r="P335">
        <v>11</v>
      </c>
    </row>
    <row r="336" spans="1:16">
      <c r="A336">
        <v>954</v>
      </c>
      <c r="B336" s="2">
        <v>40586</v>
      </c>
      <c r="C336">
        <v>1</v>
      </c>
      <c r="D336">
        <v>0</v>
      </c>
      <c r="E336">
        <v>2</v>
      </c>
      <c r="F336">
        <v>8</v>
      </c>
      <c r="G336" t="b">
        <v>0</v>
      </c>
      <c r="H336">
        <v>6</v>
      </c>
      <c r="I336">
        <v>1</v>
      </c>
      <c r="J336">
        <v>0.14000000000000001</v>
      </c>
      <c r="K336">
        <v>0.1515</v>
      </c>
      <c r="L336">
        <v>0.86</v>
      </c>
      <c r="M336">
        <v>0.1343</v>
      </c>
      <c r="N336">
        <v>2</v>
      </c>
      <c r="O336">
        <v>28</v>
      </c>
      <c r="P336">
        <v>30</v>
      </c>
    </row>
    <row r="337" spans="1:16">
      <c r="A337">
        <v>955</v>
      </c>
      <c r="B337" s="2">
        <v>40586</v>
      </c>
      <c r="C337">
        <v>1</v>
      </c>
      <c r="D337">
        <v>0</v>
      </c>
      <c r="E337">
        <v>2</v>
      </c>
      <c r="F337">
        <v>9</v>
      </c>
      <c r="G337" t="b">
        <v>0</v>
      </c>
      <c r="H337">
        <v>6</v>
      </c>
      <c r="I337">
        <v>1</v>
      </c>
      <c r="J337">
        <v>0.16</v>
      </c>
      <c r="K337">
        <v>0.18179999999999999</v>
      </c>
      <c r="L337">
        <v>0.64</v>
      </c>
      <c r="M337">
        <v>0.1343</v>
      </c>
      <c r="N337">
        <v>5</v>
      </c>
      <c r="O337">
        <v>38</v>
      </c>
      <c r="P337">
        <v>43</v>
      </c>
    </row>
    <row r="338" spans="1:16">
      <c r="A338">
        <v>956</v>
      </c>
      <c r="B338" s="2">
        <v>40586</v>
      </c>
      <c r="C338">
        <v>1</v>
      </c>
      <c r="D338">
        <v>0</v>
      </c>
      <c r="E338">
        <v>2</v>
      </c>
      <c r="F338">
        <v>10</v>
      </c>
      <c r="G338" t="b">
        <v>0</v>
      </c>
      <c r="H338">
        <v>6</v>
      </c>
      <c r="I338">
        <v>1</v>
      </c>
      <c r="J338">
        <v>0.22</v>
      </c>
      <c r="K338">
        <v>0.21210000000000001</v>
      </c>
      <c r="L338">
        <v>0.41</v>
      </c>
      <c r="M338">
        <v>0.25369999999999998</v>
      </c>
      <c r="N338">
        <v>13</v>
      </c>
      <c r="O338">
        <v>71</v>
      </c>
      <c r="P338">
        <v>84</v>
      </c>
    </row>
    <row r="339" spans="1:16">
      <c r="A339">
        <v>957</v>
      </c>
      <c r="B339" s="2">
        <v>40586</v>
      </c>
      <c r="C339">
        <v>1</v>
      </c>
      <c r="D339">
        <v>0</v>
      </c>
      <c r="E339">
        <v>2</v>
      </c>
      <c r="F339">
        <v>11</v>
      </c>
      <c r="G339" t="b">
        <v>0</v>
      </c>
      <c r="H339">
        <v>6</v>
      </c>
      <c r="I339">
        <v>1</v>
      </c>
      <c r="J339">
        <v>0.3</v>
      </c>
      <c r="K339">
        <v>0.2727</v>
      </c>
      <c r="L339">
        <v>0.28000000000000003</v>
      </c>
      <c r="M339">
        <v>0.32840000000000003</v>
      </c>
      <c r="N339">
        <v>30</v>
      </c>
      <c r="O339">
        <v>84</v>
      </c>
      <c r="P339">
        <v>114</v>
      </c>
    </row>
    <row r="340" spans="1:16">
      <c r="A340">
        <v>958</v>
      </c>
      <c r="B340" s="2">
        <v>40586</v>
      </c>
      <c r="C340">
        <v>1</v>
      </c>
      <c r="D340">
        <v>0</v>
      </c>
      <c r="E340">
        <v>2</v>
      </c>
      <c r="F340">
        <v>12</v>
      </c>
      <c r="G340" t="b">
        <v>0</v>
      </c>
      <c r="H340">
        <v>6</v>
      </c>
      <c r="I340">
        <v>1</v>
      </c>
      <c r="J340">
        <v>0.3</v>
      </c>
      <c r="K340">
        <v>0.2727</v>
      </c>
      <c r="L340">
        <v>0.39</v>
      </c>
      <c r="M340">
        <v>0.4627</v>
      </c>
      <c r="N340">
        <v>27</v>
      </c>
      <c r="O340">
        <v>93</v>
      </c>
      <c r="P340">
        <v>120</v>
      </c>
    </row>
    <row r="341" spans="1:16">
      <c r="A341">
        <v>959</v>
      </c>
      <c r="B341" s="2">
        <v>40586</v>
      </c>
      <c r="C341">
        <v>1</v>
      </c>
      <c r="D341">
        <v>0</v>
      </c>
      <c r="E341">
        <v>2</v>
      </c>
      <c r="F341">
        <v>13</v>
      </c>
      <c r="G341" t="b">
        <v>0</v>
      </c>
      <c r="H341">
        <v>6</v>
      </c>
      <c r="I341">
        <v>1</v>
      </c>
      <c r="J341">
        <v>0.3</v>
      </c>
      <c r="K341">
        <v>0.2727</v>
      </c>
      <c r="L341">
        <v>0.39</v>
      </c>
      <c r="M341">
        <v>0.41789999999999999</v>
      </c>
      <c r="N341">
        <v>32</v>
      </c>
      <c r="O341">
        <v>103</v>
      </c>
      <c r="P341">
        <v>135</v>
      </c>
    </row>
    <row r="342" spans="1:16">
      <c r="A342">
        <v>960</v>
      </c>
      <c r="B342" s="2">
        <v>40586</v>
      </c>
      <c r="C342">
        <v>1</v>
      </c>
      <c r="D342">
        <v>0</v>
      </c>
      <c r="E342">
        <v>2</v>
      </c>
      <c r="F342">
        <v>14</v>
      </c>
      <c r="G342" t="b">
        <v>0</v>
      </c>
      <c r="H342">
        <v>6</v>
      </c>
      <c r="I342">
        <v>1</v>
      </c>
      <c r="J342">
        <v>0.34</v>
      </c>
      <c r="K342">
        <v>0.31819999999999998</v>
      </c>
      <c r="L342">
        <v>0.31</v>
      </c>
      <c r="M342">
        <v>0.28360000000000002</v>
      </c>
      <c r="N342">
        <v>30</v>
      </c>
      <c r="O342">
        <v>90</v>
      </c>
      <c r="P342">
        <v>120</v>
      </c>
    </row>
    <row r="343" spans="1:16">
      <c r="A343">
        <v>961</v>
      </c>
      <c r="B343" s="2">
        <v>40586</v>
      </c>
      <c r="C343">
        <v>1</v>
      </c>
      <c r="D343">
        <v>0</v>
      </c>
      <c r="E343">
        <v>2</v>
      </c>
      <c r="F343">
        <v>15</v>
      </c>
      <c r="G343" t="b">
        <v>0</v>
      </c>
      <c r="H343">
        <v>6</v>
      </c>
      <c r="I343">
        <v>1</v>
      </c>
      <c r="J343">
        <v>0.34</v>
      </c>
      <c r="K343">
        <v>0.30299999999999999</v>
      </c>
      <c r="L343">
        <v>0.28999999999999998</v>
      </c>
      <c r="M343">
        <v>0.41789999999999999</v>
      </c>
      <c r="N343">
        <v>47</v>
      </c>
      <c r="O343">
        <v>127</v>
      </c>
      <c r="P343">
        <v>174</v>
      </c>
    </row>
    <row r="344" spans="1:16">
      <c r="A344">
        <v>962</v>
      </c>
      <c r="B344" s="2">
        <v>40586</v>
      </c>
      <c r="C344">
        <v>1</v>
      </c>
      <c r="D344">
        <v>0</v>
      </c>
      <c r="E344">
        <v>2</v>
      </c>
      <c r="F344">
        <v>16</v>
      </c>
      <c r="G344" t="b">
        <v>0</v>
      </c>
      <c r="H344">
        <v>6</v>
      </c>
      <c r="I344">
        <v>1</v>
      </c>
      <c r="J344">
        <v>0.34</v>
      </c>
      <c r="K344">
        <v>0.30299999999999999</v>
      </c>
      <c r="L344">
        <v>0.28999999999999998</v>
      </c>
      <c r="M344">
        <v>0.41789999999999999</v>
      </c>
      <c r="N344">
        <v>42</v>
      </c>
      <c r="O344">
        <v>103</v>
      </c>
      <c r="P344">
        <v>145</v>
      </c>
    </row>
    <row r="345" spans="1:16">
      <c r="A345">
        <v>963</v>
      </c>
      <c r="B345" s="2">
        <v>40586</v>
      </c>
      <c r="C345">
        <v>1</v>
      </c>
      <c r="D345">
        <v>0</v>
      </c>
      <c r="E345">
        <v>2</v>
      </c>
      <c r="F345">
        <v>17</v>
      </c>
      <c r="G345" t="b">
        <v>0</v>
      </c>
      <c r="H345">
        <v>6</v>
      </c>
      <c r="I345">
        <v>1</v>
      </c>
      <c r="J345">
        <v>0.32</v>
      </c>
      <c r="K345">
        <v>0.28789999999999999</v>
      </c>
      <c r="L345">
        <v>0.31</v>
      </c>
      <c r="M345">
        <v>0.52239999999999998</v>
      </c>
      <c r="N345">
        <v>24</v>
      </c>
      <c r="O345">
        <v>113</v>
      </c>
      <c r="P345">
        <v>137</v>
      </c>
    </row>
    <row r="346" spans="1:16">
      <c r="A346">
        <v>964</v>
      </c>
      <c r="B346" s="2">
        <v>40586</v>
      </c>
      <c r="C346">
        <v>1</v>
      </c>
      <c r="D346">
        <v>0</v>
      </c>
      <c r="E346">
        <v>2</v>
      </c>
      <c r="F346">
        <v>18</v>
      </c>
      <c r="G346" t="b">
        <v>0</v>
      </c>
      <c r="H346">
        <v>6</v>
      </c>
      <c r="I346">
        <v>1</v>
      </c>
      <c r="J346">
        <v>0.28000000000000003</v>
      </c>
      <c r="K346">
        <v>0.2576</v>
      </c>
      <c r="L346">
        <v>0.38</v>
      </c>
      <c r="M346">
        <v>0.32840000000000003</v>
      </c>
      <c r="N346">
        <v>4</v>
      </c>
      <c r="O346">
        <v>60</v>
      </c>
      <c r="P346">
        <v>64</v>
      </c>
    </row>
    <row r="347" spans="1:16">
      <c r="A347">
        <v>965</v>
      </c>
      <c r="B347" s="2">
        <v>40586</v>
      </c>
      <c r="C347">
        <v>1</v>
      </c>
      <c r="D347">
        <v>0</v>
      </c>
      <c r="E347">
        <v>2</v>
      </c>
      <c r="F347">
        <v>19</v>
      </c>
      <c r="G347" t="b">
        <v>0</v>
      </c>
      <c r="H347">
        <v>6</v>
      </c>
      <c r="I347">
        <v>1</v>
      </c>
      <c r="J347">
        <v>0.28000000000000003</v>
      </c>
      <c r="K347">
        <v>0.2727</v>
      </c>
      <c r="L347">
        <v>0.38</v>
      </c>
      <c r="M347">
        <v>0.16420000000000001</v>
      </c>
      <c r="N347">
        <v>2</v>
      </c>
      <c r="O347">
        <v>39</v>
      </c>
      <c r="P347">
        <v>41</v>
      </c>
    </row>
    <row r="348" spans="1:16">
      <c r="A348">
        <v>966</v>
      </c>
      <c r="B348" s="2">
        <v>40586</v>
      </c>
      <c r="C348">
        <v>1</v>
      </c>
      <c r="D348">
        <v>0</v>
      </c>
      <c r="E348">
        <v>2</v>
      </c>
      <c r="F348">
        <v>20</v>
      </c>
      <c r="G348" t="b">
        <v>0</v>
      </c>
      <c r="H348">
        <v>6</v>
      </c>
      <c r="I348">
        <v>1</v>
      </c>
      <c r="J348">
        <v>0.26</v>
      </c>
      <c r="K348">
        <v>0.2576</v>
      </c>
      <c r="L348">
        <v>0.41</v>
      </c>
      <c r="M348">
        <v>0.22389999999999999</v>
      </c>
      <c r="N348">
        <v>1</v>
      </c>
      <c r="O348">
        <v>39</v>
      </c>
      <c r="P348">
        <v>40</v>
      </c>
    </row>
    <row r="349" spans="1:16">
      <c r="A349">
        <v>967</v>
      </c>
      <c r="B349" s="2">
        <v>40586</v>
      </c>
      <c r="C349">
        <v>1</v>
      </c>
      <c r="D349">
        <v>0</v>
      </c>
      <c r="E349">
        <v>2</v>
      </c>
      <c r="F349">
        <v>21</v>
      </c>
      <c r="G349" t="b">
        <v>0</v>
      </c>
      <c r="H349">
        <v>6</v>
      </c>
      <c r="I349">
        <v>1</v>
      </c>
      <c r="J349">
        <v>0.26</v>
      </c>
      <c r="K349">
        <v>0.30299999999999999</v>
      </c>
      <c r="L349">
        <v>0.41</v>
      </c>
      <c r="M349">
        <v>0</v>
      </c>
      <c r="N349">
        <v>9</v>
      </c>
      <c r="O349">
        <v>42</v>
      </c>
      <c r="P349">
        <v>51</v>
      </c>
    </row>
    <row r="350" spans="1:16">
      <c r="A350">
        <v>968</v>
      </c>
      <c r="B350" s="2">
        <v>40586</v>
      </c>
      <c r="C350">
        <v>1</v>
      </c>
      <c r="D350">
        <v>0</v>
      </c>
      <c r="E350">
        <v>2</v>
      </c>
      <c r="F350">
        <v>22</v>
      </c>
      <c r="G350" t="b">
        <v>0</v>
      </c>
      <c r="H350">
        <v>6</v>
      </c>
      <c r="I350">
        <v>1</v>
      </c>
      <c r="J350">
        <v>0.24</v>
      </c>
      <c r="K350">
        <v>0.2576</v>
      </c>
      <c r="L350">
        <v>0.44</v>
      </c>
      <c r="M350">
        <v>8.9599999999999999E-2</v>
      </c>
      <c r="N350">
        <v>6</v>
      </c>
      <c r="O350">
        <v>39</v>
      </c>
      <c r="P350">
        <v>45</v>
      </c>
    </row>
    <row r="351" spans="1:16">
      <c r="A351">
        <v>969</v>
      </c>
      <c r="B351" s="2">
        <v>40586</v>
      </c>
      <c r="C351">
        <v>1</v>
      </c>
      <c r="D351">
        <v>0</v>
      </c>
      <c r="E351">
        <v>2</v>
      </c>
      <c r="F351">
        <v>23</v>
      </c>
      <c r="G351" t="b">
        <v>0</v>
      </c>
      <c r="H351">
        <v>6</v>
      </c>
      <c r="I351">
        <v>1</v>
      </c>
      <c r="J351">
        <v>0.22</v>
      </c>
      <c r="K351">
        <v>0.2273</v>
      </c>
      <c r="L351">
        <v>0.51</v>
      </c>
      <c r="M351">
        <v>0.1343</v>
      </c>
      <c r="N351">
        <v>1</v>
      </c>
      <c r="O351">
        <v>31</v>
      </c>
      <c r="P351">
        <v>32</v>
      </c>
    </row>
    <row r="352" spans="1:16">
      <c r="A352">
        <v>970</v>
      </c>
      <c r="B352" s="2">
        <v>40587</v>
      </c>
      <c r="C352">
        <v>1</v>
      </c>
      <c r="D352">
        <v>0</v>
      </c>
      <c r="E352">
        <v>2</v>
      </c>
      <c r="F352">
        <v>0</v>
      </c>
      <c r="G352" t="b">
        <v>0</v>
      </c>
      <c r="H352">
        <v>0</v>
      </c>
      <c r="I352">
        <v>1</v>
      </c>
      <c r="J352">
        <v>0.2</v>
      </c>
      <c r="K352">
        <v>0.2273</v>
      </c>
      <c r="L352">
        <v>0.64</v>
      </c>
      <c r="M352">
        <v>0.1045</v>
      </c>
      <c r="N352">
        <v>5</v>
      </c>
      <c r="O352">
        <v>34</v>
      </c>
      <c r="P352">
        <v>39</v>
      </c>
    </row>
    <row r="353" spans="1:16">
      <c r="A353">
        <v>971</v>
      </c>
      <c r="B353" s="2">
        <v>40587</v>
      </c>
      <c r="C353">
        <v>1</v>
      </c>
      <c r="D353">
        <v>0</v>
      </c>
      <c r="E353">
        <v>2</v>
      </c>
      <c r="F353">
        <v>1</v>
      </c>
      <c r="G353" t="b">
        <v>0</v>
      </c>
      <c r="H353">
        <v>0</v>
      </c>
      <c r="I353">
        <v>1</v>
      </c>
      <c r="J353">
        <v>0.2</v>
      </c>
      <c r="K353">
        <v>0.2273</v>
      </c>
      <c r="L353">
        <v>0.59</v>
      </c>
      <c r="M353">
        <v>8.9599999999999999E-2</v>
      </c>
      <c r="N353">
        <v>1</v>
      </c>
      <c r="O353">
        <v>23</v>
      </c>
      <c r="P353">
        <v>24</v>
      </c>
    </row>
    <row r="354" spans="1:16">
      <c r="A354">
        <v>972</v>
      </c>
      <c r="B354" s="2">
        <v>40587</v>
      </c>
      <c r="C354">
        <v>1</v>
      </c>
      <c r="D354">
        <v>0</v>
      </c>
      <c r="E354">
        <v>2</v>
      </c>
      <c r="F354">
        <v>2</v>
      </c>
      <c r="G354" t="b">
        <v>0</v>
      </c>
      <c r="H354">
        <v>0</v>
      </c>
      <c r="I354">
        <v>2</v>
      </c>
      <c r="J354">
        <v>0.2</v>
      </c>
      <c r="K354">
        <v>0.2273</v>
      </c>
      <c r="L354">
        <v>0.75</v>
      </c>
      <c r="M354">
        <v>8.9599999999999999E-2</v>
      </c>
      <c r="N354">
        <v>1</v>
      </c>
      <c r="O354">
        <v>19</v>
      </c>
      <c r="P354">
        <v>20</v>
      </c>
    </row>
    <row r="355" spans="1:16">
      <c r="A355">
        <v>973</v>
      </c>
      <c r="B355" s="2">
        <v>40587</v>
      </c>
      <c r="C355">
        <v>1</v>
      </c>
      <c r="D355">
        <v>0</v>
      </c>
      <c r="E355">
        <v>2</v>
      </c>
      <c r="F355">
        <v>3</v>
      </c>
      <c r="G355" t="b">
        <v>0</v>
      </c>
      <c r="H355">
        <v>0</v>
      </c>
      <c r="I355">
        <v>2</v>
      </c>
      <c r="J355">
        <v>0.2</v>
      </c>
      <c r="K355">
        <v>0.2273</v>
      </c>
      <c r="L355">
        <v>0.69</v>
      </c>
      <c r="M355">
        <v>0.1045</v>
      </c>
      <c r="N355">
        <v>4</v>
      </c>
      <c r="O355">
        <v>8</v>
      </c>
      <c r="P355">
        <v>12</v>
      </c>
    </row>
    <row r="356" spans="1:16">
      <c r="A356">
        <v>974</v>
      </c>
      <c r="B356" s="2">
        <v>40587</v>
      </c>
      <c r="C356">
        <v>1</v>
      </c>
      <c r="D356">
        <v>0</v>
      </c>
      <c r="E356">
        <v>2</v>
      </c>
      <c r="F356">
        <v>4</v>
      </c>
      <c r="G356" t="b">
        <v>0</v>
      </c>
      <c r="H356">
        <v>0</v>
      </c>
      <c r="I356">
        <v>2</v>
      </c>
      <c r="J356">
        <v>0.2</v>
      </c>
      <c r="K356">
        <v>0.21210000000000001</v>
      </c>
      <c r="L356">
        <v>0.69</v>
      </c>
      <c r="M356">
        <v>0.16420000000000001</v>
      </c>
      <c r="N356">
        <v>0</v>
      </c>
      <c r="O356">
        <v>2</v>
      </c>
      <c r="P356">
        <v>2</v>
      </c>
    </row>
    <row r="357" spans="1:16">
      <c r="A357">
        <v>975</v>
      </c>
      <c r="B357" s="2">
        <v>40587</v>
      </c>
      <c r="C357">
        <v>1</v>
      </c>
      <c r="D357">
        <v>0</v>
      </c>
      <c r="E357">
        <v>2</v>
      </c>
      <c r="F357">
        <v>6</v>
      </c>
      <c r="G357" t="b">
        <v>0</v>
      </c>
      <c r="H357">
        <v>0</v>
      </c>
      <c r="I357">
        <v>2</v>
      </c>
      <c r="J357">
        <v>0.2</v>
      </c>
      <c r="K357">
        <v>0.21210000000000001</v>
      </c>
      <c r="L357">
        <v>0.69</v>
      </c>
      <c r="M357">
        <v>0.1343</v>
      </c>
      <c r="N357">
        <v>2</v>
      </c>
      <c r="O357">
        <v>3</v>
      </c>
      <c r="P357">
        <v>5</v>
      </c>
    </row>
    <row r="358" spans="1:16">
      <c r="A358">
        <v>976</v>
      </c>
      <c r="B358" s="2">
        <v>40587</v>
      </c>
      <c r="C358">
        <v>1</v>
      </c>
      <c r="D358">
        <v>0</v>
      </c>
      <c r="E358">
        <v>2</v>
      </c>
      <c r="F358">
        <v>7</v>
      </c>
      <c r="G358" t="b">
        <v>0</v>
      </c>
      <c r="H358">
        <v>0</v>
      </c>
      <c r="I358">
        <v>2</v>
      </c>
      <c r="J358">
        <v>0.22</v>
      </c>
      <c r="K358">
        <v>0.2727</v>
      </c>
      <c r="L358">
        <v>0.55000000000000004</v>
      </c>
      <c r="M358">
        <v>0</v>
      </c>
      <c r="N358">
        <v>0</v>
      </c>
      <c r="O358">
        <v>3</v>
      </c>
      <c r="P358">
        <v>3</v>
      </c>
    </row>
    <row r="359" spans="1:16">
      <c r="A359">
        <v>977</v>
      </c>
      <c r="B359" s="2">
        <v>40587</v>
      </c>
      <c r="C359">
        <v>1</v>
      </c>
      <c r="D359">
        <v>0</v>
      </c>
      <c r="E359">
        <v>2</v>
      </c>
      <c r="F359">
        <v>8</v>
      </c>
      <c r="G359" t="b">
        <v>0</v>
      </c>
      <c r="H359">
        <v>0</v>
      </c>
      <c r="I359">
        <v>2</v>
      </c>
      <c r="J359">
        <v>0.22</v>
      </c>
      <c r="K359">
        <v>0.2273</v>
      </c>
      <c r="L359">
        <v>0.64</v>
      </c>
      <c r="M359">
        <v>0.19400000000000001</v>
      </c>
      <c r="N359">
        <v>1</v>
      </c>
      <c r="O359">
        <v>11</v>
      </c>
      <c r="P359">
        <v>12</v>
      </c>
    </row>
    <row r="360" spans="1:16">
      <c r="A360">
        <v>978</v>
      </c>
      <c r="B360" s="2">
        <v>40587</v>
      </c>
      <c r="C360">
        <v>1</v>
      </c>
      <c r="D360">
        <v>0</v>
      </c>
      <c r="E360">
        <v>2</v>
      </c>
      <c r="F360">
        <v>9</v>
      </c>
      <c r="G360" t="b">
        <v>0</v>
      </c>
      <c r="H360">
        <v>0</v>
      </c>
      <c r="I360">
        <v>2</v>
      </c>
      <c r="J360">
        <v>0.24</v>
      </c>
      <c r="K360">
        <v>0.2273</v>
      </c>
      <c r="L360">
        <v>0.6</v>
      </c>
      <c r="M360">
        <v>0.22389999999999999</v>
      </c>
      <c r="N360">
        <v>12</v>
      </c>
      <c r="O360">
        <v>35</v>
      </c>
      <c r="P360">
        <v>47</v>
      </c>
    </row>
    <row r="361" spans="1:16">
      <c r="A361">
        <v>979</v>
      </c>
      <c r="B361" s="2">
        <v>40587</v>
      </c>
      <c r="C361">
        <v>1</v>
      </c>
      <c r="D361">
        <v>0</v>
      </c>
      <c r="E361">
        <v>2</v>
      </c>
      <c r="F361">
        <v>10</v>
      </c>
      <c r="G361" t="b">
        <v>0</v>
      </c>
      <c r="H361">
        <v>0</v>
      </c>
      <c r="I361">
        <v>1</v>
      </c>
      <c r="J361">
        <v>0.3</v>
      </c>
      <c r="K361">
        <v>0.2727</v>
      </c>
      <c r="L361">
        <v>0.45</v>
      </c>
      <c r="M361">
        <v>0.32840000000000003</v>
      </c>
      <c r="N361">
        <v>19</v>
      </c>
      <c r="O361">
        <v>86</v>
      </c>
      <c r="P361">
        <v>105</v>
      </c>
    </row>
    <row r="362" spans="1:16">
      <c r="A362">
        <v>980</v>
      </c>
      <c r="B362" s="2">
        <v>40587</v>
      </c>
      <c r="C362">
        <v>1</v>
      </c>
      <c r="D362">
        <v>0</v>
      </c>
      <c r="E362">
        <v>2</v>
      </c>
      <c r="F362">
        <v>11</v>
      </c>
      <c r="G362" t="b">
        <v>0</v>
      </c>
      <c r="H362">
        <v>0</v>
      </c>
      <c r="I362">
        <v>1</v>
      </c>
      <c r="J362">
        <v>0.32</v>
      </c>
      <c r="K362">
        <v>0.28789999999999999</v>
      </c>
      <c r="L362">
        <v>0.39</v>
      </c>
      <c r="M362">
        <v>0.44779999999999998</v>
      </c>
      <c r="N362">
        <v>26</v>
      </c>
      <c r="O362">
        <v>86</v>
      </c>
      <c r="P362">
        <v>112</v>
      </c>
    </row>
    <row r="363" spans="1:16">
      <c r="A363">
        <v>981</v>
      </c>
      <c r="B363" s="2">
        <v>40587</v>
      </c>
      <c r="C363">
        <v>1</v>
      </c>
      <c r="D363">
        <v>0</v>
      </c>
      <c r="E363">
        <v>2</v>
      </c>
      <c r="F363">
        <v>12</v>
      </c>
      <c r="G363" t="b">
        <v>0</v>
      </c>
      <c r="H363">
        <v>0</v>
      </c>
      <c r="I363">
        <v>1</v>
      </c>
      <c r="J363">
        <v>0.36</v>
      </c>
      <c r="K363">
        <v>0.31819999999999998</v>
      </c>
      <c r="L363">
        <v>0.32</v>
      </c>
      <c r="M363">
        <v>0.4627</v>
      </c>
      <c r="N363">
        <v>58</v>
      </c>
      <c r="O363">
        <v>94</v>
      </c>
      <c r="P363">
        <v>152</v>
      </c>
    </row>
    <row r="364" spans="1:16">
      <c r="A364">
        <v>982</v>
      </c>
      <c r="B364" s="2">
        <v>40587</v>
      </c>
      <c r="C364">
        <v>1</v>
      </c>
      <c r="D364">
        <v>0</v>
      </c>
      <c r="E364">
        <v>2</v>
      </c>
      <c r="F364">
        <v>13</v>
      </c>
      <c r="G364" t="b">
        <v>0</v>
      </c>
      <c r="H364">
        <v>0</v>
      </c>
      <c r="I364">
        <v>1</v>
      </c>
      <c r="J364">
        <v>0.38</v>
      </c>
      <c r="K364">
        <v>0.39389999999999997</v>
      </c>
      <c r="L364">
        <v>0.28999999999999998</v>
      </c>
      <c r="M364">
        <v>0.35820000000000002</v>
      </c>
      <c r="N364">
        <v>62</v>
      </c>
      <c r="O364">
        <v>92</v>
      </c>
      <c r="P364">
        <v>154</v>
      </c>
    </row>
    <row r="365" spans="1:16">
      <c r="A365">
        <v>983</v>
      </c>
      <c r="B365" s="2">
        <v>40587</v>
      </c>
      <c r="C365">
        <v>1</v>
      </c>
      <c r="D365">
        <v>0</v>
      </c>
      <c r="E365">
        <v>2</v>
      </c>
      <c r="F365">
        <v>14</v>
      </c>
      <c r="G365" t="b">
        <v>0</v>
      </c>
      <c r="H365">
        <v>0</v>
      </c>
      <c r="I365">
        <v>2</v>
      </c>
      <c r="J365">
        <v>0.4</v>
      </c>
      <c r="K365">
        <v>0.40910000000000002</v>
      </c>
      <c r="L365">
        <v>0.3</v>
      </c>
      <c r="M365">
        <v>0.41789999999999999</v>
      </c>
      <c r="N365">
        <v>51</v>
      </c>
      <c r="O365">
        <v>110</v>
      </c>
      <c r="P365">
        <v>161</v>
      </c>
    </row>
    <row r="366" spans="1:16">
      <c r="A366">
        <v>984</v>
      </c>
      <c r="B366" s="2">
        <v>40587</v>
      </c>
      <c r="C366">
        <v>1</v>
      </c>
      <c r="D366">
        <v>0</v>
      </c>
      <c r="E366">
        <v>2</v>
      </c>
      <c r="F366">
        <v>15</v>
      </c>
      <c r="G366" t="b">
        <v>0</v>
      </c>
      <c r="H366">
        <v>0</v>
      </c>
      <c r="I366">
        <v>2</v>
      </c>
      <c r="J366">
        <v>0.4</v>
      </c>
      <c r="K366">
        <v>0.40910000000000002</v>
      </c>
      <c r="L366">
        <v>0.3</v>
      </c>
      <c r="M366">
        <v>0.29849999999999999</v>
      </c>
      <c r="N366">
        <v>40</v>
      </c>
      <c r="O366">
        <v>122</v>
      </c>
      <c r="P366">
        <v>162</v>
      </c>
    </row>
    <row r="367" spans="1:16">
      <c r="A367">
        <v>985</v>
      </c>
      <c r="B367" s="2">
        <v>40587</v>
      </c>
      <c r="C367">
        <v>1</v>
      </c>
      <c r="D367">
        <v>0</v>
      </c>
      <c r="E367">
        <v>2</v>
      </c>
      <c r="F367">
        <v>16</v>
      </c>
      <c r="G367" t="b">
        <v>0</v>
      </c>
      <c r="H367">
        <v>0</v>
      </c>
      <c r="I367">
        <v>2</v>
      </c>
      <c r="J367">
        <v>0.42</v>
      </c>
      <c r="K367">
        <v>0.42420000000000002</v>
      </c>
      <c r="L367">
        <v>0.28000000000000003</v>
      </c>
      <c r="M367">
        <v>0.32840000000000003</v>
      </c>
      <c r="N367">
        <v>28</v>
      </c>
      <c r="O367">
        <v>106</v>
      </c>
      <c r="P367">
        <v>134</v>
      </c>
    </row>
    <row r="368" spans="1:16">
      <c r="A368">
        <v>986</v>
      </c>
      <c r="B368" s="2">
        <v>40587</v>
      </c>
      <c r="C368">
        <v>1</v>
      </c>
      <c r="D368">
        <v>0</v>
      </c>
      <c r="E368">
        <v>2</v>
      </c>
      <c r="F368">
        <v>17</v>
      </c>
      <c r="G368" t="b">
        <v>0</v>
      </c>
      <c r="H368">
        <v>0</v>
      </c>
      <c r="I368">
        <v>1</v>
      </c>
      <c r="J368">
        <v>0.42</v>
      </c>
      <c r="K368">
        <v>0.42420000000000002</v>
      </c>
      <c r="L368">
        <v>0.28000000000000003</v>
      </c>
      <c r="M368">
        <v>0.32840000000000003</v>
      </c>
      <c r="N368">
        <v>30</v>
      </c>
      <c r="O368">
        <v>95</v>
      </c>
      <c r="P368">
        <v>125</v>
      </c>
    </row>
    <row r="369" spans="1:16">
      <c r="A369">
        <v>987</v>
      </c>
      <c r="B369" s="2">
        <v>40587</v>
      </c>
      <c r="C369">
        <v>1</v>
      </c>
      <c r="D369">
        <v>0</v>
      </c>
      <c r="E369">
        <v>2</v>
      </c>
      <c r="F369">
        <v>18</v>
      </c>
      <c r="G369" t="b">
        <v>0</v>
      </c>
      <c r="H369">
        <v>0</v>
      </c>
      <c r="I369">
        <v>1</v>
      </c>
      <c r="J369">
        <v>0.4</v>
      </c>
      <c r="K369">
        <v>0.40910000000000002</v>
      </c>
      <c r="L369">
        <v>0.32</v>
      </c>
      <c r="M369">
        <v>0.29849999999999999</v>
      </c>
      <c r="N369">
        <v>17</v>
      </c>
      <c r="O369">
        <v>78</v>
      </c>
      <c r="P369">
        <v>95</v>
      </c>
    </row>
    <row r="370" spans="1:16">
      <c r="A370">
        <v>988</v>
      </c>
      <c r="B370" s="2">
        <v>40587</v>
      </c>
      <c r="C370">
        <v>1</v>
      </c>
      <c r="D370">
        <v>0</v>
      </c>
      <c r="E370">
        <v>2</v>
      </c>
      <c r="F370">
        <v>19</v>
      </c>
      <c r="G370" t="b">
        <v>0</v>
      </c>
      <c r="H370">
        <v>0</v>
      </c>
      <c r="I370">
        <v>1</v>
      </c>
      <c r="J370">
        <v>0.4</v>
      </c>
      <c r="K370">
        <v>0.40910000000000002</v>
      </c>
      <c r="L370">
        <v>0.35</v>
      </c>
      <c r="M370">
        <v>0.28360000000000002</v>
      </c>
      <c r="N370">
        <v>11</v>
      </c>
      <c r="O370">
        <v>50</v>
      </c>
      <c r="P370">
        <v>61</v>
      </c>
    </row>
    <row r="371" spans="1:16">
      <c r="A371">
        <v>989</v>
      </c>
      <c r="B371" s="2">
        <v>40587</v>
      </c>
      <c r="C371">
        <v>1</v>
      </c>
      <c r="D371">
        <v>0</v>
      </c>
      <c r="E371">
        <v>2</v>
      </c>
      <c r="F371">
        <v>20</v>
      </c>
      <c r="G371" t="b">
        <v>0</v>
      </c>
      <c r="H371">
        <v>0</v>
      </c>
      <c r="I371">
        <v>1</v>
      </c>
      <c r="J371">
        <v>0.4</v>
      </c>
      <c r="K371">
        <v>0.40910000000000002</v>
      </c>
      <c r="L371">
        <v>0.35</v>
      </c>
      <c r="M371">
        <v>0.32840000000000003</v>
      </c>
      <c r="N371">
        <v>15</v>
      </c>
      <c r="O371">
        <v>32</v>
      </c>
      <c r="P371">
        <v>47</v>
      </c>
    </row>
    <row r="372" spans="1:16">
      <c r="A372">
        <v>990</v>
      </c>
      <c r="B372" s="2">
        <v>40587</v>
      </c>
      <c r="C372">
        <v>1</v>
      </c>
      <c r="D372">
        <v>0</v>
      </c>
      <c r="E372">
        <v>2</v>
      </c>
      <c r="F372">
        <v>21</v>
      </c>
      <c r="G372" t="b">
        <v>0</v>
      </c>
      <c r="H372">
        <v>0</v>
      </c>
      <c r="I372">
        <v>1</v>
      </c>
      <c r="J372">
        <v>0.4</v>
      </c>
      <c r="K372">
        <v>0.40910000000000002</v>
      </c>
      <c r="L372">
        <v>0.35</v>
      </c>
      <c r="M372">
        <v>0.35820000000000002</v>
      </c>
      <c r="N372">
        <v>6</v>
      </c>
      <c r="O372">
        <v>45</v>
      </c>
      <c r="P372">
        <v>51</v>
      </c>
    </row>
    <row r="373" spans="1:16">
      <c r="A373">
        <v>991</v>
      </c>
      <c r="B373" s="2">
        <v>40587</v>
      </c>
      <c r="C373">
        <v>1</v>
      </c>
      <c r="D373">
        <v>0</v>
      </c>
      <c r="E373">
        <v>2</v>
      </c>
      <c r="F373">
        <v>22</v>
      </c>
      <c r="G373" t="b">
        <v>0</v>
      </c>
      <c r="H373">
        <v>0</v>
      </c>
      <c r="I373">
        <v>1</v>
      </c>
      <c r="J373">
        <v>0.4</v>
      </c>
      <c r="K373">
        <v>0.40910000000000002</v>
      </c>
      <c r="L373">
        <v>0.35</v>
      </c>
      <c r="M373">
        <v>0.29849999999999999</v>
      </c>
      <c r="N373">
        <v>5</v>
      </c>
      <c r="O373">
        <v>31</v>
      </c>
      <c r="P373">
        <v>36</v>
      </c>
    </row>
    <row r="374" spans="1:16">
      <c r="A374">
        <v>992</v>
      </c>
      <c r="B374" s="2">
        <v>40587</v>
      </c>
      <c r="C374">
        <v>1</v>
      </c>
      <c r="D374">
        <v>0</v>
      </c>
      <c r="E374">
        <v>2</v>
      </c>
      <c r="F374">
        <v>23</v>
      </c>
      <c r="G374" t="b">
        <v>0</v>
      </c>
      <c r="H374">
        <v>0</v>
      </c>
      <c r="I374">
        <v>1</v>
      </c>
      <c r="J374">
        <v>0.4</v>
      </c>
      <c r="K374">
        <v>0.40910000000000002</v>
      </c>
      <c r="L374">
        <v>0.35</v>
      </c>
      <c r="M374">
        <v>0.35820000000000002</v>
      </c>
      <c r="N374">
        <v>3</v>
      </c>
      <c r="O374">
        <v>27</v>
      </c>
      <c r="P374">
        <v>30</v>
      </c>
    </row>
    <row r="375" spans="1:16">
      <c r="A375">
        <v>993</v>
      </c>
      <c r="B375" s="2">
        <v>40588</v>
      </c>
      <c r="C375">
        <v>1</v>
      </c>
      <c r="D375">
        <v>0</v>
      </c>
      <c r="E375">
        <v>2</v>
      </c>
      <c r="F375">
        <v>0</v>
      </c>
      <c r="G375" t="b">
        <v>0</v>
      </c>
      <c r="H375">
        <v>1</v>
      </c>
      <c r="I375">
        <v>1</v>
      </c>
      <c r="J375">
        <v>0.38</v>
      </c>
      <c r="K375">
        <v>0.39389999999999997</v>
      </c>
      <c r="L375">
        <v>0.37</v>
      </c>
      <c r="M375">
        <v>0.35820000000000002</v>
      </c>
      <c r="N375">
        <v>3</v>
      </c>
      <c r="O375">
        <v>8</v>
      </c>
      <c r="P375">
        <v>11</v>
      </c>
    </row>
    <row r="376" spans="1:16">
      <c r="A376">
        <v>994</v>
      </c>
      <c r="B376" s="2">
        <v>40588</v>
      </c>
      <c r="C376">
        <v>1</v>
      </c>
      <c r="D376">
        <v>0</v>
      </c>
      <c r="E376">
        <v>2</v>
      </c>
      <c r="F376">
        <v>1</v>
      </c>
      <c r="G376" t="b">
        <v>0</v>
      </c>
      <c r="H376">
        <v>1</v>
      </c>
      <c r="I376">
        <v>1</v>
      </c>
      <c r="J376">
        <v>0.38</v>
      </c>
      <c r="K376">
        <v>0.39389999999999997</v>
      </c>
      <c r="L376">
        <v>0.37</v>
      </c>
      <c r="M376">
        <v>0.35820000000000002</v>
      </c>
      <c r="N376">
        <v>1</v>
      </c>
      <c r="O376">
        <v>6</v>
      </c>
      <c r="P376">
        <v>7</v>
      </c>
    </row>
    <row r="377" spans="1:16">
      <c r="A377">
        <v>995</v>
      </c>
      <c r="B377" s="2">
        <v>40588</v>
      </c>
      <c r="C377">
        <v>1</v>
      </c>
      <c r="D377">
        <v>0</v>
      </c>
      <c r="E377">
        <v>2</v>
      </c>
      <c r="F377">
        <v>2</v>
      </c>
      <c r="G377" t="b">
        <v>0</v>
      </c>
      <c r="H377">
        <v>1</v>
      </c>
      <c r="I377">
        <v>1</v>
      </c>
      <c r="J377">
        <v>0.36</v>
      </c>
      <c r="K377">
        <v>0.33329999999999999</v>
      </c>
      <c r="L377">
        <v>0.4</v>
      </c>
      <c r="M377">
        <v>0.29849999999999999</v>
      </c>
      <c r="N377">
        <v>0</v>
      </c>
      <c r="O377">
        <v>2</v>
      </c>
      <c r="P377">
        <v>2</v>
      </c>
    </row>
    <row r="378" spans="1:16">
      <c r="A378">
        <v>996</v>
      </c>
      <c r="B378" s="2">
        <v>40588</v>
      </c>
      <c r="C378">
        <v>1</v>
      </c>
      <c r="D378">
        <v>0</v>
      </c>
      <c r="E378">
        <v>2</v>
      </c>
      <c r="F378">
        <v>3</v>
      </c>
      <c r="G378" t="b">
        <v>0</v>
      </c>
      <c r="H378">
        <v>1</v>
      </c>
      <c r="I378">
        <v>1</v>
      </c>
      <c r="J378">
        <v>0.34</v>
      </c>
      <c r="K378">
        <v>0.31819999999999998</v>
      </c>
      <c r="L378">
        <v>0.46</v>
      </c>
      <c r="M378">
        <v>0.22389999999999999</v>
      </c>
      <c r="N378">
        <v>1</v>
      </c>
      <c r="O378">
        <v>1</v>
      </c>
      <c r="P378">
        <v>2</v>
      </c>
    </row>
    <row r="379" spans="1:16">
      <c r="A379">
        <v>997</v>
      </c>
      <c r="B379" s="2">
        <v>40588</v>
      </c>
      <c r="C379">
        <v>1</v>
      </c>
      <c r="D379">
        <v>0</v>
      </c>
      <c r="E379">
        <v>2</v>
      </c>
      <c r="F379">
        <v>4</v>
      </c>
      <c r="G379" t="b">
        <v>0</v>
      </c>
      <c r="H379">
        <v>1</v>
      </c>
      <c r="I379">
        <v>1</v>
      </c>
      <c r="J379">
        <v>0.32</v>
      </c>
      <c r="K379">
        <v>0.30299999999999999</v>
      </c>
      <c r="L379">
        <v>0.53</v>
      </c>
      <c r="M379">
        <v>0.28360000000000002</v>
      </c>
      <c r="N379">
        <v>0</v>
      </c>
      <c r="O379">
        <v>2</v>
      </c>
      <c r="P379">
        <v>2</v>
      </c>
    </row>
    <row r="380" spans="1:16">
      <c r="A380">
        <v>998</v>
      </c>
      <c r="B380" s="2">
        <v>40588</v>
      </c>
      <c r="C380">
        <v>1</v>
      </c>
      <c r="D380">
        <v>0</v>
      </c>
      <c r="E380">
        <v>2</v>
      </c>
      <c r="F380">
        <v>5</v>
      </c>
      <c r="G380" t="b">
        <v>0</v>
      </c>
      <c r="H380">
        <v>1</v>
      </c>
      <c r="I380">
        <v>1</v>
      </c>
      <c r="J380">
        <v>0.32</v>
      </c>
      <c r="K380">
        <v>0.30299999999999999</v>
      </c>
      <c r="L380">
        <v>0.53</v>
      </c>
      <c r="M380">
        <v>0.28360000000000002</v>
      </c>
      <c r="N380">
        <v>0</v>
      </c>
      <c r="O380">
        <v>3</v>
      </c>
      <c r="P380">
        <v>3</v>
      </c>
    </row>
    <row r="381" spans="1:16">
      <c r="A381">
        <v>999</v>
      </c>
      <c r="B381" s="2">
        <v>40588</v>
      </c>
      <c r="C381">
        <v>1</v>
      </c>
      <c r="D381">
        <v>0</v>
      </c>
      <c r="E381">
        <v>2</v>
      </c>
      <c r="F381">
        <v>6</v>
      </c>
      <c r="G381" t="b">
        <v>0</v>
      </c>
      <c r="H381">
        <v>1</v>
      </c>
      <c r="I381">
        <v>1</v>
      </c>
      <c r="J381">
        <v>0.34</v>
      </c>
      <c r="K381">
        <v>0.30299999999999999</v>
      </c>
      <c r="L381">
        <v>0.46</v>
      </c>
      <c r="M381">
        <v>0.29849999999999999</v>
      </c>
      <c r="N381">
        <v>1</v>
      </c>
      <c r="O381">
        <v>25</v>
      </c>
      <c r="P381">
        <v>26</v>
      </c>
    </row>
    <row r="382" spans="1:16">
      <c r="A382">
        <v>1000</v>
      </c>
      <c r="B382" s="2">
        <v>40588</v>
      </c>
      <c r="C382">
        <v>1</v>
      </c>
      <c r="D382">
        <v>0</v>
      </c>
      <c r="E382">
        <v>2</v>
      </c>
      <c r="F382">
        <v>7</v>
      </c>
      <c r="G382" t="b">
        <v>0</v>
      </c>
      <c r="H382">
        <v>1</v>
      </c>
      <c r="I382">
        <v>1</v>
      </c>
      <c r="J382">
        <v>0.34</v>
      </c>
      <c r="K382">
        <v>0.30299999999999999</v>
      </c>
      <c r="L382">
        <v>0.46</v>
      </c>
      <c r="M382">
        <v>0.29849999999999999</v>
      </c>
      <c r="N382">
        <v>2</v>
      </c>
      <c r="O382">
        <v>96</v>
      </c>
      <c r="P382">
        <v>98</v>
      </c>
    </row>
    <row r="383" spans="1:16">
      <c r="A383">
        <v>611</v>
      </c>
      <c r="B383" s="2">
        <v>40571</v>
      </c>
      <c r="C383">
        <v>1</v>
      </c>
      <c r="D383">
        <v>0</v>
      </c>
      <c r="E383">
        <v>1</v>
      </c>
      <c r="F383">
        <v>16</v>
      </c>
      <c r="G383" t="b">
        <v>0</v>
      </c>
      <c r="H383">
        <v>5</v>
      </c>
      <c r="I383">
        <v>1</v>
      </c>
      <c r="J383">
        <v>0.22</v>
      </c>
      <c r="K383">
        <v>0.2727</v>
      </c>
      <c r="L383">
        <v>0.8</v>
      </c>
      <c r="M383">
        <v>0</v>
      </c>
      <c r="N383">
        <v>10</v>
      </c>
      <c r="O383">
        <v>70</v>
      </c>
      <c r="P383">
        <v>80</v>
      </c>
    </row>
    <row r="384" spans="1:16">
      <c r="A384">
        <v>612</v>
      </c>
      <c r="B384" s="2">
        <v>40571</v>
      </c>
      <c r="C384">
        <v>1</v>
      </c>
      <c r="D384">
        <v>0</v>
      </c>
      <c r="E384">
        <v>1</v>
      </c>
      <c r="F384">
        <v>17</v>
      </c>
      <c r="G384" t="b">
        <v>0</v>
      </c>
      <c r="H384">
        <v>5</v>
      </c>
      <c r="I384">
        <v>1</v>
      </c>
      <c r="J384">
        <v>0.24</v>
      </c>
      <c r="K384">
        <v>0.2424</v>
      </c>
      <c r="L384">
        <v>0.75</v>
      </c>
      <c r="M384">
        <v>0.1343</v>
      </c>
      <c r="N384">
        <v>2</v>
      </c>
      <c r="O384">
        <v>147</v>
      </c>
      <c r="P384">
        <v>149</v>
      </c>
    </row>
    <row r="385" spans="1:16">
      <c r="A385">
        <v>613</v>
      </c>
      <c r="B385" s="2">
        <v>40571</v>
      </c>
      <c r="C385">
        <v>1</v>
      </c>
      <c r="D385">
        <v>0</v>
      </c>
      <c r="E385">
        <v>1</v>
      </c>
      <c r="F385">
        <v>18</v>
      </c>
      <c r="G385" t="b">
        <v>0</v>
      </c>
      <c r="H385">
        <v>5</v>
      </c>
      <c r="I385">
        <v>1</v>
      </c>
      <c r="J385">
        <v>0.24</v>
      </c>
      <c r="K385">
        <v>0.2273</v>
      </c>
      <c r="L385">
        <v>0.75</v>
      </c>
      <c r="M385">
        <v>0.19400000000000001</v>
      </c>
      <c r="N385">
        <v>2</v>
      </c>
      <c r="O385">
        <v>107</v>
      </c>
      <c r="P385">
        <v>109</v>
      </c>
    </row>
    <row r="386" spans="1:16">
      <c r="A386">
        <v>614</v>
      </c>
      <c r="B386" s="2">
        <v>40571</v>
      </c>
      <c r="C386">
        <v>1</v>
      </c>
      <c r="D386">
        <v>0</v>
      </c>
      <c r="E386">
        <v>1</v>
      </c>
      <c r="F386">
        <v>19</v>
      </c>
      <c r="G386" t="b">
        <v>0</v>
      </c>
      <c r="H386">
        <v>5</v>
      </c>
      <c r="I386">
        <v>2</v>
      </c>
      <c r="J386">
        <v>0.24</v>
      </c>
      <c r="K386">
        <v>0.2424</v>
      </c>
      <c r="L386">
        <v>0.75</v>
      </c>
      <c r="M386">
        <v>0.1343</v>
      </c>
      <c r="N386">
        <v>5</v>
      </c>
      <c r="O386">
        <v>84</v>
      </c>
      <c r="P386">
        <v>89</v>
      </c>
    </row>
    <row r="387" spans="1:16">
      <c r="A387">
        <v>615</v>
      </c>
      <c r="B387" s="2">
        <v>40571</v>
      </c>
      <c r="C387">
        <v>1</v>
      </c>
      <c r="D387">
        <v>0</v>
      </c>
      <c r="E387">
        <v>1</v>
      </c>
      <c r="F387">
        <v>20</v>
      </c>
      <c r="G387" t="b">
        <v>0</v>
      </c>
      <c r="H387">
        <v>5</v>
      </c>
      <c r="I387">
        <v>2</v>
      </c>
      <c r="J387">
        <v>0.24</v>
      </c>
      <c r="K387">
        <v>0.2273</v>
      </c>
      <c r="L387">
        <v>0.7</v>
      </c>
      <c r="M387">
        <v>0.19400000000000001</v>
      </c>
      <c r="N387">
        <v>1</v>
      </c>
      <c r="O387">
        <v>61</v>
      </c>
      <c r="P387">
        <v>62</v>
      </c>
    </row>
    <row r="388" spans="1:16">
      <c r="A388">
        <v>616</v>
      </c>
      <c r="B388" s="2">
        <v>40571</v>
      </c>
      <c r="C388">
        <v>1</v>
      </c>
      <c r="D388">
        <v>0</v>
      </c>
      <c r="E388">
        <v>1</v>
      </c>
      <c r="F388">
        <v>21</v>
      </c>
      <c r="G388" t="b">
        <v>0</v>
      </c>
      <c r="H388">
        <v>5</v>
      </c>
      <c r="I388">
        <v>2</v>
      </c>
      <c r="J388">
        <v>0.22</v>
      </c>
      <c r="K388">
        <v>0.2273</v>
      </c>
      <c r="L388">
        <v>0.75</v>
      </c>
      <c r="M388">
        <v>0.1343</v>
      </c>
      <c r="N388">
        <v>1</v>
      </c>
      <c r="O388">
        <v>57</v>
      </c>
      <c r="P388">
        <v>58</v>
      </c>
    </row>
    <row r="389" spans="1:16">
      <c r="A389">
        <v>617</v>
      </c>
      <c r="B389" s="2">
        <v>40571</v>
      </c>
      <c r="C389">
        <v>1</v>
      </c>
      <c r="D389">
        <v>0</v>
      </c>
      <c r="E389">
        <v>1</v>
      </c>
      <c r="F389">
        <v>22</v>
      </c>
      <c r="G389" t="b">
        <v>0</v>
      </c>
      <c r="H389">
        <v>5</v>
      </c>
      <c r="I389">
        <v>1</v>
      </c>
      <c r="J389">
        <v>0.24</v>
      </c>
      <c r="K389">
        <v>0.21210000000000001</v>
      </c>
      <c r="L389">
        <v>0.65</v>
      </c>
      <c r="M389">
        <v>0.35820000000000002</v>
      </c>
      <c r="N389">
        <v>0</v>
      </c>
      <c r="O389">
        <v>26</v>
      </c>
      <c r="P389">
        <v>26</v>
      </c>
    </row>
    <row r="390" spans="1:16">
      <c r="A390">
        <v>618</v>
      </c>
      <c r="B390" s="2">
        <v>40571</v>
      </c>
      <c r="C390">
        <v>1</v>
      </c>
      <c r="D390">
        <v>0</v>
      </c>
      <c r="E390">
        <v>1</v>
      </c>
      <c r="F390">
        <v>23</v>
      </c>
      <c r="G390" t="b">
        <v>0</v>
      </c>
      <c r="H390">
        <v>5</v>
      </c>
      <c r="I390">
        <v>1</v>
      </c>
      <c r="J390">
        <v>0.24</v>
      </c>
      <c r="K390">
        <v>0.2273</v>
      </c>
      <c r="L390">
        <v>0.6</v>
      </c>
      <c r="M390">
        <v>0.22389999999999999</v>
      </c>
      <c r="N390">
        <v>1</v>
      </c>
      <c r="O390">
        <v>22</v>
      </c>
      <c r="P390">
        <v>23</v>
      </c>
    </row>
    <row r="391" spans="1:16">
      <c r="A391">
        <v>619</v>
      </c>
      <c r="B391" s="2">
        <v>40572</v>
      </c>
      <c r="C391">
        <v>1</v>
      </c>
      <c r="D391">
        <v>0</v>
      </c>
      <c r="E391">
        <v>1</v>
      </c>
      <c r="F391">
        <v>0</v>
      </c>
      <c r="G391" t="b">
        <v>0</v>
      </c>
      <c r="H391">
        <v>6</v>
      </c>
      <c r="I391">
        <v>1</v>
      </c>
      <c r="J391">
        <v>0.22</v>
      </c>
      <c r="K391">
        <v>0.19700000000000001</v>
      </c>
      <c r="L391">
        <v>0.64</v>
      </c>
      <c r="M391">
        <v>0.35820000000000002</v>
      </c>
      <c r="N391">
        <v>2</v>
      </c>
      <c r="O391">
        <v>26</v>
      </c>
      <c r="P391">
        <v>28</v>
      </c>
    </row>
  </sheetData>
  <pageMargins left="0.75" right="0.75" top="1" bottom="1" header="0.5" footer="0.5"/>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X1001"/>
  <sheetViews>
    <sheetView workbookViewId="0">
      <pane ySplit="1" topLeftCell="A2" activePane="bottomLeft" state="frozen"/>
      <selection pane="bottomLeft" activeCell="E44" sqref="E44"/>
    </sheetView>
  </sheetViews>
  <sheetFormatPr defaultRowHeight="14.4"/>
  <cols>
    <col min="1" max="1" width="12" customWidth="1"/>
    <col min="2" max="2" width="21" customWidth="1"/>
    <col min="3" max="16" width="12" customWidth="1"/>
    <col min="17" max="17" width="12.88671875" customWidth="1"/>
    <col min="21" max="21" width="12.6640625" customWidth="1"/>
  </cols>
  <sheetData>
    <row r="1" spans="1:24">
      <c r="A1" s="1" t="s">
        <v>34</v>
      </c>
      <c r="B1" s="1" t="s">
        <v>35</v>
      </c>
      <c r="C1" s="1" t="s">
        <v>36</v>
      </c>
      <c r="D1" s="1" t="s">
        <v>37</v>
      </c>
      <c r="E1" s="1" t="s">
        <v>38</v>
      </c>
      <c r="F1" s="1" t="s">
        <v>39</v>
      </c>
      <c r="G1" s="1" t="s">
        <v>40</v>
      </c>
      <c r="H1" s="1" t="s">
        <v>41</v>
      </c>
      <c r="I1" s="1" t="s">
        <v>42</v>
      </c>
      <c r="J1" s="1" t="s">
        <v>43</v>
      </c>
      <c r="K1" s="1" t="s">
        <v>45</v>
      </c>
      <c r="L1" s="1" t="s">
        <v>46</v>
      </c>
      <c r="M1" s="1" t="s">
        <v>47</v>
      </c>
      <c r="N1" s="1" t="s">
        <v>48</v>
      </c>
      <c r="O1" s="1" t="s">
        <v>49</v>
      </c>
      <c r="P1" s="1" t="s">
        <v>50</v>
      </c>
      <c r="Q1" t="s">
        <v>117</v>
      </c>
      <c r="R1" t="s">
        <v>120</v>
      </c>
      <c r="S1" t="s">
        <v>122</v>
      </c>
      <c r="T1" t="s">
        <v>123</v>
      </c>
      <c r="U1" t="s">
        <v>124</v>
      </c>
      <c r="V1" t="s">
        <v>125</v>
      </c>
      <c r="W1" t="s">
        <v>126</v>
      </c>
      <c r="X1" t="s">
        <v>127</v>
      </c>
    </row>
    <row r="2" spans="1:24">
      <c r="A2">
        <v>1</v>
      </c>
      <c r="B2" s="2">
        <v>40544</v>
      </c>
      <c r="C2">
        <v>1</v>
      </c>
      <c r="D2">
        <v>0</v>
      </c>
      <c r="E2">
        <v>1</v>
      </c>
      <c r="F2">
        <v>0</v>
      </c>
      <c r="G2" t="b">
        <v>0</v>
      </c>
      <c r="H2">
        <v>6</v>
      </c>
      <c r="I2">
        <v>1</v>
      </c>
      <c r="J2">
        <v>0.24</v>
      </c>
      <c r="K2">
        <v>0.28789999999999999</v>
      </c>
      <c r="L2">
        <v>0.81</v>
      </c>
      <c r="M2">
        <v>0</v>
      </c>
      <c r="N2">
        <v>3</v>
      </c>
      <c r="O2">
        <v>13</v>
      </c>
      <c r="P2">
        <v>16</v>
      </c>
      <c r="Q2" t="str">
        <f t="shared" ref="Q2:Q65" si="0">IF(K2="","Missing atemp","Complete")</f>
        <v>Complete</v>
      </c>
      <c r="R2">
        <f>IF(K2="",J2,K2)</f>
        <v>0.28789999999999999</v>
      </c>
      <c r="S2">
        <f t="shared" ref="S2:S65" si="1">IF(D2=0,2011,"")</f>
        <v>2011</v>
      </c>
      <c r="T2" t="str">
        <f t="shared" ref="T2:T65" si="2">IF(E2=1,"January","")</f>
        <v>January</v>
      </c>
      <c r="U2" t="str">
        <f t="shared" ref="U2:U65" si="3">IF(G2=TRUE,"Holiday",IF(H2=0,"Sunday",IF(H2=6,"Saturday","Weekday")))</f>
        <v>Saturday</v>
      </c>
      <c r="V2" t="str">
        <f t="shared" ref="V2:V65" si="4">IF(F2&lt;6,"Night",IF(F2&lt;12,"Morning",IF(F2&lt;18,"Afternoon","Evening")))</f>
        <v>Night</v>
      </c>
      <c r="W2" t="str">
        <f t="shared" ref="W2:W65" si="5">IF(C2=1,"Spring","")</f>
        <v>Spring</v>
      </c>
      <c r="X2" t="str">
        <f t="shared" ref="X2:X65" si="6">IF(I2=1,"Clear",IF(I2=2,"Mist/Cloudy",IF(I2=3,"Light Rain/Snow",IF(I2=4,"Heavy Rain/Snow","Unknown"))))</f>
        <v>Clear</v>
      </c>
    </row>
    <row r="3" spans="1:24">
      <c r="A3">
        <v>2</v>
      </c>
      <c r="B3" s="2">
        <v>40544</v>
      </c>
      <c r="C3">
        <v>1</v>
      </c>
      <c r="D3">
        <v>0</v>
      </c>
      <c r="E3">
        <v>1</v>
      </c>
      <c r="F3">
        <v>1</v>
      </c>
      <c r="G3" t="b">
        <v>0</v>
      </c>
      <c r="H3">
        <v>6</v>
      </c>
      <c r="I3">
        <v>1</v>
      </c>
      <c r="J3">
        <v>0.22</v>
      </c>
      <c r="K3">
        <v>0.2727</v>
      </c>
      <c r="L3">
        <v>0.8</v>
      </c>
      <c r="M3">
        <v>0</v>
      </c>
      <c r="N3">
        <v>8</v>
      </c>
      <c r="O3">
        <v>32</v>
      </c>
      <c r="P3">
        <v>40</v>
      </c>
      <c r="Q3" t="str">
        <f t="shared" si="0"/>
        <v>Complete</v>
      </c>
      <c r="R3">
        <f t="shared" ref="R3:R66" si="7">IF(K3="",J3,K3)</f>
        <v>0.2727</v>
      </c>
      <c r="S3">
        <f t="shared" si="1"/>
        <v>2011</v>
      </c>
      <c r="T3" t="str">
        <f t="shared" si="2"/>
        <v>January</v>
      </c>
      <c r="U3" t="str">
        <f t="shared" si="3"/>
        <v>Saturday</v>
      </c>
      <c r="V3" t="str">
        <f t="shared" si="4"/>
        <v>Night</v>
      </c>
      <c r="W3" t="str">
        <f t="shared" si="5"/>
        <v>Spring</v>
      </c>
      <c r="X3" t="str">
        <f t="shared" si="6"/>
        <v>Clear</v>
      </c>
    </row>
    <row r="4" spans="1:24">
      <c r="A4">
        <v>3</v>
      </c>
      <c r="B4" s="2">
        <v>40544</v>
      </c>
      <c r="C4">
        <v>1</v>
      </c>
      <c r="D4">
        <v>0</v>
      </c>
      <c r="E4">
        <v>1</v>
      </c>
      <c r="F4">
        <v>2</v>
      </c>
      <c r="G4" t="b">
        <v>0</v>
      </c>
      <c r="H4">
        <v>6</v>
      </c>
      <c r="I4">
        <v>1</v>
      </c>
      <c r="J4">
        <v>0.22</v>
      </c>
      <c r="K4">
        <v>0.2727</v>
      </c>
      <c r="L4">
        <v>0.8</v>
      </c>
      <c r="M4">
        <v>0</v>
      </c>
      <c r="N4">
        <v>5</v>
      </c>
      <c r="O4">
        <v>27</v>
      </c>
      <c r="P4">
        <v>32</v>
      </c>
      <c r="Q4" t="str">
        <f t="shared" si="0"/>
        <v>Complete</v>
      </c>
      <c r="R4">
        <f t="shared" si="7"/>
        <v>0.2727</v>
      </c>
      <c r="S4">
        <f t="shared" si="1"/>
        <v>2011</v>
      </c>
      <c r="T4" t="str">
        <f t="shared" si="2"/>
        <v>January</v>
      </c>
      <c r="U4" t="str">
        <f t="shared" si="3"/>
        <v>Saturday</v>
      </c>
      <c r="V4" t="str">
        <f t="shared" si="4"/>
        <v>Night</v>
      </c>
      <c r="W4" t="str">
        <f t="shared" si="5"/>
        <v>Spring</v>
      </c>
      <c r="X4" t="str">
        <f t="shared" si="6"/>
        <v>Clear</v>
      </c>
    </row>
    <row r="5" spans="1:24">
      <c r="A5">
        <v>4</v>
      </c>
      <c r="B5" s="2">
        <v>40544</v>
      </c>
      <c r="C5">
        <v>1</v>
      </c>
      <c r="D5">
        <v>0</v>
      </c>
      <c r="E5">
        <v>1</v>
      </c>
      <c r="F5">
        <v>3</v>
      </c>
      <c r="G5" t="b">
        <v>0</v>
      </c>
      <c r="H5">
        <v>6</v>
      </c>
      <c r="I5">
        <v>1</v>
      </c>
      <c r="J5">
        <v>0.24</v>
      </c>
      <c r="K5">
        <v>0.28789999999999999</v>
      </c>
      <c r="L5">
        <v>0.75</v>
      </c>
      <c r="M5">
        <v>0</v>
      </c>
      <c r="N5">
        <v>3</v>
      </c>
      <c r="O5">
        <v>10</v>
      </c>
      <c r="P5">
        <v>13</v>
      </c>
      <c r="Q5" t="str">
        <f t="shared" si="0"/>
        <v>Complete</v>
      </c>
      <c r="R5">
        <f t="shared" si="7"/>
        <v>0.28789999999999999</v>
      </c>
      <c r="S5">
        <f t="shared" si="1"/>
        <v>2011</v>
      </c>
      <c r="T5" t="str">
        <f t="shared" si="2"/>
        <v>January</v>
      </c>
      <c r="U5" t="str">
        <f t="shared" si="3"/>
        <v>Saturday</v>
      </c>
      <c r="V5" t="str">
        <f t="shared" si="4"/>
        <v>Night</v>
      </c>
      <c r="W5" t="str">
        <f t="shared" si="5"/>
        <v>Spring</v>
      </c>
      <c r="X5" t="str">
        <f t="shared" si="6"/>
        <v>Clear</v>
      </c>
    </row>
    <row r="6" spans="1:24">
      <c r="A6">
        <v>5</v>
      </c>
      <c r="B6" s="2">
        <v>40544</v>
      </c>
      <c r="C6">
        <v>1</v>
      </c>
      <c r="D6">
        <v>0</v>
      </c>
      <c r="E6">
        <v>1</v>
      </c>
      <c r="F6">
        <v>4</v>
      </c>
      <c r="G6" t="b">
        <v>0</v>
      </c>
      <c r="H6">
        <v>6</v>
      </c>
      <c r="I6">
        <v>1</v>
      </c>
      <c r="J6">
        <v>0.24</v>
      </c>
      <c r="K6">
        <v>0.28789999999999999</v>
      </c>
      <c r="L6">
        <v>0.75</v>
      </c>
      <c r="M6">
        <v>0</v>
      </c>
      <c r="N6">
        <v>0</v>
      </c>
      <c r="O6">
        <v>1</v>
      </c>
      <c r="P6">
        <v>1</v>
      </c>
      <c r="Q6" t="str">
        <f t="shared" si="0"/>
        <v>Complete</v>
      </c>
      <c r="R6">
        <f t="shared" si="7"/>
        <v>0.28789999999999999</v>
      </c>
      <c r="S6">
        <f t="shared" si="1"/>
        <v>2011</v>
      </c>
      <c r="T6" t="str">
        <f t="shared" si="2"/>
        <v>January</v>
      </c>
      <c r="U6" t="str">
        <f t="shared" si="3"/>
        <v>Saturday</v>
      </c>
      <c r="V6" t="str">
        <f t="shared" si="4"/>
        <v>Night</v>
      </c>
      <c r="W6" t="str">
        <f t="shared" si="5"/>
        <v>Spring</v>
      </c>
      <c r="X6" t="str">
        <f t="shared" si="6"/>
        <v>Clear</v>
      </c>
    </row>
    <row r="7" spans="1:24">
      <c r="A7">
        <v>6</v>
      </c>
      <c r="B7" s="2">
        <v>40544</v>
      </c>
      <c r="C7">
        <v>1</v>
      </c>
      <c r="D7">
        <v>0</v>
      </c>
      <c r="E7">
        <v>1</v>
      </c>
      <c r="F7">
        <v>5</v>
      </c>
      <c r="G7" t="b">
        <v>0</v>
      </c>
      <c r="H7">
        <v>6</v>
      </c>
      <c r="I7">
        <v>2</v>
      </c>
      <c r="J7">
        <v>0.24</v>
      </c>
      <c r="K7">
        <v>0.2576</v>
      </c>
      <c r="L7">
        <v>0.75</v>
      </c>
      <c r="M7">
        <v>8.9599999999999999E-2</v>
      </c>
      <c r="N7">
        <v>0</v>
      </c>
      <c r="O7">
        <v>1</v>
      </c>
      <c r="P7">
        <v>1</v>
      </c>
      <c r="Q7" t="str">
        <f t="shared" si="0"/>
        <v>Complete</v>
      </c>
      <c r="R7">
        <f t="shared" si="7"/>
        <v>0.2576</v>
      </c>
      <c r="S7">
        <f t="shared" si="1"/>
        <v>2011</v>
      </c>
      <c r="T7" t="str">
        <f t="shared" si="2"/>
        <v>January</v>
      </c>
      <c r="U7" t="str">
        <f t="shared" si="3"/>
        <v>Saturday</v>
      </c>
      <c r="V7" t="str">
        <f t="shared" si="4"/>
        <v>Night</v>
      </c>
      <c r="W7" t="str">
        <f t="shared" si="5"/>
        <v>Spring</v>
      </c>
      <c r="X7" t="str">
        <f t="shared" si="6"/>
        <v>Mist/Cloudy</v>
      </c>
    </row>
    <row r="8" spans="1:24">
      <c r="A8">
        <v>7</v>
      </c>
      <c r="B8" s="2">
        <v>40544</v>
      </c>
      <c r="C8">
        <v>1</v>
      </c>
      <c r="D8">
        <v>0</v>
      </c>
      <c r="E8">
        <v>1</v>
      </c>
      <c r="F8">
        <v>6</v>
      </c>
      <c r="G8" t="b">
        <v>0</v>
      </c>
      <c r="H8">
        <v>6</v>
      </c>
      <c r="I8">
        <v>1</v>
      </c>
      <c r="J8">
        <v>0.22</v>
      </c>
      <c r="K8">
        <v>0.2727</v>
      </c>
      <c r="L8">
        <v>0.8</v>
      </c>
      <c r="M8">
        <v>0</v>
      </c>
      <c r="N8">
        <v>2</v>
      </c>
      <c r="O8">
        <v>0</v>
      </c>
      <c r="P8">
        <v>2</v>
      </c>
      <c r="Q8" t="str">
        <f t="shared" si="0"/>
        <v>Complete</v>
      </c>
      <c r="R8">
        <f t="shared" si="7"/>
        <v>0.2727</v>
      </c>
      <c r="S8">
        <f t="shared" si="1"/>
        <v>2011</v>
      </c>
      <c r="T8" t="str">
        <f t="shared" si="2"/>
        <v>January</v>
      </c>
      <c r="U8" t="str">
        <f t="shared" si="3"/>
        <v>Saturday</v>
      </c>
      <c r="V8" t="str">
        <f t="shared" si="4"/>
        <v>Morning</v>
      </c>
      <c r="W8" t="str">
        <f t="shared" si="5"/>
        <v>Spring</v>
      </c>
      <c r="X8" t="str">
        <f t="shared" si="6"/>
        <v>Clear</v>
      </c>
    </row>
    <row r="9" spans="1:24">
      <c r="A9">
        <v>8</v>
      </c>
      <c r="B9" s="2">
        <v>40544</v>
      </c>
      <c r="C9">
        <v>1</v>
      </c>
      <c r="D9">
        <v>0</v>
      </c>
      <c r="E9">
        <v>1</v>
      </c>
      <c r="F9">
        <v>7</v>
      </c>
      <c r="G9" t="b">
        <v>0</v>
      </c>
      <c r="H9">
        <v>6</v>
      </c>
      <c r="I9">
        <v>1</v>
      </c>
      <c r="J9">
        <v>0.2</v>
      </c>
      <c r="K9">
        <v>0.2576</v>
      </c>
      <c r="L9">
        <v>0.86</v>
      </c>
      <c r="M9">
        <v>0</v>
      </c>
      <c r="N9">
        <v>1</v>
      </c>
      <c r="O9">
        <v>2</v>
      </c>
      <c r="P9">
        <v>3</v>
      </c>
      <c r="Q9" t="str">
        <f t="shared" si="0"/>
        <v>Complete</v>
      </c>
      <c r="R9">
        <f t="shared" si="7"/>
        <v>0.2576</v>
      </c>
      <c r="S9">
        <f t="shared" si="1"/>
        <v>2011</v>
      </c>
      <c r="T9" t="str">
        <f t="shared" si="2"/>
        <v>January</v>
      </c>
      <c r="U9" t="str">
        <f t="shared" si="3"/>
        <v>Saturday</v>
      </c>
      <c r="V9" t="str">
        <f t="shared" si="4"/>
        <v>Morning</v>
      </c>
      <c r="W9" t="str">
        <f t="shared" si="5"/>
        <v>Spring</v>
      </c>
      <c r="X9" t="str">
        <f t="shared" si="6"/>
        <v>Clear</v>
      </c>
    </row>
    <row r="10" spans="1:24">
      <c r="A10">
        <v>9</v>
      </c>
      <c r="B10" s="2">
        <v>40544</v>
      </c>
      <c r="C10">
        <v>1</v>
      </c>
      <c r="D10">
        <v>0</v>
      </c>
      <c r="E10">
        <v>1</v>
      </c>
      <c r="F10">
        <v>8</v>
      </c>
      <c r="G10" t="b">
        <v>0</v>
      </c>
      <c r="H10">
        <v>6</v>
      </c>
      <c r="I10">
        <v>1</v>
      </c>
      <c r="J10">
        <v>0.24</v>
      </c>
      <c r="L10">
        <v>0.75</v>
      </c>
      <c r="M10">
        <v>0</v>
      </c>
      <c r="N10">
        <v>1</v>
      </c>
      <c r="O10">
        <v>7</v>
      </c>
      <c r="P10">
        <v>8</v>
      </c>
      <c r="Q10" t="str">
        <f t="shared" si="0"/>
        <v>Missing atemp</v>
      </c>
      <c r="R10">
        <f t="shared" si="7"/>
        <v>0.24</v>
      </c>
      <c r="S10">
        <f t="shared" si="1"/>
        <v>2011</v>
      </c>
      <c r="T10" t="str">
        <f t="shared" si="2"/>
        <v>January</v>
      </c>
      <c r="U10" t="str">
        <f t="shared" si="3"/>
        <v>Saturday</v>
      </c>
      <c r="V10" t="str">
        <f t="shared" si="4"/>
        <v>Morning</v>
      </c>
      <c r="W10" t="str">
        <f t="shared" si="5"/>
        <v>Spring</v>
      </c>
      <c r="X10" t="str">
        <f t="shared" si="6"/>
        <v>Clear</v>
      </c>
    </row>
    <row r="11" spans="1:24">
      <c r="A11">
        <v>10</v>
      </c>
      <c r="B11" s="2">
        <v>40544</v>
      </c>
      <c r="C11">
        <v>1</v>
      </c>
      <c r="D11">
        <v>0</v>
      </c>
      <c r="E11">
        <v>1</v>
      </c>
      <c r="F11">
        <v>9</v>
      </c>
      <c r="G11" t="b">
        <v>0</v>
      </c>
      <c r="H11">
        <v>6</v>
      </c>
      <c r="I11">
        <v>1</v>
      </c>
      <c r="J11">
        <v>0.32</v>
      </c>
      <c r="K11">
        <v>0.34849999999999998</v>
      </c>
      <c r="L11">
        <v>0.76</v>
      </c>
      <c r="M11">
        <v>0</v>
      </c>
      <c r="N11">
        <v>8</v>
      </c>
      <c r="O11">
        <v>6</v>
      </c>
      <c r="P11">
        <v>14</v>
      </c>
      <c r="Q11" t="str">
        <f t="shared" si="0"/>
        <v>Complete</v>
      </c>
      <c r="R11">
        <f t="shared" si="7"/>
        <v>0.34849999999999998</v>
      </c>
      <c r="S11">
        <f t="shared" si="1"/>
        <v>2011</v>
      </c>
      <c r="T11" t="str">
        <f t="shared" si="2"/>
        <v>January</v>
      </c>
      <c r="U11" t="str">
        <f t="shared" si="3"/>
        <v>Saturday</v>
      </c>
      <c r="V11" t="str">
        <f t="shared" si="4"/>
        <v>Morning</v>
      </c>
      <c r="W11" t="str">
        <f t="shared" si="5"/>
        <v>Spring</v>
      </c>
      <c r="X11" t="str">
        <f t="shared" si="6"/>
        <v>Clear</v>
      </c>
    </row>
    <row r="12" spans="1:24">
      <c r="A12">
        <v>11</v>
      </c>
      <c r="B12" s="2">
        <v>40544</v>
      </c>
      <c r="C12">
        <v>1</v>
      </c>
      <c r="D12">
        <v>0</v>
      </c>
      <c r="E12">
        <v>1</v>
      </c>
      <c r="F12">
        <v>10</v>
      </c>
      <c r="G12" t="b">
        <v>0</v>
      </c>
      <c r="H12">
        <v>6</v>
      </c>
      <c r="I12">
        <v>1</v>
      </c>
      <c r="J12">
        <v>0.38</v>
      </c>
      <c r="K12">
        <v>0.39389999999999997</v>
      </c>
      <c r="L12">
        <v>0.76</v>
      </c>
      <c r="M12">
        <v>0.25369999999999998</v>
      </c>
      <c r="N12">
        <v>12</v>
      </c>
      <c r="O12">
        <v>24</v>
      </c>
      <c r="P12">
        <v>36</v>
      </c>
      <c r="Q12" t="str">
        <f t="shared" si="0"/>
        <v>Complete</v>
      </c>
      <c r="R12">
        <f t="shared" si="7"/>
        <v>0.39389999999999997</v>
      </c>
      <c r="S12">
        <f t="shared" si="1"/>
        <v>2011</v>
      </c>
      <c r="T12" t="str">
        <f t="shared" si="2"/>
        <v>January</v>
      </c>
      <c r="U12" t="str">
        <f t="shared" si="3"/>
        <v>Saturday</v>
      </c>
      <c r="V12" t="str">
        <f t="shared" si="4"/>
        <v>Morning</v>
      </c>
      <c r="W12" t="str">
        <f t="shared" si="5"/>
        <v>Spring</v>
      </c>
      <c r="X12" t="str">
        <f t="shared" si="6"/>
        <v>Clear</v>
      </c>
    </row>
    <row r="13" spans="1:24">
      <c r="A13">
        <v>12</v>
      </c>
      <c r="B13" s="2">
        <v>40544</v>
      </c>
      <c r="C13">
        <v>1</v>
      </c>
      <c r="D13">
        <v>0</v>
      </c>
      <c r="E13">
        <v>1</v>
      </c>
      <c r="F13">
        <v>11</v>
      </c>
      <c r="G13" t="b">
        <v>0</v>
      </c>
      <c r="H13">
        <v>6</v>
      </c>
      <c r="I13">
        <v>1</v>
      </c>
      <c r="J13">
        <v>0.36</v>
      </c>
      <c r="K13">
        <v>0.33329999999999999</v>
      </c>
      <c r="L13">
        <v>0.81</v>
      </c>
      <c r="M13">
        <v>0.28360000000000002</v>
      </c>
      <c r="N13">
        <v>26</v>
      </c>
      <c r="O13">
        <v>30</v>
      </c>
      <c r="P13">
        <v>56</v>
      </c>
      <c r="Q13" t="str">
        <f t="shared" si="0"/>
        <v>Complete</v>
      </c>
      <c r="R13">
        <f t="shared" si="7"/>
        <v>0.33329999999999999</v>
      </c>
      <c r="S13">
        <f t="shared" si="1"/>
        <v>2011</v>
      </c>
      <c r="T13" t="str">
        <f t="shared" si="2"/>
        <v>January</v>
      </c>
      <c r="U13" t="str">
        <f t="shared" si="3"/>
        <v>Saturday</v>
      </c>
      <c r="V13" t="str">
        <f t="shared" si="4"/>
        <v>Morning</v>
      </c>
      <c r="W13" t="str">
        <f t="shared" si="5"/>
        <v>Spring</v>
      </c>
      <c r="X13" t="str">
        <f t="shared" si="6"/>
        <v>Clear</v>
      </c>
    </row>
    <row r="14" spans="1:24">
      <c r="A14">
        <v>13</v>
      </c>
      <c r="B14" s="2">
        <v>40544</v>
      </c>
      <c r="C14">
        <v>1</v>
      </c>
      <c r="D14">
        <v>0</v>
      </c>
      <c r="E14">
        <v>1</v>
      </c>
      <c r="F14">
        <v>12</v>
      </c>
      <c r="G14" t="b">
        <v>0</v>
      </c>
      <c r="H14">
        <v>6</v>
      </c>
      <c r="I14">
        <v>1</v>
      </c>
      <c r="J14">
        <v>0.42</v>
      </c>
      <c r="K14">
        <v>0.42420000000000002</v>
      </c>
      <c r="L14">
        <v>0.77</v>
      </c>
      <c r="M14">
        <v>0.28360000000000002</v>
      </c>
      <c r="N14">
        <v>29</v>
      </c>
      <c r="O14">
        <v>55</v>
      </c>
      <c r="P14">
        <v>84</v>
      </c>
      <c r="Q14" t="str">
        <f t="shared" si="0"/>
        <v>Complete</v>
      </c>
      <c r="R14">
        <f t="shared" si="7"/>
        <v>0.42420000000000002</v>
      </c>
      <c r="S14">
        <f t="shared" si="1"/>
        <v>2011</v>
      </c>
      <c r="T14" t="str">
        <f t="shared" si="2"/>
        <v>January</v>
      </c>
      <c r="U14" t="str">
        <f>IF(G14=TRUE,"Holiday",IF(H14=0,"Sunday",IF(H14=6,"Saturday","Weekday")))</f>
        <v>Saturday</v>
      </c>
      <c r="V14" t="str">
        <f t="shared" si="4"/>
        <v>Afternoon</v>
      </c>
      <c r="W14" t="str">
        <f t="shared" si="5"/>
        <v>Spring</v>
      </c>
      <c r="X14" t="str">
        <f t="shared" si="6"/>
        <v>Clear</v>
      </c>
    </row>
    <row r="15" spans="1:24">
      <c r="A15">
        <v>14</v>
      </c>
      <c r="B15" s="2">
        <v>40544</v>
      </c>
      <c r="C15">
        <v>1</v>
      </c>
      <c r="D15">
        <v>0</v>
      </c>
      <c r="E15">
        <v>1</v>
      </c>
      <c r="F15">
        <v>13</v>
      </c>
      <c r="G15" t="b">
        <v>0</v>
      </c>
      <c r="H15">
        <v>6</v>
      </c>
      <c r="I15">
        <v>2</v>
      </c>
      <c r="J15">
        <v>0.46</v>
      </c>
      <c r="K15">
        <v>0.45450000000000002</v>
      </c>
      <c r="L15">
        <v>0.72</v>
      </c>
      <c r="M15">
        <v>0.29849999999999999</v>
      </c>
      <c r="N15">
        <v>47</v>
      </c>
      <c r="O15">
        <v>47</v>
      </c>
      <c r="P15">
        <v>94</v>
      </c>
      <c r="Q15" t="str">
        <f t="shared" si="0"/>
        <v>Complete</v>
      </c>
      <c r="R15">
        <f t="shared" si="7"/>
        <v>0.45450000000000002</v>
      </c>
      <c r="S15">
        <f t="shared" si="1"/>
        <v>2011</v>
      </c>
      <c r="T15" t="str">
        <f t="shared" si="2"/>
        <v>January</v>
      </c>
      <c r="U15" t="str">
        <f t="shared" si="3"/>
        <v>Saturday</v>
      </c>
      <c r="V15" t="str">
        <f t="shared" si="4"/>
        <v>Afternoon</v>
      </c>
      <c r="W15" t="str">
        <f t="shared" si="5"/>
        <v>Spring</v>
      </c>
      <c r="X15" t="str">
        <f t="shared" si="6"/>
        <v>Mist/Cloudy</v>
      </c>
    </row>
    <row r="16" spans="1:24">
      <c r="A16">
        <v>15</v>
      </c>
      <c r="B16" s="2">
        <v>40544</v>
      </c>
      <c r="C16">
        <v>1</v>
      </c>
      <c r="D16">
        <v>0</v>
      </c>
      <c r="E16">
        <v>1</v>
      </c>
      <c r="F16">
        <v>14</v>
      </c>
      <c r="G16" t="b">
        <v>0</v>
      </c>
      <c r="H16">
        <v>6</v>
      </c>
      <c r="I16">
        <v>2</v>
      </c>
      <c r="J16">
        <v>0.46</v>
      </c>
      <c r="K16">
        <v>0.45450000000000002</v>
      </c>
      <c r="L16">
        <v>0.72</v>
      </c>
      <c r="M16">
        <v>0.28360000000000002</v>
      </c>
      <c r="N16">
        <v>35</v>
      </c>
      <c r="O16">
        <v>71</v>
      </c>
      <c r="P16">
        <v>106</v>
      </c>
      <c r="Q16" t="str">
        <f t="shared" si="0"/>
        <v>Complete</v>
      </c>
      <c r="R16">
        <f t="shared" si="7"/>
        <v>0.45450000000000002</v>
      </c>
      <c r="S16">
        <f t="shared" si="1"/>
        <v>2011</v>
      </c>
      <c r="T16" t="str">
        <f t="shared" si="2"/>
        <v>January</v>
      </c>
      <c r="U16" t="str">
        <f t="shared" si="3"/>
        <v>Saturday</v>
      </c>
      <c r="V16" t="str">
        <f t="shared" si="4"/>
        <v>Afternoon</v>
      </c>
      <c r="W16" t="str">
        <f t="shared" si="5"/>
        <v>Spring</v>
      </c>
      <c r="X16" t="str">
        <f t="shared" si="6"/>
        <v>Mist/Cloudy</v>
      </c>
    </row>
    <row r="17" spans="1:24">
      <c r="A17">
        <v>16</v>
      </c>
      <c r="B17" s="2">
        <v>40544</v>
      </c>
      <c r="C17">
        <v>1</v>
      </c>
      <c r="D17">
        <v>0</v>
      </c>
      <c r="E17">
        <v>1</v>
      </c>
      <c r="F17">
        <v>15</v>
      </c>
      <c r="G17" t="b">
        <v>0</v>
      </c>
      <c r="H17">
        <v>6</v>
      </c>
      <c r="I17">
        <v>2</v>
      </c>
      <c r="J17">
        <v>0.44</v>
      </c>
      <c r="K17">
        <v>0.43940000000000001</v>
      </c>
      <c r="L17">
        <v>0.77</v>
      </c>
      <c r="M17">
        <v>0.29849999999999999</v>
      </c>
      <c r="N17">
        <v>40</v>
      </c>
      <c r="O17">
        <v>70</v>
      </c>
      <c r="P17">
        <v>110</v>
      </c>
      <c r="Q17" t="str">
        <f t="shared" si="0"/>
        <v>Complete</v>
      </c>
      <c r="R17">
        <f t="shared" si="7"/>
        <v>0.43940000000000001</v>
      </c>
      <c r="S17">
        <f t="shared" si="1"/>
        <v>2011</v>
      </c>
      <c r="T17" t="str">
        <f t="shared" si="2"/>
        <v>January</v>
      </c>
      <c r="U17" t="str">
        <f t="shared" si="3"/>
        <v>Saturday</v>
      </c>
      <c r="V17" t="str">
        <f t="shared" si="4"/>
        <v>Afternoon</v>
      </c>
      <c r="W17" t="str">
        <f t="shared" si="5"/>
        <v>Spring</v>
      </c>
      <c r="X17" t="str">
        <f t="shared" si="6"/>
        <v>Mist/Cloudy</v>
      </c>
    </row>
    <row r="18" spans="1:24">
      <c r="A18">
        <v>17</v>
      </c>
      <c r="B18" s="2">
        <v>40544</v>
      </c>
      <c r="C18">
        <v>1</v>
      </c>
      <c r="D18">
        <v>0</v>
      </c>
      <c r="E18">
        <v>1</v>
      </c>
      <c r="F18">
        <v>16</v>
      </c>
      <c r="G18" t="b">
        <v>0</v>
      </c>
      <c r="H18">
        <v>6</v>
      </c>
      <c r="I18">
        <v>2</v>
      </c>
      <c r="J18">
        <v>0.42</v>
      </c>
      <c r="K18">
        <v>0.42420000000000002</v>
      </c>
      <c r="L18">
        <v>0.82</v>
      </c>
      <c r="M18">
        <v>0.29849999999999999</v>
      </c>
      <c r="N18">
        <v>41</v>
      </c>
      <c r="O18">
        <v>52</v>
      </c>
      <c r="P18">
        <v>93</v>
      </c>
      <c r="Q18" t="str">
        <f t="shared" si="0"/>
        <v>Complete</v>
      </c>
      <c r="R18">
        <f t="shared" si="7"/>
        <v>0.42420000000000002</v>
      </c>
      <c r="S18">
        <f t="shared" si="1"/>
        <v>2011</v>
      </c>
      <c r="T18" t="str">
        <f t="shared" si="2"/>
        <v>January</v>
      </c>
      <c r="U18" t="str">
        <f t="shared" si="3"/>
        <v>Saturday</v>
      </c>
      <c r="V18" t="str">
        <f t="shared" si="4"/>
        <v>Afternoon</v>
      </c>
      <c r="W18" t="str">
        <f t="shared" si="5"/>
        <v>Spring</v>
      </c>
      <c r="X18" t="str">
        <f t="shared" si="6"/>
        <v>Mist/Cloudy</v>
      </c>
    </row>
    <row r="19" spans="1:24">
      <c r="A19">
        <v>18</v>
      </c>
      <c r="B19" s="2">
        <v>40544</v>
      </c>
      <c r="C19">
        <v>1</v>
      </c>
      <c r="D19">
        <v>0</v>
      </c>
      <c r="E19">
        <v>1</v>
      </c>
      <c r="F19">
        <v>17</v>
      </c>
      <c r="G19" t="b">
        <v>0</v>
      </c>
      <c r="H19">
        <v>6</v>
      </c>
      <c r="I19">
        <v>2</v>
      </c>
      <c r="J19">
        <v>0.44</v>
      </c>
      <c r="L19">
        <v>0.82</v>
      </c>
      <c r="M19">
        <v>0.28360000000000002</v>
      </c>
      <c r="N19">
        <v>15</v>
      </c>
      <c r="O19">
        <v>52</v>
      </c>
      <c r="P19">
        <v>67</v>
      </c>
      <c r="Q19" t="str">
        <f t="shared" si="0"/>
        <v>Missing atemp</v>
      </c>
      <c r="R19">
        <f t="shared" si="7"/>
        <v>0.44</v>
      </c>
      <c r="S19">
        <f t="shared" si="1"/>
        <v>2011</v>
      </c>
      <c r="T19" t="str">
        <f t="shared" si="2"/>
        <v>January</v>
      </c>
      <c r="U19" t="str">
        <f t="shared" si="3"/>
        <v>Saturday</v>
      </c>
      <c r="V19" t="str">
        <f t="shared" si="4"/>
        <v>Afternoon</v>
      </c>
      <c r="W19" t="str">
        <f t="shared" si="5"/>
        <v>Spring</v>
      </c>
      <c r="X19" t="str">
        <f t="shared" si="6"/>
        <v>Mist/Cloudy</v>
      </c>
    </row>
    <row r="20" spans="1:24">
      <c r="A20">
        <v>19</v>
      </c>
      <c r="B20" s="2">
        <v>40544</v>
      </c>
      <c r="C20">
        <v>1</v>
      </c>
      <c r="D20">
        <v>0</v>
      </c>
      <c r="E20">
        <v>1</v>
      </c>
      <c r="F20">
        <v>18</v>
      </c>
      <c r="G20" t="b">
        <v>0</v>
      </c>
      <c r="H20">
        <v>6</v>
      </c>
      <c r="I20">
        <v>3</v>
      </c>
      <c r="J20">
        <v>0.42</v>
      </c>
      <c r="K20">
        <v>0.42420000000000002</v>
      </c>
      <c r="L20">
        <v>0.88</v>
      </c>
      <c r="M20">
        <v>0.25369999999999998</v>
      </c>
      <c r="N20">
        <v>9</v>
      </c>
      <c r="O20">
        <v>26</v>
      </c>
      <c r="P20">
        <v>35</v>
      </c>
      <c r="Q20" t="str">
        <f t="shared" si="0"/>
        <v>Complete</v>
      </c>
      <c r="R20">
        <f t="shared" si="7"/>
        <v>0.42420000000000002</v>
      </c>
      <c r="S20">
        <f t="shared" si="1"/>
        <v>2011</v>
      </c>
      <c r="T20" t="str">
        <f t="shared" si="2"/>
        <v>January</v>
      </c>
      <c r="U20" t="str">
        <f t="shared" si="3"/>
        <v>Saturday</v>
      </c>
      <c r="V20" t="str">
        <f t="shared" si="4"/>
        <v>Evening</v>
      </c>
      <c r="W20" t="str">
        <f t="shared" si="5"/>
        <v>Spring</v>
      </c>
      <c r="X20" t="str">
        <f t="shared" si="6"/>
        <v>Light Rain/Snow</v>
      </c>
    </row>
    <row r="21" spans="1:24">
      <c r="A21">
        <v>20</v>
      </c>
      <c r="B21" s="2">
        <v>40544</v>
      </c>
      <c r="C21">
        <v>1</v>
      </c>
      <c r="D21">
        <v>0</v>
      </c>
      <c r="E21">
        <v>1</v>
      </c>
      <c r="F21">
        <v>19</v>
      </c>
      <c r="G21" t="b">
        <v>0</v>
      </c>
      <c r="H21">
        <v>6</v>
      </c>
      <c r="I21">
        <v>3</v>
      </c>
      <c r="J21">
        <v>0.42</v>
      </c>
      <c r="K21">
        <v>0.42420000000000002</v>
      </c>
      <c r="L21">
        <v>0.88</v>
      </c>
      <c r="M21">
        <v>0.25369999999999998</v>
      </c>
      <c r="N21">
        <v>6</v>
      </c>
      <c r="O21">
        <v>31</v>
      </c>
      <c r="P21">
        <v>37</v>
      </c>
      <c r="Q21" t="str">
        <f t="shared" si="0"/>
        <v>Complete</v>
      </c>
      <c r="R21">
        <f t="shared" si="7"/>
        <v>0.42420000000000002</v>
      </c>
      <c r="S21">
        <f t="shared" si="1"/>
        <v>2011</v>
      </c>
      <c r="T21" t="str">
        <f t="shared" si="2"/>
        <v>January</v>
      </c>
      <c r="U21" t="str">
        <f t="shared" si="3"/>
        <v>Saturday</v>
      </c>
      <c r="V21" t="str">
        <f t="shared" si="4"/>
        <v>Evening</v>
      </c>
      <c r="W21" t="str">
        <f t="shared" si="5"/>
        <v>Spring</v>
      </c>
      <c r="X21" t="str">
        <f t="shared" si="6"/>
        <v>Light Rain/Snow</v>
      </c>
    </row>
    <row r="22" spans="1:24">
      <c r="A22">
        <v>21</v>
      </c>
      <c r="B22" s="2">
        <v>40544</v>
      </c>
      <c r="C22">
        <v>1</v>
      </c>
      <c r="D22">
        <v>0</v>
      </c>
      <c r="E22">
        <v>1</v>
      </c>
      <c r="F22">
        <v>20</v>
      </c>
      <c r="G22" t="b">
        <v>0</v>
      </c>
      <c r="H22">
        <v>6</v>
      </c>
      <c r="I22">
        <v>2</v>
      </c>
      <c r="J22">
        <v>0.4</v>
      </c>
      <c r="K22">
        <v>0.40910000000000002</v>
      </c>
      <c r="L22">
        <v>0.87</v>
      </c>
      <c r="M22">
        <v>0.25369999999999998</v>
      </c>
      <c r="N22">
        <v>11</v>
      </c>
      <c r="O22">
        <v>25</v>
      </c>
      <c r="P22">
        <v>36</v>
      </c>
      <c r="Q22" t="str">
        <f t="shared" si="0"/>
        <v>Complete</v>
      </c>
      <c r="R22">
        <f t="shared" si="7"/>
        <v>0.40910000000000002</v>
      </c>
      <c r="S22">
        <f t="shared" si="1"/>
        <v>2011</v>
      </c>
      <c r="T22" t="str">
        <f t="shared" si="2"/>
        <v>January</v>
      </c>
      <c r="U22" t="str">
        <f t="shared" si="3"/>
        <v>Saturday</v>
      </c>
      <c r="V22" t="str">
        <f t="shared" si="4"/>
        <v>Evening</v>
      </c>
      <c r="W22" t="str">
        <f t="shared" si="5"/>
        <v>Spring</v>
      </c>
      <c r="X22" t="str">
        <f t="shared" si="6"/>
        <v>Mist/Cloudy</v>
      </c>
    </row>
    <row r="23" spans="1:24">
      <c r="A23">
        <v>22</v>
      </c>
      <c r="B23" s="2">
        <v>40544</v>
      </c>
      <c r="C23">
        <v>1</v>
      </c>
      <c r="D23">
        <v>0</v>
      </c>
      <c r="E23">
        <v>1</v>
      </c>
      <c r="F23">
        <v>21</v>
      </c>
      <c r="G23" t="b">
        <v>0</v>
      </c>
      <c r="H23">
        <v>6</v>
      </c>
      <c r="I23">
        <v>2</v>
      </c>
      <c r="J23">
        <v>0.4</v>
      </c>
      <c r="K23">
        <v>0.40910000000000002</v>
      </c>
      <c r="L23">
        <v>0.87</v>
      </c>
      <c r="M23">
        <v>0.19400000000000001</v>
      </c>
      <c r="N23">
        <v>3</v>
      </c>
      <c r="O23">
        <v>31</v>
      </c>
      <c r="P23">
        <v>34</v>
      </c>
      <c r="Q23" t="str">
        <f t="shared" si="0"/>
        <v>Complete</v>
      </c>
      <c r="R23">
        <f t="shared" si="7"/>
        <v>0.40910000000000002</v>
      </c>
      <c r="S23">
        <f t="shared" si="1"/>
        <v>2011</v>
      </c>
      <c r="T23" t="str">
        <f t="shared" si="2"/>
        <v>January</v>
      </c>
      <c r="U23" t="str">
        <f t="shared" si="3"/>
        <v>Saturday</v>
      </c>
      <c r="V23" t="str">
        <f t="shared" si="4"/>
        <v>Evening</v>
      </c>
      <c r="W23" t="str">
        <f t="shared" si="5"/>
        <v>Spring</v>
      </c>
      <c r="X23" t="str">
        <f t="shared" si="6"/>
        <v>Mist/Cloudy</v>
      </c>
    </row>
    <row r="24" spans="1:24">
      <c r="A24">
        <v>23</v>
      </c>
      <c r="B24" s="2">
        <v>40544</v>
      </c>
      <c r="C24">
        <v>1</v>
      </c>
      <c r="D24">
        <v>0</v>
      </c>
      <c r="E24">
        <v>1</v>
      </c>
      <c r="F24">
        <v>22</v>
      </c>
      <c r="G24" t="b">
        <v>0</v>
      </c>
      <c r="H24">
        <v>6</v>
      </c>
      <c r="I24">
        <v>2</v>
      </c>
      <c r="J24">
        <v>0.4</v>
      </c>
      <c r="K24">
        <v>0.40910000000000002</v>
      </c>
      <c r="L24">
        <v>0.94</v>
      </c>
      <c r="M24">
        <v>0.22389999999999999</v>
      </c>
      <c r="N24">
        <v>11</v>
      </c>
      <c r="O24">
        <v>17</v>
      </c>
      <c r="P24">
        <v>28</v>
      </c>
      <c r="Q24" t="str">
        <f t="shared" si="0"/>
        <v>Complete</v>
      </c>
      <c r="R24">
        <f t="shared" si="7"/>
        <v>0.40910000000000002</v>
      </c>
      <c r="S24">
        <f t="shared" si="1"/>
        <v>2011</v>
      </c>
      <c r="T24" t="str">
        <f t="shared" si="2"/>
        <v>January</v>
      </c>
      <c r="U24" t="str">
        <f t="shared" si="3"/>
        <v>Saturday</v>
      </c>
      <c r="V24" t="str">
        <f t="shared" si="4"/>
        <v>Evening</v>
      </c>
      <c r="W24" t="str">
        <f t="shared" si="5"/>
        <v>Spring</v>
      </c>
      <c r="X24" t="str">
        <f t="shared" si="6"/>
        <v>Mist/Cloudy</v>
      </c>
    </row>
    <row r="25" spans="1:24">
      <c r="A25">
        <v>24</v>
      </c>
      <c r="B25" s="2">
        <v>40544</v>
      </c>
      <c r="C25">
        <v>1</v>
      </c>
      <c r="D25">
        <v>0</v>
      </c>
      <c r="E25">
        <v>1</v>
      </c>
      <c r="F25">
        <v>23</v>
      </c>
      <c r="G25" t="b">
        <v>0</v>
      </c>
      <c r="H25">
        <v>6</v>
      </c>
      <c r="I25">
        <v>2</v>
      </c>
      <c r="J25">
        <v>0.46</v>
      </c>
      <c r="L25">
        <v>0.88</v>
      </c>
      <c r="M25">
        <v>0.29849999999999999</v>
      </c>
      <c r="N25">
        <v>15</v>
      </c>
      <c r="O25">
        <v>24</v>
      </c>
      <c r="P25">
        <v>39</v>
      </c>
      <c r="Q25" t="str">
        <f t="shared" si="0"/>
        <v>Missing atemp</v>
      </c>
      <c r="R25">
        <f t="shared" si="7"/>
        <v>0.46</v>
      </c>
      <c r="S25">
        <f t="shared" si="1"/>
        <v>2011</v>
      </c>
      <c r="T25" t="str">
        <f t="shared" si="2"/>
        <v>January</v>
      </c>
      <c r="U25" t="str">
        <f t="shared" si="3"/>
        <v>Saturday</v>
      </c>
      <c r="V25" t="str">
        <f t="shared" si="4"/>
        <v>Evening</v>
      </c>
      <c r="W25" t="str">
        <f t="shared" si="5"/>
        <v>Spring</v>
      </c>
      <c r="X25" t="str">
        <f t="shared" si="6"/>
        <v>Mist/Cloudy</v>
      </c>
    </row>
    <row r="26" spans="1:24">
      <c r="A26">
        <v>25</v>
      </c>
      <c r="B26" s="2">
        <v>40545</v>
      </c>
      <c r="C26">
        <v>1</v>
      </c>
      <c r="D26">
        <v>0</v>
      </c>
      <c r="E26">
        <v>1</v>
      </c>
      <c r="F26">
        <v>0</v>
      </c>
      <c r="G26" t="b">
        <v>0</v>
      </c>
      <c r="H26">
        <v>0</v>
      </c>
      <c r="I26">
        <v>2</v>
      </c>
      <c r="J26">
        <v>0.46</v>
      </c>
      <c r="K26">
        <v>0.45450000000000002</v>
      </c>
      <c r="L26">
        <v>0.88</v>
      </c>
      <c r="M26">
        <v>0.29849999999999999</v>
      </c>
      <c r="N26">
        <v>4</v>
      </c>
      <c r="O26">
        <v>13</v>
      </c>
      <c r="P26">
        <v>17</v>
      </c>
      <c r="Q26" t="str">
        <f t="shared" si="0"/>
        <v>Complete</v>
      </c>
      <c r="R26">
        <f t="shared" si="7"/>
        <v>0.45450000000000002</v>
      </c>
      <c r="S26">
        <f t="shared" si="1"/>
        <v>2011</v>
      </c>
      <c r="T26" t="str">
        <f t="shared" si="2"/>
        <v>January</v>
      </c>
      <c r="U26" t="str">
        <f t="shared" si="3"/>
        <v>Sunday</v>
      </c>
      <c r="V26" t="str">
        <f t="shared" si="4"/>
        <v>Night</v>
      </c>
      <c r="W26" t="str">
        <f t="shared" si="5"/>
        <v>Spring</v>
      </c>
      <c r="X26" t="str">
        <f t="shared" si="6"/>
        <v>Mist/Cloudy</v>
      </c>
    </row>
    <row r="27" spans="1:24">
      <c r="A27">
        <v>26</v>
      </c>
      <c r="B27" s="2">
        <v>40545</v>
      </c>
      <c r="C27">
        <v>1</v>
      </c>
      <c r="D27">
        <v>0</v>
      </c>
      <c r="E27">
        <v>1</v>
      </c>
      <c r="F27">
        <v>1</v>
      </c>
      <c r="G27" t="b">
        <v>0</v>
      </c>
      <c r="H27">
        <v>0</v>
      </c>
      <c r="I27">
        <v>2</v>
      </c>
      <c r="J27">
        <v>0.44</v>
      </c>
      <c r="K27">
        <v>0.43940000000000001</v>
      </c>
      <c r="L27">
        <v>0.94</v>
      </c>
      <c r="M27">
        <v>0.25369999999999998</v>
      </c>
      <c r="N27">
        <v>1</v>
      </c>
      <c r="O27">
        <v>16</v>
      </c>
      <c r="P27">
        <v>17</v>
      </c>
      <c r="Q27" t="str">
        <f t="shared" si="0"/>
        <v>Complete</v>
      </c>
      <c r="R27">
        <f t="shared" si="7"/>
        <v>0.43940000000000001</v>
      </c>
      <c r="S27">
        <f t="shared" si="1"/>
        <v>2011</v>
      </c>
      <c r="T27" t="str">
        <f t="shared" si="2"/>
        <v>January</v>
      </c>
      <c r="U27" t="str">
        <f t="shared" si="3"/>
        <v>Sunday</v>
      </c>
      <c r="V27" t="str">
        <f t="shared" si="4"/>
        <v>Night</v>
      </c>
      <c r="W27" t="str">
        <f t="shared" si="5"/>
        <v>Spring</v>
      </c>
      <c r="X27" t="str">
        <f t="shared" si="6"/>
        <v>Mist/Cloudy</v>
      </c>
    </row>
    <row r="28" spans="1:24">
      <c r="A28">
        <v>27</v>
      </c>
      <c r="B28" s="2">
        <v>40545</v>
      </c>
      <c r="C28">
        <v>1</v>
      </c>
      <c r="D28">
        <v>0</v>
      </c>
      <c r="E28">
        <v>1</v>
      </c>
      <c r="F28">
        <v>2</v>
      </c>
      <c r="G28" t="b">
        <v>0</v>
      </c>
      <c r="H28">
        <v>0</v>
      </c>
      <c r="I28">
        <v>2</v>
      </c>
      <c r="J28">
        <v>0.42</v>
      </c>
      <c r="K28">
        <v>0.42420000000000002</v>
      </c>
      <c r="L28">
        <v>1</v>
      </c>
      <c r="M28">
        <v>0.28360000000000002</v>
      </c>
      <c r="N28">
        <v>1</v>
      </c>
      <c r="O28">
        <v>8</v>
      </c>
      <c r="P28">
        <v>9</v>
      </c>
      <c r="Q28" t="str">
        <f t="shared" si="0"/>
        <v>Complete</v>
      </c>
      <c r="R28">
        <f t="shared" si="7"/>
        <v>0.42420000000000002</v>
      </c>
      <c r="S28">
        <f t="shared" si="1"/>
        <v>2011</v>
      </c>
      <c r="T28" t="str">
        <f t="shared" si="2"/>
        <v>January</v>
      </c>
      <c r="U28" t="str">
        <f t="shared" si="3"/>
        <v>Sunday</v>
      </c>
      <c r="V28" t="str">
        <f t="shared" si="4"/>
        <v>Night</v>
      </c>
      <c r="W28" t="str">
        <f t="shared" si="5"/>
        <v>Spring</v>
      </c>
      <c r="X28" t="str">
        <f t="shared" si="6"/>
        <v>Mist/Cloudy</v>
      </c>
    </row>
    <row r="29" spans="1:24">
      <c r="A29">
        <v>28</v>
      </c>
      <c r="B29" s="2">
        <v>40545</v>
      </c>
      <c r="C29">
        <v>1</v>
      </c>
      <c r="D29">
        <v>0</v>
      </c>
      <c r="E29">
        <v>1</v>
      </c>
      <c r="F29">
        <v>3</v>
      </c>
      <c r="G29" t="b">
        <v>0</v>
      </c>
      <c r="H29">
        <v>0</v>
      </c>
      <c r="I29">
        <v>2</v>
      </c>
      <c r="J29">
        <v>0.46</v>
      </c>
      <c r="K29">
        <v>0.45450000000000002</v>
      </c>
      <c r="L29">
        <v>0.94</v>
      </c>
      <c r="M29">
        <v>0.19400000000000001</v>
      </c>
      <c r="N29">
        <v>2</v>
      </c>
      <c r="O29">
        <v>4</v>
      </c>
      <c r="P29">
        <v>6</v>
      </c>
      <c r="Q29" t="str">
        <f t="shared" si="0"/>
        <v>Complete</v>
      </c>
      <c r="R29">
        <f t="shared" si="7"/>
        <v>0.45450000000000002</v>
      </c>
      <c r="S29">
        <f t="shared" si="1"/>
        <v>2011</v>
      </c>
      <c r="T29" t="str">
        <f t="shared" si="2"/>
        <v>January</v>
      </c>
      <c r="U29" t="str">
        <f t="shared" si="3"/>
        <v>Sunday</v>
      </c>
      <c r="V29" t="str">
        <f t="shared" si="4"/>
        <v>Night</v>
      </c>
      <c r="W29" t="str">
        <f t="shared" si="5"/>
        <v>Spring</v>
      </c>
      <c r="X29" t="str">
        <f t="shared" si="6"/>
        <v>Mist/Cloudy</v>
      </c>
    </row>
    <row r="30" spans="1:24">
      <c r="A30">
        <v>29</v>
      </c>
      <c r="B30" s="2">
        <v>40545</v>
      </c>
      <c r="C30">
        <v>1</v>
      </c>
      <c r="D30">
        <v>0</v>
      </c>
      <c r="E30">
        <v>1</v>
      </c>
      <c r="F30">
        <v>4</v>
      </c>
      <c r="G30" t="b">
        <v>0</v>
      </c>
      <c r="H30">
        <v>0</v>
      </c>
      <c r="I30">
        <v>2</v>
      </c>
      <c r="J30">
        <v>0.46</v>
      </c>
      <c r="L30">
        <v>0.94</v>
      </c>
      <c r="M30">
        <v>0.19400000000000001</v>
      </c>
      <c r="N30">
        <v>2</v>
      </c>
      <c r="O30">
        <v>1</v>
      </c>
      <c r="P30">
        <v>3</v>
      </c>
      <c r="Q30" t="str">
        <f t="shared" si="0"/>
        <v>Missing atemp</v>
      </c>
      <c r="R30">
        <f t="shared" si="7"/>
        <v>0.46</v>
      </c>
      <c r="S30">
        <f t="shared" si="1"/>
        <v>2011</v>
      </c>
      <c r="T30" t="str">
        <f t="shared" si="2"/>
        <v>January</v>
      </c>
      <c r="U30" t="str">
        <f t="shared" si="3"/>
        <v>Sunday</v>
      </c>
      <c r="V30" t="str">
        <f t="shared" si="4"/>
        <v>Night</v>
      </c>
      <c r="W30" t="str">
        <f t="shared" si="5"/>
        <v>Spring</v>
      </c>
      <c r="X30" t="str">
        <f t="shared" si="6"/>
        <v>Mist/Cloudy</v>
      </c>
    </row>
    <row r="31" spans="1:24">
      <c r="A31">
        <v>30</v>
      </c>
      <c r="B31" s="2">
        <v>40545</v>
      </c>
      <c r="C31">
        <v>1</v>
      </c>
      <c r="D31">
        <v>0</v>
      </c>
      <c r="E31">
        <v>1</v>
      </c>
      <c r="F31">
        <v>6</v>
      </c>
      <c r="G31" t="b">
        <v>0</v>
      </c>
      <c r="H31">
        <v>0</v>
      </c>
      <c r="I31">
        <v>3</v>
      </c>
      <c r="J31">
        <v>0.42</v>
      </c>
      <c r="K31">
        <v>0.42420000000000002</v>
      </c>
      <c r="L31">
        <v>0.77</v>
      </c>
      <c r="M31">
        <v>0.29849999999999999</v>
      </c>
      <c r="N31">
        <v>0</v>
      </c>
      <c r="O31">
        <v>2</v>
      </c>
      <c r="P31">
        <v>2</v>
      </c>
      <c r="Q31" t="str">
        <f t="shared" si="0"/>
        <v>Complete</v>
      </c>
      <c r="R31">
        <f t="shared" si="7"/>
        <v>0.42420000000000002</v>
      </c>
      <c r="S31">
        <f t="shared" si="1"/>
        <v>2011</v>
      </c>
      <c r="T31" t="str">
        <f t="shared" si="2"/>
        <v>January</v>
      </c>
      <c r="U31" t="str">
        <f t="shared" si="3"/>
        <v>Sunday</v>
      </c>
      <c r="V31" t="str">
        <f t="shared" si="4"/>
        <v>Morning</v>
      </c>
      <c r="W31" t="str">
        <f t="shared" si="5"/>
        <v>Spring</v>
      </c>
      <c r="X31" t="str">
        <f t="shared" si="6"/>
        <v>Light Rain/Snow</v>
      </c>
    </row>
    <row r="32" spans="1:24">
      <c r="A32">
        <v>31</v>
      </c>
      <c r="B32" s="2">
        <v>40545</v>
      </c>
      <c r="C32">
        <v>1</v>
      </c>
      <c r="D32">
        <v>0</v>
      </c>
      <c r="E32">
        <v>1</v>
      </c>
      <c r="F32">
        <v>7</v>
      </c>
      <c r="G32" t="b">
        <v>0</v>
      </c>
      <c r="H32">
        <v>0</v>
      </c>
      <c r="I32">
        <v>2</v>
      </c>
      <c r="J32">
        <v>0.4</v>
      </c>
      <c r="K32">
        <v>0.40910000000000002</v>
      </c>
      <c r="L32">
        <v>0.76</v>
      </c>
      <c r="M32">
        <v>0.19400000000000001</v>
      </c>
      <c r="N32">
        <v>0</v>
      </c>
      <c r="O32">
        <v>1</v>
      </c>
      <c r="P32">
        <v>1</v>
      </c>
      <c r="Q32" t="str">
        <f t="shared" si="0"/>
        <v>Complete</v>
      </c>
      <c r="R32">
        <f t="shared" si="7"/>
        <v>0.40910000000000002</v>
      </c>
      <c r="S32">
        <f t="shared" si="1"/>
        <v>2011</v>
      </c>
      <c r="T32" t="str">
        <f t="shared" si="2"/>
        <v>January</v>
      </c>
      <c r="U32" t="str">
        <f t="shared" si="3"/>
        <v>Sunday</v>
      </c>
      <c r="V32" t="str">
        <f t="shared" si="4"/>
        <v>Morning</v>
      </c>
      <c r="W32" t="str">
        <f t="shared" si="5"/>
        <v>Spring</v>
      </c>
      <c r="X32" t="str">
        <f t="shared" si="6"/>
        <v>Mist/Cloudy</v>
      </c>
    </row>
    <row r="33" spans="1:24">
      <c r="A33">
        <v>32</v>
      </c>
      <c r="B33" s="2">
        <v>40545</v>
      </c>
      <c r="C33">
        <v>1</v>
      </c>
      <c r="D33">
        <v>0</v>
      </c>
      <c r="E33">
        <v>1</v>
      </c>
      <c r="F33">
        <v>8</v>
      </c>
      <c r="G33" t="b">
        <v>0</v>
      </c>
      <c r="H33">
        <v>0</v>
      </c>
      <c r="I33">
        <v>3</v>
      </c>
      <c r="J33">
        <v>0.4</v>
      </c>
      <c r="K33">
        <v>0.40910000000000002</v>
      </c>
      <c r="L33">
        <v>0.71</v>
      </c>
      <c r="M33">
        <v>0.22389999999999999</v>
      </c>
      <c r="N33">
        <v>0</v>
      </c>
      <c r="O33">
        <v>8</v>
      </c>
      <c r="P33">
        <v>8</v>
      </c>
      <c r="Q33" t="str">
        <f t="shared" si="0"/>
        <v>Complete</v>
      </c>
      <c r="R33">
        <f t="shared" si="7"/>
        <v>0.40910000000000002</v>
      </c>
      <c r="S33">
        <f t="shared" si="1"/>
        <v>2011</v>
      </c>
      <c r="T33" t="str">
        <f t="shared" si="2"/>
        <v>January</v>
      </c>
      <c r="U33" t="str">
        <f t="shared" si="3"/>
        <v>Sunday</v>
      </c>
      <c r="V33" t="str">
        <f t="shared" si="4"/>
        <v>Morning</v>
      </c>
      <c r="W33" t="str">
        <f t="shared" si="5"/>
        <v>Spring</v>
      </c>
      <c r="X33" t="str">
        <f t="shared" si="6"/>
        <v>Light Rain/Snow</v>
      </c>
    </row>
    <row r="34" spans="1:24">
      <c r="A34">
        <v>33</v>
      </c>
      <c r="B34" s="2">
        <v>40545</v>
      </c>
      <c r="C34">
        <v>1</v>
      </c>
      <c r="D34">
        <v>0</v>
      </c>
      <c r="E34">
        <v>1</v>
      </c>
      <c r="F34">
        <v>9</v>
      </c>
      <c r="G34" t="b">
        <v>0</v>
      </c>
      <c r="H34">
        <v>0</v>
      </c>
      <c r="I34">
        <v>2</v>
      </c>
      <c r="J34">
        <v>0.38</v>
      </c>
      <c r="L34">
        <v>0.76</v>
      </c>
      <c r="M34">
        <v>0.22389999999999999</v>
      </c>
      <c r="N34">
        <v>1</v>
      </c>
      <c r="O34">
        <v>19</v>
      </c>
      <c r="P34">
        <v>20</v>
      </c>
      <c r="Q34" t="str">
        <f t="shared" si="0"/>
        <v>Missing atemp</v>
      </c>
      <c r="R34">
        <f t="shared" si="7"/>
        <v>0.38</v>
      </c>
      <c r="S34">
        <f t="shared" si="1"/>
        <v>2011</v>
      </c>
      <c r="T34" t="str">
        <f t="shared" si="2"/>
        <v>January</v>
      </c>
      <c r="U34" t="str">
        <f t="shared" si="3"/>
        <v>Sunday</v>
      </c>
      <c r="V34" t="str">
        <f t="shared" si="4"/>
        <v>Morning</v>
      </c>
      <c r="W34" t="str">
        <f t="shared" si="5"/>
        <v>Spring</v>
      </c>
      <c r="X34" t="str">
        <f t="shared" si="6"/>
        <v>Mist/Cloudy</v>
      </c>
    </row>
    <row r="35" spans="1:24">
      <c r="A35">
        <v>34</v>
      </c>
      <c r="B35" s="2">
        <v>40545</v>
      </c>
      <c r="C35">
        <v>1</v>
      </c>
      <c r="D35">
        <v>0</v>
      </c>
      <c r="E35">
        <v>1</v>
      </c>
      <c r="F35">
        <v>10</v>
      </c>
      <c r="G35" t="b">
        <v>0</v>
      </c>
      <c r="H35">
        <v>0</v>
      </c>
      <c r="I35">
        <v>2</v>
      </c>
      <c r="J35">
        <v>0.36</v>
      </c>
      <c r="K35">
        <v>0.34849999999999998</v>
      </c>
      <c r="L35">
        <v>0.81</v>
      </c>
      <c r="M35">
        <v>0.22389999999999999</v>
      </c>
      <c r="N35">
        <v>7</v>
      </c>
      <c r="O35">
        <v>46</v>
      </c>
      <c r="P35">
        <v>53</v>
      </c>
      <c r="Q35" t="str">
        <f t="shared" si="0"/>
        <v>Complete</v>
      </c>
      <c r="R35">
        <f t="shared" si="7"/>
        <v>0.34849999999999998</v>
      </c>
      <c r="S35">
        <f t="shared" si="1"/>
        <v>2011</v>
      </c>
      <c r="T35" t="str">
        <f t="shared" si="2"/>
        <v>January</v>
      </c>
      <c r="U35" t="str">
        <f t="shared" si="3"/>
        <v>Sunday</v>
      </c>
      <c r="V35" t="str">
        <f t="shared" si="4"/>
        <v>Morning</v>
      </c>
      <c r="W35" t="str">
        <f t="shared" si="5"/>
        <v>Spring</v>
      </c>
      <c r="X35" t="str">
        <f t="shared" si="6"/>
        <v>Mist/Cloudy</v>
      </c>
    </row>
    <row r="36" spans="1:24">
      <c r="A36">
        <v>35</v>
      </c>
      <c r="B36" s="2">
        <v>40545</v>
      </c>
      <c r="C36">
        <v>1</v>
      </c>
      <c r="D36">
        <v>0</v>
      </c>
      <c r="E36">
        <v>1</v>
      </c>
      <c r="F36">
        <v>11</v>
      </c>
      <c r="G36" t="b">
        <v>0</v>
      </c>
      <c r="H36">
        <v>0</v>
      </c>
      <c r="I36">
        <v>2</v>
      </c>
      <c r="J36">
        <v>0.36</v>
      </c>
      <c r="K36">
        <v>0.33329999999999999</v>
      </c>
      <c r="L36">
        <v>0.71</v>
      </c>
      <c r="M36">
        <v>0.25369999999999998</v>
      </c>
      <c r="N36">
        <v>16</v>
      </c>
      <c r="O36">
        <v>54</v>
      </c>
      <c r="P36">
        <v>70</v>
      </c>
      <c r="Q36" t="str">
        <f t="shared" si="0"/>
        <v>Complete</v>
      </c>
      <c r="R36">
        <f t="shared" si="7"/>
        <v>0.33329999999999999</v>
      </c>
      <c r="S36">
        <f t="shared" si="1"/>
        <v>2011</v>
      </c>
      <c r="T36" t="str">
        <f t="shared" si="2"/>
        <v>January</v>
      </c>
      <c r="U36" t="str">
        <f t="shared" si="3"/>
        <v>Sunday</v>
      </c>
      <c r="V36" t="str">
        <f t="shared" si="4"/>
        <v>Morning</v>
      </c>
      <c r="W36" t="str">
        <f t="shared" si="5"/>
        <v>Spring</v>
      </c>
      <c r="X36" t="str">
        <f t="shared" si="6"/>
        <v>Mist/Cloudy</v>
      </c>
    </row>
    <row r="37" spans="1:24">
      <c r="A37">
        <v>36</v>
      </c>
      <c r="B37" s="2">
        <v>40545</v>
      </c>
      <c r="C37">
        <v>1</v>
      </c>
      <c r="D37">
        <v>0</v>
      </c>
      <c r="E37">
        <v>1</v>
      </c>
      <c r="F37">
        <v>12</v>
      </c>
      <c r="G37" t="b">
        <v>0</v>
      </c>
      <c r="H37">
        <v>0</v>
      </c>
      <c r="I37">
        <v>2</v>
      </c>
      <c r="J37">
        <v>0.36</v>
      </c>
      <c r="K37">
        <v>0.33329999999999999</v>
      </c>
      <c r="L37">
        <v>0.66</v>
      </c>
      <c r="M37">
        <v>0.29849999999999999</v>
      </c>
      <c r="N37">
        <v>20</v>
      </c>
      <c r="O37">
        <v>73</v>
      </c>
      <c r="P37">
        <v>93</v>
      </c>
      <c r="Q37" t="str">
        <f t="shared" si="0"/>
        <v>Complete</v>
      </c>
      <c r="R37">
        <f t="shared" si="7"/>
        <v>0.33329999999999999</v>
      </c>
      <c r="S37">
        <f t="shared" si="1"/>
        <v>2011</v>
      </c>
      <c r="T37" t="str">
        <f t="shared" si="2"/>
        <v>January</v>
      </c>
      <c r="U37" t="str">
        <f t="shared" si="3"/>
        <v>Sunday</v>
      </c>
      <c r="V37" t="str">
        <f t="shared" si="4"/>
        <v>Afternoon</v>
      </c>
      <c r="W37" t="str">
        <f t="shared" si="5"/>
        <v>Spring</v>
      </c>
      <c r="X37" t="str">
        <f t="shared" si="6"/>
        <v>Mist/Cloudy</v>
      </c>
    </row>
    <row r="38" spans="1:24">
      <c r="A38">
        <v>37</v>
      </c>
      <c r="B38" s="2">
        <v>40545</v>
      </c>
      <c r="C38">
        <v>1</v>
      </c>
      <c r="D38">
        <v>0</v>
      </c>
      <c r="E38">
        <v>1</v>
      </c>
      <c r="F38">
        <v>13</v>
      </c>
      <c r="G38" t="b">
        <v>0</v>
      </c>
      <c r="H38">
        <v>0</v>
      </c>
      <c r="I38">
        <v>2</v>
      </c>
      <c r="J38">
        <v>0.36</v>
      </c>
      <c r="K38">
        <v>0.34849999999999998</v>
      </c>
      <c r="L38">
        <v>0.66</v>
      </c>
      <c r="M38">
        <v>0.1343</v>
      </c>
      <c r="N38">
        <v>11</v>
      </c>
      <c r="O38">
        <v>64</v>
      </c>
      <c r="P38">
        <v>75</v>
      </c>
      <c r="Q38" t="str">
        <f t="shared" si="0"/>
        <v>Complete</v>
      </c>
      <c r="R38">
        <f t="shared" si="7"/>
        <v>0.34849999999999998</v>
      </c>
      <c r="S38">
        <f t="shared" si="1"/>
        <v>2011</v>
      </c>
      <c r="T38" t="str">
        <f t="shared" si="2"/>
        <v>January</v>
      </c>
      <c r="U38" t="str">
        <f t="shared" si="3"/>
        <v>Sunday</v>
      </c>
      <c r="V38" t="str">
        <f t="shared" si="4"/>
        <v>Afternoon</v>
      </c>
      <c r="W38" t="str">
        <f t="shared" si="5"/>
        <v>Spring</v>
      </c>
      <c r="X38" t="str">
        <f t="shared" si="6"/>
        <v>Mist/Cloudy</v>
      </c>
    </row>
    <row r="39" spans="1:24">
      <c r="A39">
        <v>38</v>
      </c>
      <c r="B39" s="2">
        <v>40545</v>
      </c>
      <c r="C39">
        <v>1</v>
      </c>
      <c r="D39">
        <v>0</v>
      </c>
      <c r="E39">
        <v>1</v>
      </c>
      <c r="F39">
        <v>14</v>
      </c>
      <c r="G39" t="b">
        <v>0</v>
      </c>
      <c r="H39">
        <v>0</v>
      </c>
      <c r="I39">
        <v>3</v>
      </c>
      <c r="J39">
        <v>0.36</v>
      </c>
      <c r="L39">
        <v>0.76</v>
      </c>
      <c r="M39">
        <v>0.19400000000000001</v>
      </c>
      <c r="N39">
        <v>4</v>
      </c>
      <c r="O39">
        <v>55</v>
      </c>
      <c r="P39">
        <v>59</v>
      </c>
      <c r="Q39" t="str">
        <f t="shared" si="0"/>
        <v>Missing atemp</v>
      </c>
      <c r="R39">
        <f t="shared" si="7"/>
        <v>0.36</v>
      </c>
      <c r="S39">
        <f t="shared" si="1"/>
        <v>2011</v>
      </c>
      <c r="T39" t="str">
        <f t="shared" si="2"/>
        <v>January</v>
      </c>
      <c r="U39" t="str">
        <f t="shared" si="3"/>
        <v>Sunday</v>
      </c>
      <c r="V39" t="str">
        <f t="shared" si="4"/>
        <v>Afternoon</v>
      </c>
      <c r="W39" t="str">
        <f t="shared" si="5"/>
        <v>Spring</v>
      </c>
      <c r="X39" t="str">
        <f t="shared" si="6"/>
        <v>Light Rain/Snow</v>
      </c>
    </row>
    <row r="40" spans="1:24">
      <c r="A40">
        <v>39</v>
      </c>
      <c r="B40" s="2">
        <v>40545</v>
      </c>
      <c r="C40">
        <v>1</v>
      </c>
      <c r="D40">
        <v>0</v>
      </c>
      <c r="E40">
        <v>1</v>
      </c>
      <c r="F40">
        <v>15</v>
      </c>
      <c r="G40" t="b">
        <v>0</v>
      </c>
      <c r="H40">
        <v>0</v>
      </c>
      <c r="I40">
        <v>3</v>
      </c>
      <c r="J40">
        <v>0.34</v>
      </c>
      <c r="K40">
        <v>0.33329999999999999</v>
      </c>
      <c r="L40">
        <v>0.81</v>
      </c>
      <c r="M40">
        <v>0.16420000000000001</v>
      </c>
      <c r="N40">
        <v>19</v>
      </c>
      <c r="O40">
        <v>55</v>
      </c>
      <c r="P40">
        <v>74</v>
      </c>
      <c r="Q40" t="str">
        <f t="shared" si="0"/>
        <v>Complete</v>
      </c>
      <c r="R40">
        <f t="shared" si="7"/>
        <v>0.33329999999999999</v>
      </c>
      <c r="S40">
        <f t="shared" si="1"/>
        <v>2011</v>
      </c>
      <c r="T40" t="str">
        <f t="shared" si="2"/>
        <v>January</v>
      </c>
      <c r="U40" t="str">
        <f t="shared" si="3"/>
        <v>Sunday</v>
      </c>
      <c r="V40" t="str">
        <f t="shared" si="4"/>
        <v>Afternoon</v>
      </c>
      <c r="W40" t="str">
        <f t="shared" si="5"/>
        <v>Spring</v>
      </c>
      <c r="X40" t="str">
        <f t="shared" si="6"/>
        <v>Light Rain/Snow</v>
      </c>
    </row>
    <row r="41" spans="1:24">
      <c r="A41">
        <v>40</v>
      </c>
      <c r="B41" s="2">
        <v>40545</v>
      </c>
      <c r="C41">
        <v>1</v>
      </c>
      <c r="D41">
        <v>0</v>
      </c>
      <c r="E41">
        <v>1</v>
      </c>
      <c r="F41">
        <v>16</v>
      </c>
      <c r="G41" t="b">
        <v>0</v>
      </c>
      <c r="H41">
        <v>0</v>
      </c>
      <c r="I41">
        <v>3</v>
      </c>
      <c r="J41">
        <v>0.34</v>
      </c>
      <c r="K41">
        <v>0.33329999999999999</v>
      </c>
      <c r="L41">
        <v>0.71</v>
      </c>
      <c r="M41">
        <v>0.16420000000000001</v>
      </c>
      <c r="N41">
        <v>9</v>
      </c>
      <c r="O41">
        <v>67</v>
      </c>
      <c r="P41">
        <v>76</v>
      </c>
      <c r="Q41" t="str">
        <f t="shared" si="0"/>
        <v>Complete</v>
      </c>
      <c r="R41">
        <f t="shared" si="7"/>
        <v>0.33329999999999999</v>
      </c>
      <c r="S41">
        <f t="shared" si="1"/>
        <v>2011</v>
      </c>
      <c r="T41" t="str">
        <f t="shared" si="2"/>
        <v>January</v>
      </c>
      <c r="U41" t="str">
        <f t="shared" si="3"/>
        <v>Sunday</v>
      </c>
      <c r="V41" t="str">
        <f t="shared" si="4"/>
        <v>Afternoon</v>
      </c>
      <c r="W41" t="str">
        <f t="shared" si="5"/>
        <v>Spring</v>
      </c>
      <c r="X41" t="str">
        <f t="shared" si="6"/>
        <v>Light Rain/Snow</v>
      </c>
    </row>
    <row r="42" spans="1:24">
      <c r="A42">
        <v>41</v>
      </c>
      <c r="B42" s="2">
        <v>40545</v>
      </c>
      <c r="C42">
        <v>1</v>
      </c>
      <c r="D42">
        <v>0</v>
      </c>
      <c r="E42">
        <v>1</v>
      </c>
      <c r="F42">
        <v>17</v>
      </c>
      <c r="G42" t="b">
        <v>0</v>
      </c>
      <c r="H42">
        <v>0</v>
      </c>
      <c r="I42">
        <v>1</v>
      </c>
      <c r="J42">
        <v>0.34</v>
      </c>
      <c r="K42">
        <v>0.33329999999999999</v>
      </c>
      <c r="L42">
        <v>0.56999999999999995</v>
      </c>
      <c r="M42">
        <v>0.19400000000000001</v>
      </c>
      <c r="N42">
        <v>7</v>
      </c>
      <c r="O42">
        <v>58</v>
      </c>
      <c r="P42">
        <v>65</v>
      </c>
      <c r="Q42" t="str">
        <f t="shared" si="0"/>
        <v>Complete</v>
      </c>
      <c r="R42">
        <f t="shared" si="7"/>
        <v>0.33329999999999999</v>
      </c>
      <c r="S42">
        <f t="shared" si="1"/>
        <v>2011</v>
      </c>
      <c r="T42" t="str">
        <f t="shared" si="2"/>
        <v>January</v>
      </c>
      <c r="U42" t="str">
        <f t="shared" si="3"/>
        <v>Sunday</v>
      </c>
      <c r="V42" t="str">
        <f t="shared" si="4"/>
        <v>Afternoon</v>
      </c>
      <c r="W42" t="str">
        <f t="shared" si="5"/>
        <v>Spring</v>
      </c>
      <c r="X42" t="str">
        <f t="shared" si="6"/>
        <v>Clear</v>
      </c>
    </row>
    <row r="43" spans="1:24">
      <c r="A43">
        <v>42</v>
      </c>
      <c r="B43" s="2">
        <v>40545</v>
      </c>
      <c r="C43">
        <v>1</v>
      </c>
      <c r="D43">
        <v>0</v>
      </c>
      <c r="E43">
        <v>1</v>
      </c>
      <c r="F43">
        <v>18</v>
      </c>
      <c r="G43" t="b">
        <v>0</v>
      </c>
      <c r="H43">
        <v>0</v>
      </c>
      <c r="I43">
        <v>2</v>
      </c>
      <c r="J43">
        <v>0.36</v>
      </c>
      <c r="K43">
        <v>0.33329999999999999</v>
      </c>
      <c r="L43">
        <v>0.46</v>
      </c>
      <c r="M43">
        <v>0.32840000000000003</v>
      </c>
      <c r="N43">
        <v>10</v>
      </c>
      <c r="O43">
        <v>43</v>
      </c>
      <c r="P43">
        <v>53</v>
      </c>
      <c r="Q43" t="str">
        <f t="shared" si="0"/>
        <v>Complete</v>
      </c>
      <c r="R43">
        <f t="shared" si="7"/>
        <v>0.33329999999999999</v>
      </c>
      <c r="S43">
        <f t="shared" si="1"/>
        <v>2011</v>
      </c>
      <c r="T43" t="str">
        <f t="shared" si="2"/>
        <v>January</v>
      </c>
      <c r="U43" t="str">
        <f t="shared" si="3"/>
        <v>Sunday</v>
      </c>
      <c r="V43" t="str">
        <f t="shared" si="4"/>
        <v>Evening</v>
      </c>
      <c r="W43" t="str">
        <f t="shared" si="5"/>
        <v>Spring</v>
      </c>
      <c r="X43" t="str">
        <f t="shared" si="6"/>
        <v>Mist/Cloudy</v>
      </c>
    </row>
    <row r="44" spans="1:24">
      <c r="A44">
        <v>43</v>
      </c>
      <c r="B44" s="2">
        <v>40545</v>
      </c>
      <c r="C44">
        <v>1</v>
      </c>
      <c r="D44">
        <v>0</v>
      </c>
      <c r="E44">
        <v>1</v>
      </c>
      <c r="F44">
        <v>19</v>
      </c>
      <c r="G44" t="b">
        <v>0</v>
      </c>
      <c r="H44">
        <v>0</v>
      </c>
      <c r="I44">
        <v>1</v>
      </c>
      <c r="J44">
        <v>0.32</v>
      </c>
      <c r="K44">
        <v>0.28789999999999999</v>
      </c>
      <c r="L44">
        <v>0.42</v>
      </c>
      <c r="M44">
        <v>0.44779999999999998</v>
      </c>
      <c r="N44">
        <v>1</v>
      </c>
      <c r="O44">
        <v>29</v>
      </c>
      <c r="P44">
        <v>30</v>
      </c>
      <c r="Q44" t="str">
        <f t="shared" si="0"/>
        <v>Complete</v>
      </c>
      <c r="R44">
        <f t="shared" si="7"/>
        <v>0.28789999999999999</v>
      </c>
      <c r="S44">
        <f t="shared" si="1"/>
        <v>2011</v>
      </c>
      <c r="T44" t="str">
        <f t="shared" si="2"/>
        <v>January</v>
      </c>
      <c r="U44" t="str">
        <f t="shared" si="3"/>
        <v>Sunday</v>
      </c>
      <c r="V44" t="str">
        <f t="shared" si="4"/>
        <v>Evening</v>
      </c>
      <c r="W44" t="str">
        <f t="shared" si="5"/>
        <v>Spring</v>
      </c>
      <c r="X44" t="str">
        <f t="shared" si="6"/>
        <v>Clear</v>
      </c>
    </row>
    <row r="45" spans="1:24">
      <c r="A45">
        <v>44</v>
      </c>
      <c r="B45" s="2">
        <v>40545</v>
      </c>
      <c r="C45">
        <v>1</v>
      </c>
      <c r="D45">
        <v>0</v>
      </c>
      <c r="E45">
        <v>1</v>
      </c>
      <c r="F45">
        <v>20</v>
      </c>
      <c r="G45" t="b">
        <v>0</v>
      </c>
      <c r="H45">
        <v>0</v>
      </c>
      <c r="I45">
        <v>1</v>
      </c>
      <c r="J45">
        <v>0.3</v>
      </c>
      <c r="L45">
        <v>0.39</v>
      </c>
      <c r="M45">
        <v>0.35820000000000002</v>
      </c>
      <c r="N45">
        <v>5</v>
      </c>
      <c r="O45">
        <v>17</v>
      </c>
      <c r="P45">
        <v>22</v>
      </c>
      <c r="Q45" t="str">
        <f t="shared" si="0"/>
        <v>Missing atemp</v>
      </c>
      <c r="R45">
        <f t="shared" si="7"/>
        <v>0.3</v>
      </c>
      <c r="S45">
        <f t="shared" si="1"/>
        <v>2011</v>
      </c>
      <c r="T45" t="str">
        <f t="shared" si="2"/>
        <v>January</v>
      </c>
      <c r="U45" t="str">
        <f t="shared" si="3"/>
        <v>Sunday</v>
      </c>
      <c r="V45" t="str">
        <f t="shared" si="4"/>
        <v>Evening</v>
      </c>
      <c r="W45" t="str">
        <f t="shared" si="5"/>
        <v>Spring</v>
      </c>
      <c r="X45" t="str">
        <f t="shared" si="6"/>
        <v>Clear</v>
      </c>
    </row>
    <row r="46" spans="1:24">
      <c r="A46">
        <v>45</v>
      </c>
      <c r="B46" s="2">
        <v>40545</v>
      </c>
      <c r="C46">
        <v>1</v>
      </c>
      <c r="D46">
        <v>0</v>
      </c>
      <c r="E46">
        <v>1</v>
      </c>
      <c r="F46">
        <v>21</v>
      </c>
      <c r="G46" t="b">
        <v>0</v>
      </c>
      <c r="H46">
        <v>0</v>
      </c>
      <c r="I46">
        <v>1</v>
      </c>
      <c r="J46">
        <v>0.26</v>
      </c>
      <c r="K46">
        <v>0.2273</v>
      </c>
      <c r="L46">
        <v>0.44</v>
      </c>
      <c r="M46">
        <v>0.32840000000000003</v>
      </c>
      <c r="N46">
        <v>11</v>
      </c>
      <c r="O46">
        <v>20</v>
      </c>
      <c r="P46">
        <v>31</v>
      </c>
      <c r="Q46" t="str">
        <f t="shared" si="0"/>
        <v>Complete</v>
      </c>
      <c r="R46">
        <f t="shared" si="7"/>
        <v>0.2273</v>
      </c>
      <c r="S46">
        <f t="shared" si="1"/>
        <v>2011</v>
      </c>
      <c r="T46" t="str">
        <f t="shared" si="2"/>
        <v>January</v>
      </c>
      <c r="U46" t="str">
        <f t="shared" si="3"/>
        <v>Sunday</v>
      </c>
      <c r="V46" t="str">
        <f t="shared" si="4"/>
        <v>Evening</v>
      </c>
      <c r="W46" t="str">
        <f t="shared" si="5"/>
        <v>Spring</v>
      </c>
      <c r="X46" t="str">
        <f t="shared" si="6"/>
        <v>Clear</v>
      </c>
    </row>
    <row r="47" spans="1:24">
      <c r="A47">
        <v>46</v>
      </c>
      <c r="B47" s="2">
        <v>40545</v>
      </c>
      <c r="C47">
        <v>1</v>
      </c>
      <c r="D47">
        <v>0</v>
      </c>
      <c r="E47">
        <v>1</v>
      </c>
      <c r="F47">
        <v>22</v>
      </c>
      <c r="G47" t="b">
        <v>0</v>
      </c>
      <c r="H47">
        <v>0</v>
      </c>
      <c r="I47">
        <v>1</v>
      </c>
      <c r="J47">
        <v>0.24</v>
      </c>
      <c r="K47">
        <v>0.21210000000000001</v>
      </c>
      <c r="L47">
        <v>0.44</v>
      </c>
      <c r="M47">
        <v>0.29849999999999999</v>
      </c>
      <c r="N47">
        <v>0</v>
      </c>
      <c r="O47">
        <v>9</v>
      </c>
      <c r="P47">
        <v>9</v>
      </c>
      <c r="Q47" t="str">
        <f t="shared" si="0"/>
        <v>Complete</v>
      </c>
      <c r="R47">
        <f t="shared" si="7"/>
        <v>0.21210000000000001</v>
      </c>
      <c r="S47">
        <f t="shared" si="1"/>
        <v>2011</v>
      </c>
      <c r="T47" t="str">
        <f t="shared" si="2"/>
        <v>January</v>
      </c>
      <c r="U47" t="str">
        <f t="shared" si="3"/>
        <v>Sunday</v>
      </c>
      <c r="V47" t="str">
        <f t="shared" si="4"/>
        <v>Evening</v>
      </c>
      <c r="W47" t="str">
        <f t="shared" si="5"/>
        <v>Spring</v>
      </c>
      <c r="X47" t="str">
        <f t="shared" si="6"/>
        <v>Clear</v>
      </c>
    </row>
    <row r="48" spans="1:24">
      <c r="A48">
        <v>47</v>
      </c>
      <c r="B48" s="2">
        <v>40545</v>
      </c>
      <c r="C48">
        <v>1</v>
      </c>
      <c r="D48">
        <v>0</v>
      </c>
      <c r="E48">
        <v>1</v>
      </c>
      <c r="F48">
        <v>23</v>
      </c>
      <c r="G48" t="b">
        <v>0</v>
      </c>
      <c r="H48">
        <v>0</v>
      </c>
      <c r="I48">
        <v>1</v>
      </c>
      <c r="J48">
        <v>0.22</v>
      </c>
      <c r="K48">
        <v>0.2273</v>
      </c>
      <c r="L48">
        <v>0.47</v>
      </c>
      <c r="M48">
        <v>0.16420000000000001</v>
      </c>
      <c r="N48">
        <v>0</v>
      </c>
      <c r="O48">
        <v>8</v>
      </c>
      <c r="P48">
        <v>8</v>
      </c>
      <c r="Q48" t="str">
        <f t="shared" si="0"/>
        <v>Complete</v>
      </c>
      <c r="R48">
        <f t="shared" si="7"/>
        <v>0.2273</v>
      </c>
      <c r="S48">
        <f t="shared" si="1"/>
        <v>2011</v>
      </c>
      <c r="T48" t="str">
        <f t="shared" si="2"/>
        <v>January</v>
      </c>
      <c r="U48" t="str">
        <f t="shared" si="3"/>
        <v>Sunday</v>
      </c>
      <c r="V48" t="str">
        <f t="shared" si="4"/>
        <v>Evening</v>
      </c>
      <c r="W48" t="str">
        <f t="shared" si="5"/>
        <v>Spring</v>
      </c>
      <c r="X48" t="str">
        <f t="shared" si="6"/>
        <v>Clear</v>
      </c>
    </row>
    <row r="49" spans="1:24">
      <c r="A49">
        <v>48</v>
      </c>
      <c r="B49" s="2">
        <v>40546</v>
      </c>
      <c r="C49">
        <v>1</v>
      </c>
      <c r="D49">
        <v>0</v>
      </c>
      <c r="E49">
        <v>1</v>
      </c>
      <c r="F49">
        <v>0</v>
      </c>
      <c r="G49" t="b">
        <v>0</v>
      </c>
      <c r="H49">
        <v>1</v>
      </c>
      <c r="I49">
        <v>1</v>
      </c>
      <c r="J49">
        <v>0.22</v>
      </c>
      <c r="K49">
        <v>0.19700000000000001</v>
      </c>
      <c r="L49">
        <v>0.44</v>
      </c>
      <c r="M49">
        <v>0.35820000000000002</v>
      </c>
      <c r="N49">
        <v>0</v>
      </c>
      <c r="O49">
        <v>5</v>
      </c>
      <c r="P49">
        <v>5</v>
      </c>
      <c r="Q49" t="str">
        <f t="shared" si="0"/>
        <v>Complete</v>
      </c>
      <c r="R49">
        <f t="shared" si="7"/>
        <v>0.19700000000000001</v>
      </c>
      <c r="S49">
        <f t="shared" si="1"/>
        <v>2011</v>
      </c>
      <c r="T49" t="str">
        <f t="shared" si="2"/>
        <v>January</v>
      </c>
      <c r="U49" t="str">
        <f t="shared" si="3"/>
        <v>Weekday</v>
      </c>
      <c r="V49" t="str">
        <f t="shared" si="4"/>
        <v>Night</v>
      </c>
      <c r="W49" t="str">
        <f t="shared" si="5"/>
        <v>Spring</v>
      </c>
      <c r="X49" t="str">
        <f t="shared" si="6"/>
        <v>Clear</v>
      </c>
    </row>
    <row r="50" spans="1:24">
      <c r="A50">
        <v>49</v>
      </c>
      <c r="B50" s="2">
        <v>40546</v>
      </c>
      <c r="C50">
        <v>1</v>
      </c>
      <c r="D50">
        <v>0</v>
      </c>
      <c r="E50">
        <v>1</v>
      </c>
      <c r="F50">
        <v>1</v>
      </c>
      <c r="G50" t="b">
        <v>0</v>
      </c>
      <c r="H50">
        <v>1</v>
      </c>
      <c r="I50">
        <v>1</v>
      </c>
      <c r="J50">
        <v>0.2</v>
      </c>
      <c r="L50">
        <v>0.44</v>
      </c>
      <c r="M50">
        <v>0.41789999999999999</v>
      </c>
      <c r="N50">
        <v>0</v>
      </c>
      <c r="O50">
        <v>2</v>
      </c>
      <c r="P50">
        <v>2</v>
      </c>
      <c r="Q50" t="str">
        <f t="shared" si="0"/>
        <v>Missing atemp</v>
      </c>
      <c r="R50">
        <f t="shared" si="7"/>
        <v>0.2</v>
      </c>
      <c r="S50">
        <f t="shared" si="1"/>
        <v>2011</v>
      </c>
      <c r="T50" t="str">
        <f t="shared" si="2"/>
        <v>January</v>
      </c>
      <c r="U50" t="str">
        <f t="shared" si="3"/>
        <v>Weekday</v>
      </c>
      <c r="V50" t="str">
        <f t="shared" si="4"/>
        <v>Night</v>
      </c>
      <c r="W50" t="str">
        <f t="shared" si="5"/>
        <v>Spring</v>
      </c>
      <c r="X50" t="str">
        <f t="shared" si="6"/>
        <v>Clear</v>
      </c>
    </row>
    <row r="51" spans="1:24">
      <c r="A51">
        <v>50</v>
      </c>
      <c r="B51" s="2">
        <v>40546</v>
      </c>
      <c r="C51">
        <v>1</v>
      </c>
      <c r="D51">
        <v>0</v>
      </c>
      <c r="E51">
        <v>1</v>
      </c>
      <c r="F51">
        <v>4</v>
      </c>
      <c r="G51" t="b">
        <v>0</v>
      </c>
      <c r="H51">
        <v>1</v>
      </c>
      <c r="I51">
        <v>1</v>
      </c>
      <c r="J51">
        <v>0.16</v>
      </c>
      <c r="K51">
        <v>0.13639999999999999</v>
      </c>
      <c r="L51">
        <v>0.47</v>
      </c>
      <c r="M51">
        <v>0.3881</v>
      </c>
      <c r="N51">
        <v>0</v>
      </c>
      <c r="O51">
        <v>1</v>
      </c>
      <c r="P51">
        <v>1</v>
      </c>
      <c r="Q51" t="str">
        <f t="shared" si="0"/>
        <v>Complete</v>
      </c>
      <c r="R51">
        <f t="shared" si="7"/>
        <v>0.13639999999999999</v>
      </c>
      <c r="S51">
        <f t="shared" si="1"/>
        <v>2011</v>
      </c>
      <c r="T51" t="str">
        <f t="shared" si="2"/>
        <v>January</v>
      </c>
      <c r="U51" t="str">
        <f t="shared" si="3"/>
        <v>Weekday</v>
      </c>
      <c r="V51" t="str">
        <f t="shared" si="4"/>
        <v>Night</v>
      </c>
      <c r="W51" t="str">
        <f t="shared" si="5"/>
        <v>Spring</v>
      </c>
      <c r="X51" t="str">
        <f t="shared" si="6"/>
        <v>Clear</v>
      </c>
    </row>
    <row r="52" spans="1:24">
      <c r="A52">
        <v>51</v>
      </c>
      <c r="B52" s="2">
        <v>40546</v>
      </c>
      <c r="C52">
        <v>1</v>
      </c>
      <c r="D52">
        <v>0</v>
      </c>
      <c r="E52">
        <v>1</v>
      </c>
      <c r="F52">
        <v>5</v>
      </c>
      <c r="G52" t="b">
        <v>0</v>
      </c>
      <c r="H52">
        <v>1</v>
      </c>
      <c r="I52">
        <v>1</v>
      </c>
      <c r="J52">
        <v>0.16</v>
      </c>
      <c r="K52">
        <v>0.13639999999999999</v>
      </c>
      <c r="L52">
        <v>0.47</v>
      </c>
      <c r="M52">
        <v>0.28360000000000002</v>
      </c>
      <c r="N52">
        <v>0</v>
      </c>
      <c r="O52">
        <v>3</v>
      </c>
      <c r="P52">
        <v>3</v>
      </c>
      <c r="Q52" t="str">
        <f t="shared" si="0"/>
        <v>Complete</v>
      </c>
      <c r="R52">
        <f t="shared" si="7"/>
        <v>0.13639999999999999</v>
      </c>
      <c r="S52">
        <f t="shared" si="1"/>
        <v>2011</v>
      </c>
      <c r="T52" t="str">
        <f t="shared" si="2"/>
        <v>January</v>
      </c>
      <c r="U52" t="str">
        <f t="shared" si="3"/>
        <v>Weekday</v>
      </c>
      <c r="V52" t="str">
        <f t="shared" si="4"/>
        <v>Night</v>
      </c>
      <c r="W52" t="str">
        <f t="shared" si="5"/>
        <v>Spring</v>
      </c>
      <c r="X52" t="str">
        <f t="shared" si="6"/>
        <v>Clear</v>
      </c>
    </row>
    <row r="53" spans="1:24">
      <c r="A53">
        <v>52</v>
      </c>
      <c r="B53" s="2">
        <v>40546</v>
      </c>
      <c r="C53">
        <v>1</v>
      </c>
      <c r="D53">
        <v>0</v>
      </c>
      <c r="E53">
        <v>1</v>
      </c>
      <c r="F53">
        <v>6</v>
      </c>
      <c r="G53" t="b">
        <v>0</v>
      </c>
      <c r="H53">
        <v>1</v>
      </c>
      <c r="I53">
        <v>1</v>
      </c>
      <c r="J53">
        <v>0.14000000000000001</v>
      </c>
      <c r="K53">
        <v>0.1061</v>
      </c>
      <c r="L53">
        <v>0.5</v>
      </c>
      <c r="M53">
        <v>0.3881</v>
      </c>
      <c r="N53">
        <v>0</v>
      </c>
      <c r="O53">
        <v>30</v>
      </c>
      <c r="P53">
        <v>30</v>
      </c>
      <c r="Q53" t="str">
        <f t="shared" si="0"/>
        <v>Complete</v>
      </c>
      <c r="R53">
        <f t="shared" si="7"/>
        <v>0.1061</v>
      </c>
      <c r="S53">
        <f t="shared" si="1"/>
        <v>2011</v>
      </c>
      <c r="T53" t="str">
        <f t="shared" si="2"/>
        <v>January</v>
      </c>
      <c r="U53" t="str">
        <f t="shared" si="3"/>
        <v>Weekday</v>
      </c>
      <c r="V53" t="str">
        <f t="shared" si="4"/>
        <v>Morning</v>
      </c>
      <c r="W53" t="str">
        <f t="shared" si="5"/>
        <v>Spring</v>
      </c>
      <c r="X53" t="str">
        <f t="shared" si="6"/>
        <v>Clear</v>
      </c>
    </row>
    <row r="54" spans="1:24">
      <c r="A54">
        <v>53</v>
      </c>
      <c r="B54" s="2">
        <v>40546</v>
      </c>
      <c r="C54">
        <v>1</v>
      </c>
      <c r="D54">
        <v>0</v>
      </c>
      <c r="E54">
        <v>1</v>
      </c>
      <c r="F54">
        <v>7</v>
      </c>
      <c r="G54" t="b">
        <v>0</v>
      </c>
      <c r="H54">
        <v>1</v>
      </c>
      <c r="I54">
        <v>1</v>
      </c>
      <c r="J54">
        <v>0.14000000000000001</v>
      </c>
      <c r="K54">
        <v>0.13639999999999999</v>
      </c>
      <c r="L54">
        <v>0.5</v>
      </c>
      <c r="M54">
        <v>0.19400000000000001</v>
      </c>
      <c r="N54">
        <v>1</v>
      </c>
      <c r="O54">
        <v>63</v>
      </c>
      <c r="P54">
        <v>64</v>
      </c>
      <c r="Q54" t="str">
        <f t="shared" si="0"/>
        <v>Complete</v>
      </c>
      <c r="R54">
        <f t="shared" si="7"/>
        <v>0.13639999999999999</v>
      </c>
      <c r="S54">
        <f t="shared" si="1"/>
        <v>2011</v>
      </c>
      <c r="T54" t="str">
        <f t="shared" si="2"/>
        <v>January</v>
      </c>
      <c r="U54" t="str">
        <f t="shared" si="3"/>
        <v>Weekday</v>
      </c>
      <c r="V54" t="str">
        <f t="shared" si="4"/>
        <v>Morning</v>
      </c>
      <c r="W54" t="str">
        <f t="shared" si="5"/>
        <v>Spring</v>
      </c>
      <c r="X54" t="str">
        <f t="shared" si="6"/>
        <v>Clear</v>
      </c>
    </row>
    <row r="55" spans="1:24">
      <c r="A55">
        <v>54</v>
      </c>
      <c r="B55" s="2">
        <v>40546</v>
      </c>
      <c r="C55">
        <v>1</v>
      </c>
      <c r="D55">
        <v>0</v>
      </c>
      <c r="E55">
        <v>1</v>
      </c>
      <c r="F55">
        <v>8</v>
      </c>
      <c r="G55" t="b">
        <v>0</v>
      </c>
      <c r="H55">
        <v>1</v>
      </c>
      <c r="I55">
        <v>1</v>
      </c>
      <c r="J55">
        <v>0.14000000000000001</v>
      </c>
      <c r="K55">
        <v>0.1212</v>
      </c>
      <c r="L55">
        <v>0.5</v>
      </c>
      <c r="M55">
        <v>0.28360000000000002</v>
      </c>
      <c r="N55">
        <v>1</v>
      </c>
      <c r="O55">
        <v>153</v>
      </c>
      <c r="P55">
        <v>154</v>
      </c>
      <c r="Q55" t="str">
        <f t="shared" si="0"/>
        <v>Complete</v>
      </c>
      <c r="R55">
        <f t="shared" si="7"/>
        <v>0.1212</v>
      </c>
      <c r="S55">
        <f t="shared" si="1"/>
        <v>2011</v>
      </c>
      <c r="T55" t="str">
        <f t="shared" si="2"/>
        <v>January</v>
      </c>
      <c r="U55" t="str">
        <f t="shared" si="3"/>
        <v>Weekday</v>
      </c>
      <c r="V55" t="str">
        <f t="shared" si="4"/>
        <v>Morning</v>
      </c>
      <c r="W55" t="str">
        <f t="shared" si="5"/>
        <v>Spring</v>
      </c>
      <c r="X55" t="str">
        <f t="shared" si="6"/>
        <v>Clear</v>
      </c>
    </row>
    <row r="56" spans="1:24">
      <c r="A56">
        <v>55</v>
      </c>
      <c r="B56" s="2">
        <v>40546</v>
      </c>
      <c r="C56">
        <v>1</v>
      </c>
      <c r="D56">
        <v>0</v>
      </c>
      <c r="E56">
        <v>1</v>
      </c>
      <c r="F56">
        <v>9</v>
      </c>
      <c r="G56" t="b">
        <v>0</v>
      </c>
      <c r="H56">
        <v>1</v>
      </c>
      <c r="I56">
        <v>1</v>
      </c>
      <c r="J56">
        <v>0.16</v>
      </c>
      <c r="K56">
        <v>0.13639999999999999</v>
      </c>
      <c r="L56">
        <v>0.43</v>
      </c>
      <c r="M56">
        <v>0.3881</v>
      </c>
      <c r="N56">
        <v>7</v>
      </c>
      <c r="O56">
        <v>81</v>
      </c>
      <c r="P56">
        <v>88</v>
      </c>
      <c r="Q56" t="str">
        <f t="shared" si="0"/>
        <v>Complete</v>
      </c>
      <c r="R56">
        <f t="shared" si="7"/>
        <v>0.13639999999999999</v>
      </c>
      <c r="S56">
        <f t="shared" si="1"/>
        <v>2011</v>
      </c>
      <c r="T56" t="str">
        <f t="shared" si="2"/>
        <v>January</v>
      </c>
      <c r="U56" t="str">
        <f t="shared" si="3"/>
        <v>Weekday</v>
      </c>
      <c r="V56" t="str">
        <f t="shared" si="4"/>
        <v>Morning</v>
      </c>
      <c r="W56" t="str">
        <f t="shared" si="5"/>
        <v>Spring</v>
      </c>
      <c r="X56" t="str">
        <f t="shared" si="6"/>
        <v>Clear</v>
      </c>
    </row>
    <row r="57" spans="1:24">
      <c r="A57">
        <v>56</v>
      </c>
      <c r="B57" s="2">
        <v>40546</v>
      </c>
      <c r="C57">
        <v>1</v>
      </c>
      <c r="D57">
        <v>0</v>
      </c>
      <c r="E57">
        <v>1</v>
      </c>
      <c r="F57">
        <v>10</v>
      </c>
      <c r="G57" t="b">
        <v>0</v>
      </c>
      <c r="H57">
        <v>1</v>
      </c>
      <c r="I57">
        <v>1</v>
      </c>
      <c r="J57">
        <v>0.18</v>
      </c>
      <c r="K57">
        <v>0.16669999999999999</v>
      </c>
      <c r="L57">
        <v>0.43</v>
      </c>
      <c r="M57">
        <v>0.25369999999999998</v>
      </c>
      <c r="N57">
        <v>11</v>
      </c>
      <c r="O57">
        <v>33</v>
      </c>
      <c r="P57">
        <v>44</v>
      </c>
      <c r="Q57" t="str">
        <f t="shared" si="0"/>
        <v>Complete</v>
      </c>
      <c r="R57">
        <f t="shared" si="7"/>
        <v>0.16669999999999999</v>
      </c>
      <c r="S57">
        <f t="shared" si="1"/>
        <v>2011</v>
      </c>
      <c r="T57" t="str">
        <f t="shared" si="2"/>
        <v>January</v>
      </c>
      <c r="U57" t="str">
        <f t="shared" si="3"/>
        <v>Weekday</v>
      </c>
      <c r="V57" t="str">
        <f t="shared" si="4"/>
        <v>Morning</v>
      </c>
      <c r="W57" t="str">
        <f t="shared" si="5"/>
        <v>Spring</v>
      </c>
      <c r="X57" t="str">
        <f t="shared" si="6"/>
        <v>Clear</v>
      </c>
    </row>
    <row r="58" spans="1:24">
      <c r="A58">
        <v>57</v>
      </c>
      <c r="B58" s="2">
        <v>40546</v>
      </c>
      <c r="C58">
        <v>1</v>
      </c>
      <c r="D58">
        <v>0</v>
      </c>
      <c r="E58">
        <v>1</v>
      </c>
      <c r="F58">
        <v>11</v>
      </c>
      <c r="G58" t="b">
        <v>0</v>
      </c>
      <c r="H58">
        <v>1</v>
      </c>
      <c r="I58">
        <v>1</v>
      </c>
      <c r="J58">
        <v>0.2</v>
      </c>
      <c r="K58">
        <v>0.18179999999999999</v>
      </c>
      <c r="L58">
        <v>0.4</v>
      </c>
      <c r="M58">
        <v>0.32840000000000003</v>
      </c>
      <c r="N58">
        <v>10</v>
      </c>
      <c r="O58">
        <v>41</v>
      </c>
      <c r="P58">
        <v>51</v>
      </c>
      <c r="Q58" t="str">
        <f t="shared" si="0"/>
        <v>Complete</v>
      </c>
      <c r="R58">
        <f t="shared" si="7"/>
        <v>0.18179999999999999</v>
      </c>
      <c r="S58">
        <f t="shared" si="1"/>
        <v>2011</v>
      </c>
      <c r="T58" t="str">
        <f t="shared" si="2"/>
        <v>January</v>
      </c>
      <c r="U58" t="str">
        <f t="shared" si="3"/>
        <v>Weekday</v>
      </c>
      <c r="V58" t="str">
        <f t="shared" si="4"/>
        <v>Morning</v>
      </c>
      <c r="W58" t="str">
        <f t="shared" si="5"/>
        <v>Spring</v>
      </c>
      <c r="X58" t="str">
        <f t="shared" si="6"/>
        <v>Clear</v>
      </c>
    </row>
    <row r="59" spans="1:24">
      <c r="A59">
        <v>58</v>
      </c>
      <c r="B59" s="2">
        <v>40546</v>
      </c>
      <c r="C59">
        <v>1</v>
      </c>
      <c r="D59">
        <v>0</v>
      </c>
      <c r="E59">
        <v>1</v>
      </c>
      <c r="F59">
        <v>12</v>
      </c>
      <c r="G59" t="b">
        <v>0</v>
      </c>
      <c r="H59">
        <v>1</v>
      </c>
      <c r="I59">
        <v>1</v>
      </c>
      <c r="J59">
        <v>0.22</v>
      </c>
      <c r="K59">
        <v>0.21210000000000001</v>
      </c>
      <c r="L59">
        <v>0.35</v>
      </c>
      <c r="M59">
        <v>0.29849999999999999</v>
      </c>
      <c r="N59">
        <v>13</v>
      </c>
      <c r="O59">
        <v>48</v>
      </c>
      <c r="P59">
        <v>61</v>
      </c>
      <c r="Q59" t="str">
        <f t="shared" si="0"/>
        <v>Complete</v>
      </c>
      <c r="R59">
        <f t="shared" si="7"/>
        <v>0.21210000000000001</v>
      </c>
      <c r="S59">
        <f t="shared" si="1"/>
        <v>2011</v>
      </c>
      <c r="T59" t="str">
        <f t="shared" si="2"/>
        <v>January</v>
      </c>
      <c r="U59" t="str">
        <f t="shared" si="3"/>
        <v>Weekday</v>
      </c>
      <c r="V59" t="str">
        <f t="shared" si="4"/>
        <v>Afternoon</v>
      </c>
      <c r="W59" t="str">
        <f t="shared" si="5"/>
        <v>Spring</v>
      </c>
      <c r="X59" t="str">
        <f t="shared" si="6"/>
        <v>Clear</v>
      </c>
    </row>
    <row r="60" spans="1:24">
      <c r="A60">
        <v>59</v>
      </c>
      <c r="B60" s="2">
        <v>40546</v>
      </c>
      <c r="C60">
        <v>1</v>
      </c>
      <c r="D60">
        <v>0</v>
      </c>
      <c r="E60">
        <v>1</v>
      </c>
      <c r="F60">
        <v>13</v>
      </c>
      <c r="G60" t="b">
        <v>0</v>
      </c>
      <c r="H60">
        <v>1</v>
      </c>
      <c r="I60">
        <v>1</v>
      </c>
      <c r="J60">
        <v>0.24</v>
      </c>
      <c r="L60">
        <v>0.35</v>
      </c>
      <c r="M60">
        <v>0.28360000000000002</v>
      </c>
      <c r="N60">
        <v>8</v>
      </c>
      <c r="O60">
        <v>53</v>
      </c>
      <c r="P60">
        <v>61</v>
      </c>
      <c r="Q60" t="str">
        <f t="shared" si="0"/>
        <v>Missing atemp</v>
      </c>
      <c r="R60">
        <f t="shared" si="7"/>
        <v>0.24</v>
      </c>
      <c r="S60">
        <f t="shared" si="1"/>
        <v>2011</v>
      </c>
      <c r="T60" t="str">
        <f t="shared" si="2"/>
        <v>January</v>
      </c>
      <c r="U60" t="str">
        <f t="shared" si="3"/>
        <v>Weekday</v>
      </c>
      <c r="V60" t="str">
        <f t="shared" si="4"/>
        <v>Afternoon</v>
      </c>
      <c r="W60" t="str">
        <f t="shared" si="5"/>
        <v>Spring</v>
      </c>
      <c r="X60" t="str">
        <f t="shared" si="6"/>
        <v>Clear</v>
      </c>
    </row>
    <row r="61" spans="1:24">
      <c r="A61">
        <v>60</v>
      </c>
      <c r="B61" s="2">
        <v>40546</v>
      </c>
      <c r="C61">
        <v>1</v>
      </c>
      <c r="D61">
        <v>0</v>
      </c>
      <c r="E61">
        <v>1</v>
      </c>
      <c r="F61">
        <v>14</v>
      </c>
      <c r="G61" t="b">
        <v>0</v>
      </c>
      <c r="H61">
        <v>1</v>
      </c>
      <c r="I61">
        <v>1</v>
      </c>
      <c r="J61">
        <v>0.26</v>
      </c>
      <c r="K61">
        <v>0.2424</v>
      </c>
      <c r="L61">
        <v>0.3</v>
      </c>
      <c r="M61">
        <v>0.28360000000000002</v>
      </c>
      <c r="N61">
        <v>11</v>
      </c>
      <c r="O61">
        <v>66</v>
      </c>
      <c r="P61">
        <v>77</v>
      </c>
      <c r="Q61" t="str">
        <f t="shared" si="0"/>
        <v>Complete</v>
      </c>
      <c r="R61">
        <f t="shared" si="7"/>
        <v>0.2424</v>
      </c>
      <c r="S61">
        <f t="shared" si="1"/>
        <v>2011</v>
      </c>
      <c r="T61" t="str">
        <f t="shared" si="2"/>
        <v>January</v>
      </c>
      <c r="U61" t="str">
        <f t="shared" si="3"/>
        <v>Weekday</v>
      </c>
      <c r="V61" t="str">
        <f t="shared" si="4"/>
        <v>Afternoon</v>
      </c>
      <c r="W61" t="str">
        <f t="shared" si="5"/>
        <v>Spring</v>
      </c>
      <c r="X61" t="str">
        <f t="shared" si="6"/>
        <v>Clear</v>
      </c>
    </row>
    <row r="62" spans="1:24">
      <c r="A62">
        <v>61</v>
      </c>
      <c r="B62" s="2">
        <v>40546</v>
      </c>
      <c r="C62">
        <v>1</v>
      </c>
      <c r="D62">
        <v>0</v>
      </c>
      <c r="E62">
        <v>1</v>
      </c>
      <c r="F62">
        <v>15</v>
      </c>
      <c r="G62" t="b">
        <v>0</v>
      </c>
      <c r="H62">
        <v>1</v>
      </c>
      <c r="I62">
        <v>1</v>
      </c>
      <c r="J62">
        <v>0.26</v>
      </c>
      <c r="K62">
        <v>0.2424</v>
      </c>
      <c r="L62">
        <v>0.3</v>
      </c>
      <c r="M62">
        <v>0.25369999999999998</v>
      </c>
      <c r="N62">
        <v>14</v>
      </c>
      <c r="O62">
        <v>58</v>
      </c>
      <c r="P62">
        <v>72</v>
      </c>
      <c r="Q62" t="str">
        <f t="shared" si="0"/>
        <v>Complete</v>
      </c>
      <c r="R62">
        <f t="shared" si="7"/>
        <v>0.2424</v>
      </c>
      <c r="S62">
        <f t="shared" si="1"/>
        <v>2011</v>
      </c>
      <c r="T62" t="str">
        <f t="shared" si="2"/>
        <v>January</v>
      </c>
      <c r="U62" t="str">
        <f t="shared" si="3"/>
        <v>Weekday</v>
      </c>
      <c r="V62" t="str">
        <f t="shared" si="4"/>
        <v>Afternoon</v>
      </c>
      <c r="W62" t="str">
        <f t="shared" si="5"/>
        <v>Spring</v>
      </c>
      <c r="X62" t="str">
        <f t="shared" si="6"/>
        <v>Clear</v>
      </c>
    </row>
    <row r="63" spans="1:24">
      <c r="A63">
        <v>62</v>
      </c>
      <c r="B63" s="2">
        <v>40546</v>
      </c>
      <c r="C63">
        <v>1</v>
      </c>
      <c r="D63">
        <v>0</v>
      </c>
      <c r="E63">
        <v>1</v>
      </c>
      <c r="F63">
        <v>16</v>
      </c>
      <c r="G63" t="b">
        <v>0</v>
      </c>
      <c r="H63">
        <v>1</v>
      </c>
      <c r="I63">
        <v>1</v>
      </c>
      <c r="J63">
        <v>0.26</v>
      </c>
      <c r="K63">
        <v>0.2424</v>
      </c>
      <c r="L63">
        <v>0.3</v>
      </c>
      <c r="M63">
        <v>0.25369999999999998</v>
      </c>
      <c r="N63">
        <v>9</v>
      </c>
      <c r="O63">
        <v>67</v>
      </c>
      <c r="P63">
        <v>76</v>
      </c>
      <c r="Q63" t="str">
        <f t="shared" si="0"/>
        <v>Complete</v>
      </c>
      <c r="R63">
        <f t="shared" si="7"/>
        <v>0.2424</v>
      </c>
      <c r="S63">
        <f t="shared" si="1"/>
        <v>2011</v>
      </c>
      <c r="T63" t="str">
        <f t="shared" si="2"/>
        <v>January</v>
      </c>
      <c r="U63" t="str">
        <f t="shared" si="3"/>
        <v>Weekday</v>
      </c>
      <c r="V63" t="str">
        <f t="shared" si="4"/>
        <v>Afternoon</v>
      </c>
      <c r="W63" t="str">
        <f t="shared" si="5"/>
        <v>Spring</v>
      </c>
      <c r="X63" t="str">
        <f t="shared" si="6"/>
        <v>Clear</v>
      </c>
    </row>
    <row r="64" spans="1:24">
      <c r="A64">
        <v>63</v>
      </c>
      <c r="B64" s="2">
        <v>40546</v>
      </c>
      <c r="C64">
        <v>1</v>
      </c>
      <c r="D64">
        <v>0</v>
      </c>
      <c r="E64">
        <v>1</v>
      </c>
      <c r="F64">
        <v>17</v>
      </c>
      <c r="G64" t="b">
        <v>0</v>
      </c>
      <c r="H64">
        <v>1</v>
      </c>
      <c r="I64">
        <v>1</v>
      </c>
      <c r="J64">
        <v>0.24</v>
      </c>
      <c r="K64">
        <v>0.2273</v>
      </c>
      <c r="L64">
        <v>0.3</v>
      </c>
      <c r="M64">
        <v>0.22389999999999999</v>
      </c>
      <c r="N64">
        <v>11</v>
      </c>
      <c r="O64">
        <v>146</v>
      </c>
      <c r="P64">
        <v>157</v>
      </c>
      <c r="Q64" t="str">
        <f t="shared" si="0"/>
        <v>Complete</v>
      </c>
      <c r="R64">
        <f t="shared" si="7"/>
        <v>0.2273</v>
      </c>
      <c r="S64">
        <f t="shared" si="1"/>
        <v>2011</v>
      </c>
      <c r="T64" t="str">
        <f t="shared" si="2"/>
        <v>January</v>
      </c>
      <c r="U64" t="str">
        <f t="shared" si="3"/>
        <v>Weekday</v>
      </c>
      <c r="V64" t="str">
        <f t="shared" si="4"/>
        <v>Afternoon</v>
      </c>
      <c r="W64" t="str">
        <f t="shared" si="5"/>
        <v>Spring</v>
      </c>
      <c r="X64" t="str">
        <f t="shared" si="6"/>
        <v>Clear</v>
      </c>
    </row>
    <row r="65" spans="1:24">
      <c r="A65">
        <v>64</v>
      </c>
      <c r="B65" s="2">
        <v>40546</v>
      </c>
      <c r="C65">
        <v>1</v>
      </c>
      <c r="D65">
        <v>0</v>
      </c>
      <c r="E65">
        <v>1</v>
      </c>
      <c r="F65">
        <v>18</v>
      </c>
      <c r="G65" t="b">
        <v>0</v>
      </c>
      <c r="H65">
        <v>1</v>
      </c>
      <c r="I65">
        <v>1</v>
      </c>
      <c r="J65">
        <v>0.24</v>
      </c>
      <c r="K65">
        <v>0.2576</v>
      </c>
      <c r="L65">
        <v>0.32</v>
      </c>
      <c r="M65">
        <v>0.1045</v>
      </c>
      <c r="N65">
        <v>9</v>
      </c>
      <c r="O65">
        <v>148</v>
      </c>
      <c r="P65">
        <v>157</v>
      </c>
      <c r="Q65" t="str">
        <f t="shared" si="0"/>
        <v>Complete</v>
      </c>
      <c r="R65">
        <f t="shared" si="7"/>
        <v>0.2576</v>
      </c>
      <c r="S65">
        <f t="shared" si="1"/>
        <v>2011</v>
      </c>
      <c r="T65" t="str">
        <f t="shared" si="2"/>
        <v>January</v>
      </c>
      <c r="U65" t="str">
        <f t="shared" si="3"/>
        <v>Weekday</v>
      </c>
      <c r="V65" t="str">
        <f t="shared" si="4"/>
        <v>Evening</v>
      </c>
      <c r="W65" t="str">
        <f t="shared" si="5"/>
        <v>Spring</v>
      </c>
      <c r="X65" t="str">
        <f t="shared" si="6"/>
        <v>Clear</v>
      </c>
    </row>
    <row r="66" spans="1:24">
      <c r="A66">
        <v>65</v>
      </c>
      <c r="B66" s="2">
        <v>40546</v>
      </c>
      <c r="C66">
        <v>1</v>
      </c>
      <c r="D66">
        <v>0</v>
      </c>
      <c r="E66">
        <v>1</v>
      </c>
      <c r="F66">
        <v>19</v>
      </c>
      <c r="G66" t="b">
        <v>0</v>
      </c>
      <c r="H66">
        <v>1</v>
      </c>
      <c r="I66">
        <v>1</v>
      </c>
      <c r="J66">
        <v>0.2</v>
      </c>
      <c r="K66">
        <v>0.2576</v>
      </c>
      <c r="L66">
        <v>0.47</v>
      </c>
      <c r="M66">
        <v>0</v>
      </c>
      <c r="N66">
        <v>8</v>
      </c>
      <c r="O66">
        <v>102</v>
      </c>
      <c r="P66">
        <v>110</v>
      </c>
      <c r="Q66" t="str">
        <f t="shared" ref="Q66:Q129" si="8">IF(K66="","Missing atemp","Complete")</f>
        <v>Complete</v>
      </c>
      <c r="R66">
        <f t="shared" si="7"/>
        <v>0.2576</v>
      </c>
      <c r="S66">
        <f t="shared" ref="S66:S129" si="9">IF(D66=0,2011,"")</f>
        <v>2011</v>
      </c>
      <c r="T66" t="str">
        <f t="shared" ref="T66:T129" si="10">IF(E66=1,"January","")</f>
        <v>January</v>
      </c>
      <c r="U66" t="str">
        <f t="shared" ref="U66:U129" si="11">IF(G66=TRUE,"Holiday",IF(H66=0,"Sunday",IF(H66=6,"Saturday","Weekday")))</f>
        <v>Weekday</v>
      </c>
      <c r="V66" t="str">
        <f t="shared" ref="V66:V129" si="12">IF(F66&lt;6,"Night",IF(F66&lt;12,"Morning",IF(F66&lt;18,"Afternoon","Evening")))</f>
        <v>Evening</v>
      </c>
      <c r="W66" t="str">
        <f t="shared" ref="W66:W129" si="13">IF(C66=1,"Spring","")</f>
        <v>Spring</v>
      </c>
      <c r="X66" t="str">
        <f t="shared" ref="X66:X129" si="14">IF(I66=1,"Clear",IF(I66=2,"Mist/Cloudy",IF(I66=3,"Light Rain/Snow",IF(I66=4,"Heavy Rain/Snow","Unknown"))))</f>
        <v>Clear</v>
      </c>
    </row>
    <row r="67" spans="1:24">
      <c r="A67">
        <v>66</v>
      </c>
      <c r="B67" s="2">
        <v>40546</v>
      </c>
      <c r="C67">
        <v>1</v>
      </c>
      <c r="D67">
        <v>0</v>
      </c>
      <c r="E67">
        <v>1</v>
      </c>
      <c r="F67">
        <v>20</v>
      </c>
      <c r="G67" t="b">
        <v>0</v>
      </c>
      <c r="H67">
        <v>1</v>
      </c>
      <c r="I67">
        <v>1</v>
      </c>
      <c r="J67">
        <v>0.2</v>
      </c>
      <c r="L67">
        <v>0.47</v>
      </c>
      <c r="M67">
        <v>0.1045</v>
      </c>
      <c r="N67">
        <v>3</v>
      </c>
      <c r="O67">
        <v>49</v>
      </c>
      <c r="P67">
        <v>52</v>
      </c>
      <c r="Q67" t="str">
        <f>IF(K67="","Missing atemp","Complete")</f>
        <v>Missing atemp</v>
      </c>
      <c r="R67">
        <f t="shared" ref="R67:R130" si="15">IF(K67="",J67,K67)</f>
        <v>0.2</v>
      </c>
      <c r="S67">
        <f t="shared" si="9"/>
        <v>2011</v>
      </c>
      <c r="T67" t="str">
        <f t="shared" si="10"/>
        <v>January</v>
      </c>
      <c r="U67" t="str">
        <f t="shared" si="11"/>
        <v>Weekday</v>
      </c>
      <c r="V67" t="str">
        <f t="shared" si="12"/>
        <v>Evening</v>
      </c>
      <c r="W67" t="str">
        <f t="shared" si="13"/>
        <v>Spring</v>
      </c>
      <c r="X67" t="str">
        <f t="shared" si="14"/>
        <v>Clear</v>
      </c>
    </row>
    <row r="68" spans="1:24">
      <c r="A68">
        <v>67</v>
      </c>
      <c r="B68" s="2">
        <v>40546</v>
      </c>
      <c r="C68">
        <v>1</v>
      </c>
      <c r="D68">
        <v>0</v>
      </c>
      <c r="E68">
        <v>1</v>
      </c>
      <c r="F68">
        <v>21</v>
      </c>
      <c r="G68" t="b">
        <v>0</v>
      </c>
      <c r="H68">
        <v>1</v>
      </c>
      <c r="I68">
        <v>1</v>
      </c>
      <c r="J68">
        <v>0.18</v>
      </c>
      <c r="K68">
        <v>0.19700000000000001</v>
      </c>
      <c r="L68">
        <v>0.64</v>
      </c>
      <c r="M68">
        <v>0.1343</v>
      </c>
      <c r="N68">
        <v>3</v>
      </c>
      <c r="O68">
        <v>49</v>
      </c>
      <c r="P68">
        <v>52</v>
      </c>
      <c r="Q68" t="str">
        <f t="shared" si="8"/>
        <v>Complete</v>
      </c>
      <c r="R68">
        <f t="shared" si="15"/>
        <v>0.19700000000000001</v>
      </c>
      <c r="S68">
        <f t="shared" si="9"/>
        <v>2011</v>
      </c>
      <c r="T68" t="str">
        <f t="shared" si="10"/>
        <v>January</v>
      </c>
      <c r="U68" t="str">
        <f t="shared" si="11"/>
        <v>Weekday</v>
      </c>
      <c r="V68" t="str">
        <f t="shared" si="12"/>
        <v>Evening</v>
      </c>
      <c r="W68" t="str">
        <f t="shared" si="13"/>
        <v>Spring</v>
      </c>
      <c r="X68" t="str">
        <f t="shared" si="14"/>
        <v>Clear</v>
      </c>
    </row>
    <row r="69" spans="1:24">
      <c r="A69">
        <v>68</v>
      </c>
      <c r="B69" s="2">
        <v>40546</v>
      </c>
      <c r="C69">
        <v>1</v>
      </c>
      <c r="D69">
        <v>0</v>
      </c>
      <c r="E69">
        <v>1</v>
      </c>
      <c r="F69">
        <v>22</v>
      </c>
      <c r="G69" t="b">
        <v>0</v>
      </c>
      <c r="H69">
        <v>1</v>
      </c>
      <c r="I69">
        <v>1</v>
      </c>
      <c r="J69">
        <v>0.14000000000000001</v>
      </c>
      <c r="K69">
        <v>0.1515</v>
      </c>
      <c r="L69">
        <v>0.69</v>
      </c>
      <c r="M69">
        <v>0.1343</v>
      </c>
      <c r="N69">
        <v>0</v>
      </c>
      <c r="O69">
        <v>20</v>
      </c>
      <c r="P69">
        <v>20</v>
      </c>
      <c r="Q69" t="str">
        <f t="shared" si="8"/>
        <v>Complete</v>
      </c>
      <c r="R69">
        <f t="shared" si="15"/>
        <v>0.1515</v>
      </c>
      <c r="S69">
        <f t="shared" si="9"/>
        <v>2011</v>
      </c>
      <c r="T69" t="str">
        <f t="shared" si="10"/>
        <v>January</v>
      </c>
      <c r="U69" t="str">
        <f t="shared" si="11"/>
        <v>Weekday</v>
      </c>
      <c r="V69" t="str">
        <f t="shared" si="12"/>
        <v>Evening</v>
      </c>
      <c r="W69" t="str">
        <f t="shared" si="13"/>
        <v>Spring</v>
      </c>
      <c r="X69" t="str">
        <f t="shared" si="14"/>
        <v>Clear</v>
      </c>
    </row>
    <row r="70" spans="1:24">
      <c r="A70">
        <v>69</v>
      </c>
      <c r="B70" s="2">
        <v>40546</v>
      </c>
      <c r="C70">
        <v>1</v>
      </c>
      <c r="D70">
        <v>0</v>
      </c>
      <c r="E70">
        <v>1</v>
      </c>
      <c r="F70">
        <v>23</v>
      </c>
      <c r="G70" t="b">
        <v>0</v>
      </c>
      <c r="H70">
        <v>1</v>
      </c>
      <c r="I70">
        <v>1</v>
      </c>
      <c r="J70">
        <v>0.18</v>
      </c>
      <c r="K70">
        <v>0.21210000000000001</v>
      </c>
      <c r="L70">
        <v>0.55000000000000004</v>
      </c>
      <c r="M70">
        <v>0.1045</v>
      </c>
      <c r="N70">
        <v>1</v>
      </c>
      <c r="O70">
        <v>11</v>
      </c>
      <c r="P70">
        <v>12</v>
      </c>
      <c r="Q70" t="str">
        <f t="shared" si="8"/>
        <v>Complete</v>
      </c>
      <c r="R70">
        <f t="shared" si="15"/>
        <v>0.21210000000000001</v>
      </c>
      <c r="S70">
        <f t="shared" si="9"/>
        <v>2011</v>
      </c>
      <c r="T70" t="str">
        <f t="shared" si="10"/>
        <v>January</v>
      </c>
      <c r="U70" t="str">
        <f t="shared" si="11"/>
        <v>Weekday</v>
      </c>
      <c r="V70" t="str">
        <f t="shared" si="12"/>
        <v>Evening</v>
      </c>
      <c r="W70" t="str">
        <f t="shared" si="13"/>
        <v>Spring</v>
      </c>
      <c r="X70" t="str">
        <f t="shared" si="14"/>
        <v>Clear</v>
      </c>
    </row>
    <row r="71" spans="1:24">
      <c r="A71">
        <v>70</v>
      </c>
      <c r="B71" s="2">
        <v>40547</v>
      </c>
      <c r="C71">
        <v>1</v>
      </c>
      <c r="D71">
        <v>0</v>
      </c>
      <c r="E71">
        <v>1</v>
      </c>
      <c r="F71">
        <v>0</v>
      </c>
      <c r="G71" t="b">
        <v>0</v>
      </c>
      <c r="H71">
        <v>2</v>
      </c>
      <c r="I71">
        <v>1</v>
      </c>
      <c r="J71">
        <v>0.16</v>
      </c>
      <c r="L71">
        <v>0.55000000000000004</v>
      </c>
      <c r="M71">
        <v>0.1045</v>
      </c>
      <c r="N71">
        <v>0</v>
      </c>
      <c r="O71">
        <v>5</v>
      </c>
      <c r="P71">
        <v>5</v>
      </c>
      <c r="Q71" t="str">
        <f t="shared" si="8"/>
        <v>Missing atemp</v>
      </c>
      <c r="R71">
        <f t="shared" si="15"/>
        <v>0.16</v>
      </c>
      <c r="S71">
        <f t="shared" si="9"/>
        <v>2011</v>
      </c>
      <c r="T71" t="str">
        <f t="shared" si="10"/>
        <v>January</v>
      </c>
      <c r="U71" t="str">
        <f t="shared" si="11"/>
        <v>Weekday</v>
      </c>
      <c r="V71" t="str">
        <f t="shared" si="12"/>
        <v>Night</v>
      </c>
      <c r="W71" t="str">
        <f t="shared" si="13"/>
        <v>Spring</v>
      </c>
      <c r="X71" t="str">
        <f t="shared" si="14"/>
        <v>Clear</v>
      </c>
    </row>
    <row r="72" spans="1:24">
      <c r="A72">
        <v>71</v>
      </c>
      <c r="B72" s="2">
        <v>40547</v>
      </c>
      <c r="C72">
        <v>1</v>
      </c>
      <c r="D72">
        <v>0</v>
      </c>
      <c r="E72">
        <v>1</v>
      </c>
      <c r="F72">
        <v>1</v>
      </c>
      <c r="G72" t="b">
        <v>0</v>
      </c>
      <c r="H72">
        <v>2</v>
      </c>
      <c r="I72">
        <v>1</v>
      </c>
      <c r="J72">
        <v>0.16</v>
      </c>
      <c r="K72">
        <v>0.18179999999999999</v>
      </c>
      <c r="L72">
        <v>0.59</v>
      </c>
      <c r="M72">
        <v>0.1045</v>
      </c>
      <c r="N72">
        <v>0</v>
      </c>
      <c r="O72">
        <v>2</v>
      </c>
      <c r="P72">
        <v>2</v>
      </c>
      <c r="Q72" t="str">
        <f t="shared" si="8"/>
        <v>Complete</v>
      </c>
      <c r="R72">
        <f t="shared" si="15"/>
        <v>0.18179999999999999</v>
      </c>
      <c r="S72">
        <f t="shared" si="9"/>
        <v>2011</v>
      </c>
      <c r="T72" t="str">
        <f t="shared" si="10"/>
        <v>January</v>
      </c>
      <c r="U72" t="str">
        <f t="shared" si="11"/>
        <v>Weekday</v>
      </c>
      <c r="V72" t="str">
        <f t="shared" si="12"/>
        <v>Night</v>
      </c>
      <c r="W72" t="str">
        <f t="shared" si="13"/>
        <v>Spring</v>
      </c>
      <c r="X72" t="str">
        <f t="shared" si="14"/>
        <v>Clear</v>
      </c>
    </row>
    <row r="73" spans="1:24">
      <c r="A73">
        <v>72</v>
      </c>
      <c r="B73" s="2">
        <v>40547</v>
      </c>
      <c r="C73">
        <v>1</v>
      </c>
      <c r="D73">
        <v>0</v>
      </c>
      <c r="E73">
        <v>1</v>
      </c>
      <c r="F73">
        <v>2</v>
      </c>
      <c r="G73" t="b">
        <v>0</v>
      </c>
      <c r="H73">
        <v>2</v>
      </c>
      <c r="I73">
        <v>1</v>
      </c>
      <c r="J73">
        <v>0.14000000000000001</v>
      </c>
      <c r="K73">
        <v>0.1515</v>
      </c>
      <c r="L73">
        <v>0.63</v>
      </c>
      <c r="M73">
        <v>0.1343</v>
      </c>
      <c r="N73">
        <v>0</v>
      </c>
      <c r="O73">
        <v>1</v>
      </c>
      <c r="P73">
        <v>1</v>
      </c>
      <c r="Q73" t="str">
        <f t="shared" si="8"/>
        <v>Complete</v>
      </c>
      <c r="R73">
        <f t="shared" si="15"/>
        <v>0.1515</v>
      </c>
      <c r="S73">
        <f t="shared" si="9"/>
        <v>2011</v>
      </c>
      <c r="T73" t="str">
        <f t="shared" si="10"/>
        <v>January</v>
      </c>
      <c r="U73" t="str">
        <f t="shared" si="11"/>
        <v>Weekday</v>
      </c>
      <c r="V73" t="str">
        <f t="shared" si="12"/>
        <v>Night</v>
      </c>
      <c r="W73" t="str">
        <f t="shared" si="13"/>
        <v>Spring</v>
      </c>
      <c r="X73" t="str">
        <f t="shared" si="14"/>
        <v>Clear</v>
      </c>
    </row>
    <row r="74" spans="1:24">
      <c r="A74">
        <v>73</v>
      </c>
      <c r="B74" s="2">
        <v>40547</v>
      </c>
      <c r="C74">
        <v>1</v>
      </c>
      <c r="D74">
        <v>0</v>
      </c>
      <c r="E74">
        <v>1</v>
      </c>
      <c r="F74">
        <v>4</v>
      </c>
      <c r="G74" t="b">
        <v>0</v>
      </c>
      <c r="H74">
        <v>2</v>
      </c>
      <c r="I74">
        <v>1</v>
      </c>
      <c r="J74">
        <v>0.14000000000000001</v>
      </c>
      <c r="K74">
        <v>0.18179999999999999</v>
      </c>
      <c r="L74">
        <v>0.63</v>
      </c>
      <c r="M74">
        <v>8.9599999999999999E-2</v>
      </c>
      <c r="N74">
        <v>0</v>
      </c>
      <c r="O74">
        <v>2</v>
      </c>
      <c r="P74">
        <v>2</v>
      </c>
      <c r="Q74" t="str">
        <f t="shared" si="8"/>
        <v>Complete</v>
      </c>
      <c r="R74">
        <f t="shared" si="15"/>
        <v>0.18179999999999999</v>
      </c>
      <c r="S74">
        <f t="shared" si="9"/>
        <v>2011</v>
      </c>
      <c r="T74" t="str">
        <f t="shared" si="10"/>
        <v>January</v>
      </c>
      <c r="U74" t="str">
        <f t="shared" si="11"/>
        <v>Weekday</v>
      </c>
      <c r="V74" t="str">
        <f t="shared" si="12"/>
        <v>Night</v>
      </c>
      <c r="W74" t="str">
        <f t="shared" si="13"/>
        <v>Spring</v>
      </c>
      <c r="X74" t="str">
        <f t="shared" si="14"/>
        <v>Clear</v>
      </c>
    </row>
    <row r="75" spans="1:24">
      <c r="A75">
        <v>74</v>
      </c>
      <c r="B75" s="2">
        <v>40547</v>
      </c>
      <c r="C75">
        <v>1</v>
      </c>
      <c r="D75">
        <v>0</v>
      </c>
      <c r="E75">
        <v>1</v>
      </c>
      <c r="F75">
        <v>5</v>
      </c>
      <c r="G75" t="b">
        <v>0</v>
      </c>
      <c r="H75">
        <v>2</v>
      </c>
      <c r="I75">
        <v>1</v>
      </c>
      <c r="J75">
        <v>0.12</v>
      </c>
      <c r="K75">
        <v>0.1515</v>
      </c>
      <c r="L75">
        <v>0.68</v>
      </c>
      <c r="M75">
        <v>0.1045</v>
      </c>
      <c r="N75">
        <v>0</v>
      </c>
      <c r="O75">
        <v>4</v>
      </c>
      <c r="P75">
        <v>4</v>
      </c>
      <c r="Q75" t="str">
        <f t="shared" si="8"/>
        <v>Complete</v>
      </c>
      <c r="R75">
        <f t="shared" si="15"/>
        <v>0.1515</v>
      </c>
      <c r="S75">
        <f t="shared" si="9"/>
        <v>2011</v>
      </c>
      <c r="T75" t="str">
        <f t="shared" si="10"/>
        <v>January</v>
      </c>
      <c r="U75" t="str">
        <f t="shared" si="11"/>
        <v>Weekday</v>
      </c>
      <c r="V75" t="str">
        <f t="shared" si="12"/>
        <v>Night</v>
      </c>
      <c r="W75" t="str">
        <f t="shared" si="13"/>
        <v>Spring</v>
      </c>
      <c r="X75" t="str">
        <f t="shared" si="14"/>
        <v>Clear</v>
      </c>
    </row>
    <row r="76" spans="1:24">
      <c r="A76">
        <v>75</v>
      </c>
      <c r="B76" s="2">
        <v>40547</v>
      </c>
      <c r="C76">
        <v>1</v>
      </c>
      <c r="D76">
        <v>0</v>
      </c>
      <c r="E76">
        <v>1</v>
      </c>
      <c r="F76">
        <v>6</v>
      </c>
      <c r="G76" t="b">
        <v>0</v>
      </c>
      <c r="H76">
        <v>2</v>
      </c>
      <c r="I76">
        <v>1</v>
      </c>
      <c r="J76">
        <v>0.12</v>
      </c>
      <c r="K76">
        <v>0.1515</v>
      </c>
      <c r="L76">
        <v>0.74</v>
      </c>
      <c r="M76">
        <v>0.1045</v>
      </c>
      <c r="N76">
        <v>0</v>
      </c>
      <c r="O76">
        <v>36</v>
      </c>
      <c r="P76">
        <v>36</v>
      </c>
      <c r="Q76" t="str">
        <f t="shared" si="8"/>
        <v>Complete</v>
      </c>
      <c r="R76">
        <f t="shared" si="15"/>
        <v>0.1515</v>
      </c>
      <c r="S76">
        <f t="shared" si="9"/>
        <v>2011</v>
      </c>
      <c r="T76" t="str">
        <f t="shared" si="10"/>
        <v>January</v>
      </c>
      <c r="U76" t="str">
        <f t="shared" si="11"/>
        <v>Weekday</v>
      </c>
      <c r="V76" t="str">
        <f t="shared" si="12"/>
        <v>Morning</v>
      </c>
      <c r="W76" t="str">
        <f t="shared" si="13"/>
        <v>Spring</v>
      </c>
      <c r="X76" t="str">
        <f t="shared" si="14"/>
        <v>Clear</v>
      </c>
    </row>
    <row r="77" spans="1:24">
      <c r="A77">
        <v>76</v>
      </c>
      <c r="B77" s="2">
        <v>40547</v>
      </c>
      <c r="C77">
        <v>1</v>
      </c>
      <c r="D77">
        <v>0</v>
      </c>
      <c r="E77">
        <v>1</v>
      </c>
      <c r="F77">
        <v>7</v>
      </c>
      <c r="G77" t="b">
        <v>0</v>
      </c>
      <c r="H77">
        <v>2</v>
      </c>
      <c r="I77">
        <v>1</v>
      </c>
      <c r="J77">
        <v>0.12</v>
      </c>
      <c r="K77">
        <v>0.1515</v>
      </c>
      <c r="L77">
        <v>0.74</v>
      </c>
      <c r="M77">
        <v>0.1343</v>
      </c>
      <c r="N77">
        <v>2</v>
      </c>
      <c r="O77">
        <v>92</v>
      </c>
      <c r="P77">
        <v>94</v>
      </c>
      <c r="Q77" t="str">
        <f t="shared" si="8"/>
        <v>Complete</v>
      </c>
      <c r="R77">
        <f t="shared" si="15"/>
        <v>0.1515</v>
      </c>
      <c r="S77">
        <f t="shared" si="9"/>
        <v>2011</v>
      </c>
      <c r="T77" t="str">
        <f t="shared" si="10"/>
        <v>January</v>
      </c>
      <c r="U77" t="str">
        <f t="shared" si="11"/>
        <v>Weekday</v>
      </c>
      <c r="V77" t="str">
        <f t="shared" si="12"/>
        <v>Morning</v>
      </c>
      <c r="W77" t="str">
        <f t="shared" si="13"/>
        <v>Spring</v>
      </c>
      <c r="X77" t="str">
        <f t="shared" si="14"/>
        <v>Clear</v>
      </c>
    </row>
    <row r="78" spans="1:24">
      <c r="A78">
        <v>77</v>
      </c>
      <c r="B78" s="2">
        <v>40547</v>
      </c>
      <c r="C78">
        <v>1</v>
      </c>
      <c r="D78">
        <v>0</v>
      </c>
      <c r="E78">
        <v>1</v>
      </c>
      <c r="F78">
        <v>8</v>
      </c>
      <c r="G78" t="b">
        <v>0</v>
      </c>
      <c r="H78">
        <v>2</v>
      </c>
      <c r="I78">
        <v>1</v>
      </c>
      <c r="J78">
        <v>0.14000000000000001</v>
      </c>
      <c r="K78">
        <v>0.1515</v>
      </c>
      <c r="L78">
        <v>0.69</v>
      </c>
      <c r="M78">
        <v>0.16420000000000001</v>
      </c>
      <c r="N78">
        <v>2</v>
      </c>
      <c r="O78">
        <v>177</v>
      </c>
      <c r="P78">
        <v>179</v>
      </c>
      <c r="Q78" t="str">
        <f t="shared" si="8"/>
        <v>Complete</v>
      </c>
      <c r="R78">
        <f t="shared" si="15"/>
        <v>0.1515</v>
      </c>
      <c r="S78">
        <f t="shared" si="9"/>
        <v>2011</v>
      </c>
      <c r="T78" t="str">
        <f t="shared" si="10"/>
        <v>January</v>
      </c>
      <c r="U78" t="str">
        <f t="shared" si="11"/>
        <v>Weekday</v>
      </c>
      <c r="V78" t="str">
        <f t="shared" si="12"/>
        <v>Morning</v>
      </c>
      <c r="W78" t="str">
        <f t="shared" si="13"/>
        <v>Spring</v>
      </c>
      <c r="X78" t="str">
        <f t="shared" si="14"/>
        <v>Clear</v>
      </c>
    </row>
    <row r="79" spans="1:24">
      <c r="A79">
        <v>78</v>
      </c>
      <c r="B79" s="2">
        <v>40547</v>
      </c>
      <c r="C79">
        <v>1</v>
      </c>
      <c r="D79">
        <v>0</v>
      </c>
      <c r="E79">
        <v>1</v>
      </c>
      <c r="F79">
        <v>9</v>
      </c>
      <c r="G79" t="b">
        <v>0</v>
      </c>
      <c r="H79">
        <v>2</v>
      </c>
      <c r="I79">
        <v>1</v>
      </c>
      <c r="J79">
        <v>0.16</v>
      </c>
      <c r="K79">
        <v>0.1515</v>
      </c>
      <c r="L79">
        <v>0.64</v>
      </c>
      <c r="M79">
        <v>0.22389999999999999</v>
      </c>
      <c r="N79">
        <v>2</v>
      </c>
      <c r="O79">
        <v>98</v>
      </c>
      <c r="P79">
        <v>100</v>
      </c>
      <c r="Q79" t="str">
        <f t="shared" si="8"/>
        <v>Complete</v>
      </c>
      <c r="R79">
        <f t="shared" si="15"/>
        <v>0.1515</v>
      </c>
      <c r="S79">
        <f t="shared" si="9"/>
        <v>2011</v>
      </c>
      <c r="T79" t="str">
        <f t="shared" si="10"/>
        <v>January</v>
      </c>
      <c r="U79" t="str">
        <f t="shared" si="11"/>
        <v>Weekday</v>
      </c>
      <c r="V79" t="str">
        <f t="shared" si="12"/>
        <v>Morning</v>
      </c>
      <c r="W79" t="str">
        <f t="shared" si="13"/>
        <v>Spring</v>
      </c>
      <c r="X79" t="str">
        <f t="shared" si="14"/>
        <v>Clear</v>
      </c>
    </row>
    <row r="80" spans="1:24">
      <c r="A80">
        <v>79</v>
      </c>
      <c r="B80" s="2">
        <v>40547</v>
      </c>
      <c r="C80">
        <v>1</v>
      </c>
      <c r="D80">
        <v>0</v>
      </c>
      <c r="E80">
        <v>1</v>
      </c>
      <c r="F80">
        <v>10</v>
      </c>
      <c r="G80" t="b">
        <v>0</v>
      </c>
      <c r="H80">
        <v>2</v>
      </c>
      <c r="I80">
        <v>2</v>
      </c>
      <c r="J80">
        <v>0.16</v>
      </c>
      <c r="K80">
        <v>0.13639999999999999</v>
      </c>
      <c r="L80">
        <v>0.69</v>
      </c>
      <c r="M80">
        <v>0.32840000000000003</v>
      </c>
      <c r="N80">
        <v>5</v>
      </c>
      <c r="O80">
        <v>37</v>
      </c>
      <c r="P80">
        <v>42</v>
      </c>
      <c r="Q80" t="str">
        <f t="shared" si="8"/>
        <v>Complete</v>
      </c>
      <c r="R80">
        <f t="shared" si="15"/>
        <v>0.13639999999999999</v>
      </c>
      <c r="S80">
        <f t="shared" si="9"/>
        <v>2011</v>
      </c>
      <c r="T80" t="str">
        <f t="shared" si="10"/>
        <v>January</v>
      </c>
      <c r="U80" t="str">
        <f t="shared" si="11"/>
        <v>Weekday</v>
      </c>
      <c r="V80" t="str">
        <f t="shared" si="12"/>
        <v>Morning</v>
      </c>
      <c r="W80" t="str">
        <f t="shared" si="13"/>
        <v>Spring</v>
      </c>
      <c r="X80" t="str">
        <f t="shared" si="14"/>
        <v>Mist/Cloudy</v>
      </c>
    </row>
    <row r="81" spans="1:24">
      <c r="A81">
        <v>80</v>
      </c>
      <c r="B81" s="2">
        <v>40547</v>
      </c>
      <c r="C81">
        <v>1</v>
      </c>
      <c r="D81">
        <v>0</v>
      </c>
      <c r="E81">
        <v>1</v>
      </c>
      <c r="F81">
        <v>11</v>
      </c>
      <c r="G81" t="b">
        <v>0</v>
      </c>
      <c r="H81">
        <v>2</v>
      </c>
      <c r="I81">
        <v>1</v>
      </c>
      <c r="J81">
        <v>0.22</v>
      </c>
      <c r="K81">
        <v>0.21210000000000001</v>
      </c>
      <c r="L81">
        <v>0.51</v>
      </c>
      <c r="M81">
        <v>0.29849999999999999</v>
      </c>
      <c r="N81">
        <v>7</v>
      </c>
      <c r="O81">
        <v>50</v>
      </c>
      <c r="P81">
        <v>57</v>
      </c>
      <c r="Q81" t="str">
        <f t="shared" si="8"/>
        <v>Complete</v>
      </c>
      <c r="R81">
        <f t="shared" si="15"/>
        <v>0.21210000000000001</v>
      </c>
      <c r="S81">
        <f t="shared" si="9"/>
        <v>2011</v>
      </c>
      <c r="T81" t="str">
        <f t="shared" si="10"/>
        <v>January</v>
      </c>
      <c r="U81" t="str">
        <f t="shared" si="11"/>
        <v>Weekday</v>
      </c>
      <c r="V81" t="str">
        <f t="shared" si="12"/>
        <v>Morning</v>
      </c>
      <c r="W81" t="str">
        <f t="shared" si="13"/>
        <v>Spring</v>
      </c>
      <c r="X81" t="str">
        <f t="shared" si="14"/>
        <v>Clear</v>
      </c>
    </row>
    <row r="82" spans="1:24">
      <c r="A82">
        <v>81</v>
      </c>
      <c r="B82" s="2">
        <v>40547</v>
      </c>
      <c r="C82">
        <v>1</v>
      </c>
      <c r="D82">
        <v>0</v>
      </c>
      <c r="E82">
        <v>1</v>
      </c>
      <c r="F82">
        <v>12</v>
      </c>
      <c r="G82" t="b">
        <v>0</v>
      </c>
      <c r="H82">
        <v>2</v>
      </c>
      <c r="I82">
        <v>1</v>
      </c>
      <c r="J82">
        <v>0.22</v>
      </c>
      <c r="K82">
        <v>0.2273</v>
      </c>
      <c r="L82">
        <v>0.51</v>
      </c>
      <c r="M82">
        <v>0.16420000000000001</v>
      </c>
      <c r="N82">
        <v>12</v>
      </c>
      <c r="O82">
        <v>66</v>
      </c>
      <c r="P82">
        <v>78</v>
      </c>
      <c r="Q82" t="str">
        <f t="shared" si="8"/>
        <v>Complete</v>
      </c>
      <c r="R82">
        <f t="shared" si="15"/>
        <v>0.2273</v>
      </c>
      <c r="S82">
        <f t="shared" si="9"/>
        <v>2011</v>
      </c>
      <c r="T82" t="str">
        <f t="shared" si="10"/>
        <v>January</v>
      </c>
      <c r="U82" t="str">
        <f t="shared" si="11"/>
        <v>Weekday</v>
      </c>
      <c r="V82" t="str">
        <f t="shared" si="12"/>
        <v>Afternoon</v>
      </c>
      <c r="W82" t="str">
        <f t="shared" si="13"/>
        <v>Spring</v>
      </c>
      <c r="X82" t="str">
        <f t="shared" si="14"/>
        <v>Clear</v>
      </c>
    </row>
    <row r="83" spans="1:24">
      <c r="A83">
        <v>82</v>
      </c>
      <c r="B83" s="2">
        <v>40547</v>
      </c>
      <c r="C83">
        <v>1</v>
      </c>
      <c r="D83">
        <v>0</v>
      </c>
      <c r="E83">
        <v>1</v>
      </c>
      <c r="F83">
        <v>13</v>
      </c>
      <c r="G83" t="b">
        <v>0</v>
      </c>
      <c r="H83">
        <v>2</v>
      </c>
      <c r="I83">
        <v>1</v>
      </c>
      <c r="J83">
        <v>0.24</v>
      </c>
      <c r="K83">
        <v>0.2273</v>
      </c>
      <c r="L83">
        <v>0.56000000000000005</v>
      </c>
      <c r="M83">
        <v>0.19400000000000001</v>
      </c>
      <c r="N83">
        <v>18</v>
      </c>
      <c r="O83">
        <v>79</v>
      </c>
      <c r="P83">
        <v>97</v>
      </c>
      <c r="Q83" t="str">
        <f t="shared" si="8"/>
        <v>Complete</v>
      </c>
      <c r="R83">
        <f t="shared" si="15"/>
        <v>0.2273</v>
      </c>
      <c r="S83">
        <f t="shared" si="9"/>
        <v>2011</v>
      </c>
      <c r="T83" t="str">
        <f t="shared" si="10"/>
        <v>January</v>
      </c>
      <c r="U83" t="str">
        <f t="shared" si="11"/>
        <v>Weekday</v>
      </c>
      <c r="V83" t="str">
        <f t="shared" si="12"/>
        <v>Afternoon</v>
      </c>
      <c r="W83" t="str">
        <f t="shared" si="13"/>
        <v>Spring</v>
      </c>
      <c r="X83" t="str">
        <f t="shared" si="14"/>
        <v>Clear</v>
      </c>
    </row>
    <row r="84" spans="1:24">
      <c r="A84">
        <v>83</v>
      </c>
      <c r="B84" s="2">
        <v>40547</v>
      </c>
      <c r="C84">
        <v>1</v>
      </c>
      <c r="D84">
        <v>0</v>
      </c>
      <c r="E84">
        <v>1</v>
      </c>
      <c r="F84">
        <v>14</v>
      </c>
      <c r="G84" t="b">
        <v>0</v>
      </c>
      <c r="H84">
        <v>2</v>
      </c>
      <c r="I84">
        <v>1</v>
      </c>
      <c r="J84">
        <v>0.26</v>
      </c>
      <c r="K84">
        <v>0.2576</v>
      </c>
      <c r="L84">
        <v>0.52</v>
      </c>
      <c r="M84">
        <v>0.22389999999999999</v>
      </c>
      <c r="N84">
        <v>9</v>
      </c>
      <c r="O84">
        <v>54</v>
      </c>
      <c r="P84">
        <v>63</v>
      </c>
      <c r="Q84" t="str">
        <f t="shared" si="8"/>
        <v>Complete</v>
      </c>
      <c r="R84">
        <f t="shared" si="15"/>
        <v>0.2576</v>
      </c>
      <c r="S84">
        <f t="shared" si="9"/>
        <v>2011</v>
      </c>
      <c r="T84" t="str">
        <f t="shared" si="10"/>
        <v>January</v>
      </c>
      <c r="U84" t="str">
        <f t="shared" si="11"/>
        <v>Weekday</v>
      </c>
      <c r="V84" t="str">
        <f t="shared" si="12"/>
        <v>Afternoon</v>
      </c>
      <c r="W84" t="str">
        <f t="shared" si="13"/>
        <v>Spring</v>
      </c>
      <c r="X84" t="str">
        <f t="shared" si="14"/>
        <v>Clear</v>
      </c>
    </row>
    <row r="85" spans="1:24">
      <c r="A85">
        <v>84</v>
      </c>
      <c r="B85" s="2">
        <v>40547</v>
      </c>
      <c r="C85">
        <v>1</v>
      </c>
      <c r="D85">
        <v>0</v>
      </c>
      <c r="E85">
        <v>1</v>
      </c>
      <c r="F85">
        <v>15</v>
      </c>
      <c r="G85" t="b">
        <v>0</v>
      </c>
      <c r="H85">
        <v>2</v>
      </c>
      <c r="I85">
        <v>1</v>
      </c>
      <c r="J85">
        <v>0.28000000000000003</v>
      </c>
      <c r="K85">
        <v>0.2727</v>
      </c>
      <c r="L85">
        <v>0.52</v>
      </c>
      <c r="M85">
        <v>0.25369999999999998</v>
      </c>
      <c r="N85">
        <v>17</v>
      </c>
      <c r="O85">
        <v>48</v>
      </c>
      <c r="P85">
        <v>65</v>
      </c>
      <c r="Q85" t="str">
        <f t="shared" si="8"/>
        <v>Complete</v>
      </c>
      <c r="R85">
        <f t="shared" si="15"/>
        <v>0.2727</v>
      </c>
      <c r="S85">
        <f t="shared" si="9"/>
        <v>2011</v>
      </c>
      <c r="T85" t="str">
        <f t="shared" si="10"/>
        <v>January</v>
      </c>
      <c r="U85" t="str">
        <f t="shared" si="11"/>
        <v>Weekday</v>
      </c>
      <c r="V85" t="str">
        <f t="shared" si="12"/>
        <v>Afternoon</v>
      </c>
      <c r="W85" t="str">
        <f t="shared" si="13"/>
        <v>Spring</v>
      </c>
      <c r="X85" t="str">
        <f t="shared" si="14"/>
        <v>Clear</v>
      </c>
    </row>
    <row r="86" spans="1:24">
      <c r="A86">
        <v>85</v>
      </c>
      <c r="B86" s="2">
        <v>40547</v>
      </c>
      <c r="C86">
        <v>1</v>
      </c>
      <c r="D86">
        <v>0</v>
      </c>
      <c r="E86">
        <v>1</v>
      </c>
      <c r="F86">
        <v>16</v>
      </c>
      <c r="G86" t="b">
        <v>0</v>
      </c>
      <c r="H86">
        <v>2</v>
      </c>
      <c r="I86">
        <v>1</v>
      </c>
      <c r="J86">
        <v>0.3</v>
      </c>
      <c r="K86">
        <v>0.28789999999999999</v>
      </c>
      <c r="L86">
        <v>0.49</v>
      </c>
      <c r="M86">
        <v>0.25369999999999998</v>
      </c>
      <c r="N86">
        <v>15</v>
      </c>
      <c r="O86">
        <v>68</v>
      </c>
      <c r="P86">
        <v>83</v>
      </c>
      <c r="Q86" t="str">
        <f t="shared" si="8"/>
        <v>Complete</v>
      </c>
      <c r="R86">
        <f t="shared" si="15"/>
        <v>0.28789999999999999</v>
      </c>
      <c r="S86">
        <f t="shared" si="9"/>
        <v>2011</v>
      </c>
      <c r="T86" t="str">
        <f t="shared" si="10"/>
        <v>January</v>
      </c>
      <c r="U86" t="str">
        <f t="shared" si="11"/>
        <v>Weekday</v>
      </c>
      <c r="V86" t="str">
        <f t="shared" si="12"/>
        <v>Afternoon</v>
      </c>
      <c r="W86" t="str">
        <f t="shared" si="13"/>
        <v>Spring</v>
      </c>
      <c r="X86" t="str">
        <f t="shared" si="14"/>
        <v>Clear</v>
      </c>
    </row>
    <row r="87" spans="1:24">
      <c r="A87">
        <v>86</v>
      </c>
      <c r="B87" s="2">
        <v>40547</v>
      </c>
      <c r="C87">
        <v>1</v>
      </c>
      <c r="D87">
        <v>0</v>
      </c>
      <c r="E87">
        <v>1</v>
      </c>
      <c r="F87">
        <v>17</v>
      </c>
      <c r="G87" t="b">
        <v>0</v>
      </c>
      <c r="H87">
        <v>2</v>
      </c>
      <c r="I87">
        <v>1</v>
      </c>
      <c r="J87">
        <v>0.28000000000000003</v>
      </c>
      <c r="K87">
        <v>0.2727</v>
      </c>
      <c r="L87">
        <v>0.48</v>
      </c>
      <c r="M87">
        <v>0.22389999999999999</v>
      </c>
      <c r="N87">
        <v>10</v>
      </c>
      <c r="O87">
        <v>202</v>
      </c>
      <c r="P87">
        <v>212</v>
      </c>
      <c r="Q87" t="str">
        <f t="shared" si="8"/>
        <v>Complete</v>
      </c>
      <c r="R87">
        <f t="shared" si="15"/>
        <v>0.2727</v>
      </c>
      <c r="S87">
        <f t="shared" si="9"/>
        <v>2011</v>
      </c>
      <c r="T87" t="str">
        <f t="shared" si="10"/>
        <v>January</v>
      </c>
      <c r="U87" t="str">
        <f t="shared" si="11"/>
        <v>Weekday</v>
      </c>
      <c r="V87" t="str">
        <f t="shared" si="12"/>
        <v>Afternoon</v>
      </c>
      <c r="W87" t="str">
        <f t="shared" si="13"/>
        <v>Spring</v>
      </c>
      <c r="X87" t="str">
        <f t="shared" si="14"/>
        <v>Clear</v>
      </c>
    </row>
    <row r="88" spans="1:24">
      <c r="A88">
        <v>87</v>
      </c>
      <c r="B88" s="2">
        <v>40547</v>
      </c>
      <c r="C88">
        <v>1</v>
      </c>
      <c r="D88">
        <v>0</v>
      </c>
      <c r="E88">
        <v>1</v>
      </c>
      <c r="F88">
        <v>18</v>
      </c>
      <c r="G88" t="b">
        <v>0</v>
      </c>
      <c r="H88">
        <v>2</v>
      </c>
      <c r="I88">
        <v>1</v>
      </c>
      <c r="J88">
        <v>0.26</v>
      </c>
      <c r="K88">
        <v>0.2576</v>
      </c>
      <c r="L88">
        <v>0.48</v>
      </c>
      <c r="M88">
        <v>0.19400000000000001</v>
      </c>
      <c r="N88">
        <v>3</v>
      </c>
      <c r="O88">
        <v>179</v>
      </c>
      <c r="P88">
        <v>182</v>
      </c>
      <c r="Q88" t="str">
        <f t="shared" si="8"/>
        <v>Complete</v>
      </c>
      <c r="R88">
        <f t="shared" si="15"/>
        <v>0.2576</v>
      </c>
      <c r="S88">
        <f t="shared" si="9"/>
        <v>2011</v>
      </c>
      <c r="T88" t="str">
        <f t="shared" si="10"/>
        <v>January</v>
      </c>
      <c r="U88" t="str">
        <f t="shared" si="11"/>
        <v>Weekday</v>
      </c>
      <c r="V88" t="str">
        <f t="shared" si="12"/>
        <v>Evening</v>
      </c>
      <c r="W88" t="str">
        <f t="shared" si="13"/>
        <v>Spring</v>
      </c>
      <c r="X88" t="str">
        <f t="shared" si="14"/>
        <v>Clear</v>
      </c>
    </row>
    <row r="89" spans="1:24">
      <c r="A89">
        <v>88</v>
      </c>
      <c r="B89" s="2">
        <v>40547</v>
      </c>
      <c r="C89">
        <v>1</v>
      </c>
      <c r="D89">
        <v>0</v>
      </c>
      <c r="E89">
        <v>1</v>
      </c>
      <c r="F89">
        <v>19</v>
      </c>
      <c r="G89" t="b">
        <v>0</v>
      </c>
      <c r="H89">
        <v>2</v>
      </c>
      <c r="I89">
        <v>1</v>
      </c>
      <c r="J89">
        <v>0.24</v>
      </c>
      <c r="K89">
        <v>0.2576</v>
      </c>
      <c r="L89">
        <v>0.48</v>
      </c>
      <c r="M89">
        <v>0.1045</v>
      </c>
      <c r="N89">
        <v>2</v>
      </c>
      <c r="O89">
        <v>110</v>
      </c>
      <c r="P89">
        <v>112</v>
      </c>
      <c r="Q89" t="str">
        <f t="shared" si="8"/>
        <v>Complete</v>
      </c>
      <c r="R89">
        <f t="shared" si="15"/>
        <v>0.2576</v>
      </c>
      <c r="S89">
        <f t="shared" si="9"/>
        <v>2011</v>
      </c>
      <c r="T89" t="str">
        <f t="shared" si="10"/>
        <v>January</v>
      </c>
      <c r="U89" t="str">
        <f t="shared" si="11"/>
        <v>Weekday</v>
      </c>
      <c r="V89" t="str">
        <f t="shared" si="12"/>
        <v>Evening</v>
      </c>
      <c r="W89" t="str">
        <f t="shared" si="13"/>
        <v>Spring</v>
      </c>
      <c r="X89" t="str">
        <f t="shared" si="14"/>
        <v>Clear</v>
      </c>
    </row>
    <row r="90" spans="1:24">
      <c r="A90">
        <v>89</v>
      </c>
      <c r="B90" s="2">
        <v>40547</v>
      </c>
      <c r="C90">
        <v>1</v>
      </c>
      <c r="D90">
        <v>0</v>
      </c>
      <c r="E90">
        <v>1</v>
      </c>
      <c r="F90">
        <v>20</v>
      </c>
      <c r="G90" t="b">
        <v>0</v>
      </c>
      <c r="H90">
        <v>2</v>
      </c>
      <c r="I90">
        <v>1</v>
      </c>
      <c r="J90">
        <v>0.24</v>
      </c>
      <c r="K90">
        <v>0.2576</v>
      </c>
      <c r="L90">
        <v>0.48</v>
      </c>
      <c r="M90">
        <v>0.1045</v>
      </c>
      <c r="N90">
        <v>1</v>
      </c>
      <c r="O90">
        <v>53</v>
      </c>
      <c r="P90">
        <v>54</v>
      </c>
      <c r="Q90" t="str">
        <f t="shared" si="8"/>
        <v>Complete</v>
      </c>
      <c r="R90">
        <f t="shared" si="15"/>
        <v>0.2576</v>
      </c>
      <c r="S90">
        <f t="shared" si="9"/>
        <v>2011</v>
      </c>
      <c r="T90" t="str">
        <f t="shared" si="10"/>
        <v>January</v>
      </c>
      <c r="U90" t="str">
        <f t="shared" si="11"/>
        <v>Weekday</v>
      </c>
      <c r="V90" t="str">
        <f t="shared" si="12"/>
        <v>Evening</v>
      </c>
      <c r="W90" t="str">
        <f t="shared" si="13"/>
        <v>Spring</v>
      </c>
      <c r="X90" t="str">
        <f t="shared" si="14"/>
        <v>Clear</v>
      </c>
    </row>
    <row r="91" spans="1:24">
      <c r="A91">
        <v>90</v>
      </c>
      <c r="B91" s="2">
        <v>40547</v>
      </c>
      <c r="C91">
        <v>1</v>
      </c>
      <c r="D91">
        <v>0</v>
      </c>
      <c r="E91">
        <v>1</v>
      </c>
      <c r="F91">
        <v>21</v>
      </c>
      <c r="G91" t="b">
        <v>0</v>
      </c>
      <c r="H91">
        <v>2</v>
      </c>
      <c r="I91">
        <v>1</v>
      </c>
      <c r="J91">
        <v>0.22</v>
      </c>
      <c r="K91">
        <v>0.2727</v>
      </c>
      <c r="L91">
        <v>0.64</v>
      </c>
      <c r="M91">
        <v>0</v>
      </c>
      <c r="N91">
        <v>0</v>
      </c>
      <c r="O91">
        <v>48</v>
      </c>
      <c r="P91">
        <v>48</v>
      </c>
      <c r="Q91" t="str">
        <f t="shared" si="8"/>
        <v>Complete</v>
      </c>
      <c r="R91">
        <f t="shared" si="15"/>
        <v>0.2727</v>
      </c>
      <c r="S91">
        <f t="shared" si="9"/>
        <v>2011</v>
      </c>
      <c r="T91" t="str">
        <f t="shared" si="10"/>
        <v>January</v>
      </c>
      <c r="U91" t="str">
        <f t="shared" si="11"/>
        <v>Weekday</v>
      </c>
      <c r="V91" t="str">
        <f t="shared" si="12"/>
        <v>Evening</v>
      </c>
      <c r="W91" t="str">
        <f t="shared" si="13"/>
        <v>Spring</v>
      </c>
      <c r="X91" t="str">
        <f t="shared" si="14"/>
        <v>Clear</v>
      </c>
    </row>
    <row r="92" spans="1:24">
      <c r="A92">
        <v>91</v>
      </c>
      <c r="B92" s="2">
        <v>40547</v>
      </c>
      <c r="C92">
        <v>1</v>
      </c>
      <c r="D92">
        <v>0</v>
      </c>
      <c r="E92">
        <v>1</v>
      </c>
      <c r="F92">
        <v>22</v>
      </c>
      <c r="G92" t="b">
        <v>0</v>
      </c>
      <c r="H92">
        <v>2</v>
      </c>
      <c r="I92">
        <v>1</v>
      </c>
      <c r="J92">
        <v>0.22</v>
      </c>
      <c r="K92">
        <v>0.2576</v>
      </c>
      <c r="L92">
        <v>0.64</v>
      </c>
      <c r="M92">
        <v>8.9599999999999999E-2</v>
      </c>
      <c r="N92">
        <v>1</v>
      </c>
      <c r="O92">
        <v>34</v>
      </c>
      <c r="P92">
        <v>35</v>
      </c>
      <c r="Q92" t="str">
        <f t="shared" si="8"/>
        <v>Complete</v>
      </c>
      <c r="R92">
        <f t="shared" si="15"/>
        <v>0.2576</v>
      </c>
      <c r="S92">
        <f t="shared" si="9"/>
        <v>2011</v>
      </c>
      <c r="T92" t="str">
        <f t="shared" si="10"/>
        <v>January</v>
      </c>
      <c r="U92" t="str">
        <f t="shared" si="11"/>
        <v>Weekday</v>
      </c>
      <c r="V92" t="str">
        <f t="shared" si="12"/>
        <v>Evening</v>
      </c>
      <c r="W92" t="str">
        <f t="shared" si="13"/>
        <v>Spring</v>
      </c>
      <c r="X92" t="str">
        <f t="shared" si="14"/>
        <v>Clear</v>
      </c>
    </row>
    <row r="93" spans="1:24">
      <c r="A93">
        <v>92</v>
      </c>
      <c r="B93" s="2">
        <v>40547</v>
      </c>
      <c r="C93">
        <v>1</v>
      </c>
      <c r="D93">
        <v>0</v>
      </c>
      <c r="E93">
        <v>1</v>
      </c>
      <c r="F93">
        <v>23</v>
      </c>
      <c r="G93" t="b">
        <v>0</v>
      </c>
      <c r="H93">
        <v>2</v>
      </c>
      <c r="I93">
        <v>1</v>
      </c>
      <c r="J93">
        <v>0.2</v>
      </c>
      <c r="K93">
        <v>0.2273</v>
      </c>
      <c r="L93">
        <v>0.69</v>
      </c>
      <c r="M93">
        <v>8.9599999999999999E-2</v>
      </c>
      <c r="N93">
        <v>2</v>
      </c>
      <c r="O93">
        <v>9</v>
      </c>
      <c r="P93">
        <v>11</v>
      </c>
      <c r="Q93" t="str">
        <f t="shared" si="8"/>
        <v>Complete</v>
      </c>
      <c r="R93">
        <f t="shared" si="15"/>
        <v>0.2273</v>
      </c>
      <c r="S93">
        <f t="shared" si="9"/>
        <v>2011</v>
      </c>
      <c r="T93" t="str">
        <f t="shared" si="10"/>
        <v>January</v>
      </c>
      <c r="U93" t="str">
        <f t="shared" si="11"/>
        <v>Weekday</v>
      </c>
      <c r="V93" t="str">
        <f t="shared" si="12"/>
        <v>Evening</v>
      </c>
      <c r="W93" t="str">
        <f t="shared" si="13"/>
        <v>Spring</v>
      </c>
      <c r="X93" t="str">
        <f t="shared" si="14"/>
        <v>Clear</v>
      </c>
    </row>
    <row r="94" spans="1:24">
      <c r="A94">
        <v>93</v>
      </c>
      <c r="B94" s="2">
        <v>40548</v>
      </c>
      <c r="C94">
        <v>1</v>
      </c>
      <c r="D94">
        <v>0</v>
      </c>
      <c r="E94">
        <v>1</v>
      </c>
      <c r="F94">
        <v>0</v>
      </c>
      <c r="G94" t="b">
        <v>0</v>
      </c>
      <c r="H94">
        <v>3</v>
      </c>
      <c r="I94">
        <v>1</v>
      </c>
      <c r="J94">
        <v>0.2</v>
      </c>
      <c r="K94">
        <v>0.2576</v>
      </c>
      <c r="L94">
        <v>0.64</v>
      </c>
      <c r="M94">
        <v>0</v>
      </c>
      <c r="N94">
        <v>0</v>
      </c>
      <c r="O94">
        <v>6</v>
      </c>
      <c r="P94">
        <v>6</v>
      </c>
      <c r="Q94" t="str">
        <f t="shared" si="8"/>
        <v>Complete</v>
      </c>
      <c r="R94">
        <f t="shared" si="15"/>
        <v>0.2576</v>
      </c>
      <c r="S94">
        <f t="shared" si="9"/>
        <v>2011</v>
      </c>
      <c r="T94" t="str">
        <f t="shared" si="10"/>
        <v>January</v>
      </c>
      <c r="U94" t="str">
        <f t="shared" si="11"/>
        <v>Weekday</v>
      </c>
      <c r="V94" t="str">
        <f t="shared" si="12"/>
        <v>Night</v>
      </c>
      <c r="W94" t="str">
        <f t="shared" si="13"/>
        <v>Spring</v>
      </c>
      <c r="X94" t="str">
        <f t="shared" si="14"/>
        <v>Clear</v>
      </c>
    </row>
    <row r="95" spans="1:24">
      <c r="A95">
        <v>94</v>
      </c>
      <c r="B95" s="2">
        <v>40548</v>
      </c>
      <c r="C95">
        <v>1</v>
      </c>
      <c r="D95">
        <v>0</v>
      </c>
      <c r="E95">
        <v>1</v>
      </c>
      <c r="F95">
        <v>1</v>
      </c>
      <c r="G95" t="b">
        <v>0</v>
      </c>
      <c r="H95">
        <v>3</v>
      </c>
      <c r="I95">
        <v>1</v>
      </c>
      <c r="J95">
        <v>0.16</v>
      </c>
      <c r="K95">
        <v>0.19700000000000001</v>
      </c>
      <c r="L95">
        <v>0.74</v>
      </c>
      <c r="M95">
        <v>8.9599999999999999E-2</v>
      </c>
      <c r="N95">
        <v>0</v>
      </c>
      <c r="O95">
        <v>6</v>
      </c>
      <c r="P95">
        <v>6</v>
      </c>
      <c r="Q95" t="str">
        <f t="shared" si="8"/>
        <v>Complete</v>
      </c>
      <c r="R95">
        <f t="shared" si="15"/>
        <v>0.19700000000000001</v>
      </c>
      <c r="S95">
        <f t="shared" si="9"/>
        <v>2011</v>
      </c>
      <c r="T95" t="str">
        <f t="shared" si="10"/>
        <v>January</v>
      </c>
      <c r="U95" t="str">
        <f t="shared" si="11"/>
        <v>Weekday</v>
      </c>
      <c r="V95" t="str">
        <f t="shared" si="12"/>
        <v>Night</v>
      </c>
      <c r="W95" t="str">
        <f t="shared" si="13"/>
        <v>Spring</v>
      </c>
      <c r="X95" t="str">
        <f t="shared" si="14"/>
        <v>Clear</v>
      </c>
    </row>
    <row r="96" spans="1:24">
      <c r="A96">
        <v>95</v>
      </c>
      <c r="B96" s="2">
        <v>40548</v>
      </c>
      <c r="C96">
        <v>1</v>
      </c>
      <c r="D96">
        <v>0</v>
      </c>
      <c r="E96">
        <v>1</v>
      </c>
      <c r="F96">
        <v>2</v>
      </c>
      <c r="G96" t="b">
        <v>0</v>
      </c>
      <c r="H96">
        <v>3</v>
      </c>
      <c r="I96">
        <v>1</v>
      </c>
      <c r="J96">
        <v>0.16</v>
      </c>
      <c r="K96">
        <v>0.19700000000000001</v>
      </c>
      <c r="L96">
        <v>0.74</v>
      </c>
      <c r="M96">
        <v>8.9599999999999999E-2</v>
      </c>
      <c r="N96">
        <v>0</v>
      </c>
      <c r="O96">
        <v>2</v>
      </c>
      <c r="P96">
        <v>2</v>
      </c>
      <c r="Q96" t="str">
        <f t="shared" si="8"/>
        <v>Complete</v>
      </c>
      <c r="R96">
        <f t="shared" si="15"/>
        <v>0.19700000000000001</v>
      </c>
      <c r="S96">
        <f t="shared" si="9"/>
        <v>2011</v>
      </c>
      <c r="T96" t="str">
        <f t="shared" si="10"/>
        <v>January</v>
      </c>
      <c r="U96" t="str">
        <f t="shared" si="11"/>
        <v>Weekday</v>
      </c>
      <c r="V96" t="str">
        <f t="shared" si="12"/>
        <v>Night</v>
      </c>
      <c r="W96" t="str">
        <f t="shared" si="13"/>
        <v>Spring</v>
      </c>
      <c r="X96" t="str">
        <f t="shared" si="14"/>
        <v>Clear</v>
      </c>
    </row>
    <row r="97" spans="1:24">
      <c r="A97">
        <v>96</v>
      </c>
      <c r="B97" s="2">
        <v>40548</v>
      </c>
      <c r="C97">
        <v>1</v>
      </c>
      <c r="D97">
        <v>0</v>
      </c>
      <c r="E97">
        <v>1</v>
      </c>
      <c r="F97">
        <v>4</v>
      </c>
      <c r="G97" t="b">
        <v>0</v>
      </c>
      <c r="H97">
        <v>3</v>
      </c>
      <c r="I97">
        <v>1</v>
      </c>
      <c r="J97">
        <v>0.24</v>
      </c>
      <c r="K97">
        <v>0.2273</v>
      </c>
      <c r="L97">
        <v>0.48</v>
      </c>
      <c r="M97">
        <v>0.22389999999999999</v>
      </c>
      <c r="N97">
        <v>0</v>
      </c>
      <c r="O97">
        <v>2</v>
      </c>
      <c r="P97">
        <v>2</v>
      </c>
      <c r="Q97" t="str">
        <f t="shared" si="8"/>
        <v>Complete</v>
      </c>
      <c r="R97">
        <f t="shared" si="15"/>
        <v>0.2273</v>
      </c>
      <c r="S97">
        <f t="shared" si="9"/>
        <v>2011</v>
      </c>
      <c r="T97" t="str">
        <f t="shared" si="10"/>
        <v>January</v>
      </c>
      <c r="U97" t="str">
        <f t="shared" si="11"/>
        <v>Weekday</v>
      </c>
      <c r="V97" t="str">
        <f t="shared" si="12"/>
        <v>Night</v>
      </c>
      <c r="W97" t="str">
        <f t="shared" si="13"/>
        <v>Spring</v>
      </c>
      <c r="X97" t="str">
        <f t="shared" si="14"/>
        <v>Clear</v>
      </c>
    </row>
    <row r="98" spans="1:24">
      <c r="A98">
        <v>97</v>
      </c>
      <c r="B98" s="2">
        <v>40548</v>
      </c>
      <c r="C98">
        <v>1</v>
      </c>
      <c r="D98">
        <v>0</v>
      </c>
      <c r="E98">
        <v>1</v>
      </c>
      <c r="F98">
        <v>5</v>
      </c>
      <c r="G98" t="b">
        <v>0</v>
      </c>
      <c r="H98">
        <v>3</v>
      </c>
      <c r="I98">
        <v>1</v>
      </c>
      <c r="J98">
        <v>0.22</v>
      </c>
      <c r="K98">
        <v>0.2273</v>
      </c>
      <c r="L98">
        <v>0.47</v>
      </c>
      <c r="M98">
        <v>0.16420000000000001</v>
      </c>
      <c r="N98">
        <v>0</v>
      </c>
      <c r="O98">
        <v>3</v>
      </c>
      <c r="P98">
        <v>3</v>
      </c>
      <c r="Q98" t="str">
        <f t="shared" si="8"/>
        <v>Complete</v>
      </c>
      <c r="R98">
        <f t="shared" si="15"/>
        <v>0.2273</v>
      </c>
      <c r="S98">
        <f t="shared" si="9"/>
        <v>2011</v>
      </c>
      <c r="T98" t="str">
        <f t="shared" si="10"/>
        <v>January</v>
      </c>
      <c r="U98" t="str">
        <f t="shared" si="11"/>
        <v>Weekday</v>
      </c>
      <c r="V98" t="str">
        <f t="shared" si="12"/>
        <v>Night</v>
      </c>
      <c r="W98" t="str">
        <f t="shared" si="13"/>
        <v>Spring</v>
      </c>
      <c r="X98" t="str">
        <f t="shared" si="14"/>
        <v>Clear</v>
      </c>
    </row>
    <row r="99" spans="1:24">
      <c r="A99">
        <v>98</v>
      </c>
      <c r="B99" s="2">
        <v>40548</v>
      </c>
      <c r="C99">
        <v>1</v>
      </c>
      <c r="D99">
        <v>0</v>
      </c>
      <c r="E99">
        <v>1</v>
      </c>
      <c r="F99">
        <v>6</v>
      </c>
      <c r="G99" t="b">
        <v>0</v>
      </c>
      <c r="H99">
        <v>3</v>
      </c>
      <c r="I99">
        <v>1</v>
      </c>
      <c r="J99">
        <v>0.2</v>
      </c>
      <c r="K99">
        <v>0.19700000000000001</v>
      </c>
      <c r="L99">
        <v>0.47</v>
      </c>
      <c r="M99">
        <v>0.22389999999999999</v>
      </c>
      <c r="N99">
        <v>0</v>
      </c>
      <c r="O99">
        <v>33</v>
      </c>
      <c r="P99">
        <v>33</v>
      </c>
      <c r="Q99" t="str">
        <f t="shared" si="8"/>
        <v>Complete</v>
      </c>
      <c r="R99">
        <f t="shared" si="15"/>
        <v>0.19700000000000001</v>
      </c>
      <c r="S99">
        <f t="shared" si="9"/>
        <v>2011</v>
      </c>
      <c r="T99" t="str">
        <f t="shared" si="10"/>
        <v>January</v>
      </c>
      <c r="U99" t="str">
        <f t="shared" si="11"/>
        <v>Weekday</v>
      </c>
      <c r="V99" t="str">
        <f t="shared" si="12"/>
        <v>Morning</v>
      </c>
      <c r="W99" t="str">
        <f t="shared" si="13"/>
        <v>Spring</v>
      </c>
      <c r="X99" t="str">
        <f t="shared" si="14"/>
        <v>Clear</v>
      </c>
    </row>
    <row r="100" spans="1:24">
      <c r="A100">
        <v>99</v>
      </c>
      <c r="B100" s="2">
        <v>40548</v>
      </c>
      <c r="C100">
        <v>1</v>
      </c>
      <c r="D100">
        <v>0</v>
      </c>
      <c r="E100">
        <v>1</v>
      </c>
      <c r="F100">
        <v>7</v>
      </c>
      <c r="G100" t="b">
        <v>0</v>
      </c>
      <c r="H100">
        <v>3</v>
      </c>
      <c r="I100">
        <v>1</v>
      </c>
      <c r="J100">
        <v>0.18</v>
      </c>
      <c r="K100">
        <v>0.18179999999999999</v>
      </c>
      <c r="L100">
        <v>0.43</v>
      </c>
      <c r="M100">
        <v>0.19400000000000001</v>
      </c>
      <c r="N100">
        <v>1</v>
      </c>
      <c r="O100">
        <v>87</v>
      </c>
      <c r="P100">
        <v>88</v>
      </c>
      <c r="Q100" t="str">
        <f t="shared" si="8"/>
        <v>Complete</v>
      </c>
      <c r="R100">
        <f t="shared" si="15"/>
        <v>0.18179999999999999</v>
      </c>
      <c r="S100">
        <f t="shared" si="9"/>
        <v>2011</v>
      </c>
      <c r="T100" t="str">
        <f t="shared" si="10"/>
        <v>January</v>
      </c>
      <c r="U100" t="str">
        <f t="shared" si="11"/>
        <v>Weekday</v>
      </c>
      <c r="V100" t="str">
        <f t="shared" si="12"/>
        <v>Morning</v>
      </c>
      <c r="W100" t="str">
        <f t="shared" si="13"/>
        <v>Spring</v>
      </c>
      <c r="X100" t="str">
        <f t="shared" si="14"/>
        <v>Clear</v>
      </c>
    </row>
    <row r="101" spans="1:24">
      <c r="A101">
        <v>100</v>
      </c>
      <c r="B101" s="2">
        <v>40548</v>
      </c>
      <c r="C101">
        <v>1</v>
      </c>
      <c r="D101">
        <v>0</v>
      </c>
      <c r="E101">
        <v>1</v>
      </c>
      <c r="F101">
        <v>8</v>
      </c>
      <c r="G101" t="b">
        <v>0</v>
      </c>
      <c r="H101">
        <v>3</v>
      </c>
      <c r="I101">
        <v>1</v>
      </c>
      <c r="J101">
        <v>0.2</v>
      </c>
      <c r="K101">
        <v>0.18179999999999999</v>
      </c>
      <c r="L101">
        <v>0.4</v>
      </c>
      <c r="M101">
        <v>0.29849999999999999</v>
      </c>
      <c r="N101">
        <v>3</v>
      </c>
      <c r="O101">
        <v>192</v>
      </c>
      <c r="P101">
        <v>195</v>
      </c>
      <c r="Q101" t="str">
        <f t="shared" si="8"/>
        <v>Complete</v>
      </c>
      <c r="R101">
        <f t="shared" si="15"/>
        <v>0.18179999999999999</v>
      </c>
      <c r="S101">
        <f t="shared" si="9"/>
        <v>2011</v>
      </c>
      <c r="T101" t="str">
        <f t="shared" si="10"/>
        <v>January</v>
      </c>
      <c r="U101" t="str">
        <f t="shared" si="11"/>
        <v>Weekday</v>
      </c>
      <c r="V101" t="str">
        <f t="shared" si="12"/>
        <v>Morning</v>
      </c>
      <c r="W101" t="str">
        <f t="shared" si="13"/>
        <v>Spring</v>
      </c>
      <c r="X101" t="str">
        <f t="shared" si="14"/>
        <v>Clear</v>
      </c>
    </row>
    <row r="102" spans="1:24">
      <c r="A102">
        <v>101</v>
      </c>
      <c r="B102" s="2">
        <v>40548</v>
      </c>
      <c r="C102">
        <v>1</v>
      </c>
      <c r="D102">
        <v>0</v>
      </c>
      <c r="E102">
        <v>1</v>
      </c>
      <c r="F102">
        <v>9</v>
      </c>
      <c r="G102" t="b">
        <v>0</v>
      </c>
      <c r="H102">
        <v>3</v>
      </c>
      <c r="I102">
        <v>1</v>
      </c>
      <c r="J102">
        <v>0.22</v>
      </c>
      <c r="K102">
        <v>0.19700000000000001</v>
      </c>
      <c r="L102">
        <v>0.37</v>
      </c>
      <c r="M102">
        <v>0.32840000000000003</v>
      </c>
      <c r="N102">
        <v>6</v>
      </c>
      <c r="O102">
        <v>109</v>
      </c>
      <c r="P102">
        <v>115</v>
      </c>
      <c r="Q102" t="str">
        <f t="shared" si="8"/>
        <v>Complete</v>
      </c>
      <c r="R102">
        <f t="shared" si="15"/>
        <v>0.19700000000000001</v>
      </c>
      <c r="S102">
        <f t="shared" si="9"/>
        <v>2011</v>
      </c>
      <c r="T102" t="str">
        <f t="shared" si="10"/>
        <v>January</v>
      </c>
      <c r="U102" t="str">
        <f t="shared" si="11"/>
        <v>Weekday</v>
      </c>
      <c r="V102" t="str">
        <f t="shared" si="12"/>
        <v>Morning</v>
      </c>
      <c r="W102" t="str">
        <f t="shared" si="13"/>
        <v>Spring</v>
      </c>
      <c r="X102" t="str">
        <f t="shared" si="14"/>
        <v>Clear</v>
      </c>
    </row>
    <row r="103" spans="1:24">
      <c r="A103">
        <v>102</v>
      </c>
      <c r="B103" s="2">
        <v>40548</v>
      </c>
      <c r="C103">
        <v>1</v>
      </c>
      <c r="D103">
        <v>0</v>
      </c>
      <c r="E103">
        <v>1</v>
      </c>
      <c r="F103">
        <v>10</v>
      </c>
      <c r="G103" t="b">
        <v>0</v>
      </c>
      <c r="H103">
        <v>3</v>
      </c>
      <c r="I103">
        <v>1</v>
      </c>
      <c r="J103">
        <v>0.22</v>
      </c>
      <c r="K103">
        <v>0.19700000000000001</v>
      </c>
      <c r="L103">
        <v>0.37</v>
      </c>
      <c r="M103">
        <v>0.32840000000000003</v>
      </c>
      <c r="N103">
        <v>4</v>
      </c>
      <c r="O103">
        <v>53</v>
      </c>
      <c r="P103">
        <v>57</v>
      </c>
      <c r="Q103" t="str">
        <f t="shared" si="8"/>
        <v>Complete</v>
      </c>
      <c r="R103">
        <f t="shared" si="15"/>
        <v>0.19700000000000001</v>
      </c>
      <c r="S103">
        <f t="shared" si="9"/>
        <v>2011</v>
      </c>
      <c r="T103" t="str">
        <f t="shared" si="10"/>
        <v>January</v>
      </c>
      <c r="U103" t="str">
        <f t="shared" si="11"/>
        <v>Weekday</v>
      </c>
      <c r="V103" t="str">
        <f t="shared" si="12"/>
        <v>Morning</v>
      </c>
      <c r="W103" t="str">
        <f t="shared" si="13"/>
        <v>Spring</v>
      </c>
      <c r="X103" t="str">
        <f t="shared" si="14"/>
        <v>Clear</v>
      </c>
    </row>
    <row r="104" spans="1:24">
      <c r="A104">
        <v>103</v>
      </c>
      <c r="B104" s="2">
        <v>40548</v>
      </c>
      <c r="C104">
        <v>1</v>
      </c>
      <c r="D104">
        <v>0</v>
      </c>
      <c r="E104">
        <v>1</v>
      </c>
      <c r="F104">
        <v>11</v>
      </c>
      <c r="G104" t="b">
        <v>0</v>
      </c>
      <c r="H104">
        <v>3</v>
      </c>
      <c r="I104">
        <v>1</v>
      </c>
      <c r="J104">
        <v>0.26</v>
      </c>
      <c r="K104">
        <v>0.2273</v>
      </c>
      <c r="L104">
        <v>0.33</v>
      </c>
      <c r="M104">
        <v>0.32840000000000003</v>
      </c>
      <c r="N104">
        <v>12</v>
      </c>
      <c r="O104">
        <v>34</v>
      </c>
      <c r="P104">
        <v>46</v>
      </c>
      <c r="Q104" t="str">
        <f t="shared" si="8"/>
        <v>Complete</v>
      </c>
      <c r="R104">
        <f t="shared" si="15"/>
        <v>0.2273</v>
      </c>
      <c r="S104">
        <f t="shared" si="9"/>
        <v>2011</v>
      </c>
      <c r="T104" t="str">
        <f t="shared" si="10"/>
        <v>January</v>
      </c>
      <c r="U104" t="str">
        <f t="shared" si="11"/>
        <v>Weekday</v>
      </c>
      <c r="V104" t="str">
        <f t="shared" si="12"/>
        <v>Morning</v>
      </c>
      <c r="W104" t="str">
        <f t="shared" si="13"/>
        <v>Spring</v>
      </c>
      <c r="X104" t="str">
        <f t="shared" si="14"/>
        <v>Clear</v>
      </c>
    </row>
    <row r="105" spans="1:24">
      <c r="A105">
        <v>104</v>
      </c>
      <c r="B105" s="2">
        <v>40548</v>
      </c>
      <c r="C105">
        <v>1</v>
      </c>
      <c r="D105">
        <v>0</v>
      </c>
      <c r="E105">
        <v>1</v>
      </c>
      <c r="F105">
        <v>12</v>
      </c>
      <c r="G105" t="b">
        <v>0</v>
      </c>
      <c r="H105">
        <v>3</v>
      </c>
      <c r="I105">
        <v>1</v>
      </c>
      <c r="J105">
        <v>0.26</v>
      </c>
      <c r="K105">
        <v>0.2273</v>
      </c>
      <c r="L105">
        <v>0.33</v>
      </c>
      <c r="M105">
        <v>0.32840000000000003</v>
      </c>
      <c r="N105">
        <v>5</v>
      </c>
      <c r="O105">
        <v>74</v>
      </c>
      <c r="P105">
        <v>79</v>
      </c>
      <c r="Q105" t="str">
        <f t="shared" si="8"/>
        <v>Complete</v>
      </c>
      <c r="R105">
        <f t="shared" si="15"/>
        <v>0.2273</v>
      </c>
      <c r="S105">
        <f t="shared" si="9"/>
        <v>2011</v>
      </c>
      <c r="T105" t="str">
        <f t="shared" si="10"/>
        <v>January</v>
      </c>
      <c r="U105" t="str">
        <f t="shared" si="11"/>
        <v>Weekday</v>
      </c>
      <c r="V105" t="str">
        <f t="shared" si="12"/>
        <v>Afternoon</v>
      </c>
      <c r="W105" t="str">
        <f t="shared" si="13"/>
        <v>Spring</v>
      </c>
      <c r="X105" t="str">
        <f t="shared" si="14"/>
        <v>Clear</v>
      </c>
    </row>
    <row r="106" spans="1:24">
      <c r="A106">
        <v>105</v>
      </c>
      <c r="B106" s="2">
        <v>40548</v>
      </c>
      <c r="C106">
        <v>1</v>
      </c>
      <c r="D106">
        <v>0</v>
      </c>
      <c r="E106">
        <v>1</v>
      </c>
      <c r="F106">
        <v>13</v>
      </c>
      <c r="G106" t="b">
        <v>0</v>
      </c>
      <c r="H106">
        <v>3</v>
      </c>
      <c r="I106">
        <v>1</v>
      </c>
      <c r="J106">
        <v>0.28000000000000003</v>
      </c>
      <c r="K106">
        <v>0.2576</v>
      </c>
      <c r="L106">
        <v>0.3</v>
      </c>
      <c r="M106">
        <v>0.29849999999999999</v>
      </c>
      <c r="N106">
        <v>6</v>
      </c>
      <c r="O106">
        <v>65</v>
      </c>
      <c r="P106">
        <v>71</v>
      </c>
      <c r="Q106" t="str">
        <f t="shared" si="8"/>
        <v>Complete</v>
      </c>
      <c r="R106">
        <f t="shared" si="15"/>
        <v>0.2576</v>
      </c>
      <c r="S106">
        <f t="shared" si="9"/>
        <v>2011</v>
      </c>
      <c r="T106" t="str">
        <f t="shared" si="10"/>
        <v>January</v>
      </c>
      <c r="U106" t="str">
        <f t="shared" si="11"/>
        <v>Weekday</v>
      </c>
      <c r="V106" t="str">
        <f t="shared" si="12"/>
        <v>Afternoon</v>
      </c>
      <c r="W106" t="str">
        <f t="shared" si="13"/>
        <v>Spring</v>
      </c>
      <c r="X106" t="str">
        <f t="shared" si="14"/>
        <v>Clear</v>
      </c>
    </row>
    <row r="107" spans="1:24">
      <c r="A107">
        <v>106</v>
      </c>
      <c r="B107" s="2">
        <v>40548</v>
      </c>
      <c r="C107">
        <v>1</v>
      </c>
      <c r="D107">
        <v>0</v>
      </c>
      <c r="E107">
        <v>1</v>
      </c>
      <c r="F107">
        <v>14</v>
      </c>
      <c r="G107" t="b">
        <v>0</v>
      </c>
      <c r="H107">
        <v>3</v>
      </c>
      <c r="I107">
        <v>1</v>
      </c>
      <c r="J107">
        <v>0.3</v>
      </c>
      <c r="K107">
        <v>0.28789999999999999</v>
      </c>
      <c r="L107">
        <v>0.28000000000000003</v>
      </c>
      <c r="M107">
        <v>0.19400000000000001</v>
      </c>
      <c r="N107">
        <v>10</v>
      </c>
      <c r="O107">
        <v>52</v>
      </c>
      <c r="P107">
        <v>62</v>
      </c>
      <c r="Q107" t="str">
        <f t="shared" si="8"/>
        <v>Complete</v>
      </c>
      <c r="R107">
        <f t="shared" si="15"/>
        <v>0.28789999999999999</v>
      </c>
      <c r="S107">
        <f t="shared" si="9"/>
        <v>2011</v>
      </c>
      <c r="T107" t="str">
        <f t="shared" si="10"/>
        <v>January</v>
      </c>
      <c r="U107" t="str">
        <f t="shared" si="11"/>
        <v>Weekday</v>
      </c>
      <c r="V107" t="str">
        <f t="shared" si="12"/>
        <v>Afternoon</v>
      </c>
      <c r="W107" t="str">
        <f t="shared" si="13"/>
        <v>Spring</v>
      </c>
      <c r="X107" t="str">
        <f t="shared" si="14"/>
        <v>Clear</v>
      </c>
    </row>
    <row r="108" spans="1:24">
      <c r="A108">
        <v>107</v>
      </c>
      <c r="B108" s="2">
        <v>40548</v>
      </c>
      <c r="C108">
        <v>1</v>
      </c>
      <c r="D108">
        <v>0</v>
      </c>
      <c r="E108">
        <v>1</v>
      </c>
      <c r="F108">
        <v>15</v>
      </c>
      <c r="G108" t="b">
        <v>0</v>
      </c>
      <c r="H108">
        <v>3</v>
      </c>
      <c r="I108">
        <v>1</v>
      </c>
      <c r="J108">
        <v>0.3</v>
      </c>
      <c r="K108">
        <v>0.28789999999999999</v>
      </c>
      <c r="L108">
        <v>0.28000000000000003</v>
      </c>
      <c r="M108">
        <v>0.19400000000000001</v>
      </c>
      <c r="N108">
        <v>7</v>
      </c>
      <c r="O108">
        <v>55</v>
      </c>
      <c r="P108">
        <v>62</v>
      </c>
      <c r="Q108" t="str">
        <f t="shared" si="8"/>
        <v>Complete</v>
      </c>
      <c r="R108">
        <f t="shared" si="15"/>
        <v>0.28789999999999999</v>
      </c>
      <c r="S108">
        <f t="shared" si="9"/>
        <v>2011</v>
      </c>
      <c r="T108" t="str">
        <f t="shared" si="10"/>
        <v>January</v>
      </c>
      <c r="U108" t="str">
        <f t="shared" si="11"/>
        <v>Weekday</v>
      </c>
      <c r="V108" t="str">
        <f t="shared" si="12"/>
        <v>Afternoon</v>
      </c>
      <c r="W108" t="str">
        <f t="shared" si="13"/>
        <v>Spring</v>
      </c>
      <c r="X108" t="str">
        <f t="shared" si="14"/>
        <v>Clear</v>
      </c>
    </row>
    <row r="109" spans="1:24">
      <c r="A109">
        <v>108</v>
      </c>
      <c r="B109" s="2">
        <v>40548</v>
      </c>
      <c r="C109">
        <v>1</v>
      </c>
      <c r="D109">
        <v>0</v>
      </c>
      <c r="E109">
        <v>1</v>
      </c>
      <c r="F109">
        <v>16</v>
      </c>
      <c r="G109" t="b">
        <v>0</v>
      </c>
      <c r="H109">
        <v>3</v>
      </c>
      <c r="I109">
        <v>1</v>
      </c>
      <c r="J109">
        <v>0.3</v>
      </c>
      <c r="K109">
        <v>0.31819999999999998</v>
      </c>
      <c r="L109">
        <v>0.28000000000000003</v>
      </c>
      <c r="M109">
        <v>8.9599999999999999E-2</v>
      </c>
      <c r="N109">
        <v>4</v>
      </c>
      <c r="O109">
        <v>85</v>
      </c>
      <c r="P109">
        <v>89</v>
      </c>
      <c r="Q109" t="str">
        <f t="shared" si="8"/>
        <v>Complete</v>
      </c>
      <c r="R109">
        <f t="shared" si="15"/>
        <v>0.31819999999999998</v>
      </c>
      <c r="S109">
        <f t="shared" si="9"/>
        <v>2011</v>
      </c>
      <c r="T109" t="str">
        <f t="shared" si="10"/>
        <v>January</v>
      </c>
      <c r="U109" t="str">
        <f t="shared" si="11"/>
        <v>Weekday</v>
      </c>
      <c r="V109" t="str">
        <f t="shared" si="12"/>
        <v>Afternoon</v>
      </c>
      <c r="W109" t="str">
        <f t="shared" si="13"/>
        <v>Spring</v>
      </c>
      <c r="X109" t="str">
        <f t="shared" si="14"/>
        <v>Clear</v>
      </c>
    </row>
    <row r="110" spans="1:24">
      <c r="A110">
        <v>109</v>
      </c>
      <c r="B110" s="2">
        <v>40548</v>
      </c>
      <c r="C110">
        <v>1</v>
      </c>
      <c r="D110">
        <v>0</v>
      </c>
      <c r="E110">
        <v>1</v>
      </c>
      <c r="F110">
        <v>17</v>
      </c>
      <c r="G110" t="b">
        <v>0</v>
      </c>
      <c r="H110">
        <v>3</v>
      </c>
      <c r="I110">
        <v>1</v>
      </c>
      <c r="J110">
        <v>0.24</v>
      </c>
      <c r="K110">
        <v>0.2273</v>
      </c>
      <c r="L110">
        <v>0.38</v>
      </c>
      <c r="M110">
        <v>0.19400000000000001</v>
      </c>
      <c r="N110">
        <v>4</v>
      </c>
      <c r="O110">
        <v>186</v>
      </c>
      <c r="P110">
        <v>190</v>
      </c>
      <c r="Q110" t="str">
        <f t="shared" si="8"/>
        <v>Complete</v>
      </c>
      <c r="R110">
        <f t="shared" si="15"/>
        <v>0.2273</v>
      </c>
      <c r="S110">
        <f t="shared" si="9"/>
        <v>2011</v>
      </c>
      <c r="T110" t="str">
        <f t="shared" si="10"/>
        <v>January</v>
      </c>
      <c r="U110" t="str">
        <f t="shared" si="11"/>
        <v>Weekday</v>
      </c>
      <c r="V110" t="str">
        <f t="shared" si="12"/>
        <v>Afternoon</v>
      </c>
      <c r="W110" t="str">
        <f t="shared" si="13"/>
        <v>Spring</v>
      </c>
      <c r="X110" t="str">
        <f t="shared" si="14"/>
        <v>Clear</v>
      </c>
    </row>
    <row r="111" spans="1:24">
      <c r="A111">
        <v>110</v>
      </c>
      <c r="B111" s="2">
        <v>40548</v>
      </c>
      <c r="C111">
        <v>1</v>
      </c>
      <c r="D111">
        <v>0</v>
      </c>
      <c r="E111">
        <v>1</v>
      </c>
      <c r="F111">
        <v>18</v>
      </c>
      <c r="G111" t="b">
        <v>0</v>
      </c>
      <c r="H111">
        <v>3</v>
      </c>
      <c r="I111">
        <v>1</v>
      </c>
      <c r="J111">
        <v>0.24</v>
      </c>
      <c r="K111">
        <v>0.2424</v>
      </c>
      <c r="L111">
        <v>0.38</v>
      </c>
      <c r="M111">
        <v>0.1343</v>
      </c>
      <c r="N111">
        <v>3</v>
      </c>
      <c r="O111">
        <v>166</v>
      </c>
      <c r="P111">
        <v>169</v>
      </c>
      <c r="Q111" t="str">
        <f t="shared" si="8"/>
        <v>Complete</v>
      </c>
      <c r="R111">
        <f t="shared" si="15"/>
        <v>0.2424</v>
      </c>
      <c r="S111">
        <f t="shared" si="9"/>
        <v>2011</v>
      </c>
      <c r="T111" t="str">
        <f t="shared" si="10"/>
        <v>January</v>
      </c>
      <c r="U111" t="str">
        <f t="shared" si="11"/>
        <v>Weekday</v>
      </c>
      <c r="V111" t="str">
        <f t="shared" si="12"/>
        <v>Evening</v>
      </c>
      <c r="W111" t="str">
        <f t="shared" si="13"/>
        <v>Spring</v>
      </c>
      <c r="X111" t="str">
        <f t="shared" si="14"/>
        <v>Clear</v>
      </c>
    </row>
    <row r="112" spans="1:24">
      <c r="A112">
        <v>111</v>
      </c>
      <c r="B112" s="2">
        <v>40548</v>
      </c>
      <c r="C112">
        <v>1</v>
      </c>
      <c r="D112">
        <v>0</v>
      </c>
      <c r="E112">
        <v>1</v>
      </c>
      <c r="F112">
        <v>19</v>
      </c>
      <c r="G112" t="b">
        <v>0</v>
      </c>
      <c r="H112">
        <v>3</v>
      </c>
      <c r="I112">
        <v>1</v>
      </c>
      <c r="J112">
        <v>0.24</v>
      </c>
      <c r="K112">
        <v>0.2576</v>
      </c>
      <c r="L112">
        <v>0.38</v>
      </c>
      <c r="M112">
        <v>0.1045</v>
      </c>
      <c r="N112">
        <v>5</v>
      </c>
      <c r="O112">
        <v>127</v>
      </c>
      <c r="P112">
        <v>132</v>
      </c>
      <c r="Q112" t="str">
        <f t="shared" si="8"/>
        <v>Complete</v>
      </c>
      <c r="R112">
        <f t="shared" si="15"/>
        <v>0.2576</v>
      </c>
      <c r="S112">
        <f t="shared" si="9"/>
        <v>2011</v>
      </c>
      <c r="T112" t="str">
        <f t="shared" si="10"/>
        <v>January</v>
      </c>
      <c r="U112" t="str">
        <f t="shared" si="11"/>
        <v>Weekday</v>
      </c>
      <c r="V112" t="str">
        <f t="shared" si="12"/>
        <v>Evening</v>
      </c>
      <c r="W112" t="str">
        <f t="shared" si="13"/>
        <v>Spring</v>
      </c>
      <c r="X112" t="str">
        <f t="shared" si="14"/>
        <v>Clear</v>
      </c>
    </row>
    <row r="113" spans="1:24">
      <c r="A113">
        <v>112</v>
      </c>
      <c r="B113" s="2">
        <v>40548</v>
      </c>
      <c r="C113">
        <v>1</v>
      </c>
      <c r="D113">
        <v>0</v>
      </c>
      <c r="E113">
        <v>1</v>
      </c>
      <c r="F113">
        <v>20</v>
      </c>
      <c r="G113" t="b">
        <v>0</v>
      </c>
      <c r="H113">
        <v>3</v>
      </c>
      <c r="I113">
        <v>1</v>
      </c>
      <c r="J113">
        <v>0.22</v>
      </c>
      <c r="K113">
        <v>0.2273</v>
      </c>
      <c r="L113">
        <v>0.47</v>
      </c>
      <c r="M113">
        <v>0.16420000000000001</v>
      </c>
      <c r="N113">
        <v>7</v>
      </c>
      <c r="O113">
        <v>82</v>
      </c>
      <c r="P113">
        <v>89</v>
      </c>
      <c r="Q113" t="str">
        <f t="shared" si="8"/>
        <v>Complete</v>
      </c>
      <c r="R113">
        <f t="shared" si="15"/>
        <v>0.2273</v>
      </c>
      <c r="S113">
        <f t="shared" si="9"/>
        <v>2011</v>
      </c>
      <c r="T113" t="str">
        <f t="shared" si="10"/>
        <v>January</v>
      </c>
      <c r="U113" t="str">
        <f t="shared" si="11"/>
        <v>Weekday</v>
      </c>
      <c r="V113" t="str">
        <f t="shared" si="12"/>
        <v>Evening</v>
      </c>
      <c r="W113" t="str">
        <f t="shared" si="13"/>
        <v>Spring</v>
      </c>
      <c r="X113" t="str">
        <f t="shared" si="14"/>
        <v>Clear</v>
      </c>
    </row>
    <row r="114" spans="1:24">
      <c r="A114">
        <v>113</v>
      </c>
      <c r="B114" s="2">
        <v>40548</v>
      </c>
      <c r="C114">
        <v>1</v>
      </c>
      <c r="D114">
        <v>0</v>
      </c>
      <c r="E114">
        <v>1</v>
      </c>
      <c r="F114">
        <v>21</v>
      </c>
      <c r="G114" t="b">
        <v>0</v>
      </c>
      <c r="H114">
        <v>3</v>
      </c>
      <c r="I114">
        <v>1</v>
      </c>
      <c r="J114">
        <v>0.2</v>
      </c>
      <c r="K114">
        <v>0.19700000000000001</v>
      </c>
      <c r="L114">
        <v>0.51</v>
      </c>
      <c r="M114">
        <v>0.19400000000000001</v>
      </c>
      <c r="N114">
        <v>3</v>
      </c>
      <c r="O114">
        <v>40</v>
      </c>
      <c r="P114">
        <v>43</v>
      </c>
      <c r="Q114" t="str">
        <f t="shared" si="8"/>
        <v>Complete</v>
      </c>
      <c r="R114">
        <f t="shared" si="15"/>
        <v>0.19700000000000001</v>
      </c>
      <c r="S114">
        <f t="shared" si="9"/>
        <v>2011</v>
      </c>
      <c r="T114" t="str">
        <f t="shared" si="10"/>
        <v>January</v>
      </c>
      <c r="U114" t="str">
        <f t="shared" si="11"/>
        <v>Weekday</v>
      </c>
      <c r="V114" t="str">
        <f t="shared" si="12"/>
        <v>Evening</v>
      </c>
      <c r="W114" t="str">
        <f t="shared" si="13"/>
        <v>Spring</v>
      </c>
      <c r="X114" t="str">
        <f t="shared" si="14"/>
        <v>Clear</v>
      </c>
    </row>
    <row r="115" spans="1:24">
      <c r="A115">
        <v>114</v>
      </c>
      <c r="B115" s="2">
        <v>40548</v>
      </c>
      <c r="C115">
        <v>1</v>
      </c>
      <c r="D115">
        <v>0</v>
      </c>
      <c r="E115">
        <v>1</v>
      </c>
      <c r="F115">
        <v>22</v>
      </c>
      <c r="G115" t="b">
        <v>0</v>
      </c>
      <c r="H115">
        <v>3</v>
      </c>
      <c r="I115">
        <v>1</v>
      </c>
      <c r="J115">
        <v>0.18</v>
      </c>
      <c r="K115">
        <v>0.19700000000000001</v>
      </c>
      <c r="L115">
        <v>0.55000000000000004</v>
      </c>
      <c r="M115">
        <v>0.1343</v>
      </c>
      <c r="N115">
        <v>1</v>
      </c>
      <c r="O115">
        <v>41</v>
      </c>
      <c r="P115">
        <v>42</v>
      </c>
      <c r="Q115" t="str">
        <f t="shared" si="8"/>
        <v>Complete</v>
      </c>
      <c r="R115">
        <f t="shared" si="15"/>
        <v>0.19700000000000001</v>
      </c>
      <c r="S115">
        <f t="shared" si="9"/>
        <v>2011</v>
      </c>
      <c r="T115" t="str">
        <f t="shared" si="10"/>
        <v>January</v>
      </c>
      <c r="U115" t="str">
        <f t="shared" si="11"/>
        <v>Weekday</v>
      </c>
      <c r="V115" t="str">
        <f t="shared" si="12"/>
        <v>Evening</v>
      </c>
      <c r="W115" t="str">
        <f t="shared" si="13"/>
        <v>Spring</v>
      </c>
      <c r="X115" t="str">
        <f t="shared" si="14"/>
        <v>Clear</v>
      </c>
    </row>
    <row r="116" spans="1:24">
      <c r="A116">
        <v>115</v>
      </c>
      <c r="B116" s="2">
        <v>40548</v>
      </c>
      <c r="C116">
        <v>1</v>
      </c>
      <c r="D116">
        <v>0</v>
      </c>
      <c r="E116">
        <v>1</v>
      </c>
      <c r="F116">
        <v>23</v>
      </c>
      <c r="G116" t="b">
        <v>0</v>
      </c>
      <c r="H116">
        <v>3</v>
      </c>
      <c r="I116">
        <v>1</v>
      </c>
      <c r="J116">
        <v>0.2</v>
      </c>
      <c r="K116">
        <v>0.2576</v>
      </c>
      <c r="L116">
        <v>0.47</v>
      </c>
      <c r="M116">
        <v>0</v>
      </c>
      <c r="N116">
        <v>1</v>
      </c>
      <c r="O116">
        <v>18</v>
      </c>
      <c r="P116">
        <v>19</v>
      </c>
      <c r="Q116" t="str">
        <f t="shared" si="8"/>
        <v>Complete</v>
      </c>
      <c r="R116">
        <f t="shared" si="15"/>
        <v>0.2576</v>
      </c>
      <c r="S116">
        <f t="shared" si="9"/>
        <v>2011</v>
      </c>
      <c r="T116" t="str">
        <f t="shared" si="10"/>
        <v>January</v>
      </c>
      <c r="U116" t="str">
        <f t="shared" si="11"/>
        <v>Weekday</v>
      </c>
      <c r="V116" t="str">
        <f t="shared" si="12"/>
        <v>Evening</v>
      </c>
      <c r="W116" t="str">
        <f t="shared" si="13"/>
        <v>Spring</v>
      </c>
      <c r="X116" t="str">
        <f t="shared" si="14"/>
        <v>Clear</v>
      </c>
    </row>
    <row r="117" spans="1:24">
      <c r="A117">
        <v>116</v>
      </c>
      <c r="B117" s="2">
        <v>40549</v>
      </c>
      <c r="C117">
        <v>1</v>
      </c>
      <c r="D117">
        <v>0</v>
      </c>
      <c r="E117">
        <v>1</v>
      </c>
      <c r="F117">
        <v>0</v>
      </c>
      <c r="G117" t="b">
        <v>0</v>
      </c>
      <c r="H117">
        <v>4</v>
      </c>
      <c r="I117">
        <v>1</v>
      </c>
      <c r="J117">
        <v>0.18</v>
      </c>
      <c r="K117">
        <v>0.2424</v>
      </c>
      <c r="L117">
        <v>0.55000000000000004</v>
      </c>
      <c r="M117">
        <v>0</v>
      </c>
      <c r="N117">
        <v>0</v>
      </c>
      <c r="O117">
        <v>11</v>
      </c>
      <c r="P117">
        <v>11</v>
      </c>
      <c r="Q117" t="str">
        <f t="shared" si="8"/>
        <v>Complete</v>
      </c>
      <c r="R117">
        <f t="shared" si="15"/>
        <v>0.2424</v>
      </c>
      <c r="S117">
        <f t="shared" si="9"/>
        <v>2011</v>
      </c>
      <c r="T117" t="str">
        <f t="shared" si="10"/>
        <v>January</v>
      </c>
      <c r="U117" t="str">
        <f t="shared" si="11"/>
        <v>Weekday</v>
      </c>
      <c r="V117" t="str">
        <f t="shared" si="12"/>
        <v>Night</v>
      </c>
      <c r="W117" t="str">
        <f t="shared" si="13"/>
        <v>Spring</v>
      </c>
      <c r="X117" t="str">
        <f t="shared" si="14"/>
        <v>Clear</v>
      </c>
    </row>
    <row r="118" spans="1:24">
      <c r="A118">
        <v>117</v>
      </c>
      <c r="B118" s="2">
        <v>40549</v>
      </c>
      <c r="C118">
        <v>1</v>
      </c>
      <c r="D118">
        <v>0</v>
      </c>
      <c r="E118">
        <v>1</v>
      </c>
      <c r="F118">
        <v>1</v>
      </c>
      <c r="G118" t="b">
        <v>0</v>
      </c>
      <c r="H118">
        <v>4</v>
      </c>
      <c r="I118">
        <v>1</v>
      </c>
      <c r="J118">
        <v>0.16</v>
      </c>
      <c r="K118">
        <v>0.2273</v>
      </c>
      <c r="L118">
        <v>0.64</v>
      </c>
      <c r="M118">
        <v>0</v>
      </c>
      <c r="N118">
        <v>0</v>
      </c>
      <c r="O118">
        <v>4</v>
      </c>
      <c r="P118">
        <v>4</v>
      </c>
      <c r="Q118" t="str">
        <f t="shared" si="8"/>
        <v>Complete</v>
      </c>
      <c r="R118">
        <f t="shared" si="15"/>
        <v>0.2273</v>
      </c>
      <c r="S118">
        <f t="shared" si="9"/>
        <v>2011</v>
      </c>
      <c r="T118" t="str">
        <f t="shared" si="10"/>
        <v>January</v>
      </c>
      <c r="U118" t="str">
        <f t="shared" si="11"/>
        <v>Weekday</v>
      </c>
      <c r="V118" t="str">
        <f t="shared" si="12"/>
        <v>Night</v>
      </c>
      <c r="W118" t="str">
        <f t="shared" si="13"/>
        <v>Spring</v>
      </c>
      <c r="X118" t="str">
        <f t="shared" si="14"/>
        <v>Clear</v>
      </c>
    </row>
    <row r="119" spans="1:24">
      <c r="A119">
        <v>118</v>
      </c>
      <c r="B119" s="2">
        <v>40549</v>
      </c>
      <c r="C119">
        <v>1</v>
      </c>
      <c r="D119">
        <v>0</v>
      </c>
      <c r="E119">
        <v>1</v>
      </c>
      <c r="F119">
        <v>2</v>
      </c>
      <c r="G119" t="b">
        <v>0</v>
      </c>
      <c r="H119">
        <v>4</v>
      </c>
      <c r="I119">
        <v>1</v>
      </c>
      <c r="J119">
        <v>0.16</v>
      </c>
      <c r="K119">
        <v>0.2273</v>
      </c>
      <c r="L119">
        <v>0.64</v>
      </c>
      <c r="M119">
        <v>0</v>
      </c>
      <c r="N119">
        <v>0</v>
      </c>
      <c r="O119">
        <v>2</v>
      </c>
      <c r="P119">
        <v>2</v>
      </c>
      <c r="Q119" t="str">
        <f t="shared" si="8"/>
        <v>Complete</v>
      </c>
      <c r="R119">
        <f t="shared" si="15"/>
        <v>0.2273</v>
      </c>
      <c r="S119">
        <f t="shared" si="9"/>
        <v>2011</v>
      </c>
      <c r="T119" t="str">
        <f t="shared" si="10"/>
        <v>January</v>
      </c>
      <c r="U119" t="str">
        <f t="shared" si="11"/>
        <v>Weekday</v>
      </c>
      <c r="V119" t="str">
        <f t="shared" si="12"/>
        <v>Night</v>
      </c>
      <c r="W119" t="str">
        <f t="shared" si="13"/>
        <v>Spring</v>
      </c>
      <c r="X119" t="str">
        <f t="shared" si="14"/>
        <v>Clear</v>
      </c>
    </row>
    <row r="120" spans="1:24">
      <c r="A120">
        <v>119</v>
      </c>
      <c r="B120" s="2">
        <v>40549</v>
      </c>
      <c r="C120">
        <v>1</v>
      </c>
      <c r="D120">
        <v>0</v>
      </c>
      <c r="E120">
        <v>1</v>
      </c>
      <c r="F120">
        <v>4</v>
      </c>
      <c r="G120" t="b">
        <v>0</v>
      </c>
      <c r="H120">
        <v>4</v>
      </c>
      <c r="I120">
        <v>2</v>
      </c>
      <c r="J120">
        <v>0.16</v>
      </c>
      <c r="K120">
        <v>0.19700000000000001</v>
      </c>
      <c r="L120">
        <v>0.64</v>
      </c>
      <c r="M120">
        <v>8.9599999999999999E-2</v>
      </c>
      <c r="N120">
        <v>0</v>
      </c>
      <c r="O120">
        <v>1</v>
      </c>
      <c r="P120">
        <v>1</v>
      </c>
      <c r="Q120" t="str">
        <f t="shared" si="8"/>
        <v>Complete</v>
      </c>
      <c r="R120">
        <f t="shared" si="15"/>
        <v>0.19700000000000001</v>
      </c>
      <c r="S120">
        <f t="shared" si="9"/>
        <v>2011</v>
      </c>
      <c r="T120" t="str">
        <f t="shared" si="10"/>
        <v>January</v>
      </c>
      <c r="U120" t="str">
        <f t="shared" si="11"/>
        <v>Weekday</v>
      </c>
      <c r="V120" t="str">
        <f t="shared" si="12"/>
        <v>Night</v>
      </c>
      <c r="W120" t="str">
        <f t="shared" si="13"/>
        <v>Spring</v>
      </c>
      <c r="X120" t="str">
        <f t="shared" si="14"/>
        <v>Mist/Cloudy</v>
      </c>
    </row>
    <row r="121" spans="1:24">
      <c r="A121">
        <v>120</v>
      </c>
      <c r="B121" s="2">
        <v>40549</v>
      </c>
      <c r="C121">
        <v>1</v>
      </c>
      <c r="D121">
        <v>0</v>
      </c>
      <c r="E121">
        <v>1</v>
      </c>
      <c r="F121">
        <v>5</v>
      </c>
      <c r="G121" t="b">
        <v>0</v>
      </c>
      <c r="H121">
        <v>4</v>
      </c>
      <c r="I121">
        <v>2</v>
      </c>
      <c r="J121">
        <v>0.14000000000000001</v>
      </c>
      <c r="K121">
        <v>0.18179999999999999</v>
      </c>
      <c r="L121">
        <v>0.69</v>
      </c>
      <c r="M121">
        <v>8.9599999999999999E-2</v>
      </c>
      <c r="N121">
        <v>0</v>
      </c>
      <c r="O121">
        <v>4</v>
      </c>
      <c r="P121">
        <v>4</v>
      </c>
      <c r="Q121" t="str">
        <f t="shared" si="8"/>
        <v>Complete</v>
      </c>
      <c r="R121">
        <f t="shared" si="15"/>
        <v>0.18179999999999999</v>
      </c>
      <c r="S121">
        <f t="shared" si="9"/>
        <v>2011</v>
      </c>
      <c r="T121" t="str">
        <f t="shared" si="10"/>
        <v>January</v>
      </c>
      <c r="U121" t="str">
        <f t="shared" si="11"/>
        <v>Weekday</v>
      </c>
      <c r="V121" t="str">
        <f t="shared" si="12"/>
        <v>Night</v>
      </c>
      <c r="W121" t="str">
        <f t="shared" si="13"/>
        <v>Spring</v>
      </c>
      <c r="X121" t="str">
        <f t="shared" si="14"/>
        <v>Mist/Cloudy</v>
      </c>
    </row>
    <row r="122" spans="1:24">
      <c r="A122">
        <v>121</v>
      </c>
      <c r="B122" s="2">
        <v>40549</v>
      </c>
      <c r="C122">
        <v>1</v>
      </c>
      <c r="D122">
        <v>0</v>
      </c>
      <c r="E122">
        <v>1</v>
      </c>
      <c r="F122">
        <v>6</v>
      </c>
      <c r="G122" t="b">
        <v>0</v>
      </c>
      <c r="H122">
        <v>4</v>
      </c>
      <c r="I122">
        <v>2</v>
      </c>
      <c r="J122">
        <v>0.14000000000000001</v>
      </c>
      <c r="K122">
        <v>0.16669999999999999</v>
      </c>
      <c r="L122">
        <v>0.63</v>
      </c>
      <c r="M122">
        <v>0.1045</v>
      </c>
      <c r="N122">
        <v>0</v>
      </c>
      <c r="O122">
        <v>36</v>
      </c>
      <c r="P122">
        <v>36</v>
      </c>
      <c r="Q122" t="str">
        <f t="shared" si="8"/>
        <v>Complete</v>
      </c>
      <c r="R122">
        <f t="shared" si="15"/>
        <v>0.16669999999999999</v>
      </c>
      <c r="S122">
        <f t="shared" si="9"/>
        <v>2011</v>
      </c>
      <c r="T122" t="str">
        <f t="shared" si="10"/>
        <v>January</v>
      </c>
      <c r="U122" t="str">
        <f t="shared" si="11"/>
        <v>Weekday</v>
      </c>
      <c r="V122" t="str">
        <f t="shared" si="12"/>
        <v>Morning</v>
      </c>
      <c r="W122" t="str">
        <f t="shared" si="13"/>
        <v>Spring</v>
      </c>
      <c r="X122" t="str">
        <f t="shared" si="14"/>
        <v>Mist/Cloudy</v>
      </c>
    </row>
    <row r="123" spans="1:24">
      <c r="A123">
        <v>122</v>
      </c>
      <c r="B123" s="2">
        <v>40549</v>
      </c>
      <c r="C123">
        <v>1</v>
      </c>
      <c r="D123">
        <v>0</v>
      </c>
      <c r="E123">
        <v>1</v>
      </c>
      <c r="F123">
        <v>7</v>
      </c>
      <c r="G123" t="b">
        <v>0</v>
      </c>
      <c r="H123">
        <v>4</v>
      </c>
      <c r="I123">
        <v>2</v>
      </c>
      <c r="J123">
        <v>0.16</v>
      </c>
      <c r="K123">
        <v>0.2273</v>
      </c>
      <c r="L123">
        <v>0.59</v>
      </c>
      <c r="M123">
        <v>0</v>
      </c>
      <c r="N123">
        <v>0</v>
      </c>
      <c r="O123">
        <v>95</v>
      </c>
      <c r="P123">
        <v>95</v>
      </c>
      <c r="Q123" t="str">
        <f t="shared" si="8"/>
        <v>Complete</v>
      </c>
      <c r="R123">
        <f t="shared" si="15"/>
        <v>0.2273</v>
      </c>
      <c r="S123">
        <f t="shared" si="9"/>
        <v>2011</v>
      </c>
      <c r="T123" t="str">
        <f t="shared" si="10"/>
        <v>January</v>
      </c>
      <c r="U123" t="str">
        <f t="shared" si="11"/>
        <v>Weekday</v>
      </c>
      <c r="V123" t="str">
        <f t="shared" si="12"/>
        <v>Morning</v>
      </c>
      <c r="W123" t="str">
        <f t="shared" si="13"/>
        <v>Spring</v>
      </c>
      <c r="X123" t="str">
        <f t="shared" si="14"/>
        <v>Mist/Cloudy</v>
      </c>
    </row>
    <row r="124" spans="1:24">
      <c r="A124">
        <v>123</v>
      </c>
      <c r="B124" s="2">
        <v>40549</v>
      </c>
      <c r="C124">
        <v>1</v>
      </c>
      <c r="D124">
        <v>0</v>
      </c>
      <c r="E124">
        <v>1</v>
      </c>
      <c r="F124">
        <v>8</v>
      </c>
      <c r="G124" t="b">
        <v>0</v>
      </c>
      <c r="H124">
        <v>4</v>
      </c>
      <c r="I124">
        <v>1</v>
      </c>
      <c r="J124">
        <v>0.16</v>
      </c>
      <c r="K124">
        <v>0.2273</v>
      </c>
      <c r="L124">
        <v>0.59</v>
      </c>
      <c r="M124">
        <v>0</v>
      </c>
      <c r="N124">
        <v>3</v>
      </c>
      <c r="O124">
        <v>216</v>
      </c>
      <c r="P124">
        <v>219</v>
      </c>
      <c r="Q124" t="str">
        <f t="shared" si="8"/>
        <v>Complete</v>
      </c>
      <c r="R124">
        <f t="shared" si="15"/>
        <v>0.2273</v>
      </c>
      <c r="S124">
        <f t="shared" si="9"/>
        <v>2011</v>
      </c>
      <c r="T124" t="str">
        <f t="shared" si="10"/>
        <v>January</v>
      </c>
      <c r="U124" t="str">
        <f t="shared" si="11"/>
        <v>Weekday</v>
      </c>
      <c r="V124" t="str">
        <f t="shared" si="12"/>
        <v>Morning</v>
      </c>
      <c r="W124" t="str">
        <f t="shared" si="13"/>
        <v>Spring</v>
      </c>
      <c r="X124" t="str">
        <f t="shared" si="14"/>
        <v>Clear</v>
      </c>
    </row>
    <row r="125" spans="1:24">
      <c r="A125">
        <v>124</v>
      </c>
      <c r="B125" s="2">
        <v>40549</v>
      </c>
      <c r="C125">
        <v>1</v>
      </c>
      <c r="D125">
        <v>0</v>
      </c>
      <c r="E125">
        <v>1</v>
      </c>
      <c r="F125">
        <v>9</v>
      </c>
      <c r="G125" t="b">
        <v>0</v>
      </c>
      <c r="H125">
        <v>4</v>
      </c>
      <c r="I125">
        <v>2</v>
      </c>
      <c r="J125">
        <v>0.18</v>
      </c>
      <c r="K125">
        <v>0.2424</v>
      </c>
      <c r="L125">
        <v>0.51</v>
      </c>
      <c r="M125">
        <v>0</v>
      </c>
      <c r="N125">
        <v>6</v>
      </c>
      <c r="O125">
        <v>116</v>
      </c>
      <c r="P125">
        <v>122</v>
      </c>
      <c r="Q125" t="str">
        <f t="shared" si="8"/>
        <v>Complete</v>
      </c>
      <c r="R125">
        <f t="shared" si="15"/>
        <v>0.2424</v>
      </c>
      <c r="S125">
        <f t="shared" si="9"/>
        <v>2011</v>
      </c>
      <c r="T125" t="str">
        <f t="shared" si="10"/>
        <v>January</v>
      </c>
      <c r="U125" t="str">
        <f t="shared" si="11"/>
        <v>Weekday</v>
      </c>
      <c r="V125" t="str">
        <f t="shared" si="12"/>
        <v>Morning</v>
      </c>
      <c r="W125" t="str">
        <f t="shared" si="13"/>
        <v>Spring</v>
      </c>
      <c r="X125" t="str">
        <f t="shared" si="14"/>
        <v>Mist/Cloudy</v>
      </c>
    </row>
    <row r="126" spans="1:24">
      <c r="A126">
        <v>125</v>
      </c>
      <c r="B126" s="2">
        <v>40549</v>
      </c>
      <c r="C126">
        <v>1</v>
      </c>
      <c r="D126">
        <v>0</v>
      </c>
      <c r="E126">
        <v>1</v>
      </c>
      <c r="F126">
        <v>10</v>
      </c>
      <c r="G126" t="b">
        <v>0</v>
      </c>
      <c r="H126">
        <v>4</v>
      </c>
      <c r="I126">
        <v>1</v>
      </c>
      <c r="J126">
        <v>0.2</v>
      </c>
      <c r="K126">
        <v>0.2576</v>
      </c>
      <c r="L126">
        <v>0.47</v>
      </c>
      <c r="M126">
        <v>0</v>
      </c>
      <c r="N126">
        <v>3</v>
      </c>
      <c r="O126">
        <v>42</v>
      </c>
      <c r="P126">
        <v>45</v>
      </c>
      <c r="Q126" t="str">
        <f t="shared" si="8"/>
        <v>Complete</v>
      </c>
      <c r="R126">
        <f t="shared" si="15"/>
        <v>0.2576</v>
      </c>
      <c r="S126">
        <f t="shared" si="9"/>
        <v>2011</v>
      </c>
      <c r="T126" t="str">
        <f t="shared" si="10"/>
        <v>January</v>
      </c>
      <c r="U126" t="str">
        <f t="shared" si="11"/>
        <v>Weekday</v>
      </c>
      <c r="V126" t="str">
        <f t="shared" si="12"/>
        <v>Morning</v>
      </c>
      <c r="W126" t="str">
        <f t="shared" si="13"/>
        <v>Spring</v>
      </c>
      <c r="X126" t="str">
        <f t="shared" si="14"/>
        <v>Clear</v>
      </c>
    </row>
    <row r="127" spans="1:24">
      <c r="A127">
        <v>126</v>
      </c>
      <c r="B127" s="2">
        <v>40549</v>
      </c>
      <c r="C127">
        <v>1</v>
      </c>
      <c r="D127">
        <v>0</v>
      </c>
      <c r="E127">
        <v>1</v>
      </c>
      <c r="F127">
        <v>11</v>
      </c>
      <c r="G127" t="b">
        <v>0</v>
      </c>
      <c r="H127">
        <v>4</v>
      </c>
      <c r="I127">
        <v>1</v>
      </c>
      <c r="J127">
        <v>0.22</v>
      </c>
      <c r="K127">
        <v>0.2576</v>
      </c>
      <c r="L127">
        <v>0.44</v>
      </c>
      <c r="M127">
        <v>8.9599999999999999E-2</v>
      </c>
      <c r="N127">
        <v>2</v>
      </c>
      <c r="O127">
        <v>57</v>
      </c>
      <c r="P127">
        <v>59</v>
      </c>
      <c r="Q127" t="str">
        <f t="shared" si="8"/>
        <v>Complete</v>
      </c>
      <c r="R127">
        <f t="shared" si="15"/>
        <v>0.2576</v>
      </c>
      <c r="S127">
        <f t="shared" si="9"/>
        <v>2011</v>
      </c>
      <c r="T127" t="str">
        <f t="shared" si="10"/>
        <v>January</v>
      </c>
      <c r="U127" t="str">
        <f t="shared" si="11"/>
        <v>Weekday</v>
      </c>
      <c r="V127" t="str">
        <f t="shared" si="12"/>
        <v>Morning</v>
      </c>
      <c r="W127" t="str">
        <f t="shared" si="13"/>
        <v>Spring</v>
      </c>
      <c r="X127" t="str">
        <f t="shared" si="14"/>
        <v>Clear</v>
      </c>
    </row>
    <row r="128" spans="1:24">
      <c r="A128">
        <v>127</v>
      </c>
      <c r="B128" s="2">
        <v>40549</v>
      </c>
      <c r="C128">
        <v>1</v>
      </c>
      <c r="D128">
        <v>0</v>
      </c>
      <c r="E128">
        <v>1</v>
      </c>
      <c r="F128">
        <v>12</v>
      </c>
      <c r="G128" t="b">
        <v>0</v>
      </c>
      <c r="H128">
        <v>4</v>
      </c>
      <c r="I128">
        <v>1</v>
      </c>
      <c r="J128">
        <v>0.26</v>
      </c>
      <c r="K128">
        <v>0.28789999999999999</v>
      </c>
      <c r="L128">
        <v>0.35</v>
      </c>
      <c r="M128">
        <v>0</v>
      </c>
      <c r="N128">
        <v>6</v>
      </c>
      <c r="O128">
        <v>78</v>
      </c>
      <c r="P128">
        <v>84</v>
      </c>
      <c r="Q128" t="str">
        <f t="shared" si="8"/>
        <v>Complete</v>
      </c>
      <c r="R128">
        <f t="shared" si="15"/>
        <v>0.28789999999999999</v>
      </c>
      <c r="S128">
        <f t="shared" si="9"/>
        <v>2011</v>
      </c>
      <c r="T128" t="str">
        <f t="shared" si="10"/>
        <v>January</v>
      </c>
      <c r="U128" t="str">
        <f t="shared" si="11"/>
        <v>Weekday</v>
      </c>
      <c r="V128" t="str">
        <f t="shared" si="12"/>
        <v>Afternoon</v>
      </c>
      <c r="W128" t="str">
        <f t="shared" si="13"/>
        <v>Spring</v>
      </c>
      <c r="X128" t="str">
        <f t="shared" si="14"/>
        <v>Clear</v>
      </c>
    </row>
    <row r="129" spans="1:24">
      <c r="A129">
        <v>128</v>
      </c>
      <c r="B129" s="2">
        <v>40549</v>
      </c>
      <c r="C129">
        <v>1</v>
      </c>
      <c r="D129">
        <v>0</v>
      </c>
      <c r="E129">
        <v>1</v>
      </c>
      <c r="F129">
        <v>13</v>
      </c>
      <c r="G129" t="b">
        <v>0</v>
      </c>
      <c r="H129">
        <v>4</v>
      </c>
      <c r="I129">
        <v>1</v>
      </c>
      <c r="J129">
        <v>0.26</v>
      </c>
      <c r="K129">
        <v>0.2727</v>
      </c>
      <c r="L129">
        <v>0.35</v>
      </c>
      <c r="M129">
        <v>0.1045</v>
      </c>
      <c r="N129">
        <v>12</v>
      </c>
      <c r="O129">
        <v>55</v>
      </c>
      <c r="P129">
        <v>67</v>
      </c>
      <c r="Q129" t="str">
        <f t="shared" si="8"/>
        <v>Complete</v>
      </c>
      <c r="R129">
        <f t="shared" si="15"/>
        <v>0.2727</v>
      </c>
      <c r="S129">
        <f t="shared" si="9"/>
        <v>2011</v>
      </c>
      <c r="T129" t="str">
        <f t="shared" si="10"/>
        <v>January</v>
      </c>
      <c r="U129" t="str">
        <f t="shared" si="11"/>
        <v>Weekday</v>
      </c>
      <c r="V129" t="str">
        <f t="shared" si="12"/>
        <v>Afternoon</v>
      </c>
      <c r="W129" t="str">
        <f t="shared" si="13"/>
        <v>Spring</v>
      </c>
      <c r="X129" t="str">
        <f t="shared" si="14"/>
        <v>Clear</v>
      </c>
    </row>
    <row r="130" spans="1:24">
      <c r="A130">
        <v>129</v>
      </c>
      <c r="B130" s="2">
        <v>40549</v>
      </c>
      <c r="C130">
        <v>1</v>
      </c>
      <c r="D130">
        <v>0</v>
      </c>
      <c r="E130">
        <v>1</v>
      </c>
      <c r="F130">
        <v>14</v>
      </c>
      <c r="G130" t="b">
        <v>0</v>
      </c>
      <c r="H130">
        <v>4</v>
      </c>
      <c r="I130">
        <v>1</v>
      </c>
      <c r="J130">
        <v>0.28000000000000003</v>
      </c>
      <c r="K130">
        <v>0.2727</v>
      </c>
      <c r="L130">
        <v>0.36</v>
      </c>
      <c r="M130">
        <v>0.16420000000000001</v>
      </c>
      <c r="N130">
        <v>11</v>
      </c>
      <c r="O130">
        <v>59</v>
      </c>
      <c r="P130">
        <v>70</v>
      </c>
      <c r="Q130" t="str">
        <f t="shared" ref="Q130:Q193" si="16">IF(K130="","Missing atemp","Complete")</f>
        <v>Complete</v>
      </c>
      <c r="R130">
        <f t="shared" si="15"/>
        <v>0.2727</v>
      </c>
      <c r="S130">
        <f t="shared" ref="S130:S193" si="17">IF(D130=0,2011,"")</f>
        <v>2011</v>
      </c>
      <c r="T130" t="str">
        <f t="shared" ref="T130:T193" si="18">IF(E130=1,"January","")</f>
        <v>January</v>
      </c>
      <c r="U130" t="str">
        <f t="shared" ref="U130:U193" si="19">IF(G130=TRUE,"Holiday",IF(H130=0,"Sunday",IF(H130=6,"Saturday","Weekday")))</f>
        <v>Weekday</v>
      </c>
      <c r="V130" t="str">
        <f t="shared" ref="V130:V193" si="20">IF(F130&lt;6,"Night",IF(F130&lt;12,"Morning",IF(F130&lt;18,"Afternoon","Evening")))</f>
        <v>Afternoon</v>
      </c>
      <c r="W130" t="str">
        <f t="shared" ref="W130:W193" si="21">IF(C130=1,"Spring","")</f>
        <v>Spring</v>
      </c>
      <c r="X130" t="str">
        <f t="shared" ref="X130:X193" si="22">IF(I130=1,"Clear",IF(I130=2,"Mist/Cloudy",IF(I130=3,"Light Rain/Snow",IF(I130=4,"Heavy Rain/Snow","Unknown"))))</f>
        <v>Clear</v>
      </c>
    </row>
    <row r="131" spans="1:24">
      <c r="A131">
        <v>130</v>
      </c>
      <c r="B131" s="2">
        <v>40549</v>
      </c>
      <c r="C131">
        <v>1</v>
      </c>
      <c r="D131">
        <v>0</v>
      </c>
      <c r="E131">
        <v>1</v>
      </c>
      <c r="F131">
        <v>15</v>
      </c>
      <c r="G131" t="b">
        <v>0</v>
      </c>
      <c r="H131">
        <v>4</v>
      </c>
      <c r="I131">
        <v>1</v>
      </c>
      <c r="J131">
        <v>0.28000000000000003</v>
      </c>
      <c r="K131">
        <v>0.2727</v>
      </c>
      <c r="L131">
        <v>0.36</v>
      </c>
      <c r="M131">
        <v>0</v>
      </c>
      <c r="N131">
        <v>8</v>
      </c>
      <c r="O131">
        <v>54</v>
      </c>
      <c r="P131">
        <v>62</v>
      </c>
      <c r="Q131" t="str">
        <f t="shared" si="16"/>
        <v>Complete</v>
      </c>
      <c r="R131">
        <f t="shared" ref="R131:R194" si="23">IF(K131="",J131,K131)</f>
        <v>0.2727</v>
      </c>
      <c r="S131">
        <f t="shared" si="17"/>
        <v>2011</v>
      </c>
      <c r="T131" t="str">
        <f t="shared" si="18"/>
        <v>January</v>
      </c>
      <c r="U131" t="str">
        <f t="shared" si="19"/>
        <v>Weekday</v>
      </c>
      <c r="V131" t="str">
        <f t="shared" si="20"/>
        <v>Afternoon</v>
      </c>
      <c r="W131" t="str">
        <f t="shared" si="21"/>
        <v>Spring</v>
      </c>
      <c r="X131" t="str">
        <f t="shared" si="22"/>
        <v>Clear</v>
      </c>
    </row>
    <row r="132" spans="1:24">
      <c r="A132">
        <v>131</v>
      </c>
      <c r="B132" s="2">
        <v>40549</v>
      </c>
      <c r="C132">
        <v>1</v>
      </c>
      <c r="D132">
        <v>0</v>
      </c>
      <c r="E132">
        <v>1</v>
      </c>
      <c r="F132">
        <v>16</v>
      </c>
      <c r="G132" t="b">
        <v>0</v>
      </c>
      <c r="H132">
        <v>4</v>
      </c>
      <c r="I132">
        <v>1</v>
      </c>
      <c r="J132">
        <v>0.26</v>
      </c>
      <c r="K132">
        <v>0.2576</v>
      </c>
      <c r="L132">
        <v>0.38</v>
      </c>
      <c r="M132">
        <v>0.16420000000000001</v>
      </c>
      <c r="N132">
        <v>12</v>
      </c>
      <c r="O132">
        <v>74</v>
      </c>
      <c r="P132">
        <v>86</v>
      </c>
      <c r="Q132" t="str">
        <f t="shared" si="16"/>
        <v>Complete</v>
      </c>
      <c r="R132">
        <f t="shared" si="23"/>
        <v>0.2576</v>
      </c>
      <c r="S132">
        <f t="shared" si="17"/>
        <v>2011</v>
      </c>
      <c r="T132" t="str">
        <f t="shared" si="18"/>
        <v>January</v>
      </c>
      <c r="U132" t="str">
        <f t="shared" si="19"/>
        <v>Weekday</v>
      </c>
      <c r="V132" t="str">
        <f t="shared" si="20"/>
        <v>Afternoon</v>
      </c>
      <c r="W132" t="str">
        <f t="shared" si="21"/>
        <v>Spring</v>
      </c>
      <c r="X132" t="str">
        <f t="shared" si="22"/>
        <v>Clear</v>
      </c>
    </row>
    <row r="133" spans="1:24">
      <c r="A133">
        <v>132</v>
      </c>
      <c r="B133" s="2">
        <v>40549</v>
      </c>
      <c r="C133">
        <v>1</v>
      </c>
      <c r="D133">
        <v>0</v>
      </c>
      <c r="E133">
        <v>1</v>
      </c>
      <c r="F133">
        <v>17</v>
      </c>
      <c r="G133" t="b">
        <v>0</v>
      </c>
      <c r="H133">
        <v>4</v>
      </c>
      <c r="I133">
        <v>1</v>
      </c>
      <c r="J133">
        <v>0.22</v>
      </c>
      <c r="K133">
        <v>0.2273</v>
      </c>
      <c r="L133">
        <v>0.51</v>
      </c>
      <c r="M133">
        <v>0.16420000000000001</v>
      </c>
      <c r="N133">
        <v>9</v>
      </c>
      <c r="O133">
        <v>163</v>
      </c>
      <c r="P133">
        <v>172</v>
      </c>
      <c r="Q133" t="str">
        <f t="shared" si="16"/>
        <v>Complete</v>
      </c>
      <c r="R133">
        <f t="shared" si="23"/>
        <v>0.2273</v>
      </c>
      <c r="S133">
        <f t="shared" si="17"/>
        <v>2011</v>
      </c>
      <c r="T133" t="str">
        <f t="shared" si="18"/>
        <v>January</v>
      </c>
      <c r="U133" t="str">
        <f t="shared" si="19"/>
        <v>Weekday</v>
      </c>
      <c r="V133" t="str">
        <f t="shared" si="20"/>
        <v>Afternoon</v>
      </c>
      <c r="W133" t="str">
        <f t="shared" si="21"/>
        <v>Spring</v>
      </c>
      <c r="X133" t="str">
        <f t="shared" si="22"/>
        <v>Clear</v>
      </c>
    </row>
    <row r="134" spans="1:24">
      <c r="A134">
        <v>133</v>
      </c>
      <c r="B134" s="2">
        <v>40549</v>
      </c>
      <c r="C134">
        <v>1</v>
      </c>
      <c r="D134">
        <v>0</v>
      </c>
      <c r="E134">
        <v>1</v>
      </c>
      <c r="F134">
        <v>18</v>
      </c>
      <c r="G134" t="b">
        <v>0</v>
      </c>
      <c r="H134">
        <v>4</v>
      </c>
      <c r="I134">
        <v>1</v>
      </c>
      <c r="J134">
        <v>0.22</v>
      </c>
      <c r="K134">
        <v>0.2273</v>
      </c>
      <c r="L134">
        <v>0.51</v>
      </c>
      <c r="M134">
        <v>0.1343</v>
      </c>
      <c r="N134">
        <v>5</v>
      </c>
      <c r="O134">
        <v>158</v>
      </c>
      <c r="P134">
        <v>163</v>
      </c>
      <c r="Q134" t="str">
        <f t="shared" si="16"/>
        <v>Complete</v>
      </c>
      <c r="R134">
        <f t="shared" si="23"/>
        <v>0.2273</v>
      </c>
      <c r="S134">
        <f t="shared" si="17"/>
        <v>2011</v>
      </c>
      <c r="T134" t="str">
        <f t="shared" si="18"/>
        <v>January</v>
      </c>
      <c r="U134" t="str">
        <f t="shared" si="19"/>
        <v>Weekday</v>
      </c>
      <c r="V134" t="str">
        <f t="shared" si="20"/>
        <v>Evening</v>
      </c>
      <c r="W134" t="str">
        <f t="shared" si="21"/>
        <v>Spring</v>
      </c>
      <c r="X134" t="str">
        <f t="shared" si="22"/>
        <v>Clear</v>
      </c>
    </row>
    <row r="135" spans="1:24">
      <c r="A135">
        <v>134</v>
      </c>
      <c r="B135" s="2">
        <v>40549</v>
      </c>
      <c r="C135">
        <v>1</v>
      </c>
      <c r="D135">
        <v>0</v>
      </c>
      <c r="E135">
        <v>1</v>
      </c>
      <c r="F135">
        <v>19</v>
      </c>
      <c r="G135" t="b">
        <v>0</v>
      </c>
      <c r="H135">
        <v>4</v>
      </c>
      <c r="I135">
        <v>1</v>
      </c>
      <c r="J135">
        <v>0.22</v>
      </c>
      <c r="K135">
        <v>0.2576</v>
      </c>
      <c r="L135">
        <v>0.55000000000000004</v>
      </c>
      <c r="M135">
        <v>8.9599999999999999E-2</v>
      </c>
      <c r="N135">
        <v>3</v>
      </c>
      <c r="O135">
        <v>109</v>
      </c>
      <c r="P135">
        <v>112</v>
      </c>
      <c r="Q135" t="str">
        <f t="shared" si="16"/>
        <v>Complete</v>
      </c>
      <c r="R135">
        <f t="shared" si="23"/>
        <v>0.2576</v>
      </c>
      <c r="S135">
        <f t="shared" si="17"/>
        <v>2011</v>
      </c>
      <c r="T135" t="str">
        <f t="shared" si="18"/>
        <v>January</v>
      </c>
      <c r="U135" t="str">
        <f t="shared" si="19"/>
        <v>Weekday</v>
      </c>
      <c r="V135" t="str">
        <f t="shared" si="20"/>
        <v>Evening</v>
      </c>
      <c r="W135" t="str">
        <f t="shared" si="21"/>
        <v>Spring</v>
      </c>
      <c r="X135" t="str">
        <f t="shared" si="22"/>
        <v>Clear</v>
      </c>
    </row>
    <row r="136" spans="1:24">
      <c r="A136">
        <v>135</v>
      </c>
      <c r="B136" s="2">
        <v>40549</v>
      </c>
      <c r="C136">
        <v>1</v>
      </c>
      <c r="D136">
        <v>0</v>
      </c>
      <c r="E136">
        <v>1</v>
      </c>
      <c r="F136">
        <v>20</v>
      </c>
      <c r="G136" t="b">
        <v>0</v>
      </c>
      <c r="H136">
        <v>4</v>
      </c>
      <c r="I136">
        <v>1</v>
      </c>
      <c r="J136">
        <v>0.2</v>
      </c>
      <c r="K136">
        <v>0.21210000000000001</v>
      </c>
      <c r="L136">
        <v>0.51</v>
      </c>
      <c r="M136">
        <v>0.16420000000000001</v>
      </c>
      <c r="N136">
        <v>3</v>
      </c>
      <c r="O136">
        <v>66</v>
      </c>
      <c r="P136">
        <v>69</v>
      </c>
      <c r="Q136" t="str">
        <f t="shared" si="16"/>
        <v>Complete</v>
      </c>
      <c r="R136">
        <f t="shared" si="23"/>
        <v>0.21210000000000001</v>
      </c>
      <c r="S136">
        <f t="shared" si="17"/>
        <v>2011</v>
      </c>
      <c r="T136" t="str">
        <f t="shared" si="18"/>
        <v>January</v>
      </c>
      <c r="U136" t="str">
        <f t="shared" si="19"/>
        <v>Weekday</v>
      </c>
      <c r="V136" t="str">
        <f t="shared" si="20"/>
        <v>Evening</v>
      </c>
      <c r="W136" t="str">
        <f t="shared" si="21"/>
        <v>Spring</v>
      </c>
      <c r="X136" t="str">
        <f t="shared" si="22"/>
        <v>Clear</v>
      </c>
    </row>
    <row r="137" spans="1:24">
      <c r="A137">
        <v>136</v>
      </c>
      <c r="B137" s="2">
        <v>40549</v>
      </c>
      <c r="C137">
        <v>1</v>
      </c>
      <c r="D137">
        <v>0</v>
      </c>
      <c r="E137">
        <v>1</v>
      </c>
      <c r="F137">
        <v>21</v>
      </c>
      <c r="G137" t="b">
        <v>0</v>
      </c>
      <c r="H137">
        <v>4</v>
      </c>
      <c r="I137">
        <v>2</v>
      </c>
      <c r="J137">
        <v>0.22</v>
      </c>
      <c r="K137">
        <v>0.21210000000000001</v>
      </c>
      <c r="L137">
        <v>0.55000000000000004</v>
      </c>
      <c r="M137">
        <v>0.22389999999999999</v>
      </c>
      <c r="N137">
        <v>0</v>
      </c>
      <c r="O137">
        <v>48</v>
      </c>
      <c r="P137">
        <v>48</v>
      </c>
      <c r="Q137" t="str">
        <f t="shared" si="16"/>
        <v>Complete</v>
      </c>
      <c r="R137">
        <f t="shared" si="23"/>
        <v>0.21210000000000001</v>
      </c>
      <c r="S137">
        <f t="shared" si="17"/>
        <v>2011</v>
      </c>
      <c r="T137" t="str">
        <f t="shared" si="18"/>
        <v>January</v>
      </c>
      <c r="U137" t="str">
        <f t="shared" si="19"/>
        <v>Weekday</v>
      </c>
      <c r="V137" t="str">
        <f t="shared" si="20"/>
        <v>Evening</v>
      </c>
      <c r="W137" t="str">
        <f t="shared" si="21"/>
        <v>Spring</v>
      </c>
      <c r="X137" t="str">
        <f t="shared" si="22"/>
        <v>Mist/Cloudy</v>
      </c>
    </row>
    <row r="138" spans="1:24">
      <c r="A138">
        <v>137</v>
      </c>
      <c r="B138" s="2">
        <v>40549</v>
      </c>
      <c r="C138">
        <v>1</v>
      </c>
      <c r="D138">
        <v>0</v>
      </c>
      <c r="E138">
        <v>1</v>
      </c>
      <c r="F138">
        <v>22</v>
      </c>
      <c r="G138" t="b">
        <v>0</v>
      </c>
      <c r="H138">
        <v>4</v>
      </c>
      <c r="I138">
        <v>2</v>
      </c>
      <c r="J138">
        <v>0.22</v>
      </c>
      <c r="K138">
        <v>0.21210000000000001</v>
      </c>
      <c r="L138">
        <v>0.51</v>
      </c>
      <c r="M138">
        <v>0.28360000000000002</v>
      </c>
      <c r="N138">
        <v>1</v>
      </c>
      <c r="O138">
        <v>51</v>
      </c>
      <c r="P138">
        <v>52</v>
      </c>
      <c r="Q138" t="str">
        <f t="shared" si="16"/>
        <v>Complete</v>
      </c>
      <c r="R138">
        <f t="shared" si="23"/>
        <v>0.21210000000000001</v>
      </c>
      <c r="S138">
        <f t="shared" si="17"/>
        <v>2011</v>
      </c>
      <c r="T138" t="str">
        <f t="shared" si="18"/>
        <v>January</v>
      </c>
      <c r="U138" t="str">
        <f t="shared" si="19"/>
        <v>Weekday</v>
      </c>
      <c r="V138" t="str">
        <f t="shared" si="20"/>
        <v>Evening</v>
      </c>
      <c r="W138" t="str">
        <f t="shared" si="21"/>
        <v>Spring</v>
      </c>
      <c r="X138" t="str">
        <f t="shared" si="22"/>
        <v>Mist/Cloudy</v>
      </c>
    </row>
    <row r="139" spans="1:24">
      <c r="A139">
        <v>138</v>
      </c>
      <c r="B139" s="2">
        <v>40549</v>
      </c>
      <c r="C139">
        <v>1</v>
      </c>
      <c r="D139">
        <v>0</v>
      </c>
      <c r="E139">
        <v>1</v>
      </c>
      <c r="F139">
        <v>23</v>
      </c>
      <c r="G139" t="b">
        <v>0</v>
      </c>
      <c r="H139">
        <v>4</v>
      </c>
      <c r="I139">
        <v>2</v>
      </c>
      <c r="J139">
        <v>0.2</v>
      </c>
      <c r="K139">
        <v>0.19700000000000001</v>
      </c>
      <c r="L139">
        <v>0.59</v>
      </c>
      <c r="M139">
        <v>0.19400000000000001</v>
      </c>
      <c r="N139">
        <v>4</v>
      </c>
      <c r="O139">
        <v>19</v>
      </c>
      <c r="P139">
        <v>23</v>
      </c>
      <c r="Q139" t="str">
        <f t="shared" si="16"/>
        <v>Complete</v>
      </c>
      <c r="R139">
        <f t="shared" si="23"/>
        <v>0.19700000000000001</v>
      </c>
      <c r="S139">
        <f t="shared" si="17"/>
        <v>2011</v>
      </c>
      <c r="T139" t="str">
        <f t="shared" si="18"/>
        <v>January</v>
      </c>
      <c r="U139" t="str">
        <f t="shared" si="19"/>
        <v>Weekday</v>
      </c>
      <c r="V139" t="str">
        <f t="shared" si="20"/>
        <v>Evening</v>
      </c>
      <c r="W139" t="str">
        <f t="shared" si="21"/>
        <v>Spring</v>
      </c>
      <c r="X139" t="str">
        <f t="shared" si="22"/>
        <v>Mist/Cloudy</v>
      </c>
    </row>
    <row r="140" spans="1:24">
      <c r="A140">
        <v>139</v>
      </c>
      <c r="B140" s="2">
        <v>40550</v>
      </c>
      <c r="C140">
        <v>1</v>
      </c>
      <c r="D140">
        <v>0</v>
      </c>
      <c r="E140">
        <v>1</v>
      </c>
      <c r="F140">
        <v>0</v>
      </c>
      <c r="G140" t="b">
        <v>0</v>
      </c>
      <c r="H140">
        <v>5</v>
      </c>
      <c r="I140">
        <v>2</v>
      </c>
      <c r="J140">
        <v>0.2</v>
      </c>
      <c r="K140">
        <v>0.19700000000000001</v>
      </c>
      <c r="L140">
        <v>0.64</v>
      </c>
      <c r="M140">
        <v>0.19400000000000001</v>
      </c>
      <c r="N140">
        <v>4</v>
      </c>
      <c r="O140">
        <v>13</v>
      </c>
      <c r="P140">
        <v>17</v>
      </c>
      <c r="Q140" t="str">
        <f t="shared" si="16"/>
        <v>Complete</v>
      </c>
      <c r="R140">
        <f t="shared" si="23"/>
        <v>0.19700000000000001</v>
      </c>
      <c r="S140">
        <f t="shared" si="17"/>
        <v>2011</v>
      </c>
      <c r="T140" t="str">
        <f t="shared" si="18"/>
        <v>January</v>
      </c>
      <c r="U140" t="str">
        <f t="shared" si="19"/>
        <v>Weekday</v>
      </c>
      <c r="V140" t="str">
        <f t="shared" si="20"/>
        <v>Night</v>
      </c>
      <c r="W140" t="str">
        <f t="shared" si="21"/>
        <v>Spring</v>
      </c>
      <c r="X140" t="str">
        <f t="shared" si="22"/>
        <v>Mist/Cloudy</v>
      </c>
    </row>
    <row r="141" spans="1:24">
      <c r="A141">
        <v>140</v>
      </c>
      <c r="B141" s="2">
        <v>40550</v>
      </c>
      <c r="C141">
        <v>1</v>
      </c>
      <c r="D141">
        <v>0</v>
      </c>
      <c r="E141">
        <v>1</v>
      </c>
      <c r="F141">
        <v>1</v>
      </c>
      <c r="G141" t="b">
        <v>0</v>
      </c>
      <c r="H141">
        <v>5</v>
      </c>
      <c r="I141">
        <v>2</v>
      </c>
      <c r="J141">
        <v>0.2</v>
      </c>
      <c r="K141">
        <v>0.19700000000000001</v>
      </c>
      <c r="L141">
        <v>0.69</v>
      </c>
      <c r="M141">
        <v>0.22389999999999999</v>
      </c>
      <c r="N141">
        <v>2</v>
      </c>
      <c r="O141">
        <v>5</v>
      </c>
      <c r="P141">
        <v>7</v>
      </c>
      <c r="Q141" t="str">
        <f t="shared" si="16"/>
        <v>Complete</v>
      </c>
      <c r="R141">
        <f t="shared" si="23"/>
        <v>0.19700000000000001</v>
      </c>
      <c r="S141">
        <f t="shared" si="17"/>
        <v>2011</v>
      </c>
      <c r="T141" t="str">
        <f t="shared" si="18"/>
        <v>January</v>
      </c>
      <c r="U141" t="str">
        <f t="shared" si="19"/>
        <v>Weekday</v>
      </c>
      <c r="V141" t="str">
        <f t="shared" si="20"/>
        <v>Night</v>
      </c>
      <c r="W141" t="str">
        <f t="shared" si="21"/>
        <v>Spring</v>
      </c>
      <c r="X141" t="str">
        <f t="shared" si="22"/>
        <v>Mist/Cloudy</v>
      </c>
    </row>
    <row r="142" spans="1:24">
      <c r="A142">
        <v>141</v>
      </c>
      <c r="B142" s="2">
        <v>40550</v>
      </c>
      <c r="C142">
        <v>1</v>
      </c>
      <c r="D142">
        <v>0</v>
      </c>
      <c r="E142">
        <v>1</v>
      </c>
      <c r="F142">
        <v>2</v>
      </c>
      <c r="G142" t="b">
        <v>0</v>
      </c>
      <c r="H142">
        <v>5</v>
      </c>
      <c r="I142">
        <v>2</v>
      </c>
      <c r="J142">
        <v>0.2</v>
      </c>
      <c r="K142">
        <v>0.19700000000000001</v>
      </c>
      <c r="L142">
        <v>0.69</v>
      </c>
      <c r="M142">
        <v>0.22389999999999999</v>
      </c>
      <c r="N142">
        <v>0</v>
      </c>
      <c r="O142">
        <v>1</v>
      </c>
      <c r="P142">
        <v>1</v>
      </c>
      <c r="Q142" t="str">
        <f t="shared" si="16"/>
        <v>Complete</v>
      </c>
      <c r="R142">
        <f t="shared" si="23"/>
        <v>0.19700000000000001</v>
      </c>
      <c r="S142">
        <f t="shared" si="17"/>
        <v>2011</v>
      </c>
      <c r="T142" t="str">
        <f t="shared" si="18"/>
        <v>January</v>
      </c>
      <c r="U142" t="str">
        <f t="shared" si="19"/>
        <v>Weekday</v>
      </c>
      <c r="V142" t="str">
        <f t="shared" si="20"/>
        <v>Night</v>
      </c>
      <c r="W142" t="str">
        <f t="shared" si="21"/>
        <v>Spring</v>
      </c>
      <c r="X142" t="str">
        <f t="shared" si="22"/>
        <v>Mist/Cloudy</v>
      </c>
    </row>
    <row r="143" spans="1:24">
      <c r="A143">
        <v>142</v>
      </c>
      <c r="B143" s="2">
        <v>40550</v>
      </c>
      <c r="C143">
        <v>1</v>
      </c>
      <c r="D143">
        <v>0</v>
      </c>
      <c r="E143">
        <v>1</v>
      </c>
      <c r="F143">
        <v>4</v>
      </c>
      <c r="G143" t="b">
        <v>0</v>
      </c>
      <c r="H143">
        <v>5</v>
      </c>
      <c r="I143">
        <v>2</v>
      </c>
      <c r="J143">
        <v>0.2</v>
      </c>
      <c r="K143">
        <v>0.21210000000000001</v>
      </c>
      <c r="L143">
        <v>0.69</v>
      </c>
      <c r="M143">
        <v>0.1343</v>
      </c>
      <c r="N143">
        <v>0</v>
      </c>
      <c r="O143">
        <v>1</v>
      </c>
      <c r="P143">
        <v>1</v>
      </c>
      <c r="Q143" t="str">
        <f t="shared" si="16"/>
        <v>Complete</v>
      </c>
      <c r="R143">
        <f t="shared" si="23"/>
        <v>0.21210000000000001</v>
      </c>
      <c r="S143">
        <f t="shared" si="17"/>
        <v>2011</v>
      </c>
      <c r="T143" t="str">
        <f t="shared" si="18"/>
        <v>January</v>
      </c>
      <c r="U143" t="str">
        <f t="shared" si="19"/>
        <v>Weekday</v>
      </c>
      <c r="V143" t="str">
        <f t="shared" si="20"/>
        <v>Night</v>
      </c>
      <c r="W143" t="str">
        <f t="shared" si="21"/>
        <v>Spring</v>
      </c>
      <c r="X143" t="str">
        <f t="shared" si="22"/>
        <v>Mist/Cloudy</v>
      </c>
    </row>
    <row r="144" spans="1:24">
      <c r="A144">
        <v>143</v>
      </c>
      <c r="B144" s="2">
        <v>40550</v>
      </c>
      <c r="C144">
        <v>1</v>
      </c>
      <c r="D144">
        <v>0</v>
      </c>
      <c r="E144">
        <v>1</v>
      </c>
      <c r="F144">
        <v>5</v>
      </c>
      <c r="G144" t="b">
        <v>0</v>
      </c>
      <c r="H144">
        <v>5</v>
      </c>
      <c r="I144">
        <v>3</v>
      </c>
      <c r="J144">
        <v>0.22</v>
      </c>
      <c r="K144">
        <v>0.2727</v>
      </c>
      <c r="L144">
        <v>0.55000000000000004</v>
      </c>
      <c r="M144">
        <v>0</v>
      </c>
      <c r="N144">
        <v>0</v>
      </c>
      <c r="O144">
        <v>5</v>
      </c>
      <c r="P144">
        <v>5</v>
      </c>
      <c r="Q144" t="str">
        <f t="shared" si="16"/>
        <v>Complete</v>
      </c>
      <c r="R144">
        <f t="shared" si="23"/>
        <v>0.2727</v>
      </c>
      <c r="S144">
        <f t="shared" si="17"/>
        <v>2011</v>
      </c>
      <c r="T144" t="str">
        <f t="shared" si="18"/>
        <v>January</v>
      </c>
      <c r="U144" t="str">
        <f t="shared" si="19"/>
        <v>Weekday</v>
      </c>
      <c r="V144" t="str">
        <f t="shared" si="20"/>
        <v>Night</v>
      </c>
      <c r="W144" t="str">
        <f t="shared" si="21"/>
        <v>Spring</v>
      </c>
      <c r="X144" t="str">
        <f t="shared" si="22"/>
        <v>Light Rain/Snow</v>
      </c>
    </row>
    <row r="145" spans="1:24">
      <c r="A145">
        <v>144</v>
      </c>
      <c r="B145" s="2">
        <v>40550</v>
      </c>
      <c r="C145">
        <v>1</v>
      </c>
      <c r="D145">
        <v>0</v>
      </c>
      <c r="E145">
        <v>1</v>
      </c>
      <c r="F145">
        <v>6</v>
      </c>
      <c r="G145" t="b">
        <v>0</v>
      </c>
      <c r="H145">
        <v>5</v>
      </c>
      <c r="I145">
        <v>2</v>
      </c>
      <c r="J145">
        <v>0.2</v>
      </c>
      <c r="K145">
        <v>0.2576</v>
      </c>
      <c r="L145">
        <v>0.69</v>
      </c>
      <c r="M145">
        <v>0</v>
      </c>
      <c r="N145">
        <v>8</v>
      </c>
      <c r="O145">
        <v>26</v>
      </c>
      <c r="P145">
        <v>34</v>
      </c>
      <c r="Q145" t="str">
        <f t="shared" si="16"/>
        <v>Complete</v>
      </c>
      <c r="R145">
        <f t="shared" si="23"/>
        <v>0.2576</v>
      </c>
      <c r="S145">
        <f t="shared" si="17"/>
        <v>2011</v>
      </c>
      <c r="T145" t="str">
        <f t="shared" si="18"/>
        <v>January</v>
      </c>
      <c r="U145" t="str">
        <f t="shared" si="19"/>
        <v>Weekday</v>
      </c>
      <c r="V145" t="str">
        <f t="shared" si="20"/>
        <v>Morning</v>
      </c>
      <c r="W145" t="str">
        <f t="shared" si="21"/>
        <v>Spring</v>
      </c>
      <c r="X145" t="str">
        <f t="shared" si="22"/>
        <v>Mist/Cloudy</v>
      </c>
    </row>
    <row r="146" spans="1:24">
      <c r="A146">
        <v>145</v>
      </c>
      <c r="B146" s="2">
        <v>40550</v>
      </c>
      <c r="C146">
        <v>1</v>
      </c>
      <c r="D146">
        <v>0</v>
      </c>
      <c r="E146">
        <v>1</v>
      </c>
      <c r="F146">
        <v>7</v>
      </c>
      <c r="G146" t="b">
        <v>0</v>
      </c>
      <c r="H146">
        <v>5</v>
      </c>
      <c r="I146">
        <v>1</v>
      </c>
      <c r="J146">
        <v>0.2</v>
      </c>
      <c r="K146">
        <v>0.21210000000000001</v>
      </c>
      <c r="L146">
        <v>0.69</v>
      </c>
      <c r="M146">
        <v>0.1343</v>
      </c>
      <c r="N146">
        <v>8</v>
      </c>
      <c r="O146">
        <v>76</v>
      </c>
      <c r="P146">
        <v>84</v>
      </c>
      <c r="Q146" t="str">
        <f t="shared" si="16"/>
        <v>Complete</v>
      </c>
      <c r="R146">
        <f t="shared" si="23"/>
        <v>0.21210000000000001</v>
      </c>
      <c r="S146">
        <f t="shared" si="17"/>
        <v>2011</v>
      </c>
      <c r="T146" t="str">
        <f t="shared" si="18"/>
        <v>January</v>
      </c>
      <c r="U146" t="str">
        <f t="shared" si="19"/>
        <v>Weekday</v>
      </c>
      <c r="V146" t="str">
        <f t="shared" si="20"/>
        <v>Morning</v>
      </c>
      <c r="W146" t="str">
        <f t="shared" si="21"/>
        <v>Spring</v>
      </c>
      <c r="X146" t="str">
        <f t="shared" si="22"/>
        <v>Clear</v>
      </c>
    </row>
    <row r="147" spans="1:24">
      <c r="A147">
        <v>146</v>
      </c>
      <c r="B147" s="2">
        <v>40550</v>
      </c>
      <c r="C147">
        <v>1</v>
      </c>
      <c r="D147">
        <v>0</v>
      </c>
      <c r="E147">
        <v>1</v>
      </c>
      <c r="F147">
        <v>8</v>
      </c>
      <c r="G147" t="b">
        <v>0</v>
      </c>
      <c r="H147">
        <v>5</v>
      </c>
      <c r="I147">
        <v>1</v>
      </c>
      <c r="J147">
        <v>0.2</v>
      </c>
      <c r="K147">
        <v>0.19700000000000001</v>
      </c>
      <c r="L147">
        <v>0.51</v>
      </c>
      <c r="M147">
        <v>0.25369999999999998</v>
      </c>
      <c r="N147">
        <v>20</v>
      </c>
      <c r="O147">
        <v>190</v>
      </c>
      <c r="P147">
        <v>210</v>
      </c>
      <c r="Q147" t="str">
        <f t="shared" si="16"/>
        <v>Complete</v>
      </c>
      <c r="R147">
        <f t="shared" si="23"/>
        <v>0.19700000000000001</v>
      </c>
      <c r="S147">
        <f t="shared" si="17"/>
        <v>2011</v>
      </c>
      <c r="T147" t="str">
        <f t="shared" si="18"/>
        <v>January</v>
      </c>
      <c r="U147" t="str">
        <f t="shared" si="19"/>
        <v>Weekday</v>
      </c>
      <c r="V147" t="str">
        <f t="shared" si="20"/>
        <v>Morning</v>
      </c>
      <c r="W147" t="str">
        <f t="shared" si="21"/>
        <v>Spring</v>
      </c>
      <c r="X147" t="str">
        <f t="shared" si="22"/>
        <v>Clear</v>
      </c>
    </row>
    <row r="148" spans="1:24">
      <c r="A148">
        <v>147</v>
      </c>
      <c r="B148" s="2">
        <v>40550</v>
      </c>
      <c r="C148">
        <v>1</v>
      </c>
      <c r="D148">
        <v>0</v>
      </c>
      <c r="E148">
        <v>1</v>
      </c>
      <c r="F148">
        <v>9</v>
      </c>
      <c r="G148" t="b">
        <v>0</v>
      </c>
      <c r="H148">
        <v>5</v>
      </c>
      <c r="I148">
        <v>1</v>
      </c>
      <c r="J148">
        <v>0.2</v>
      </c>
      <c r="K148">
        <v>0.18179999999999999</v>
      </c>
      <c r="L148">
        <v>0.47</v>
      </c>
      <c r="M148">
        <v>0.29849999999999999</v>
      </c>
      <c r="N148">
        <v>9</v>
      </c>
      <c r="O148">
        <v>125</v>
      </c>
      <c r="P148">
        <v>134</v>
      </c>
      <c r="Q148" t="str">
        <f t="shared" si="16"/>
        <v>Complete</v>
      </c>
      <c r="R148">
        <f t="shared" si="23"/>
        <v>0.18179999999999999</v>
      </c>
      <c r="S148">
        <f t="shared" si="17"/>
        <v>2011</v>
      </c>
      <c r="T148" t="str">
        <f t="shared" si="18"/>
        <v>January</v>
      </c>
      <c r="U148" t="str">
        <f t="shared" si="19"/>
        <v>Weekday</v>
      </c>
      <c r="V148" t="str">
        <f t="shared" si="20"/>
        <v>Morning</v>
      </c>
      <c r="W148" t="str">
        <f t="shared" si="21"/>
        <v>Spring</v>
      </c>
      <c r="X148" t="str">
        <f t="shared" si="22"/>
        <v>Clear</v>
      </c>
    </row>
    <row r="149" spans="1:24">
      <c r="A149">
        <v>148</v>
      </c>
      <c r="B149" s="2">
        <v>40550</v>
      </c>
      <c r="C149">
        <v>1</v>
      </c>
      <c r="D149">
        <v>0</v>
      </c>
      <c r="E149">
        <v>1</v>
      </c>
      <c r="F149">
        <v>10</v>
      </c>
      <c r="G149" t="b">
        <v>0</v>
      </c>
      <c r="H149">
        <v>5</v>
      </c>
      <c r="I149">
        <v>1</v>
      </c>
      <c r="J149">
        <v>0.22</v>
      </c>
      <c r="K149">
        <v>0.19700000000000001</v>
      </c>
      <c r="L149">
        <v>0.37</v>
      </c>
      <c r="M149">
        <v>0.32840000000000003</v>
      </c>
      <c r="N149">
        <v>16</v>
      </c>
      <c r="O149">
        <v>47</v>
      </c>
      <c r="P149">
        <v>63</v>
      </c>
      <c r="Q149" t="str">
        <f t="shared" si="16"/>
        <v>Complete</v>
      </c>
      <c r="R149">
        <f t="shared" si="23"/>
        <v>0.19700000000000001</v>
      </c>
      <c r="S149">
        <f t="shared" si="17"/>
        <v>2011</v>
      </c>
      <c r="T149" t="str">
        <f t="shared" si="18"/>
        <v>January</v>
      </c>
      <c r="U149" t="str">
        <f t="shared" si="19"/>
        <v>Weekday</v>
      </c>
      <c r="V149" t="str">
        <f t="shared" si="20"/>
        <v>Morning</v>
      </c>
      <c r="W149" t="str">
        <f t="shared" si="21"/>
        <v>Spring</v>
      </c>
      <c r="X149" t="str">
        <f t="shared" si="22"/>
        <v>Clear</v>
      </c>
    </row>
    <row r="150" spans="1:24">
      <c r="A150">
        <v>149</v>
      </c>
      <c r="B150" s="2">
        <v>40550</v>
      </c>
      <c r="C150">
        <v>1</v>
      </c>
      <c r="D150">
        <v>0</v>
      </c>
      <c r="E150">
        <v>1</v>
      </c>
      <c r="F150">
        <v>11</v>
      </c>
      <c r="G150" t="b">
        <v>0</v>
      </c>
      <c r="H150">
        <v>5</v>
      </c>
      <c r="I150">
        <v>2</v>
      </c>
      <c r="J150">
        <v>0.2</v>
      </c>
      <c r="K150">
        <v>0.19700000000000001</v>
      </c>
      <c r="L150">
        <v>0.4</v>
      </c>
      <c r="M150">
        <v>0.22389999999999999</v>
      </c>
      <c r="N150">
        <v>19</v>
      </c>
      <c r="O150">
        <v>48</v>
      </c>
      <c r="P150">
        <v>67</v>
      </c>
      <c r="Q150" t="str">
        <f t="shared" si="16"/>
        <v>Complete</v>
      </c>
      <c r="R150">
        <f t="shared" si="23"/>
        <v>0.19700000000000001</v>
      </c>
      <c r="S150">
        <f t="shared" si="17"/>
        <v>2011</v>
      </c>
      <c r="T150" t="str">
        <f t="shared" si="18"/>
        <v>January</v>
      </c>
      <c r="U150" t="str">
        <f t="shared" si="19"/>
        <v>Weekday</v>
      </c>
      <c r="V150" t="str">
        <f t="shared" si="20"/>
        <v>Morning</v>
      </c>
      <c r="W150" t="str">
        <f t="shared" si="21"/>
        <v>Spring</v>
      </c>
      <c r="X150" t="str">
        <f t="shared" si="22"/>
        <v>Mist/Cloudy</v>
      </c>
    </row>
    <row r="151" spans="1:24">
      <c r="A151">
        <v>150</v>
      </c>
      <c r="B151" s="2">
        <v>40550</v>
      </c>
      <c r="C151">
        <v>1</v>
      </c>
      <c r="D151">
        <v>0</v>
      </c>
      <c r="E151">
        <v>1</v>
      </c>
      <c r="F151">
        <v>12</v>
      </c>
      <c r="G151" t="b">
        <v>0</v>
      </c>
      <c r="H151">
        <v>5</v>
      </c>
      <c r="I151">
        <v>2</v>
      </c>
      <c r="J151">
        <v>0.2</v>
      </c>
      <c r="K151">
        <v>0.19700000000000001</v>
      </c>
      <c r="L151">
        <v>0.37</v>
      </c>
      <c r="M151">
        <v>0.25369999999999998</v>
      </c>
      <c r="N151">
        <v>9</v>
      </c>
      <c r="O151">
        <v>50</v>
      </c>
      <c r="P151">
        <v>59</v>
      </c>
      <c r="Q151" t="str">
        <f t="shared" si="16"/>
        <v>Complete</v>
      </c>
      <c r="R151">
        <f t="shared" si="23"/>
        <v>0.19700000000000001</v>
      </c>
      <c r="S151">
        <f t="shared" si="17"/>
        <v>2011</v>
      </c>
      <c r="T151" t="str">
        <f t="shared" si="18"/>
        <v>January</v>
      </c>
      <c r="U151" t="str">
        <f t="shared" si="19"/>
        <v>Weekday</v>
      </c>
      <c r="V151" t="str">
        <f t="shared" si="20"/>
        <v>Afternoon</v>
      </c>
      <c r="W151" t="str">
        <f t="shared" si="21"/>
        <v>Spring</v>
      </c>
      <c r="X151" t="str">
        <f t="shared" si="22"/>
        <v>Mist/Cloudy</v>
      </c>
    </row>
    <row r="152" spans="1:24">
      <c r="A152">
        <v>151</v>
      </c>
      <c r="B152" s="2">
        <v>40550</v>
      </c>
      <c r="C152">
        <v>1</v>
      </c>
      <c r="D152">
        <v>0</v>
      </c>
      <c r="E152">
        <v>1</v>
      </c>
      <c r="F152">
        <v>13</v>
      </c>
      <c r="G152" t="b">
        <v>0</v>
      </c>
      <c r="H152">
        <v>5</v>
      </c>
      <c r="I152">
        <v>2</v>
      </c>
      <c r="J152">
        <v>0.2</v>
      </c>
      <c r="K152">
        <v>0.18179999999999999</v>
      </c>
      <c r="L152">
        <v>0.37</v>
      </c>
      <c r="M152">
        <v>0.28360000000000002</v>
      </c>
      <c r="N152">
        <v>9</v>
      </c>
      <c r="O152">
        <v>64</v>
      </c>
      <c r="P152">
        <v>73</v>
      </c>
      <c r="Q152" t="str">
        <f t="shared" si="16"/>
        <v>Complete</v>
      </c>
      <c r="R152">
        <f t="shared" si="23"/>
        <v>0.18179999999999999</v>
      </c>
      <c r="S152">
        <f t="shared" si="17"/>
        <v>2011</v>
      </c>
      <c r="T152" t="str">
        <f t="shared" si="18"/>
        <v>January</v>
      </c>
      <c r="U152" t="str">
        <f t="shared" si="19"/>
        <v>Weekday</v>
      </c>
      <c r="V152" t="str">
        <f t="shared" si="20"/>
        <v>Afternoon</v>
      </c>
      <c r="W152" t="str">
        <f t="shared" si="21"/>
        <v>Spring</v>
      </c>
      <c r="X152" t="str">
        <f t="shared" si="22"/>
        <v>Mist/Cloudy</v>
      </c>
    </row>
    <row r="153" spans="1:24">
      <c r="A153">
        <v>152</v>
      </c>
      <c r="B153" s="2">
        <v>40550</v>
      </c>
      <c r="C153">
        <v>1</v>
      </c>
      <c r="D153">
        <v>0</v>
      </c>
      <c r="E153">
        <v>1</v>
      </c>
      <c r="F153">
        <v>14</v>
      </c>
      <c r="G153" t="b">
        <v>0</v>
      </c>
      <c r="H153">
        <v>5</v>
      </c>
      <c r="I153">
        <v>2</v>
      </c>
      <c r="J153">
        <v>0.2</v>
      </c>
      <c r="K153">
        <v>0.19700000000000001</v>
      </c>
      <c r="L153">
        <v>0.4</v>
      </c>
      <c r="M153">
        <v>0.25369999999999998</v>
      </c>
      <c r="N153">
        <v>7</v>
      </c>
      <c r="O153">
        <v>43</v>
      </c>
      <c r="P153">
        <v>50</v>
      </c>
      <c r="Q153" t="str">
        <f t="shared" si="16"/>
        <v>Complete</v>
      </c>
      <c r="R153">
        <f t="shared" si="23"/>
        <v>0.19700000000000001</v>
      </c>
      <c r="S153">
        <f t="shared" si="17"/>
        <v>2011</v>
      </c>
      <c r="T153" t="str">
        <f t="shared" si="18"/>
        <v>January</v>
      </c>
      <c r="U153" t="str">
        <f t="shared" si="19"/>
        <v>Weekday</v>
      </c>
      <c r="V153" t="str">
        <f t="shared" si="20"/>
        <v>Afternoon</v>
      </c>
      <c r="W153" t="str">
        <f t="shared" si="21"/>
        <v>Spring</v>
      </c>
      <c r="X153" t="str">
        <f t="shared" si="22"/>
        <v>Mist/Cloudy</v>
      </c>
    </row>
    <row r="154" spans="1:24">
      <c r="A154">
        <v>153</v>
      </c>
      <c r="B154" s="2">
        <v>40550</v>
      </c>
      <c r="C154">
        <v>1</v>
      </c>
      <c r="D154">
        <v>0</v>
      </c>
      <c r="E154">
        <v>1</v>
      </c>
      <c r="F154">
        <v>15</v>
      </c>
      <c r="G154" t="b">
        <v>0</v>
      </c>
      <c r="H154">
        <v>5</v>
      </c>
      <c r="I154">
        <v>2</v>
      </c>
      <c r="J154">
        <v>0.2</v>
      </c>
      <c r="K154">
        <v>0.21210000000000001</v>
      </c>
      <c r="L154">
        <v>0.37</v>
      </c>
      <c r="M154">
        <v>0.16420000000000001</v>
      </c>
      <c r="N154">
        <v>9</v>
      </c>
      <c r="O154">
        <v>63</v>
      </c>
      <c r="P154">
        <v>72</v>
      </c>
      <c r="Q154" t="str">
        <f t="shared" si="16"/>
        <v>Complete</v>
      </c>
      <c r="R154">
        <f t="shared" si="23"/>
        <v>0.21210000000000001</v>
      </c>
      <c r="S154">
        <f t="shared" si="17"/>
        <v>2011</v>
      </c>
      <c r="T154" t="str">
        <f t="shared" si="18"/>
        <v>January</v>
      </c>
      <c r="U154" t="str">
        <f t="shared" si="19"/>
        <v>Weekday</v>
      </c>
      <c r="V154" t="str">
        <f t="shared" si="20"/>
        <v>Afternoon</v>
      </c>
      <c r="W154" t="str">
        <f t="shared" si="21"/>
        <v>Spring</v>
      </c>
      <c r="X154" t="str">
        <f t="shared" si="22"/>
        <v>Mist/Cloudy</v>
      </c>
    </row>
    <row r="155" spans="1:24">
      <c r="A155">
        <v>154</v>
      </c>
      <c r="B155" s="2">
        <v>40550</v>
      </c>
      <c r="C155">
        <v>1</v>
      </c>
      <c r="D155">
        <v>0</v>
      </c>
      <c r="E155">
        <v>1</v>
      </c>
      <c r="F155">
        <v>16</v>
      </c>
      <c r="G155" t="b">
        <v>0</v>
      </c>
      <c r="H155">
        <v>5</v>
      </c>
      <c r="I155">
        <v>2</v>
      </c>
      <c r="J155">
        <v>0.2</v>
      </c>
      <c r="K155">
        <v>0.21210000000000001</v>
      </c>
      <c r="L155">
        <v>0.37</v>
      </c>
      <c r="M155">
        <v>0.16420000000000001</v>
      </c>
      <c r="N155">
        <v>5</v>
      </c>
      <c r="O155">
        <v>82</v>
      </c>
      <c r="P155">
        <v>87</v>
      </c>
      <c r="Q155" t="str">
        <f t="shared" si="16"/>
        <v>Complete</v>
      </c>
      <c r="R155">
        <f t="shared" si="23"/>
        <v>0.21210000000000001</v>
      </c>
      <c r="S155">
        <f t="shared" si="17"/>
        <v>2011</v>
      </c>
      <c r="T155" t="str">
        <f t="shared" si="18"/>
        <v>January</v>
      </c>
      <c r="U155" t="str">
        <f t="shared" si="19"/>
        <v>Weekday</v>
      </c>
      <c r="V155" t="str">
        <f t="shared" si="20"/>
        <v>Afternoon</v>
      </c>
      <c r="W155" t="str">
        <f t="shared" si="21"/>
        <v>Spring</v>
      </c>
      <c r="X155" t="str">
        <f t="shared" si="22"/>
        <v>Mist/Cloudy</v>
      </c>
    </row>
    <row r="156" spans="1:24">
      <c r="A156">
        <v>155</v>
      </c>
      <c r="B156" s="2">
        <v>40550</v>
      </c>
      <c r="C156">
        <v>1</v>
      </c>
      <c r="D156">
        <v>0</v>
      </c>
      <c r="E156">
        <v>1</v>
      </c>
      <c r="F156">
        <v>17</v>
      </c>
      <c r="G156" t="b">
        <v>0</v>
      </c>
      <c r="H156">
        <v>5</v>
      </c>
      <c r="I156">
        <v>2</v>
      </c>
      <c r="J156">
        <v>0.2</v>
      </c>
      <c r="K156">
        <v>0.2576</v>
      </c>
      <c r="L156">
        <v>0.37</v>
      </c>
      <c r="M156">
        <v>0</v>
      </c>
      <c r="N156">
        <v>9</v>
      </c>
      <c r="O156">
        <v>178</v>
      </c>
      <c r="P156">
        <v>187</v>
      </c>
      <c r="Q156" t="str">
        <f t="shared" si="16"/>
        <v>Complete</v>
      </c>
      <c r="R156">
        <f t="shared" si="23"/>
        <v>0.2576</v>
      </c>
      <c r="S156">
        <f t="shared" si="17"/>
        <v>2011</v>
      </c>
      <c r="T156" t="str">
        <f t="shared" si="18"/>
        <v>January</v>
      </c>
      <c r="U156" t="str">
        <f t="shared" si="19"/>
        <v>Weekday</v>
      </c>
      <c r="V156" t="str">
        <f t="shared" si="20"/>
        <v>Afternoon</v>
      </c>
      <c r="W156" t="str">
        <f t="shared" si="21"/>
        <v>Spring</v>
      </c>
      <c r="X156" t="str">
        <f t="shared" si="22"/>
        <v>Mist/Cloudy</v>
      </c>
    </row>
    <row r="157" spans="1:24">
      <c r="A157">
        <v>156</v>
      </c>
      <c r="B157" s="2">
        <v>40550</v>
      </c>
      <c r="C157">
        <v>1</v>
      </c>
      <c r="D157">
        <v>0</v>
      </c>
      <c r="E157">
        <v>1</v>
      </c>
      <c r="F157">
        <v>18</v>
      </c>
      <c r="G157" t="b">
        <v>0</v>
      </c>
      <c r="H157">
        <v>5</v>
      </c>
      <c r="I157">
        <v>1</v>
      </c>
      <c r="J157">
        <v>0.2</v>
      </c>
      <c r="K157">
        <v>0.2273</v>
      </c>
      <c r="L157">
        <v>0.4</v>
      </c>
      <c r="M157">
        <v>8.9599999999999999E-2</v>
      </c>
      <c r="N157">
        <v>7</v>
      </c>
      <c r="O157">
        <v>116</v>
      </c>
      <c r="P157">
        <v>123</v>
      </c>
      <c r="Q157" t="str">
        <f t="shared" si="16"/>
        <v>Complete</v>
      </c>
      <c r="R157">
        <f t="shared" si="23"/>
        <v>0.2273</v>
      </c>
      <c r="S157">
        <f t="shared" si="17"/>
        <v>2011</v>
      </c>
      <c r="T157" t="str">
        <f t="shared" si="18"/>
        <v>January</v>
      </c>
      <c r="U157" t="str">
        <f t="shared" si="19"/>
        <v>Weekday</v>
      </c>
      <c r="V157" t="str">
        <f t="shared" si="20"/>
        <v>Evening</v>
      </c>
      <c r="W157" t="str">
        <f t="shared" si="21"/>
        <v>Spring</v>
      </c>
      <c r="X157" t="str">
        <f t="shared" si="22"/>
        <v>Clear</v>
      </c>
    </row>
    <row r="158" spans="1:24">
      <c r="A158">
        <v>157</v>
      </c>
      <c r="B158" s="2">
        <v>40550</v>
      </c>
      <c r="C158">
        <v>1</v>
      </c>
      <c r="D158">
        <v>0</v>
      </c>
      <c r="E158">
        <v>1</v>
      </c>
      <c r="F158">
        <v>19</v>
      </c>
      <c r="G158" t="b">
        <v>0</v>
      </c>
      <c r="H158">
        <v>5</v>
      </c>
      <c r="I158">
        <v>1</v>
      </c>
      <c r="J158">
        <v>0.16</v>
      </c>
      <c r="K158">
        <v>0.19700000000000001</v>
      </c>
      <c r="L158">
        <v>0.55000000000000004</v>
      </c>
      <c r="M158">
        <v>8.9599999999999999E-2</v>
      </c>
      <c r="N158">
        <v>3</v>
      </c>
      <c r="O158">
        <v>92</v>
      </c>
      <c r="P158">
        <v>95</v>
      </c>
      <c r="Q158" t="str">
        <f t="shared" si="16"/>
        <v>Complete</v>
      </c>
      <c r="R158">
        <f t="shared" si="23"/>
        <v>0.19700000000000001</v>
      </c>
      <c r="S158">
        <f t="shared" si="17"/>
        <v>2011</v>
      </c>
      <c r="T158" t="str">
        <f t="shared" si="18"/>
        <v>January</v>
      </c>
      <c r="U158" t="str">
        <f t="shared" si="19"/>
        <v>Weekday</v>
      </c>
      <c r="V158" t="str">
        <f t="shared" si="20"/>
        <v>Evening</v>
      </c>
      <c r="W158" t="str">
        <f t="shared" si="21"/>
        <v>Spring</v>
      </c>
      <c r="X158" t="str">
        <f t="shared" si="22"/>
        <v>Clear</v>
      </c>
    </row>
    <row r="159" spans="1:24">
      <c r="A159">
        <v>158</v>
      </c>
      <c r="B159" s="2">
        <v>40550</v>
      </c>
      <c r="C159">
        <v>1</v>
      </c>
      <c r="D159">
        <v>0</v>
      </c>
      <c r="E159">
        <v>1</v>
      </c>
      <c r="F159">
        <v>20</v>
      </c>
      <c r="G159" t="b">
        <v>0</v>
      </c>
      <c r="H159">
        <v>5</v>
      </c>
      <c r="I159">
        <v>1</v>
      </c>
      <c r="J159">
        <v>0.18</v>
      </c>
      <c r="K159">
        <v>0.21210000000000001</v>
      </c>
      <c r="L159">
        <v>0.47</v>
      </c>
      <c r="M159">
        <v>0.1045</v>
      </c>
      <c r="N159">
        <v>1</v>
      </c>
      <c r="O159">
        <v>50</v>
      </c>
      <c r="P159">
        <v>51</v>
      </c>
      <c r="Q159" t="str">
        <f t="shared" si="16"/>
        <v>Complete</v>
      </c>
      <c r="R159">
        <f t="shared" si="23"/>
        <v>0.21210000000000001</v>
      </c>
      <c r="S159">
        <f t="shared" si="17"/>
        <v>2011</v>
      </c>
      <c r="T159" t="str">
        <f t="shared" si="18"/>
        <v>January</v>
      </c>
      <c r="U159" t="str">
        <f t="shared" si="19"/>
        <v>Weekday</v>
      </c>
      <c r="V159" t="str">
        <f t="shared" si="20"/>
        <v>Evening</v>
      </c>
      <c r="W159" t="str">
        <f t="shared" si="21"/>
        <v>Spring</v>
      </c>
      <c r="X159" t="str">
        <f t="shared" si="22"/>
        <v>Clear</v>
      </c>
    </row>
    <row r="160" spans="1:24">
      <c r="A160">
        <v>159</v>
      </c>
      <c r="B160" s="2">
        <v>40550</v>
      </c>
      <c r="C160">
        <v>1</v>
      </c>
      <c r="D160">
        <v>0</v>
      </c>
      <c r="E160">
        <v>1</v>
      </c>
      <c r="F160">
        <v>21</v>
      </c>
      <c r="G160" t="b">
        <v>0</v>
      </c>
      <c r="H160">
        <v>5</v>
      </c>
      <c r="I160">
        <v>1</v>
      </c>
      <c r="J160">
        <v>0.18</v>
      </c>
      <c r="K160">
        <v>0.19700000000000001</v>
      </c>
      <c r="L160">
        <v>0.47</v>
      </c>
      <c r="M160">
        <v>0.1343</v>
      </c>
      <c r="N160">
        <v>0</v>
      </c>
      <c r="O160">
        <v>39</v>
      </c>
      <c r="P160">
        <v>39</v>
      </c>
      <c r="Q160" t="str">
        <f t="shared" si="16"/>
        <v>Complete</v>
      </c>
      <c r="R160">
        <f t="shared" si="23"/>
        <v>0.19700000000000001</v>
      </c>
      <c r="S160">
        <f t="shared" si="17"/>
        <v>2011</v>
      </c>
      <c r="T160" t="str">
        <f t="shared" si="18"/>
        <v>January</v>
      </c>
      <c r="U160" t="str">
        <f t="shared" si="19"/>
        <v>Weekday</v>
      </c>
      <c r="V160" t="str">
        <f t="shared" si="20"/>
        <v>Evening</v>
      </c>
      <c r="W160" t="str">
        <f t="shared" si="21"/>
        <v>Spring</v>
      </c>
      <c r="X160" t="str">
        <f t="shared" si="22"/>
        <v>Clear</v>
      </c>
    </row>
    <row r="161" spans="1:24">
      <c r="A161">
        <v>160</v>
      </c>
      <c r="B161" s="2">
        <v>40550</v>
      </c>
      <c r="C161">
        <v>1</v>
      </c>
      <c r="D161">
        <v>0</v>
      </c>
      <c r="E161">
        <v>1</v>
      </c>
      <c r="F161">
        <v>22</v>
      </c>
      <c r="G161" t="b">
        <v>0</v>
      </c>
      <c r="H161">
        <v>5</v>
      </c>
      <c r="I161">
        <v>2</v>
      </c>
      <c r="J161">
        <v>0.18</v>
      </c>
      <c r="K161">
        <v>0.19700000000000001</v>
      </c>
      <c r="L161">
        <v>0.43</v>
      </c>
      <c r="M161">
        <v>0.16420000000000001</v>
      </c>
      <c r="N161">
        <v>2</v>
      </c>
      <c r="O161">
        <v>34</v>
      </c>
      <c r="P161">
        <v>36</v>
      </c>
      <c r="Q161" t="str">
        <f t="shared" si="16"/>
        <v>Complete</v>
      </c>
      <c r="R161">
        <f t="shared" si="23"/>
        <v>0.19700000000000001</v>
      </c>
      <c r="S161">
        <f t="shared" si="17"/>
        <v>2011</v>
      </c>
      <c r="T161" t="str">
        <f t="shared" si="18"/>
        <v>January</v>
      </c>
      <c r="U161" t="str">
        <f t="shared" si="19"/>
        <v>Weekday</v>
      </c>
      <c r="V161" t="str">
        <f t="shared" si="20"/>
        <v>Evening</v>
      </c>
      <c r="W161" t="str">
        <f t="shared" si="21"/>
        <v>Spring</v>
      </c>
      <c r="X161" t="str">
        <f t="shared" si="22"/>
        <v>Mist/Cloudy</v>
      </c>
    </row>
    <row r="162" spans="1:24">
      <c r="A162">
        <v>161</v>
      </c>
      <c r="B162" s="2">
        <v>40550</v>
      </c>
      <c r="C162">
        <v>1</v>
      </c>
      <c r="D162">
        <v>0</v>
      </c>
      <c r="E162">
        <v>1</v>
      </c>
      <c r="F162">
        <v>23</v>
      </c>
      <c r="G162" t="b">
        <v>0</v>
      </c>
      <c r="H162">
        <v>5</v>
      </c>
      <c r="I162">
        <v>2</v>
      </c>
      <c r="J162">
        <v>0.18</v>
      </c>
      <c r="K162">
        <v>0.19700000000000001</v>
      </c>
      <c r="L162">
        <v>0.51</v>
      </c>
      <c r="M162">
        <v>0.16420000000000001</v>
      </c>
      <c r="N162">
        <v>1</v>
      </c>
      <c r="O162">
        <v>14</v>
      </c>
      <c r="P162">
        <v>15</v>
      </c>
      <c r="Q162" t="str">
        <f t="shared" si="16"/>
        <v>Complete</v>
      </c>
      <c r="R162">
        <f t="shared" si="23"/>
        <v>0.19700000000000001</v>
      </c>
      <c r="S162">
        <f t="shared" si="17"/>
        <v>2011</v>
      </c>
      <c r="T162" t="str">
        <f t="shared" si="18"/>
        <v>January</v>
      </c>
      <c r="U162" t="str">
        <f t="shared" si="19"/>
        <v>Weekday</v>
      </c>
      <c r="V162" t="str">
        <f t="shared" si="20"/>
        <v>Evening</v>
      </c>
      <c r="W162" t="str">
        <f t="shared" si="21"/>
        <v>Spring</v>
      </c>
      <c r="X162" t="str">
        <f t="shared" si="22"/>
        <v>Mist/Cloudy</v>
      </c>
    </row>
    <row r="163" spans="1:24">
      <c r="A163">
        <v>162</v>
      </c>
      <c r="B163" s="2">
        <v>40551</v>
      </c>
      <c r="C163">
        <v>1</v>
      </c>
      <c r="D163">
        <v>0</v>
      </c>
      <c r="E163">
        <v>1</v>
      </c>
      <c r="F163">
        <v>0</v>
      </c>
      <c r="G163" t="b">
        <v>0</v>
      </c>
      <c r="H163">
        <v>6</v>
      </c>
      <c r="I163">
        <v>2</v>
      </c>
      <c r="J163">
        <v>0.18</v>
      </c>
      <c r="K163">
        <v>0.19700000000000001</v>
      </c>
      <c r="L163">
        <v>0.51</v>
      </c>
      <c r="M163">
        <v>0.16420000000000001</v>
      </c>
      <c r="N163">
        <v>1</v>
      </c>
      <c r="O163">
        <v>24</v>
      </c>
      <c r="P163">
        <v>25</v>
      </c>
      <c r="Q163" t="str">
        <f t="shared" si="16"/>
        <v>Complete</v>
      </c>
      <c r="R163">
        <f t="shared" si="23"/>
        <v>0.19700000000000001</v>
      </c>
      <c r="S163">
        <f t="shared" si="17"/>
        <v>2011</v>
      </c>
      <c r="T163" t="str">
        <f t="shared" si="18"/>
        <v>January</v>
      </c>
      <c r="U163" t="str">
        <f t="shared" si="19"/>
        <v>Saturday</v>
      </c>
      <c r="V163" t="str">
        <f t="shared" si="20"/>
        <v>Night</v>
      </c>
      <c r="W163" t="str">
        <f t="shared" si="21"/>
        <v>Spring</v>
      </c>
      <c r="X163" t="str">
        <f t="shared" si="22"/>
        <v>Mist/Cloudy</v>
      </c>
    </row>
    <row r="164" spans="1:24">
      <c r="A164">
        <v>163</v>
      </c>
      <c r="B164" s="2">
        <v>40551</v>
      </c>
      <c r="C164">
        <v>1</v>
      </c>
      <c r="D164">
        <v>0</v>
      </c>
      <c r="E164">
        <v>1</v>
      </c>
      <c r="F164">
        <v>1</v>
      </c>
      <c r="G164" t="b">
        <v>0</v>
      </c>
      <c r="H164">
        <v>6</v>
      </c>
      <c r="I164">
        <v>2</v>
      </c>
      <c r="J164">
        <v>0.18</v>
      </c>
      <c r="K164">
        <v>0.21210000000000001</v>
      </c>
      <c r="L164">
        <v>0.55000000000000004</v>
      </c>
      <c r="M164">
        <v>8.9599999999999999E-2</v>
      </c>
      <c r="N164">
        <v>1</v>
      </c>
      <c r="O164">
        <v>15</v>
      </c>
      <c r="P164">
        <v>16</v>
      </c>
      <c r="Q164" t="str">
        <f t="shared" si="16"/>
        <v>Complete</v>
      </c>
      <c r="R164">
        <f t="shared" si="23"/>
        <v>0.21210000000000001</v>
      </c>
      <c r="S164">
        <f t="shared" si="17"/>
        <v>2011</v>
      </c>
      <c r="T164" t="str">
        <f t="shared" si="18"/>
        <v>January</v>
      </c>
      <c r="U164" t="str">
        <f t="shared" si="19"/>
        <v>Saturday</v>
      </c>
      <c r="V164" t="str">
        <f t="shared" si="20"/>
        <v>Night</v>
      </c>
      <c r="W164" t="str">
        <f t="shared" si="21"/>
        <v>Spring</v>
      </c>
      <c r="X164" t="str">
        <f t="shared" si="22"/>
        <v>Mist/Cloudy</v>
      </c>
    </row>
    <row r="165" spans="1:24">
      <c r="A165">
        <v>164</v>
      </c>
      <c r="B165" s="2">
        <v>40551</v>
      </c>
      <c r="C165">
        <v>1</v>
      </c>
      <c r="D165">
        <v>0</v>
      </c>
      <c r="E165">
        <v>1</v>
      </c>
      <c r="F165">
        <v>2</v>
      </c>
      <c r="G165" t="b">
        <v>0</v>
      </c>
      <c r="H165">
        <v>6</v>
      </c>
      <c r="I165">
        <v>2</v>
      </c>
      <c r="J165">
        <v>0.18</v>
      </c>
      <c r="K165">
        <v>0.2424</v>
      </c>
      <c r="L165">
        <v>0.55000000000000004</v>
      </c>
      <c r="M165">
        <v>0</v>
      </c>
      <c r="N165">
        <v>3</v>
      </c>
      <c r="O165">
        <v>13</v>
      </c>
      <c r="P165">
        <v>16</v>
      </c>
      <c r="Q165" t="str">
        <f t="shared" si="16"/>
        <v>Complete</v>
      </c>
      <c r="R165">
        <f t="shared" si="23"/>
        <v>0.2424</v>
      </c>
      <c r="S165">
        <f t="shared" si="17"/>
        <v>2011</v>
      </c>
      <c r="T165" t="str">
        <f t="shared" si="18"/>
        <v>January</v>
      </c>
      <c r="U165" t="str">
        <f t="shared" si="19"/>
        <v>Saturday</v>
      </c>
      <c r="V165" t="str">
        <f t="shared" si="20"/>
        <v>Night</v>
      </c>
      <c r="W165" t="str">
        <f t="shared" si="21"/>
        <v>Spring</v>
      </c>
      <c r="X165" t="str">
        <f t="shared" si="22"/>
        <v>Mist/Cloudy</v>
      </c>
    </row>
    <row r="166" spans="1:24">
      <c r="A166">
        <v>165</v>
      </c>
      <c r="B166" s="2">
        <v>40551</v>
      </c>
      <c r="C166">
        <v>1</v>
      </c>
      <c r="D166">
        <v>0</v>
      </c>
      <c r="E166">
        <v>1</v>
      </c>
      <c r="F166">
        <v>3</v>
      </c>
      <c r="G166" t="b">
        <v>0</v>
      </c>
      <c r="H166">
        <v>6</v>
      </c>
      <c r="I166">
        <v>3</v>
      </c>
      <c r="J166">
        <v>0.18</v>
      </c>
      <c r="K166">
        <v>0.19700000000000001</v>
      </c>
      <c r="L166">
        <v>0.55000000000000004</v>
      </c>
      <c r="M166">
        <v>0.16420000000000001</v>
      </c>
      <c r="N166">
        <v>0</v>
      </c>
      <c r="O166">
        <v>7</v>
      </c>
      <c r="P166">
        <v>7</v>
      </c>
      <c r="Q166" t="str">
        <f t="shared" si="16"/>
        <v>Complete</v>
      </c>
      <c r="R166">
        <f t="shared" si="23"/>
        <v>0.19700000000000001</v>
      </c>
      <c r="S166">
        <f t="shared" si="17"/>
        <v>2011</v>
      </c>
      <c r="T166" t="str">
        <f t="shared" si="18"/>
        <v>January</v>
      </c>
      <c r="U166" t="str">
        <f t="shared" si="19"/>
        <v>Saturday</v>
      </c>
      <c r="V166" t="str">
        <f t="shared" si="20"/>
        <v>Night</v>
      </c>
      <c r="W166" t="str">
        <f t="shared" si="21"/>
        <v>Spring</v>
      </c>
      <c r="X166" t="str">
        <f t="shared" si="22"/>
        <v>Light Rain/Snow</v>
      </c>
    </row>
    <row r="167" spans="1:24">
      <c r="A167">
        <v>166</v>
      </c>
      <c r="B167" s="2">
        <v>40551</v>
      </c>
      <c r="C167">
        <v>1</v>
      </c>
      <c r="D167">
        <v>0</v>
      </c>
      <c r="E167">
        <v>1</v>
      </c>
      <c r="F167">
        <v>4</v>
      </c>
      <c r="G167" t="b">
        <v>0</v>
      </c>
      <c r="H167">
        <v>6</v>
      </c>
      <c r="I167">
        <v>3</v>
      </c>
      <c r="J167">
        <v>0.18</v>
      </c>
      <c r="K167">
        <v>0.19700000000000001</v>
      </c>
      <c r="L167">
        <v>0.55000000000000004</v>
      </c>
      <c r="M167">
        <v>0.16420000000000001</v>
      </c>
      <c r="N167">
        <v>0</v>
      </c>
      <c r="O167">
        <v>1</v>
      </c>
      <c r="P167">
        <v>1</v>
      </c>
      <c r="Q167" t="str">
        <f t="shared" si="16"/>
        <v>Complete</v>
      </c>
      <c r="R167">
        <f t="shared" si="23"/>
        <v>0.19700000000000001</v>
      </c>
      <c r="S167">
        <f t="shared" si="17"/>
        <v>2011</v>
      </c>
      <c r="T167" t="str">
        <f t="shared" si="18"/>
        <v>January</v>
      </c>
      <c r="U167" t="str">
        <f t="shared" si="19"/>
        <v>Saturday</v>
      </c>
      <c r="V167" t="str">
        <f t="shared" si="20"/>
        <v>Night</v>
      </c>
      <c r="W167" t="str">
        <f t="shared" si="21"/>
        <v>Spring</v>
      </c>
      <c r="X167" t="str">
        <f t="shared" si="22"/>
        <v>Light Rain/Snow</v>
      </c>
    </row>
    <row r="168" spans="1:24">
      <c r="A168">
        <v>167</v>
      </c>
      <c r="B168" s="2">
        <v>40551</v>
      </c>
      <c r="C168">
        <v>1</v>
      </c>
      <c r="D168">
        <v>0</v>
      </c>
      <c r="E168">
        <v>1</v>
      </c>
      <c r="F168">
        <v>5</v>
      </c>
      <c r="G168" t="b">
        <v>0</v>
      </c>
      <c r="H168">
        <v>6</v>
      </c>
      <c r="I168">
        <v>2</v>
      </c>
      <c r="J168">
        <v>0.16</v>
      </c>
      <c r="K168">
        <v>0.16669999999999999</v>
      </c>
      <c r="L168">
        <v>0.74</v>
      </c>
      <c r="M168">
        <v>0.16420000000000001</v>
      </c>
      <c r="N168">
        <v>0</v>
      </c>
      <c r="O168">
        <v>5</v>
      </c>
      <c r="P168">
        <v>5</v>
      </c>
      <c r="Q168" t="str">
        <f t="shared" si="16"/>
        <v>Complete</v>
      </c>
      <c r="R168">
        <f t="shared" si="23"/>
        <v>0.16669999999999999</v>
      </c>
      <c r="S168">
        <f t="shared" si="17"/>
        <v>2011</v>
      </c>
      <c r="T168" t="str">
        <f t="shared" si="18"/>
        <v>January</v>
      </c>
      <c r="U168" t="str">
        <f t="shared" si="19"/>
        <v>Saturday</v>
      </c>
      <c r="V168" t="str">
        <f t="shared" si="20"/>
        <v>Night</v>
      </c>
      <c r="W168" t="str">
        <f t="shared" si="21"/>
        <v>Spring</v>
      </c>
      <c r="X168" t="str">
        <f t="shared" si="22"/>
        <v>Mist/Cloudy</v>
      </c>
    </row>
    <row r="169" spans="1:24">
      <c r="A169">
        <v>168</v>
      </c>
      <c r="B169" s="2">
        <v>40551</v>
      </c>
      <c r="C169">
        <v>1</v>
      </c>
      <c r="D169">
        <v>0</v>
      </c>
      <c r="E169">
        <v>1</v>
      </c>
      <c r="F169">
        <v>6</v>
      </c>
      <c r="G169" t="b">
        <v>0</v>
      </c>
      <c r="H169">
        <v>6</v>
      </c>
      <c r="I169">
        <v>2</v>
      </c>
      <c r="J169">
        <v>0.16</v>
      </c>
      <c r="K169">
        <v>0.16669999999999999</v>
      </c>
      <c r="L169">
        <v>0.74</v>
      </c>
      <c r="M169">
        <v>0.16420000000000001</v>
      </c>
      <c r="N169">
        <v>0</v>
      </c>
      <c r="O169">
        <v>2</v>
      </c>
      <c r="P169">
        <v>2</v>
      </c>
      <c r="Q169" t="str">
        <f t="shared" si="16"/>
        <v>Complete</v>
      </c>
      <c r="R169">
        <f t="shared" si="23"/>
        <v>0.16669999999999999</v>
      </c>
      <c r="S169">
        <f t="shared" si="17"/>
        <v>2011</v>
      </c>
      <c r="T169" t="str">
        <f t="shared" si="18"/>
        <v>January</v>
      </c>
      <c r="U169" t="str">
        <f t="shared" si="19"/>
        <v>Saturday</v>
      </c>
      <c r="V169" t="str">
        <f t="shared" si="20"/>
        <v>Morning</v>
      </c>
      <c r="W169" t="str">
        <f t="shared" si="21"/>
        <v>Spring</v>
      </c>
      <c r="X169" t="str">
        <f t="shared" si="22"/>
        <v>Mist/Cloudy</v>
      </c>
    </row>
    <row r="170" spans="1:24">
      <c r="A170">
        <v>169</v>
      </c>
      <c r="B170" s="2">
        <v>40551</v>
      </c>
      <c r="C170">
        <v>1</v>
      </c>
      <c r="D170">
        <v>0</v>
      </c>
      <c r="E170">
        <v>1</v>
      </c>
      <c r="F170">
        <v>7</v>
      </c>
      <c r="G170" t="b">
        <v>0</v>
      </c>
      <c r="H170">
        <v>6</v>
      </c>
      <c r="I170">
        <v>2</v>
      </c>
      <c r="J170">
        <v>0.16</v>
      </c>
      <c r="K170">
        <v>0.18179999999999999</v>
      </c>
      <c r="L170">
        <v>0.74</v>
      </c>
      <c r="M170">
        <v>0.1045</v>
      </c>
      <c r="N170">
        <v>1</v>
      </c>
      <c r="O170">
        <v>8</v>
      </c>
      <c r="P170">
        <v>9</v>
      </c>
      <c r="Q170" t="str">
        <f t="shared" si="16"/>
        <v>Complete</v>
      </c>
      <c r="R170">
        <f t="shared" si="23"/>
        <v>0.18179999999999999</v>
      </c>
      <c r="S170">
        <f t="shared" si="17"/>
        <v>2011</v>
      </c>
      <c r="T170" t="str">
        <f t="shared" si="18"/>
        <v>January</v>
      </c>
      <c r="U170" t="str">
        <f t="shared" si="19"/>
        <v>Saturday</v>
      </c>
      <c r="V170" t="str">
        <f t="shared" si="20"/>
        <v>Morning</v>
      </c>
      <c r="W170" t="str">
        <f t="shared" si="21"/>
        <v>Spring</v>
      </c>
      <c r="X170" t="str">
        <f t="shared" si="22"/>
        <v>Mist/Cloudy</v>
      </c>
    </row>
    <row r="171" spans="1:24">
      <c r="A171">
        <v>170</v>
      </c>
      <c r="B171" s="2">
        <v>40551</v>
      </c>
      <c r="C171">
        <v>1</v>
      </c>
      <c r="D171">
        <v>0</v>
      </c>
      <c r="E171">
        <v>1</v>
      </c>
      <c r="F171">
        <v>8</v>
      </c>
      <c r="G171" t="b">
        <v>0</v>
      </c>
      <c r="H171">
        <v>6</v>
      </c>
      <c r="I171">
        <v>3</v>
      </c>
      <c r="J171">
        <v>0.16</v>
      </c>
      <c r="K171">
        <v>0.18179999999999999</v>
      </c>
      <c r="L171">
        <v>0.93</v>
      </c>
      <c r="M171">
        <v>0.1045</v>
      </c>
      <c r="N171">
        <v>0</v>
      </c>
      <c r="O171">
        <v>15</v>
      </c>
      <c r="P171">
        <v>15</v>
      </c>
      <c r="Q171" t="str">
        <f t="shared" si="16"/>
        <v>Complete</v>
      </c>
      <c r="R171">
        <f t="shared" si="23"/>
        <v>0.18179999999999999</v>
      </c>
      <c r="S171">
        <f t="shared" si="17"/>
        <v>2011</v>
      </c>
      <c r="T171" t="str">
        <f t="shared" si="18"/>
        <v>January</v>
      </c>
      <c r="U171" t="str">
        <f t="shared" si="19"/>
        <v>Saturday</v>
      </c>
      <c r="V171" t="str">
        <f t="shared" si="20"/>
        <v>Morning</v>
      </c>
      <c r="W171" t="str">
        <f t="shared" si="21"/>
        <v>Spring</v>
      </c>
      <c r="X171" t="str">
        <f t="shared" si="22"/>
        <v>Light Rain/Snow</v>
      </c>
    </row>
    <row r="172" spans="1:24">
      <c r="A172">
        <v>171</v>
      </c>
      <c r="B172" s="2">
        <v>40551</v>
      </c>
      <c r="C172">
        <v>1</v>
      </c>
      <c r="D172">
        <v>0</v>
      </c>
      <c r="E172">
        <v>1</v>
      </c>
      <c r="F172">
        <v>9</v>
      </c>
      <c r="G172" t="b">
        <v>0</v>
      </c>
      <c r="H172">
        <v>6</v>
      </c>
      <c r="I172">
        <v>3</v>
      </c>
      <c r="J172">
        <v>0.16</v>
      </c>
      <c r="K172">
        <v>0.18179999999999999</v>
      </c>
      <c r="L172">
        <v>0.93</v>
      </c>
      <c r="M172">
        <v>0.1045</v>
      </c>
      <c r="N172">
        <v>0</v>
      </c>
      <c r="O172">
        <v>20</v>
      </c>
      <c r="P172">
        <v>20</v>
      </c>
      <c r="Q172" t="str">
        <f t="shared" si="16"/>
        <v>Complete</v>
      </c>
      <c r="R172">
        <f t="shared" si="23"/>
        <v>0.18179999999999999</v>
      </c>
      <c r="S172">
        <f t="shared" si="17"/>
        <v>2011</v>
      </c>
      <c r="T172" t="str">
        <f t="shared" si="18"/>
        <v>January</v>
      </c>
      <c r="U172" t="str">
        <f t="shared" si="19"/>
        <v>Saturday</v>
      </c>
      <c r="V172" t="str">
        <f t="shared" si="20"/>
        <v>Morning</v>
      </c>
      <c r="W172" t="str">
        <f t="shared" si="21"/>
        <v>Spring</v>
      </c>
      <c r="X172" t="str">
        <f t="shared" si="22"/>
        <v>Light Rain/Snow</v>
      </c>
    </row>
    <row r="173" spans="1:24">
      <c r="A173">
        <v>172</v>
      </c>
      <c r="B173" s="2">
        <v>40551</v>
      </c>
      <c r="C173">
        <v>1</v>
      </c>
      <c r="D173">
        <v>0</v>
      </c>
      <c r="E173">
        <v>1</v>
      </c>
      <c r="F173">
        <v>10</v>
      </c>
      <c r="G173" t="b">
        <v>0</v>
      </c>
      <c r="H173">
        <v>6</v>
      </c>
      <c r="I173">
        <v>2</v>
      </c>
      <c r="J173">
        <v>0.18</v>
      </c>
      <c r="K173">
        <v>0.19700000000000001</v>
      </c>
      <c r="L173">
        <v>0.8</v>
      </c>
      <c r="M173">
        <v>0.16420000000000001</v>
      </c>
      <c r="N173">
        <v>5</v>
      </c>
      <c r="O173">
        <v>56</v>
      </c>
      <c r="P173">
        <v>61</v>
      </c>
      <c r="Q173" t="str">
        <f t="shared" si="16"/>
        <v>Complete</v>
      </c>
      <c r="R173">
        <f t="shared" si="23"/>
        <v>0.19700000000000001</v>
      </c>
      <c r="S173">
        <f t="shared" si="17"/>
        <v>2011</v>
      </c>
      <c r="T173" t="str">
        <f t="shared" si="18"/>
        <v>January</v>
      </c>
      <c r="U173" t="str">
        <f t="shared" si="19"/>
        <v>Saturday</v>
      </c>
      <c r="V173" t="str">
        <f t="shared" si="20"/>
        <v>Morning</v>
      </c>
      <c r="W173" t="str">
        <f t="shared" si="21"/>
        <v>Spring</v>
      </c>
      <c r="X173" t="str">
        <f t="shared" si="22"/>
        <v>Mist/Cloudy</v>
      </c>
    </row>
    <row r="174" spans="1:24">
      <c r="A174">
        <v>173</v>
      </c>
      <c r="B174" s="2">
        <v>40551</v>
      </c>
      <c r="C174">
        <v>1</v>
      </c>
      <c r="D174">
        <v>0</v>
      </c>
      <c r="E174">
        <v>1</v>
      </c>
      <c r="F174">
        <v>11</v>
      </c>
      <c r="G174" t="b">
        <v>0</v>
      </c>
      <c r="H174">
        <v>6</v>
      </c>
      <c r="I174">
        <v>2</v>
      </c>
      <c r="J174">
        <v>0.2</v>
      </c>
      <c r="K174">
        <v>0.18179999999999999</v>
      </c>
      <c r="L174">
        <v>0.69</v>
      </c>
      <c r="M174">
        <v>0.3881</v>
      </c>
      <c r="N174">
        <v>2</v>
      </c>
      <c r="O174">
        <v>60</v>
      </c>
      <c r="P174">
        <v>62</v>
      </c>
      <c r="Q174" t="str">
        <f t="shared" si="16"/>
        <v>Complete</v>
      </c>
      <c r="R174">
        <f t="shared" si="23"/>
        <v>0.18179999999999999</v>
      </c>
      <c r="S174">
        <f t="shared" si="17"/>
        <v>2011</v>
      </c>
      <c r="T174" t="str">
        <f t="shared" si="18"/>
        <v>January</v>
      </c>
      <c r="U174" t="str">
        <f t="shared" si="19"/>
        <v>Saturday</v>
      </c>
      <c r="V174" t="str">
        <f t="shared" si="20"/>
        <v>Morning</v>
      </c>
      <c r="W174" t="str">
        <f t="shared" si="21"/>
        <v>Spring</v>
      </c>
      <c r="X174" t="str">
        <f t="shared" si="22"/>
        <v>Mist/Cloudy</v>
      </c>
    </row>
    <row r="175" spans="1:24">
      <c r="A175">
        <v>174</v>
      </c>
      <c r="B175" s="2">
        <v>40551</v>
      </c>
      <c r="C175">
        <v>1</v>
      </c>
      <c r="D175">
        <v>0</v>
      </c>
      <c r="E175">
        <v>1</v>
      </c>
      <c r="F175">
        <v>12</v>
      </c>
      <c r="G175" t="b">
        <v>0</v>
      </c>
      <c r="H175">
        <v>6</v>
      </c>
      <c r="I175">
        <v>2</v>
      </c>
      <c r="J175">
        <v>0.2</v>
      </c>
      <c r="K175">
        <v>0.18179999999999999</v>
      </c>
      <c r="L175">
        <v>0.59</v>
      </c>
      <c r="M175">
        <v>0.35820000000000002</v>
      </c>
      <c r="N175">
        <v>8</v>
      </c>
      <c r="O175">
        <v>90</v>
      </c>
      <c r="P175">
        <v>98</v>
      </c>
      <c r="Q175" t="str">
        <f t="shared" si="16"/>
        <v>Complete</v>
      </c>
      <c r="R175">
        <f t="shared" si="23"/>
        <v>0.18179999999999999</v>
      </c>
      <c r="S175">
        <f t="shared" si="17"/>
        <v>2011</v>
      </c>
      <c r="T175" t="str">
        <f t="shared" si="18"/>
        <v>January</v>
      </c>
      <c r="U175" t="str">
        <f t="shared" si="19"/>
        <v>Saturday</v>
      </c>
      <c r="V175" t="str">
        <f t="shared" si="20"/>
        <v>Afternoon</v>
      </c>
      <c r="W175" t="str">
        <f t="shared" si="21"/>
        <v>Spring</v>
      </c>
      <c r="X175" t="str">
        <f t="shared" si="22"/>
        <v>Mist/Cloudy</v>
      </c>
    </row>
    <row r="176" spans="1:24">
      <c r="A176">
        <v>175</v>
      </c>
      <c r="B176" s="2">
        <v>40551</v>
      </c>
      <c r="C176">
        <v>1</v>
      </c>
      <c r="D176">
        <v>0</v>
      </c>
      <c r="E176">
        <v>1</v>
      </c>
      <c r="F176">
        <v>13</v>
      </c>
      <c r="G176" t="b">
        <v>0</v>
      </c>
      <c r="H176">
        <v>6</v>
      </c>
      <c r="I176">
        <v>1</v>
      </c>
      <c r="J176">
        <v>0.2</v>
      </c>
      <c r="K176">
        <v>0.18179999999999999</v>
      </c>
      <c r="L176">
        <v>0.44</v>
      </c>
      <c r="M176">
        <v>0.32840000000000003</v>
      </c>
      <c r="N176">
        <v>7</v>
      </c>
      <c r="O176">
        <v>95</v>
      </c>
      <c r="P176">
        <v>102</v>
      </c>
      <c r="Q176" t="str">
        <f t="shared" si="16"/>
        <v>Complete</v>
      </c>
      <c r="R176">
        <f t="shared" si="23"/>
        <v>0.18179999999999999</v>
      </c>
      <c r="S176">
        <f t="shared" si="17"/>
        <v>2011</v>
      </c>
      <c r="T176" t="str">
        <f t="shared" si="18"/>
        <v>January</v>
      </c>
      <c r="U176" t="str">
        <f t="shared" si="19"/>
        <v>Saturday</v>
      </c>
      <c r="V176" t="str">
        <f t="shared" si="20"/>
        <v>Afternoon</v>
      </c>
      <c r="W176" t="str">
        <f t="shared" si="21"/>
        <v>Spring</v>
      </c>
      <c r="X176" t="str">
        <f t="shared" si="22"/>
        <v>Clear</v>
      </c>
    </row>
    <row r="177" spans="1:24">
      <c r="A177">
        <v>176</v>
      </c>
      <c r="B177" s="2">
        <v>40551</v>
      </c>
      <c r="C177">
        <v>1</v>
      </c>
      <c r="D177">
        <v>0</v>
      </c>
      <c r="E177">
        <v>1</v>
      </c>
      <c r="F177">
        <v>14</v>
      </c>
      <c r="G177" t="b">
        <v>0</v>
      </c>
      <c r="H177">
        <v>6</v>
      </c>
      <c r="I177">
        <v>1</v>
      </c>
      <c r="J177">
        <v>0.2</v>
      </c>
      <c r="K177">
        <v>0.16669999999999999</v>
      </c>
      <c r="L177">
        <v>0.32</v>
      </c>
      <c r="M177">
        <v>0.49249999999999999</v>
      </c>
      <c r="N177">
        <v>12</v>
      </c>
      <c r="O177">
        <v>83</v>
      </c>
      <c r="P177">
        <v>95</v>
      </c>
      <c r="Q177" t="str">
        <f t="shared" si="16"/>
        <v>Complete</v>
      </c>
      <c r="R177">
        <f t="shared" si="23"/>
        <v>0.16669999999999999</v>
      </c>
      <c r="S177">
        <f t="shared" si="17"/>
        <v>2011</v>
      </c>
      <c r="T177" t="str">
        <f t="shared" si="18"/>
        <v>January</v>
      </c>
      <c r="U177" t="str">
        <f t="shared" si="19"/>
        <v>Saturday</v>
      </c>
      <c r="V177" t="str">
        <f t="shared" si="20"/>
        <v>Afternoon</v>
      </c>
      <c r="W177" t="str">
        <f t="shared" si="21"/>
        <v>Spring</v>
      </c>
      <c r="X177" t="str">
        <f t="shared" si="22"/>
        <v>Clear</v>
      </c>
    </row>
    <row r="178" spans="1:24">
      <c r="A178">
        <v>177</v>
      </c>
      <c r="B178" s="2">
        <v>40551</v>
      </c>
      <c r="C178">
        <v>1</v>
      </c>
      <c r="D178">
        <v>0</v>
      </c>
      <c r="E178">
        <v>1</v>
      </c>
      <c r="F178">
        <v>15</v>
      </c>
      <c r="G178" t="b">
        <v>0</v>
      </c>
      <c r="H178">
        <v>6</v>
      </c>
      <c r="I178">
        <v>1</v>
      </c>
      <c r="J178">
        <v>0.2</v>
      </c>
      <c r="K178">
        <v>0.16669999999999999</v>
      </c>
      <c r="L178">
        <v>0.32</v>
      </c>
      <c r="M178">
        <v>0.44779999999999998</v>
      </c>
      <c r="N178">
        <v>5</v>
      </c>
      <c r="O178">
        <v>69</v>
      </c>
      <c r="P178">
        <v>74</v>
      </c>
      <c r="Q178" t="str">
        <f t="shared" si="16"/>
        <v>Complete</v>
      </c>
      <c r="R178">
        <f t="shared" si="23"/>
        <v>0.16669999999999999</v>
      </c>
      <c r="S178">
        <f t="shared" si="17"/>
        <v>2011</v>
      </c>
      <c r="T178" t="str">
        <f t="shared" si="18"/>
        <v>January</v>
      </c>
      <c r="U178" t="str">
        <f t="shared" si="19"/>
        <v>Saturday</v>
      </c>
      <c r="V178" t="str">
        <f t="shared" si="20"/>
        <v>Afternoon</v>
      </c>
      <c r="W178" t="str">
        <f t="shared" si="21"/>
        <v>Spring</v>
      </c>
      <c r="X178" t="str">
        <f t="shared" si="22"/>
        <v>Clear</v>
      </c>
    </row>
    <row r="179" spans="1:24">
      <c r="A179">
        <v>178</v>
      </c>
      <c r="B179" s="2">
        <v>40551</v>
      </c>
      <c r="C179">
        <v>1</v>
      </c>
      <c r="D179">
        <v>0</v>
      </c>
      <c r="E179">
        <v>1</v>
      </c>
      <c r="F179">
        <v>16</v>
      </c>
      <c r="G179" t="b">
        <v>0</v>
      </c>
      <c r="H179">
        <v>6</v>
      </c>
      <c r="I179">
        <v>1</v>
      </c>
      <c r="J179">
        <v>0.18</v>
      </c>
      <c r="K179">
        <v>0.13639999999999999</v>
      </c>
      <c r="L179">
        <v>0.28999999999999998</v>
      </c>
      <c r="M179">
        <v>0.44779999999999998</v>
      </c>
      <c r="N179">
        <v>8</v>
      </c>
      <c r="O179">
        <v>68</v>
      </c>
      <c r="P179">
        <v>76</v>
      </c>
      <c r="Q179" t="str">
        <f t="shared" si="16"/>
        <v>Complete</v>
      </c>
      <c r="R179">
        <f t="shared" si="23"/>
        <v>0.13639999999999999</v>
      </c>
      <c r="S179">
        <f t="shared" si="17"/>
        <v>2011</v>
      </c>
      <c r="T179" t="str">
        <f t="shared" si="18"/>
        <v>January</v>
      </c>
      <c r="U179" t="str">
        <f t="shared" si="19"/>
        <v>Saturday</v>
      </c>
      <c r="V179" t="str">
        <f t="shared" si="20"/>
        <v>Afternoon</v>
      </c>
      <c r="W179" t="str">
        <f t="shared" si="21"/>
        <v>Spring</v>
      </c>
      <c r="X179" t="str">
        <f t="shared" si="22"/>
        <v>Clear</v>
      </c>
    </row>
    <row r="180" spans="1:24">
      <c r="A180">
        <v>179</v>
      </c>
      <c r="B180" s="2">
        <v>40551</v>
      </c>
      <c r="C180">
        <v>1</v>
      </c>
      <c r="D180">
        <v>0</v>
      </c>
      <c r="E180">
        <v>1</v>
      </c>
      <c r="F180">
        <v>17</v>
      </c>
      <c r="G180" t="b">
        <v>0</v>
      </c>
      <c r="H180">
        <v>6</v>
      </c>
      <c r="I180">
        <v>1</v>
      </c>
      <c r="J180">
        <v>0.16</v>
      </c>
      <c r="K180">
        <v>0.1212</v>
      </c>
      <c r="L180">
        <v>0.37</v>
      </c>
      <c r="M180">
        <v>0.55220000000000002</v>
      </c>
      <c r="N180">
        <v>5</v>
      </c>
      <c r="O180">
        <v>64</v>
      </c>
      <c r="P180">
        <v>69</v>
      </c>
      <c r="Q180" t="str">
        <f t="shared" si="16"/>
        <v>Complete</v>
      </c>
      <c r="R180">
        <f t="shared" si="23"/>
        <v>0.1212</v>
      </c>
      <c r="S180">
        <f t="shared" si="17"/>
        <v>2011</v>
      </c>
      <c r="T180" t="str">
        <f t="shared" si="18"/>
        <v>January</v>
      </c>
      <c r="U180" t="str">
        <f t="shared" si="19"/>
        <v>Saturday</v>
      </c>
      <c r="V180" t="str">
        <f t="shared" si="20"/>
        <v>Afternoon</v>
      </c>
      <c r="W180" t="str">
        <f t="shared" si="21"/>
        <v>Spring</v>
      </c>
      <c r="X180" t="str">
        <f t="shared" si="22"/>
        <v>Clear</v>
      </c>
    </row>
    <row r="181" spans="1:24">
      <c r="A181">
        <v>180</v>
      </c>
      <c r="B181" s="2">
        <v>40551</v>
      </c>
      <c r="C181">
        <v>1</v>
      </c>
      <c r="D181">
        <v>0</v>
      </c>
      <c r="E181">
        <v>1</v>
      </c>
      <c r="F181">
        <v>18</v>
      </c>
      <c r="G181" t="b">
        <v>0</v>
      </c>
      <c r="H181">
        <v>6</v>
      </c>
      <c r="I181">
        <v>1</v>
      </c>
      <c r="J181">
        <v>0.14000000000000001</v>
      </c>
      <c r="K181">
        <v>0.1212</v>
      </c>
      <c r="L181">
        <v>0.39</v>
      </c>
      <c r="M181">
        <v>0.29849999999999999</v>
      </c>
      <c r="N181">
        <v>3</v>
      </c>
      <c r="O181">
        <v>52</v>
      </c>
      <c r="P181">
        <v>55</v>
      </c>
      <c r="Q181" t="str">
        <f t="shared" si="16"/>
        <v>Complete</v>
      </c>
      <c r="R181">
        <f t="shared" si="23"/>
        <v>0.1212</v>
      </c>
      <c r="S181">
        <f t="shared" si="17"/>
        <v>2011</v>
      </c>
      <c r="T181" t="str">
        <f t="shared" si="18"/>
        <v>January</v>
      </c>
      <c r="U181" t="str">
        <f t="shared" si="19"/>
        <v>Saturday</v>
      </c>
      <c r="V181" t="str">
        <f t="shared" si="20"/>
        <v>Evening</v>
      </c>
      <c r="W181" t="str">
        <f t="shared" si="21"/>
        <v>Spring</v>
      </c>
      <c r="X181" t="str">
        <f t="shared" si="22"/>
        <v>Clear</v>
      </c>
    </row>
    <row r="182" spans="1:24">
      <c r="A182">
        <v>181</v>
      </c>
      <c r="B182" s="2">
        <v>40551</v>
      </c>
      <c r="C182">
        <v>1</v>
      </c>
      <c r="D182">
        <v>0</v>
      </c>
      <c r="E182">
        <v>1</v>
      </c>
      <c r="F182">
        <v>19</v>
      </c>
      <c r="G182" t="b">
        <v>0</v>
      </c>
      <c r="H182">
        <v>6</v>
      </c>
      <c r="I182">
        <v>1</v>
      </c>
      <c r="J182">
        <v>0.14000000000000001</v>
      </c>
      <c r="K182">
        <v>0.1212</v>
      </c>
      <c r="L182">
        <v>0.36</v>
      </c>
      <c r="M182">
        <v>0.25369999999999998</v>
      </c>
      <c r="N182">
        <v>4</v>
      </c>
      <c r="O182">
        <v>26</v>
      </c>
      <c r="P182">
        <v>30</v>
      </c>
      <c r="Q182" t="str">
        <f t="shared" si="16"/>
        <v>Complete</v>
      </c>
      <c r="R182">
        <f t="shared" si="23"/>
        <v>0.1212</v>
      </c>
      <c r="S182">
        <f t="shared" si="17"/>
        <v>2011</v>
      </c>
      <c r="T182" t="str">
        <f t="shared" si="18"/>
        <v>January</v>
      </c>
      <c r="U182" t="str">
        <f t="shared" si="19"/>
        <v>Saturday</v>
      </c>
      <c r="V182" t="str">
        <f t="shared" si="20"/>
        <v>Evening</v>
      </c>
      <c r="W182" t="str">
        <f t="shared" si="21"/>
        <v>Spring</v>
      </c>
      <c r="X182" t="str">
        <f t="shared" si="22"/>
        <v>Clear</v>
      </c>
    </row>
    <row r="183" spans="1:24">
      <c r="A183">
        <v>182</v>
      </c>
      <c r="B183" s="2">
        <v>40551</v>
      </c>
      <c r="C183">
        <v>1</v>
      </c>
      <c r="D183">
        <v>0</v>
      </c>
      <c r="E183">
        <v>1</v>
      </c>
      <c r="F183">
        <v>20</v>
      </c>
      <c r="G183" t="b">
        <v>0</v>
      </c>
      <c r="H183">
        <v>6</v>
      </c>
      <c r="I183">
        <v>1</v>
      </c>
      <c r="J183">
        <v>0.12</v>
      </c>
      <c r="K183">
        <v>0.1212</v>
      </c>
      <c r="L183">
        <v>0.36</v>
      </c>
      <c r="M183">
        <v>0.25369999999999998</v>
      </c>
      <c r="N183">
        <v>0</v>
      </c>
      <c r="O183">
        <v>28</v>
      </c>
      <c r="P183">
        <v>28</v>
      </c>
      <c r="Q183" t="str">
        <f t="shared" si="16"/>
        <v>Complete</v>
      </c>
      <c r="R183">
        <f t="shared" si="23"/>
        <v>0.1212</v>
      </c>
      <c r="S183">
        <f t="shared" si="17"/>
        <v>2011</v>
      </c>
      <c r="T183" t="str">
        <f t="shared" si="18"/>
        <v>January</v>
      </c>
      <c r="U183" t="str">
        <f t="shared" si="19"/>
        <v>Saturday</v>
      </c>
      <c r="V183" t="str">
        <f t="shared" si="20"/>
        <v>Evening</v>
      </c>
      <c r="W183" t="str">
        <f t="shared" si="21"/>
        <v>Spring</v>
      </c>
      <c r="X183" t="str">
        <f t="shared" si="22"/>
        <v>Clear</v>
      </c>
    </row>
    <row r="184" spans="1:24">
      <c r="A184">
        <v>183</v>
      </c>
      <c r="B184" s="2">
        <v>40551</v>
      </c>
      <c r="C184">
        <v>1</v>
      </c>
      <c r="D184">
        <v>0</v>
      </c>
      <c r="E184">
        <v>1</v>
      </c>
      <c r="F184">
        <v>21</v>
      </c>
      <c r="G184" t="b">
        <v>0</v>
      </c>
      <c r="H184">
        <v>6</v>
      </c>
      <c r="I184">
        <v>1</v>
      </c>
      <c r="J184">
        <v>0.12</v>
      </c>
      <c r="K184">
        <v>0.1061</v>
      </c>
      <c r="L184">
        <v>0.39</v>
      </c>
      <c r="M184">
        <v>0.35820000000000002</v>
      </c>
      <c r="N184">
        <v>2</v>
      </c>
      <c r="O184">
        <v>35</v>
      </c>
      <c r="P184">
        <v>37</v>
      </c>
      <c r="Q184" t="str">
        <f t="shared" si="16"/>
        <v>Complete</v>
      </c>
      <c r="R184">
        <f t="shared" si="23"/>
        <v>0.1061</v>
      </c>
      <c r="S184">
        <f t="shared" si="17"/>
        <v>2011</v>
      </c>
      <c r="T184" t="str">
        <f t="shared" si="18"/>
        <v>January</v>
      </c>
      <c r="U184" t="str">
        <f t="shared" si="19"/>
        <v>Saturday</v>
      </c>
      <c r="V184" t="str">
        <f t="shared" si="20"/>
        <v>Evening</v>
      </c>
      <c r="W184" t="str">
        <f t="shared" si="21"/>
        <v>Spring</v>
      </c>
      <c r="X184" t="str">
        <f t="shared" si="22"/>
        <v>Clear</v>
      </c>
    </row>
    <row r="185" spans="1:24">
      <c r="A185">
        <v>184</v>
      </c>
      <c r="B185" s="2">
        <v>40551</v>
      </c>
      <c r="C185">
        <v>1</v>
      </c>
      <c r="D185">
        <v>0</v>
      </c>
      <c r="E185">
        <v>1</v>
      </c>
      <c r="F185">
        <v>22</v>
      </c>
      <c r="G185" t="b">
        <v>0</v>
      </c>
      <c r="H185">
        <v>6</v>
      </c>
      <c r="I185">
        <v>1</v>
      </c>
      <c r="J185">
        <v>0.12</v>
      </c>
      <c r="K185">
        <v>0.1061</v>
      </c>
      <c r="L185">
        <v>0.36</v>
      </c>
      <c r="M185">
        <v>0.3881</v>
      </c>
      <c r="N185">
        <v>1</v>
      </c>
      <c r="O185">
        <v>33</v>
      </c>
      <c r="P185">
        <v>34</v>
      </c>
      <c r="Q185" t="str">
        <f t="shared" si="16"/>
        <v>Complete</v>
      </c>
      <c r="R185">
        <f t="shared" si="23"/>
        <v>0.1061</v>
      </c>
      <c r="S185">
        <f t="shared" si="17"/>
        <v>2011</v>
      </c>
      <c r="T185" t="str">
        <f t="shared" si="18"/>
        <v>January</v>
      </c>
      <c r="U185" t="str">
        <f t="shared" si="19"/>
        <v>Saturday</v>
      </c>
      <c r="V185" t="str">
        <f t="shared" si="20"/>
        <v>Evening</v>
      </c>
      <c r="W185" t="str">
        <f t="shared" si="21"/>
        <v>Spring</v>
      </c>
      <c r="X185" t="str">
        <f t="shared" si="22"/>
        <v>Clear</v>
      </c>
    </row>
    <row r="186" spans="1:24">
      <c r="A186">
        <v>185</v>
      </c>
      <c r="B186" s="2">
        <v>40551</v>
      </c>
      <c r="C186">
        <v>1</v>
      </c>
      <c r="D186">
        <v>0</v>
      </c>
      <c r="E186">
        <v>1</v>
      </c>
      <c r="F186">
        <v>23</v>
      </c>
      <c r="G186" t="b">
        <v>0</v>
      </c>
      <c r="H186">
        <v>6</v>
      </c>
      <c r="I186">
        <v>1</v>
      </c>
      <c r="J186">
        <v>0.1</v>
      </c>
      <c r="K186">
        <v>6.0600000000000001E-2</v>
      </c>
      <c r="L186">
        <v>0.39</v>
      </c>
      <c r="M186">
        <v>0.44779999999999998</v>
      </c>
      <c r="N186">
        <v>0</v>
      </c>
      <c r="O186">
        <v>22</v>
      </c>
      <c r="P186">
        <v>22</v>
      </c>
      <c r="Q186" t="str">
        <f t="shared" si="16"/>
        <v>Complete</v>
      </c>
      <c r="R186">
        <f t="shared" si="23"/>
        <v>6.0600000000000001E-2</v>
      </c>
      <c r="S186">
        <f t="shared" si="17"/>
        <v>2011</v>
      </c>
      <c r="T186" t="str">
        <f t="shared" si="18"/>
        <v>January</v>
      </c>
      <c r="U186" t="str">
        <f t="shared" si="19"/>
        <v>Saturday</v>
      </c>
      <c r="V186" t="str">
        <f t="shared" si="20"/>
        <v>Evening</v>
      </c>
      <c r="W186" t="str">
        <f t="shared" si="21"/>
        <v>Spring</v>
      </c>
      <c r="X186" t="str">
        <f t="shared" si="22"/>
        <v>Clear</v>
      </c>
    </row>
    <row r="187" spans="1:24">
      <c r="A187">
        <v>186</v>
      </c>
      <c r="B187" s="2">
        <v>40552</v>
      </c>
      <c r="C187">
        <v>1</v>
      </c>
      <c r="D187">
        <v>0</v>
      </c>
      <c r="E187">
        <v>1</v>
      </c>
      <c r="F187">
        <v>0</v>
      </c>
      <c r="G187" t="b">
        <v>0</v>
      </c>
      <c r="H187">
        <v>0</v>
      </c>
      <c r="I187">
        <v>1</v>
      </c>
      <c r="J187">
        <v>0.1</v>
      </c>
      <c r="K187">
        <v>7.5800000000000006E-2</v>
      </c>
      <c r="L187">
        <v>0.42</v>
      </c>
      <c r="M187">
        <v>0.3881</v>
      </c>
      <c r="N187">
        <v>1</v>
      </c>
      <c r="O187">
        <v>24</v>
      </c>
      <c r="P187">
        <v>25</v>
      </c>
      <c r="Q187" t="str">
        <f t="shared" si="16"/>
        <v>Complete</v>
      </c>
      <c r="R187">
        <f t="shared" si="23"/>
        <v>7.5800000000000006E-2</v>
      </c>
      <c r="S187">
        <f t="shared" si="17"/>
        <v>2011</v>
      </c>
      <c r="T187" t="str">
        <f t="shared" si="18"/>
        <v>January</v>
      </c>
      <c r="U187" t="str">
        <f t="shared" si="19"/>
        <v>Sunday</v>
      </c>
      <c r="V187" t="str">
        <f t="shared" si="20"/>
        <v>Night</v>
      </c>
      <c r="W187" t="str">
        <f t="shared" si="21"/>
        <v>Spring</v>
      </c>
      <c r="X187" t="str">
        <f t="shared" si="22"/>
        <v>Clear</v>
      </c>
    </row>
    <row r="188" spans="1:24">
      <c r="A188">
        <v>187</v>
      </c>
      <c r="B188" s="2">
        <v>40552</v>
      </c>
      <c r="C188">
        <v>1</v>
      </c>
      <c r="D188">
        <v>0</v>
      </c>
      <c r="E188">
        <v>1</v>
      </c>
      <c r="F188">
        <v>1</v>
      </c>
      <c r="G188" t="b">
        <v>0</v>
      </c>
      <c r="H188">
        <v>0</v>
      </c>
      <c r="I188">
        <v>1</v>
      </c>
      <c r="J188">
        <v>0.1</v>
      </c>
      <c r="K188">
        <v>6.0600000000000001E-2</v>
      </c>
      <c r="L188">
        <v>0.42</v>
      </c>
      <c r="M188">
        <v>0.4627</v>
      </c>
      <c r="N188">
        <v>0</v>
      </c>
      <c r="O188">
        <v>12</v>
      </c>
      <c r="P188">
        <v>12</v>
      </c>
      <c r="Q188" t="str">
        <f t="shared" si="16"/>
        <v>Complete</v>
      </c>
      <c r="R188">
        <f t="shared" si="23"/>
        <v>6.0600000000000001E-2</v>
      </c>
      <c r="S188">
        <f t="shared" si="17"/>
        <v>2011</v>
      </c>
      <c r="T188" t="str">
        <f t="shared" si="18"/>
        <v>January</v>
      </c>
      <c r="U188" t="str">
        <f t="shared" si="19"/>
        <v>Sunday</v>
      </c>
      <c r="V188" t="str">
        <f t="shared" si="20"/>
        <v>Night</v>
      </c>
      <c r="W188" t="str">
        <f t="shared" si="21"/>
        <v>Spring</v>
      </c>
      <c r="X188" t="str">
        <f t="shared" si="22"/>
        <v>Clear</v>
      </c>
    </row>
    <row r="189" spans="1:24">
      <c r="A189">
        <v>188</v>
      </c>
      <c r="B189" s="2">
        <v>40552</v>
      </c>
      <c r="C189">
        <v>1</v>
      </c>
      <c r="D189">
        <v>0</v>
      </c>
      <c r="E189">
        <v>1</v>
      </c>
      <c r="F189">
        <v>2</v>
      </c>
      <c r="G189" t="b">
        <v>0</v>
      </c>
      <c r="H189">
        <v>0</v>
      </c>
      <c r="I189">
        <v>1</v>
      </c>
      <c r="J189">
        <v>0.1</v>
      </c>
      <c r="K189">
        <v>6.0600000000000001E-2</v>
      </c>
      <c r="L189">
        <v>0.46</v>
      </c>
      <c r="M189">
        <v>0.4627</v>
      </c>
      <c r="N189">
        <v>0</v>
      </c>
      <c r="O189">
        <v>11</v>
      </c>
      <c r="P189">
        <v>11</v>
      </c>
      <c r="Q189" t="str">
        <f t="shared" si="16"/>
        <v>Complete</v>
      </c>
      <c r="R189">
        <f t="shared" si="23"/>
        <v>6.0600000000000001E-2</v>
      </c>
      <c r="S189">
        <f t="shared" si="17"/>
        <v>2011</v>
      </c>
      <c r="T189" t="str">
        <f t="shared" si="18"/>
        <v>January</v>
      </c>
      <c r="U189" t="str">
        <f t="shared" si="19"/>
        <v>Sunday</v>
      </c>
      <c r="V189" t="str">
        <f t="shared" si="20"/>
        <v>Night</v>
      </c>
      <c r="W189" t="str">
        <f t="shared" si="21"/>
        <v>Spring</v>
      </c>
      <c r="X189" t="str">
        <f t="shared" si="22"/>
        <v>Clear</v>
      </c>
    </row>
    <row r="190" spans="1:24">
      <c r="A190">
        <v>189</v>
      </c>
      <c r="B190" s="2">
        <v>40552</v>
      </c>
      <c r="C190">
        <v>1</v>
      </c>
      <c r="D190">
        <v>0</v>
      </c>
      <c r="E190">
        <v>1</v>
      </c>
      <c r="F190">
        <v>3</v>
      </c>
      <c r="G190" t="b">
        <v>0</v>
      </c>
      <c r="H190">
        <v>0</v>
      </c>
      <c r="I190">
        <v>1</v>
      </c>
      <c r="J190">
        <v>0.1</v>
      </c>
      <c r="K190">
        <v>7.5800000000000006E-2</v>
      </c>
      <c r="L190">
        <v>0.46</v>
      </c>
      <c r="M190">
        <v>0.41789999999999999</v>
      </c>
      <c r="N190">
        <v>0</v>
      </c>
      <c r="O190">
        <v>4</v>
      </c>
      <c r="P190">
        <v>4</v>
      </c>
      <c r="Q190" t="str">
        <f t="shared" si="16"/>
        <v>Complete</v>
      </c>
      <c r="R190">
        <f t="shared" si="23"/>
        <v>7.5800000000000006E-2</v>
      </c>
      <c r="S190">
        <f t="shared" si="17"/>
        <v>2011</v>
      </c>
      <c r="T190" t="str">
        <f t="shared" si="18"/>
        <v>January</v>
      </c>
      <c r="U190" t="str">
        <f t="shared" si="19"/>
        <v>Sunday</v>
      </c>
      <c r="V190" t="str">
        <f t="shared" si="20"/>
        <v>Night</v>
      </c>
      <c r="W190" t="str">
        <f t="shared" si="21"/>
        <v>Spring</v>
      </c>
      <c r="X190" t="str">
        <f t="shared" si="22"/>
        <v>Clear</v>
      </c>
    </row>
    <row r="191" spans="1:24">
      <c r="A191">
        <v>190</v>
      </c>
      <c r="B191" s="2">
        <v>40552</v>
      </c>
      <c r="C191">
        <v>1</v>
      </c>
      <c r="D191">
        <v>0</v>
      </c>
      <c r="E191">
        <v>1</v>
      </c>
      <c r="F191">
        <v>4</v>
      </c>
      <c r="G191" t="b">
        <v>0</v>
      </c>
      <c r="H191">
        <v>0</v>
      </c>
      <c r="I191">
        <v>1</v>
      </c>
      <c r="J191">
        <v>0.08</v>
      </c>
      <c r="K191">
        <v>9.0899999999999995E-2</v>
      </c>
      <c r="L191">
        <v>0.53</v>
      </c>
      <c r="M191">
        <v>0.19400000000000001</v>
      </c>
      <c r="N191">
        <v>0</v>
      </c>
      <c r="O191">
        <v>1</v>
      </c>
      <c r="P191">
        <v>1</v>
      </c>
      <c r="Q191" t="str">
        <f t="shared" si="16"/>
        <v>Complete</v>
      </c>
      <c r="R191">
        <f t="shared" si="23"/>
        <v>9.0899999999999995E-2</v>
      </c>
      <c r="S191">
        <f t="shared" si="17"/>
        <v>2011</v>
      </c>
      <c r="T191" t="str">
        <f t="shared" si="18"/>
        <v>January</v>
      </c>
      <c r="U191" t="str">
        <f t="shared" si="19"/>
        <v>Sunday</v>
      </c>
      <c r="V191" t="str">
        <f t="shared" si="20"/>
        <v>Night</v>
      </c>
      <c r="W191" t="str">
        <f t="shared" si="21"/>
        <v>Spring</v>
      </c>
      <c r="X191" t="str">
        <f t="shared" si="22"/>
        <v>Clear</v>
      </c>
    </row>
    <row r="192" spans="1:24">
      <c r="A192">
        <v>191</v>
      </c>
      <c r="B192" s="2">
        <v>40552</v>
      </c>
      <c r="C192">
        <v>1</v>
      </c>
      <c r="D192">
        <v>0</v>
      </c>
      <c r="E192">
        <v>1</v>
      </c>
      <c r="F192">
        <v>5</v>
      </c>
      <c r="G192" t="b">
        <v>0</v>
      </c>
      <c r="H192">
        <v>0</v>
      </c>
      <c r="I192">
        <v>1</v>
      </c>
      <c r="J192">
        <v>0.08</v>
      </c>
      <c r="K192">
        <v>9.0899999999999995E-2</v>
      </c>
      <c r="L192">
        <v>0.53</v>
      </c>
      <c r="M192">
        <v>0.19400000000000001</v>
      </c>
      <c r="N192">
        <v>0</v>
      </c>
      <c r="O192">
        <v>1</v>
      </c>
      <c r="P192">
        <v>1</v>
      </c>
      <c r="Q192" t="str">
        <f t="shared" si="16"/>
        <v>Complete</v>
      </c>
      <c r="R192">
        <f t="shared" si="23"/>
        <v>9.0899999999999995E-2</v>
      </c>
      <c r="S192">
        <f t="shared" si="17"/>
        <v>2011</v>
      </c>
      <c r="T192" t="str">
        <f t="shared" si="18"/>
        <v>January</v>
      </c>
      <c r="U192" t="str">
        <f t="shared" si="19"/>
        <v>Sunday</v>
      </c>
      <c r="V192" t="str">
        <f t="shared" si="20"/>
        <v>Night</v>
      </c>
      <c r="W192" t="str">
        <f t="shared" si="21"/>
        <v>Spring</v>
      </c>
      <c r="X192" t="str">
        <f t="shared" si="22"/>
        <v>Clear</v>
      </c>
    </row>
    <row r="193" spans="1:24">
      <c r="A193">
        <v>192</v>
      </c>
      <c r="B193" s="2">
        <v>40552</v>
      </c>
      <c r="C193">
        <v>1</v>
      </c>
      <c r="D193">
        <v>0</v>
      </c>
      <c r="E193">
        <v>1</v>
      </c>
      <c r="F193">
        <v>6</v>
      </c>
      <c r="G193" t="b">
        <v>0</v>
      </c>
      <c r="H193">
        <v>0</v>
      </c>
      <c r="I193">
        <v>1</v>
      </c>
      <c r="J193">
        <v>0.1</v>
      </c>
      <c r="K193">
        <v>9.0899999999999995E-2</v>
      </c>
      <c r="L193">
        <v>0.49</v>
      </c>
      <c r="M193">
        <v>0.28360000000000002</v>
      </c>
      <c r="N193">
        <v>0</v>
      </c>
      <c r="O193">
        <v>1</v>
      </c>
      <c r="P193">
        <v>1</v>
      </c>
      <c r="Q193" t="str">
        <f t="shared" si="16"/>
        <v>Complete</v>
      </c>
      <c r="R193">
        <f t="shared" si="23"/>
        <v>9.0899999999999995E-2</v>
      </c>
      <c r="S193">
        <f t="shared" si="17"/>
        <v>2011</v>
      </c>
      <c r="T193" t="str">
        <f t="shared" si="18"/>
        <v>January</v>
      </c>
      <c r="U193" t="str">
        <f t="shared" si="19"/>
        <v>Sunday</v>
      </c>
      <c r="V193" t="str">
        <f t="shared" si="20"/>
        <v>Morning</v>
      </c>
      <c r="W193" t="str">
        <f t="shared" si="21"/>
        <v>Spring</v>
      </c>
      <c r="X193" t="str">
        <f t="shared" si="22"/>
        <v>Clear</v>
      </c>
    </row>
    <row r="194" spans="1:24">
      <c r="A194">
        <v>193</v>
      </c>
      <c r="B194" s="2">
        <v>40552</v>
      </c>
      <c r="C194">
        <v>1</v>
      </c>
      <c r="D194">
        <v>0</v>
      </c>
      <c r="E194">
        <v>1</v>
      </c>
      <c r="F194">
        <v>7</v>
      </c>
      <c r="G194" t="b">
        <v>0</v>
      </c>
      <c r="H194">
        <v>0</v>
      </c>
      <c r="I194">
        <v>1</v>
      </c>
      <c r="J194">
        <v>0.08</v>
      </c>
      <c r="K194">
        <v>9.0899999999999995E-2</v>
      </c>
      <c r="L194">
        <v>0.53</v>
      </c>
      <c r="M194">
        <v>0.19400000000000001</v>
      </c>
      <c r="N194">
        <v>1</v>
      </c>
      <c r="O194">
        <v>5</v>
      </c>
      <c r="P194">
        <v>6</v>
      </c>
      <c r="Q194" t="str">
        <f t="shared" ref="Q194:Q257" si="24">IF(K194="","Missing atemp","Complete")</f>
        <v>Complete</v>
      </c>
      <c r="R194">
        <f t="shared" si="23"/>
        <v>9.0899999999999995E-2</v>
      </c>
      <c r="S194">
        <f t="shared" ref="S194:S257" si="25">IF(D194=0,2011,"")</f>
        <v>2011</v>
      </c>
      <c r="T194" t="str">
        <f t="shared" ref="T194:T257" si="26">IF(E194=1,"January","")</f>
        <v>January</v>
      </c>
      <c r="U194" t="str">
        <f t="shared" ref="U194:U257" si="27">IF(G194=TRUE,"Holiday",IF(H194=0,"Sunday",IF(H194=6,"Saturday","Weekday")))</f>
        <v>Sunday</v>
      </c>
      <c r="V194" t="str">
        <f t="shared" ref="V194:V257" si="28">IF(F194&lt;6,"Night",IF(F194&lt;12,"Morning",IF(F194&lt;18,"Afternoon","Evening")))</f>
        <v>Morning</v>
      </c>
      <c r="W194" t="str">
        <f t="shared" ref="W194:W257" si="29">IF(C194=1,"Spring","")</f>
        <v>Spring</v>
      </c>
      <c r="X194" t="str">
        <f t="shared" ref="X194:X257" si="30">IF(I194=1,"Clear",IF(I194=2,"Mist/Cloudy",IF(I194=3,"Light Rain/Snow",IF(I194=4,"Heavy Rain/Snow","Unknown"))))</f>
        <v>Clear</v>
      </c>
    </row>
    <row r="195" spans="1:24">
      <c r="A195">
        <v>194</v>
      </c>
      <c r="B195" s="2">
        <v>40552</v>
      </c>
      <c r="C195">
        <v>1</v>
      </c>
      <c r="D195">
        <v>0</v>
      </c>
      <c r="E195">
        <v>1</v>
      </c>
      <c r="F195">
        <v>8</v>
      </c>
      <c r="G195" t="b">
        <v>0</v>
      </c>
      <c r="H195">
        <v>0</v>
      </c>
      <c r="I195">
        <v>1</v>
      </c>
      <c r="J195">
        <v>0.1</v>
      </c>
      <c r="K195">
        <v>9.0899999999999995E-2</v>
      </c>
      <c r="L195">
        <v>0.49</v>
      </c>
      <c r="M195">
        <v>0.28360000000000002</v>
      </c>
      <c r="N195">
        <v>0</v>
      </c>
      <c r="O195">
        <v>10</v>
      </c>
      <c r="P195">
        <v>10</v>
      </c>
      <c r="Q195" t="str">
        <f t="shared" si="24"/>
        <v>Complete</v>
      </c>
      <c r="R195">
        <f t="shared" ref="R195:R258" si="31">IF(K195="",J195,K195)</f>
        <v>9.0899999999999995E-2</v>
      </c>
      <c r="S195">
        <f t="shared" si="25"/>
        <v>2011</v>
      </c>
      <c r="T195" t="str">
        <f t="shared" si="26"/>
        <v>January</v>
      </c>
      <c r="U195" t="str">
        <f t="shared" si="27"/>
        <v>Sunday</v>
      </c>
      <c r="V195" t="str">
        <f t="shared" si="28"/>
        <v>Morning</v>
      </c>
      <c r="W195" t="str">
        <f t="shared" si="29"/>
        <v>Spring</v>
      </c>
      <c r="X195" t="str">
        <f t="shared" si="30"/>
        <v>Clear</v>
      </c>
    </row>
    <row r="196" spans="1:24">
      <c r="A196">
        <v>195</v>
      </c>
      <c r="B196" s="2">
        <v>40552</v>
      </c>
      <c r="C196">
        <v>1</v>
      </c>
      <c r="D196">
        <v>0</v>
      </c>
      <c r="E196">
        <v>1</v>
      </c>
      <c r="F196">
        <v>9</v>
      </c>
      <c r="G196" t="b">
        <v>0</v>
      </c>
      <c r="H196">
        <v>0</v>
      </c>
      <c r="I196">
        <v>1</v>
      </c>
      <c r="J196">
        <v>0.12</v>
      </c>
      <c r="K196">
        <v>7.5800000000000006E-2</v>
      </c>
      <c r="L196">
        <v>0.46</v>
      </c>
      <c r="M196">
        <v>0.52239999999999998</v>
      </c>
      <c r="N196">
        <v>0</v>
      </c>
      <c r="O196">
        <v>19</v>
      </c>
      <c r="P196">
        <v>19</v>
      </c>
      <c r="Q196" t="str">
        <f t="shared" si="24"/>
        <v>Complete</v>
      </c>
      <c r="R196">
        <f t="shared" si="31"/>
        <v>7.5800000000000006E-2</v>
      </c>
      <c r="S196">
        <f t="shared" si="25"/>
        <v>2011</v>
      </c>
      <c r="T196" t="str">
        <f t="shared" si="26"/>
        <v>January</v>
      </c>
      <c r="U196" t="str">
        <f t="shared" si="27"/>
        <v>Sunday</v>
      </c>
      <c r="V196" t="str">
        <f t="shared" si="28"/>
        <v>Morning</v>
      </c>
      <c r="W196" t="str">
        <f t="shared" si="29"/>
        <v>Spring</v>
      </c>
      <c r="X196" t="str">
        <f t="shared" si="30"/>
        <v>Clear</v>
      </c>
    </row>
    <row r="197" spans="1:24">
      <c r="A197">
        <v>196</v>
      </c>
      <c r="B197" s="2">
        <v>40552</v>
      </c>
      <c r="C197">
        <v>1</v>
      </c>
      <c r="D197">
        <v>0</v>
      </c>
      <c r="E197">
        <v>1</v>
      </c>
      <c r="F197">
        <v>10</v>
      </c>
      <c r="G197" t="b">
        <v>0</v>
      </c>
      <c r="H197">
        <v>0</v>
      </c>
      <c r="I197">
        <v>1</v>
      </c>
      <c r="J197">
        <v>0.14000000000000001</v>
      </c>
      <c r="K197">
        <v>0.1061</v>
      </c>
      <c r="L197">
        <v>0.43</v>
      </c>
      <c r="M197">
        <v>0.3881</v>
      </c>
      <c r="N197">
        <v>0</v>
      </c>
      <c r="O197">
        <v>49</v>
      </c>
      <c r="P197">
        <v>49</v>
      </c>
      <c r="Q197" t="str">
        <f t="shared" si="24"/>
        <v>Complete</v>
      </c>
      <c r="R197">
        <f t="shared" si="31"/>
        <v>0.1061</v>
      </c>
      <c r="S197">
        <f t="shared" si="25"/>
        <v>2011</v>
      </c>
      <c r="T197" t="str">
        <f t="shared" si="26"/>
        <v>January</v>
      </c>
      <c r="U197" t="str">
        <f t="shared" si="27"/>
        <v>Sunday</v>
      </c>
      <c r="V197" t="str">
        <f t="shared" si="28"/>
        <v>Morning</v>
      </c>
      <c r="W197" t="str">
        <f t="shared" si="29"/>
        <v>Spring</v>
      </c>
      <c r="X197" t="str">
        <f t="shared" si="30"/>
        <v>Clear</v>
      </c>
    </row>
    <row r="198" spans="1:24">
      <c r="A198">
        <v>197</v>
      </c>
      <c r="B198" s="2">
        <v>40552</v>
      </c>
      <c r="C198">
        <v>1</v>
      </c>
      <c r="D198">
        <v>0</v>
      </c>
      <c r="E198">
        <v>1</v>
      </c>
      <c r="F198">
        <v>11</v>
      </c>
      <c r="G198" t="b">
        <v>0</v>
      </c>
      <c r="H198">
        <v>0</v>
      </c>
      <c r="I198">
        <v>1</v>
      </c>
      <c r="J198">
        <v>0.16</v>
      </c>
      <c r="K198">
        <v>0.1212</v>
      </c>
      <c r="L198">
        <v>0.4</v>
      </c>
      <c r="M198">
        <v>0.52239999999999998</v>
      </c>
      <c r="N198">
        <v>2</v>
      </c>
      <c r="O198">
        <v>47</v>
      </c>
      <c r="P198">
        <v>49</v>
      </c>
      <c r="Q198" t="str">
        <f t="shared" si="24"/>
        <v>Complete</v>
      </c>
      <c r="R198">
        <f t="shared" si="31"/>
        <v>0.1212</v>
      </c>
      <c r="S198">
        <f t="shared" si="25"/>
        <v>2011</v>
      </c>
      <c r="T198" t="str">
        <f t="shared" si="26"/>
        <v>January</v>
      </c>
      <c r="U198" t="str">
        <f t="shared" si="27"/>
        <v>Sunday</v>
      </c>
      <c r="V198" t="str">
        <f t="shared" si="28"/>
        <v>Morning</v>
      </c>
      <c r="W198" t="str">
        <f t="shared" si="29"/>
        <v>Spring</v>
      </c>
      <c r="X198" t="str">
        <f t="shared" si="30"/>
        <v>Clear</v>
      </c>
    </row>
    <row r="199" spans="1:24">
      <c r="A199">
        <v>198</v>
      </c>
      <c r="B199" s="2">
        <v>40552</v>
      </c>
      <c r="C199">
        <v>1</v>
      </c>
      <c r="D199">
        <v>0</v>
      </c>
      <c r="E199">
        <v>1</v>
      </c>
      <c r="F199">
        <v>12</v>
      </c>
      <c r="G199" t="b">
        <v>0</v>
      </c>
      <c r="H199">
        <v>0</v>
      </c>
      <c r="I199">
        <v>1</v>
      </c>
      <c r="J199">
        <v>0.18</v>
      </c>
      <c r="K199">
        <v>0.13639999999999999</v>
      </c>
      <c r="L199">
        <v>0.37</v>
      </c>
      <c r="M199">
        <v>0.44779999999999998</v>
      </c>
      <c r="N199">
        <v>4</v>
      </c>
      <c r="O199">
        <v>79</v>
      </c>
      <c r="P199">
        <v>83</v>
      </c>
      <c r="Q199" t="str">
        <f t="shared" si="24"/>
        <v>Complete</v>
      </c>
      <c r="R199">
        <f t="shared" si="31"/>
        <v>0.13639999999999999</v>
      </c>
      <c r="S199">
        <f t="shared" si="25"/>
        <v>2011</v>
      </c>
      <c r="T199" t="str">
        <f t="shared" si="26"/>
        <v>January</v>
      </c>
      <c r="U199" t="str">
        <f t="shared" si="27"/>
        <v>Sunday</v>
      </c>
      <c r="V199" t="str">
        <f t="shared" si="28"/>
        <v>Afternoon</v>
      </c>
      <c r="W199" t="str">
        <f t="shared" si="29"/>
        <v>Spring</v>
      </c>
      <c r="X199" t="str">
        <f t="shared" si="30"/>
        <v>Clear</v>
      </c>
    </row>
    <row r="200" spans="1:24">
      <c r="A200">
        <v>199</v>
      </c>
      <c r="B200" s="2">
        <v>40552</v>
      </c>
      <c r="C200">
        <v>1</v>
      </c>
      <c r="D200">
        <v>0</v>
      </c>
      <c r="E200">
        <v>1</v>
      </c>
      <c r="F200">
        <v>13</v>
      </c>
      <c r="G200" t="b">
        <v>0</v>
      </c>
      <c r="H200">
        <v>0</v>
      </c>
      <c r="I200">
        <v>1</v>
      </c>
      <c r="J200">
        <v>0.2</v>
      </c>
      <c r="K200">
        <v>0.16669999999999999</v>
      </c>
      <c r="L200">
        <v>0.34</v>
      </c>
      <c r="M200">
        <v>0.44779999999999998</v>
      </c>
      <c r="N200">
        <v>6</v>
      </c>
      <c r="O200">
        <v>69</v>
      </c>
      <c r="P200">
        <v>75</v>
      </c>
      <c r="Q200" t="str">
        <f t="shared" si="24"/>
        <v>Complete</v>
      </c>
      <c r="R200">
        <f t="shared" si="31"/>
        <v>0.16669999999999999</v>
      </c>
      <c r="S200">
        <f t="shared" si="25"/>
        <v>2011</v>
      </c>
      <c r="T200" t="str">
        <f t="shared" si="26"/>
        <v>January</v>
      </c>
      <c r="U200" t="str">
        <f t="shared" si="27"/>
        <v>Sunday</v>
      </c>
      <c r="V200" t="str">
        <f t="shared" si="28"/>
        <v>Afternoon</v>
      </c>
      <c r="W200" t="str">
        <f t="shared" si="29"/>
        <v>Spring</v>
      </c>
      <c r="X200" t="str">
        <f t="shared" si="30"/>
        <v>Clear</v>
      </c>
    </row>
    <row r="201" spans="1:24">
      <c r="A201">
        <v>200</v>
      </c>
      <c r="B201" s="2">
        <v>40552</v>
      </c>
      <c r="C201">
        <v>1</v>
      </c>
      <c r="D201">
        <v>0</v>
      </c>
      <c r="E201">
        <v>1</v>
      </c>
      <c r="F201">
        <v>14</v>
      </c>
      <c r="G201" t="b">
        <v>0</v>
      </c>
      <c r="H201">
        <v>0</v>
      </c>
      <c r="I201">
        <v>1</v>
      </c>
      <c r="J201">
        <v>0.22</v>
      </c>
      <c r="K201">
        <v>0.18179999999999999</v>
      </c>
      <c r="L201">
        <v>0.32</v>
      </c>
      <c r="M201">
        <v>0.4627</v>
      </c>
      <c r="N201">
        <v>8</v>
      </c>
      <c r="O201">
        <v>64</v>
      </c>
      <c r="P201">
        <v>72</v>
      </c>
      <c r="Q201" t="str">
        <f t="shared" si="24"/>
        <v>Complete</v>
      </c>
      <c r="R201">
        <f t="shared" si="31"/>
        <v>0.18179999999999999</v>
      </c>
      <c r="S201">
        <f t="shared" si="25"/>
        <v>2011</v>
      </c>
      <c r="T201" t="str">
        <f t="shared" si="26"/>
        <v>January</v>
      </c>
      <c r="U201" t="str">
        <f t="shared" si="27"/>
        <v>Sunday</v>
      </c>
      <c r="V201" t="str">
        <f t="shared" si="28"/>
        <v>Afternoon</v>
      </c>
      <c r="W201" t="str">
        <f t="shared" si="29"/>
        <v>Spring</v>
      </c>
      <c r="X201" t="str">
        <f t="shared" si="30"/>
        <v>Clear</v>
      </c>
    </row>
    <row r="202" spans="1:24">
      <c r="A202">
        <v>201</v>
      </c>
      <c r="B202" s="2">
        <v>40552</v>
      </c>
      <c r="C202">
        <v>1</v>
      </c>
      <c r="D202">
        <v>0</v>
      </c>
      <c r="E202">
        <v>1</v>
      </c>
      <c r="F202">
        <v>15</v>
      </c>
      <c r="G202" t="b">
        <v>0</v>
      </c>
      <c r="H202">
        <v>0</v>
      </c>
      <c r="I202">
        <v>1</v>
      </c>
      <c r="J202">
        <v>0.22</v>
      </c>
      <c r="K202">
        <v>0.19700000000000001</v>
      </c>
      <c r="L202">
        <v>0.35</v>
      </c>
      <c r="M202">
        <v>0.35820000000000002</v>
      </c>
      <c r="N202">
        <v>5</v>
      </c>
      <c r="O202">
        <v>77</v>
      </c>
      <c r="P202">
        <v>82</v>
      </c>
      <c r="Q202" t="str">
        <f t="shared" si="24"/>
        <v>Complete</v>
      </c>
      <c r="R202">
        <f t="shared" si="31"/>
        <v>0.19700000000000001</v>
      </c>
      <c r="S202">
        <f t="shared" si="25"/>
        <v>2011</v>
      </c>
      <c r="T202" t="str">
        <f t="shared" si="26"/>
        <v>January</v>
      </c>
      <c r="U202" t="str">
        <f t="shared" si="27"/>
        <v>Sunday</v>
      </c>
      <c r="V202" t="str">
        <f t="shared" si="28"/>
        <v>Afternoon</v>
      </c>
      <c r="W202" t="str">
        <f t="shared" si="29"/>
        <v>Spring</v>
      </c>
      <c r="X202" t="str">
        <f t="shared" si="30"/>
        <v>Clear</v>
      </c>
    </row>
    <row r="203" spans="1:24">
      <c r="A203">
        <v>202</v>
      </c>
      <c r="B203" s="2">
        <v>40552</v>
      </c>
      <c r="C203">
        <v>1</v>
      </c>
      <c r="D203">
        <v>0</v>
      </c>
      <c r="E203">
        <v>1</v>
      </c>
      <c r="F203">
        <v>16</v>
      </c>
      <c r="G203" t="b">
        <v>0</v>
      </c>
      <c r="H203">
        <v>0</v>
      </c>
      <c r="I203">
        <v>1</v>
      </c>
      <c r="J203">
        <v>0.2</v>
      </c>
      <c r="K203">
        <v>0.16669999999999999</v>
      </c>
      <c r="L203">
        <v>0.34</v>
      </c>
      <c r="M203">
        <v>0.44779999999999998</v>
      </c>
      <c r="N203">
        <v>13</v>
      </c>
      <c r="O203">
        <v>79</v>
      </c>
      <c r="P203">
        <v>92</v>
      </c>
      <c r="Q203" t="str">
        <f t="shared" si="24"/>
        <v>Complete</v>
      </c>
      <c r="R203">
        <f t="shared" si="31"/>
        <v>0.16669999999999999</v>
      </c>
      <c r="S203">
        <f t="shared" si="25"/>
        <v>2011</v>
      </c>
      <c r="T203" t="str">
        <f t="shared" si="26"/>
        <v>January</v>
      </c>
      <c r="U203" t="str">
        <f t="shared" si="27"/>
        <v>Sunday</v>
      </c>
      <c r="V203" t="str">
        <f t="shared" si="28"/>
        <v>Afternoon</v>
      </c>
      <c r="W203" t="str">
        <f t="shared" si="29"/>
        <v>Spring</v>
      </c>
      <c r="X203" t="str">
        <f t="shared" si="30"/>
        <v>Clear</v>
      </c>
    </row>
    <row r="204" spans="1:24">
      <c r="A204">
        <v>203</v>
      </c>
      <c r="B204" s="2">
        <v>40552</v>
      </c>
      <c r="C204">
        <v>1</v>
      </c>
      <c r="D204">
        <v>0</v>
      </c>
      <c r="E204">
        <v>1</v>
      </c>
      <c r="F204">
        <v>17</v>
      </c>
      <c r="G204" t="b">
        <v>0</v>
      </c>
      <c r="H204">
        <v>0</v>
      </c>
      <c r="I204">
        <v>1</v>
      </c>
      <c r="J204">
        <v>0.18</v>
      </c>
      <c r="K204">
        <v>0.1515</v>
      </c>
      <c r="L204">
        <v>0.37</v>
      </c>
      <c r="M204">
        <v>0.3881</v>
      </c>
      <c r="N204">
        <v>3</v>
      </c>
      <c r="O204">
        <v>59</v>
      </c>
      <c r="P204">
        <v>62</v>
      </c>
      <c r="Q204" t="str">
        <f t="shared" si="24"/>
        <v>Complete</v>
      </c>
      <c r="R204">
        <f t="shared" si="31"/>
        <v>0.1515</v>
      </c>
      <c r="S204">
        <f t="shared" si="25"/>
        <v>2011</v>
      </c>
      <c r="T204" t="str">
        <f t="shared" si="26"/>
        <v>January</v>
      </c>
      <c r="U204" t="str">
        <f t="shared" si="27"/>
        <v>Sunday</v>
      </c>
      <c r="V204" t="str">
        <f t="shared" si="28"/>
        <v>Afternoon</v>
      </c>
      <c r="W204" t="str">
        <f t="shared" si="29"/>
        <v>Spring</v>
      </c>
      <c r="X204" t="str">
        <f t="shared" si="30"/>
        <v>Clear</v>
      </c>
    </row>
    <row r="205" spans="1:24">
      <c r="A205">
        <v>204</v>
      </c>
      <c r="B205" s="2">
        <v>40552</v>
      </c>
      <c r="C205">
        <v>1</v>
      </c>
      <c r="D205">
        <v>0</v>
      </c>
      <c r="E205">
        <v>1</v>
      </c>
      <c r="F205">
        <v>18</v>
      </c>
      <c r="G205" t="b">
        <v>0</v>
      </c>
      <c r="H205">
        <v>0</v>
      </c>
      <c r="I205">
        <v>1</v>
      </c>
      <c r="J205">
        <v>0.16</v>
      </c>
      <c r="K205">
        <v>0.13639999999999999</v>
      </c>
      <c r="L205">
        <v>0.4</v>
      </c>
      <c r="M205">
        <v>0.32840000000000003</v>
      </c>
      <c r="N205">
        <v>4</v>
      </c>
      <c r="O205">
        <v>44</v>
      </c>
      <c r="P205">
        <v>48</v>
      </c>
      <c r="Q205" t="str">
        <f t="shared" si="24"/>
        <v>Complete</v>
      </c>
      <c r="R205">
        <f t="shared" si="31"/>
        <v>0.13639999999999999</v>
      </c>
      <c r="S205">
        <f t="shared" si="25"/>
        <v>2011</v>
      </c>
      <c r="T205" t="str">
        <f t="shared" si="26"/>
        <v>January</v>
      </c>
      <c r="U205" t="str">
        <f t="shared" si="27"/>
        <v>Sunday</v>
      </c>
      <c r="V205" t="str">
        <f t="shared" si="28"/>
        <v>Evening</v>
      </c>
      <c r="W205" t="str">
        <f t="shared" si="29"/>
        <v>Spring</v>
      </c>
      <c r="X205" t="str">
        <f t="shared" si="30"/>
        <v>Clear</v>
      </c>
    </row>
    <row r="206" spans="1:24">
      <c r="A206">
        <v>205</v>
      </c>
      <c r="B206" s="2">
        <v>40552</v>
      </c>
      <c r="C206">
        <v>1</v>
      </c>
      <c r="D206">
        <v>0</v>
      </c>
      <c r="E206">
        <v>1</v>
      </c>
      <c r="F206">
        <v>19</v>
      </c>
      <c r="G206" t="b">
        <v>0</v>
      </c>
      <c r="H206">
        <v>0</v>
      </c>
      <c r="I206">
        <v>1</v>
      </c>
      <c r="J206">
        <v>0.16</v>
      </c>
      <c r="K206">
        <v>0.13639999999999999</v>
      </c>
      <c r="L206">
        <v>0.43</v>
      </c>
      <c r="M206">
        <v>0.32840000000000003</v>
      </c>
      <c r="N206">
        <v>1</v>
      </c>
      <c r="O206">
        <v>40</v>
      </c>
      <c r="P206">
        <v>41</v>
      </c>
      <c r="Q206" t="str">
        <f t="shared" si="24"/>
        <v>Complete</v>
      </c>
      <c r="R206">
        <f t="shared" si="31"/>
        <v>0.13639999999999999</v>
      </c>
      <c r="S206">
        <f t="shared" si="25"/>
        <v>2011</v>
      </c>
      <c r="T206" t="str">
        <f t="shared" si="26"/>
        <v>January</v>
      </c>
      <c r="U206" t="str">
        <f t="shared" si="27"/>
        <v>Sunday</v>
      </c>
      <c r="V206" t="str">
        <f t="shared" si="28"/>
        <v>Evening</v>
      </c>
      <c r="W206" t="str">
        <f t="shared" si="29"/>
        <v>Spring</v>
      </c>
      <c r="X206" t="str">
        <f t="shared" si="30"/>
        <v>Clear</v>
      </c>
    </row>
    <row r="207" spans="1:24">
      <c r="A207">
        <v>206</v>
      </c>
      <c r="B207" s="2">
        <v>40552</v>
      </c>
      <c r="C207">
        <v>1</v>
      </c>
      <c r="D207">
        <v>0</v>
      </c>
      <c r="E207">
        <v>1</v>
      </c>
      <c r="F207">
        <v>20</v>
      </c>
      <c r="G207" t="b">
        <v>0</v>
      </c>
      <c r="H207">
        <v>0</v>
      </c>
      <c r="I207">
        <v>1</v>
      </c>
      <c r="J207">
        <v>0.14000000000000001</v>
      </c>
      <c r="K207">
        <v>0.1212</v>
      </c>
      <c r="L207">
        <v>0.46</v>
      </c>
      <c r="M207">
        <v>0.25369999999999998</v>
      </c>
      <c r="N207">
        <v>0</v>
      </c>
      <c r="O207">
        <v>38</v>
      </c>
      <c r="P207">
        <v>38</v>
      </c>
      <c r="Q207" t="str">
        <f t="shared" si="24"/>
        <v>Complete</v>
      </c>
      <c r="R207">
        <f t="shared" si="31"/>
        <v>0.1212</v>
      </c>
      <c r="S207">
        <f t="shared" si="25"/>
        <v>2011</v>
      </c>
      <c r="T207" t="str">
        <f t="shared" si="26"/>
        <v>January</v>
      </c>
      <c r="U207" t="str">
        <f t="shared" si="27"/>
        <v>Sunday</v>
      </c>
      <c r="V207" t="str">
        <f t="shared" si="28"/>
        <v>Evening</v>
      </c>
      <c r="W207" t="str">
        <f t="shared" si="29"/>
        <v>Spring</v>
      </c>
      <c r="X207" t="str">
        <f t="shared" si="30"/>
        <v>Clear</v>
      </c>
    </row>
    <row r="208" spans="1:24">
      <c r="A208">
        <v>207</v>
      </c>
      <c r="B208" s="2">
        <v>40552</v>
      </c>
      <c r="C208">
        <v>1</v>
      </c>
      <c r="D208">
        <v>0</v>
      </c>
      <c r="E208">
        <v>1</v>
      </c>
      <c r="F208">
        <v>21</v>
      </c>
      <c r="G208" t="b">
        <v>0</v>
      </c>
      <c r="H208">
        <v>0</v>
      </c>
      <c r="I208">
        <v>1</v>
      </c>
      <c r="J208">
        <v>0.14000000000000001</v>
      </c>
      <c r="K208">
        <v>0.1061</v>
      </c>
      <c r="L208">
        <v>0.46</v>
      </c>
      <c r="M208">
        <v>0.41789999999999999</v>
      </c>
      <c r="N208">
        <v>1</v>
      </c>
      <c r="O208">
        <v>19</v>
      </c>
      <c r="P208">
        <v>20</v>
      </c>
      <c r="Q208" t="str">
        <f t="shared" si="24"/>
        <v>Complete</v>
      </c>
      <c r="R208">
        <f t="shared" si="31"/>
        <v>0.1061</v>
      </c>
      <c r="S208">
        <f t="shared" si="25"/>
        <v>2011</v>
      </c>
      <c r="T208" t="str">
        <f t="shared" si="26"/>
        <v>January</v>
      </c>
      <c r="U208" t="str">
        <f t="shared" si="27"/>
        <v>Sunday</v>
      </c>
      <c r="V208" t="str">
        <f t="shared" si="28"/>
        <v>Evening</v>
      </c>
      <c r="W208" t="str">
        <f t="shared" si="29"/>
        <v>Spring</v>
      </c>
      <c r="X208" t="str">
        <f t="shared" si="30"/>
        <v>Clear</v>
      </c>
    </row>
    <row r="209" spans="1:24">
      <c r="A209">
        <v>208</v>
      </c>
      <c r="B209" s="2">
        <v>40552</v>
      </c>
      <c r="C209">
        <v>1</v>
      </c>
      <c r="D209">
        <v>0</v>
      </c>
      <c r="E209">
        <v>1</v>
      </c>
      <c r="F209">
        <v>22</v>
      </c>
      <c r="G209" t="b">
        <v>0</v>
      </c>
      <c r="H209">
        <v>0</v>
      </c>
      <c r="I209">
        <v>1</v>
      </c>
      <c r="J209">
        <v>0.14000000000000001</v>
      </c>
      <c r="K209">
        <v>0.1212</v>
      </c>
      <c r="L209">
        <v>0.46</v>
      </c>
      <c r="M209">
        <v>0.29849999999999999</v>
      </c>
      <c r="N209">
        <v>5</v>
      </c>
      <c r="O209">
        <v>10</v>
      </c>
      <c r="P209">
        <v>15</v>
      </c>
      <c r="Q209" t="str">
        <f t="shared" si="24"/>
        <v>Complete</v>
      </c>
      <c r="R209">
        <f t="shared" si="31"/>
        <v>0.1212</v>
      </c>
      <c r="S209">
        <f t="shared" si="25"/>
        <v>2011</v>
      </c>
      <c r="T209" t="str">
        <f t="shared" si="26"/>
        <v>January</v>
      </c>
      <c r="U209" t="str">
        <f t="shared" si="27"/>
        <v>Sunday</v>
      </c>
      <c r="V209" t="str">
        <f t="shared" si="28"/>
        <v>Evening</v>
      </c>
      <c r="W209" t="str">
        <f t="shared" si="29"/>
        <v>Spring</v>
      </c>
      <c r="X209" t="str">
        <f t="shared" si="30"/>
        <v>Clear</v>
      </c>
    </row>
    <row r="210" spans="1:24">
      <c r="A210">
        <v>209</v>
      </c>
      <c r="B210" s="2">
        <v>40552</v>
      </c>
      <c r="C210">
        <v>1</v>
      </c>
      <c r="D210">
        <v>0</v>
      </c>
      <c r="E210">
        <v>1</v>
      </c>
      <c r="F210">
        <v>23</v>
      </c>
      <c r="G210" t="b">
        <v>0</v>
      </c>
      <c r="H210">
        <v>0</v>
      </c>
      <c r="I210">
        <v>1</v>
      </c>
      <c r="J210">
        <v>0.12</v>
      </c>
      <c r="K210">
        <v>0.13639999999999999</v>
      </c>
      <c r="L210">
        <v>0.5</v>
      </c>
      <c r="M210">
        <v>0.19400000000000001</v>
      </c>
      <c r="N210">
        <v>0</v>
      </c>
      <c r="O210">
        <v>6</v>
      </c>
      <c r="P210">
        <v>6</v>
      </c>
      <c r="Q210" t="str">
        <f t="shared" si="24"/>
        <v>Complete</v>
      </c>
      <c r="R210">
        <f t="shared" si="31"/>
        <v>0.13639999999999999</v>
      </c>
      <c r="S210">
        <f t="shared" si="25"/>
        <v>2011</v>
      </c>
      <c r="T210" t="str">
        <f t="shared" si="26"/>
        <v>January</v>
      </c>
      <c r="U210" t="str">
        <f t="shared" si="27"/>
        <v>Sunday</v>
      </c>
      <c r="V210" t="str">
        <f t="shared" si="28"/>
        <v>Evening</v>
      </c>
      <c r="W210" t="str">
        <f t="shared" si="29"/>
        <v>Spring</v>
      </c>
      <c r="X210" t="str">
        <f t="shared" si="30"/>
        <v>Clear</v>
      </c>
    </row>
    <row r="211" spans="1:24">
      <c r="A211">
        <v>210</v>
      </c>
      <c r="B211" s="2">
        <v>40553</v>
      </c>
      <c r="C211">
        <v>1</v>
      </c>
      <c r="D211">
        <v>0</v>
      </c>
      <c r="E211">
        <v>1</v>
      </c>
      <c r="F211">
        <v>0</v>
      </c>
      <c r="G211" t="b">
        <v>0</v>
      </c>
      <c r="H211">
        <v>1</v>
      </c>
      <c r="I211">
        <v>1</v>
      </c>
      <c r="J211">
        <v>0.12</v>
      </c>
      <c r="K211">
        <v>0.1212</v>
      </c>
      <c r="L211">
        <v>0.5</v>
      </c>
      <c r="M211">
        <v>0.28360000000000002</v>
      </c>
      <c r="N211">
        <v>2</v>
      </c>
      <c r="O211">
        <v>3</v>
      </c>
      <c r="P211">
        <v>5</v>
      </c>
      <c r="Q211" t="str">
        <f t="shared" si="24"/>
        <v>Complete</v>
      </c>
      <c r="R211">
        <f t="shared" si="31"/>
        <v>0.1212</v>
      </c>
      <c r="S211">
        <f t="shared" si="25"/>
        <v>2011</v>
      </c>
      <c r="T211" t="str">
        <f t="shared" si="26"/>
        <v>January</v>
      </c>
      <c r="U211" t="str">
        <f t="shared" si="27"/>
        <v>Weekday</v>
      </c>
      <c r="V211" t="str">
        <f t="shared" si="28"/>
        <v>Night</v>
      </c>
      <c r="W211" t="str">
        <f t="shared" si="29"/>
        <v>Spring</v>
      </c>
      <c r="X211" t="str">
        <f t="shared" si="30"/>
        <v>Clear</v>
      </c>
    </row>
    <row r="212" spans="1:24">
      <c r="A212">
        <v>211</v>
      </c>
      <c r="B212" s="2">
        <v>40553</v>
      </c>
      <c r="C212">
        <v>1</v>
      </c>
      <c r="D212">
        <v>0</v>
      </c>
      <c r="E212">
        <v>1</v>
      </c>
      <c r="F212">
        <v>1</v>
      </c>
      <c r="G212" t="b">
        <v>0</v>
      </c>
      <c r="H212">
        <v>1</v>
      </c>
      <c r="I212">
        <v>1</v>
      </c>
      <c r="J212">
        <v>0.12</v>
      </c>
      <c r="K212">
        <v>0.1212</v>
      </c>
      <c r="L212">
        <v>0.5</v>
      </c>
      <c r="M212">
        <v>0.28360000000000002</v>
      </c>
      <c r="N212">
        <v>1</v>
      </c>
      <c r="O212">
        <v>0</v>
      </c>
      <c r="P212">
        <v>1</v>
      </c>
      <c r="Q212" t="str">
        <f t="shared" si="24"/>
        <v>Complete</v>
      </c>
      <c r="R212">
        <f t="shared" si="31"/>
        <v>0.1212</v>
      </c>
      <c r="S212">
        <f t="shared" si="25"/>
        <v>2011</v>
      </c>
      <c r="T212" t="str">
        <f t="shared" si="26"/>
        <v>January</v>
      </c>
      <c r="U212" t="str">
        <f t="shared" si="27"/>
        <v>Weekday</v>
      </c>
      <c r="V212" t="str">
        <f t="shared" si="28"/>
        <v>Night</v>
      </c>
      <c r="W212" t="str">
        <f t="shared" si="29"/>
        <v>Spring</v>
      </c>
      <c r="X212" t="str">
        <f t="shared" si="30"/>
        <v>Clear</v>
      </c>
    </row>
    <row r="213" spans="1:24">
      <c r="A213">
        <v>212</v>
      </c>
      <c r="B213" s="2">
        <v>40553</v>
      </c>
      <c r="C213">
        <v>1</v>
      </c>
      <c r="D213">
        <v>0</v>
      </c>
      <c r="E213">
        <v>1</v>
      </c>
      <c r="F213">
        <v>2</v>
      </c>
      <c r="G213" t="b">
        <v>0</v>
      </c>
      <c r="H213">
        <v>1</v>
      </c>
      <c r="I213">
        <v>1</v>
      </c>
      <c r="J213">
        <v>0.12</v>
      </c>
      <c r="K213">
        <v>0.1212</v>
      </c>
      <c r="L213">
        <v>0.5</v>
      </c>
      <c r="M213">
        <v>0.22389999999999999</v>
      </c>
      <c r="N213">
        <v>0</v>
      </c>
      <c r="O213">
        <v>3</v>
      </c>
      <c r="P213">
        <v>3</v>
      </c>
      <c r="Q213" t="str">
        <f t="shared" si="24"/>
        <v>Complete</v>
      </c>
      <c r="R213">
        <f t="shared" si="31"/>
        <v>0.1212</v>
      </c>
      <c r="S213">
        <f t="shared" si="25"/>
        <v>2011</v>
      </c>
      <c r="T213" t="str">
        <f t="shared" si="26"/>
        <v>January</v>
      </c>
      <c r="U213" t="str">
        <f t="shared" si="27"/>
        <v>Weekday</v>
      </c>
      <c r="V213" t="str">
        <f t="shared" si="28"/>
        <v>Night</v>
      </c>
      <c r="W213" t="str">
        <f t="shared" si="29"/>
        <v>Spring</v>
      </c>
      <c r="X213" t="str">
        <f t="shared" si="30"/>
        <v>Clear</v>
      </c>
    </row>
    <row r="214" spans="1:24">
      <c r="A214">
        <v>213</v>
      </c>
      <c r="B214" s="2">
        <v>40553</v>
      </c>
      <c r="C214">
        <v>1</v>
      </c>
      <c r="D214">
        <v>0</v>
      </c>
      <c r="E214">
        <v>1</v>
      </c>
      <c r="F214">
        <v>3</v>
      </c>
      <c r="G214" t="b">
        <v>0</v>
      </c>
      <c r="H214">
        <v>1</v>
      </c>
      <c r="I214">
        <v>1</v>
      </c>
      <c r="J214">
        <v>0.12</v>
      </c>
      <c r="K214">
        <v>0.1212</v>
      </c>
      <c r="L214">
        <v>0.5</v>
      </c>
      <c r="M214">
        <v>0.22389999999999999</v>
      </c>
      <c r="N214">
        <v>0</v>
      </c>
      <c r="O214">
        <v>1</v>
      </c>
      <c r="P214">
        <v>1</v>
      </c>
      <c r="Q214" t="str">
        <f t="shared" si="24"/>
        <v>Complete</v>
      </c>
      <c r="R214">
        <f t="shared" si="31"/>
        <v>0.1212</v>
      </c>
      <c r="S214">
        <f t="shared" si="25"/>
        <v>2011</v>
      </c>
      <c r="T214" t="str">
        <f t="shared" si="26"/>
        <v>January</v>
      </c>
      <c r="U214" t="str">
        <f t="shared" si="27"/>
        <v>Weekday</v>
      </c>
      <c r="V214" t="str">
        <f t="shared" si="28"/>
        <v>Night</v>
      </c>
      <c r="W214" t="str">
        <f t="shared" si="29"/>
        <v>Spring</v>
      </c>
      <c r="X214" t="str">
        <f t="shared" si="30"/>
        <v>Clear</v>
      </c>
    </row>
    <row r="215" spans="1:24">
      <c r="A215">
        <v>214</v>
      </c>
      <c r="B215" s="2">
        <v>40553</v>
      </c>
      <c r="C215">
        <v>1</v>
      </c>
      <c r="D215">
        <v>0</v>
      </c>
      <c r="E215">
        <v>1</v>
      </c>
      <c r="F215">
        <v>4</v>
      </c>
      <c r="G215" t="b">
        <v>0</v>
      </c>
      <c r="H215">
        <v>1</v>
      </c>
      <c r="I215">
        <v>1</v>
      </c>
      <c r="J215">
        <v>0.1</v>
      </c>
      <c r="K215">
        <v>0.1212</v>
      </c>
      <c r="L215">
        <v>0.54</v>
      </c>
      <c r="M215">
        <v>0.1343</v>
      </c>
      <c r="N215">
        <v>1</v>
      </c>
      <c r="O215">
        <v>2</v>
      </c>
      <c r="P215">
        <v>3</v>
      </c>
      <c r="Q215" t="str">
        <f t="shared" si="24"/>
        <v>Complete</v>
      </c>
      <c r="R215">
        <f t="shared" si="31"/>
        <v>0.1212</v>
      </c>
      <c r="S215">
        <f t="shared" si="25"/>
        <v>2011</v>
      </c>
      <c r="T215" t="str">
        <f t="shared" si="26"/>
        <v>January</v>
      </c>
      <c r="U215" t="str">
        <f t="shared" si="27"/>
        <v>Weekday</v>
      </c>
      <c r="V215" t="str">
        <f t="shared" si="28"/>
        <v>Night</v>
      </c>
      <c r="W215" t="str">
        <f t="shared" si="29"/>
        <v>Spring</v>
      </c>
      <c r="X215" t="str">
        <f t="shared" si="30"/>
        <v>Clear</v>
      </c>
    </row>
    <row r="216" spans="1:24">
      <c r="A216">
        <v>215</v>
      </c>
      <c r="B216" s="2">
        <v>40553</v>
      </c>
      <c r="C216">
        <v>1</v>
      </c>
      <c r="D216">
        <v>0</v>
      </c>
      <c r="E216">
        <v>1</v>
      </c>
      <c r="F216">
        <v>5</v>
      </c>
      <c r="G216" t="b">
        <v>0</v>
      </c>
      <c r="H216">
        <v>1</v>
      </c>
      <c r="I216">
        <v>1</v>
      </c>
      <c r="J216">
        <v>0.1</v>
      </c>
      <c r="K216">
        <v>0.1061</v>
      </c>
      <c r="L216">
        <v>0.54</v>
      </c>
      <c r="M216">
        <v>0.25369999999999998</v>
      </c>
      <c r="N216">
        <v>0</v>
      </c>
      <c r="O216">
        <v>3</v>
      </c>
      <c r="P216">
        <v>3</v>
      </c>
      <c r="Q216" t="str">
        <f t="shared" si="24"/>
        <v>Complete</v>
      </c>
      <c r="R216">
        <f t="shared" si="31"/>
        <v>0.1061</v>
      </c>
      <c r="S216">
        <f t="shared" si="25"/>
        <v>2011</v>
      </c>
      <c r="T216" t="str">
        <f t="shared" si="26"/>
        <v>January</v>
      </c>
      <c r="U216" t="str">
        <f t="shared" si="27"/>
        <v>Weekday</v>
      </c>
      <c r="V216" t="str">
        <f t="shared" si="28"/>
        <v>Night</v>
      </c>
      <c r="W216" t="str">
        <f t="shared" si="29"/>
        <v>Spring</v>
      </c>
      <c r="X216" t="str">
        <f t="shared" si="30"/>
        <v>Clear</v>
      </c>
    </row>
    <row r="217" spans="1:24">
      <c r="A217">
        <v>216</v>
      </c>
      <c r="B217" s="2">
        <v>40553</v>
      </c>
      <c r="C217">
        <v>1</v>
      </c>
      <c r="D217">
        <v>0</v>
      </c>
      <c r="E217">
        <v>1</v>
      </c>
      <c r="F217">
        <v>6</v>
      </c>
      <c r="G217" t="b">
        <v>0</v>
      </c>
      <c r="H217">
        <v>1</v>
      </c>
      <c r="I217">
        <v>1</v>
      </c>
      <c r="J217">
        <v>0.12</v>
      </c>
      <c r="K217">
        <v>0.1212</v>
      </c>
      <c r="L217">
        <v>0.5</v>
      </c>
      <c r="M217">
        <v>0.28360000000000002</v>
      </c>
      <c r="N217">
        <v>0</v>
      </c>
      <c r="O217">
        <v>31</v>
      </c>
      <c r="P217">
        <v>31</v>
      </c>
      <c r="Q217" t="str">
        <f t="shared" si="24"/>
        <v>Complete</v>
      </c>
      <c r="R217">
        <f t="shared" si="31"/>
        <v>0.1212</v>
      </c>
      <c r="S217">
        <f t="shared" si="25"/>
        <v>2011</v>
      </c>
      <c r="T217" t="str">
        <f t="shared" si="26"/>
        <v>January</v>
      </c>
      <c r="U217" t="str">
        <f t="shared" si="27"/>
        <v>Weekday</v>
      </c>
      <c r="V217" t="str">
        <f t="shared" si="28"/>
        <v>Morning</v>
      </c>
      <c r="W217" t="str">
        <f t="shared" si="29"/>
        <v>Spring</v>
      </c>
      <c r="X217" t="str">
        <f t="shared" si="30"/>
        <v>Clear</v>
      </c>
    </row>
    <row r="218" spans="1:24">
      <c r="A218">
        <v>217</v>
      </c>
      <c r="B218" s="2">
        <v>40553</v>
      </c>
      <c r="C218">
        <v>1</v>
      </c>
      <c r="D218">
        <v>0</v>
      </c>
      <c r="E218">
        <v>1</v>
      </c>
      <c r="F218">
        <v>7</v>
      </c>
      <c r="G218" t="b">
        <v>0</v>
      </c>
      <c r="H218">
        <v>1</v>
      </c>
      <c r="I218">
        <v>1</v>
      </c>
      <c r="J218">
        <v>0.12</v>
      </c>
      <c r="K218">
        <v>0.1212</v>
      </c>
      <c r="L218">
        <v>0.5</v>
      </c>
      <c r="M218">
        <v>0.22389999999999999</v>
      </c>
      <c r="N218">
        <v>2</v>
      </c>
      <c r="O218">
        <v>75</v>
      </c>
      <c r="P218">
        <v>77</v>
      </c>
      <c r="Q218" t="str">
        <f t="shared" si="24"/>
        <v>Complete</v>
      </c>
      <c r="R218">
        <f t="shared" si="31"/>
        <v>0.1212</v>
      </c>
      <c r="S218">
        <f t="shared" si="25"/>
        <v>2011</v>
      </c>
      <c r="T218" t="str">
        <f t="shared" si="26"/>
        <v>January</v>
      </c>
      <c r="U218" t="str">
        <f t="shared" si="27"/>
        <v>Weekday</v>
      </c>
      <c r="V218" t="str">
        <f t="shared" si="28"/>
        <v>Morning</v>
      </c>
      <c r="W218" t="str">
        <f t="shared" si="29"/>
        <v>Spring</v>
      </c>
      <c r="X218" t="str">
        <f t="shared" si="30"/>
        <v>Clear</v>
      </c>
    </row>
    <row r="219" spans="1:24">
      <c r="A219">
        <v>218</v>
      </c>
      <c r="B219" s="2">
        <v>40553</v>
      </c>
      <c r="C219">
        <v>1</v>
      </c>
      <c r="D219">
        <v>0</v>
      </c>
      <c r="E219">
        <v>1</v>
      </c>
      <c r="F219">
        <v>8</v>
      </c>
      <c r="G219" t="b">
        <v>0</v>
      </c>
      <c r="H219">
        <v>1</v>
      </c>
      <c r="I219">
        <v>2</v>
      </c>
      <c r="J219">
        <v>0.12</v>
      </c>
      <c r="K219">
        <v>0.1212</v>
      </c>
      <c r="L219">
        <v>0.5</v>
      </c>
      <c r="M219">
        <v>0.28360000000000002</v>
      </c>
      <c r="N219">
        <v>4</v>
      </c>
      <c r="O219">
        <v>184</v>
      </c>
      <c r="P219">
        <v>188</v>
      </c>
      <c r="Q219" t="str">
        <f t="shared" si="24"/>
        <v>Complete</v>
      </c>
      <c r="R219">
        <f t="shared" si="31"/>
        <v>0.1212</v>
      </c>
      <c r="S219">
        <f t="shared" si="25"/>
        <v>2011</v>
      </c>
      <c r="T219" t="str">
        <f t="shared" si="26"/>
        <v>January</v>
      </c>
      <c r="U219" t="str">
        <f t="shared" si="27"/>
        <v>Weekday</v>
      </c>
      <c r="V219" t="str">
        <f t="shared" si="28"/>
        <v>Morning</v>
      </c>
      <c r="W219" t="str">
        <f t="shared" si="29"/>
        <v>Spring</v>
      </c>
      <c r="X219" t="str">
        <f t="shared" si="30"/>
        <v>Mist/Cloudy</v>
      </c>
    </row>
    <row r="220" spans="1:24">
      <c r="A220">
        <v>219</v>
      </c>
      <c r="B220" s="2">
        <v>40553</v>
      </c>
      <c r="C220">
        <v>1</v>
      </c>
      <c r="D220">
        <v>0</v>
      </c>
      <c r="E220">
        <v>1</v>
      </c>
      <c r="F220">
        <v>9</v>
      </c>
      <c r="G220" t="b">
        <v>0</v>
      </c>
      <c r="H220">
        <v>1</v>
      </c>
      <c r="I220">
        <v>2</v>
      </c>
      <c r="J220">
        <v>0.14000000000000001</v>
      </c>
      <c r="K220">
        <v>0.1212</v>
      </c>
      <c r="L220">
        <v>0.5</v>
      </c>
      <c r="M220">
        <v>0.25369999999999998</v>
      </c>
      <c r="N220">
        <v>2</v>
      </c>
      <c r="O220">
        <v>92</v>
      </c>
      <c r="P220">
        <v>94</v>
      </c>
      <c r="Q220" t="str">
        <f t="shared" si="24"/>
        <v>Complete</v>
      </c>
      <c r="R220">
        <f t="shared" si="31"/>
        <v>0.1212</v>
      </c>
      <c r="S220">
        <f t="shared" si="25"/>
        <v>2011</v>
      </c>
      <c r="T220" t="str">
        <f t="shared" si="26"/>
        <v>January</v>
      </c>
      <c r="U220" t="str">
        <f t="shared" si="27"/>
        <v>Weekday</v>
      </c>
      <c r="V220" t="str">
        <f t="shared" si="28"/>
        <v>Morning</v>
      </c>
      <c r="W220" t="str">
        <f t="shared" si="29"/>
        <v>Spring</v>
      </c>
      <c r="X220" t="str">
        <f t="shared" si="30"/>
        <v>Mist/Cloudy</v>
      </c>
    </row>
    <row r="221" spans="1:24">
      <c r="A221">
        <v>220</v>
      </c>
      <c r="B221" s="2">
        <v>40553</v>
      </c>
      <c r="C221">
        <v>1</v>
      </c>
      <c r="D221">
        <v>0</v>
      </c>
      <c r="E221">
        <v>1</v>
      </c>
      <c r="F221">
        <v>10</v>
      </c>
      <c r="G221" t="b">
        <v>0</v>
      </c>
      <c r="H221">
        <v>1</v>
      </c>
      <c r="I221">
        <v>2</v>
      </c>
      <c r="J221">
        <v>0.14000000000000001</v>
      </c>
      <c r="K221">
        <v>0.1212</v>
      </c>
      <c r="L221">
        <v>0.5</v>
      </c>
      <c r="M221">
        <v>0.29849999999999999</v>
      </c>
      <c r="N221">
        <v>0</v>
      </c>
      <c r="O221">
        <v>31</v>
      </c>
      <c r="P221">
        <v>31</v>
      </c>
      <c r="Q221" t="str">
        <f t="shared" si="24"/>
        <v>Complete</v>
      </c>
      <c r="R221">
        <f t="shared" si="31"/>
        <v>0.1212</v>
      </c>
      <c r="S221">
        <f t="shared" si="25"/>
        <v>2011</v>
      </c>
      <c r="T221" t="str">
        <f t="shared" si="26"/>
        <v>January</v>
      </c>
      <c r="U221" t="str">
        <f t="shared" si="27"/>
        <v>Weekday</v>
      </c>
      <c r="V221" t="str">
        <f t="shared" si="28"/>
        <v>Morning</v>
      </c>
      <c r="W221" t="str">
        <f t="shared" si="29"/>
        <v>Spring</v>
      </c>
      <c r="X221" t="str">
        <f t="shared" si="30"/>
        <v>Mist/Cloudy</v>
      </c>
    </row>
    <row r="222" spans="1:24">
      <c r="A222">
        <v>221</v>
      </c>
      <c r="B222" s="2">
        <v>40553</v>
      </c>
      <c r="C222">
        <v>1</v>
      </c>
      <c r="D222">
        <v>0</v>
      </c>
      <c r="E222">
        <v>1</v>
      </c>
      <c r="F222">
        <v>11</v>
      </c>
      <c r="G222" t="b">
        <v>0</v>
      </c>
      <c r="H222">
        <v>1</v>
      </c>
      <c r="I222">
        <v>2</v>
      </c>
      <c r="J222">
        <v>0.16</v>
      </c>
      <c r="K222">
        <v>0.13639999999999999</v>
      </c>
      <c r="L222">
        <v>0.47</v>
      </c>
      <c r="M222">
        <v>0.28360000000000002</v>
      </c>
      <c r="N222">
        <v>2</v>
      </c>
      <c r="O222">
        <v>28</v>
      </c>
      <c r="P222">
        <v>30</v>
      </c>
      <c r="Q222" t="str">
        <f t="shared" si="24"/>
        <v>Complete</v>
      </c>
      <c r="R222">
        <f t="shared" si="31"/>
        <v>0.13639999999999999</v>
      </c>
      <c r="S222">
        <f t="shared" si="25"/>
        <v>2011</v>
      </c>
      <c r="T222" t="str">
        <f t="shared" si="26"/>
        <v>January</v>
      </c>
      <c r="U222" t="str">
        <f t="shared" si="27"/>
        <v>Weekday</v>
      </c>
      <c r="V222" t="str">
        <f t="shared" si="28"/>
        <v>Morning</v>
      </c>
      <c r="W222" t="str">
        <f t="shared" si="29"/>
        <v>Spring</v>
      </c>
      <c r="X222" t="str">
        <f t="shared" si="30"/>
        <v>Mist/Cloudy</v>
      </c>
    </row>
    <row r="223" spans="1:24">
      <c r="A223">
        <v>222</v>
      </c>
      <c r="B223" s="2">
        <v>40553</v>
      </c>
      <c r="C223">
        <v>1</v>
      </c>
      <c r="D223">
        <v>0</v>
      </c>
      <c r="E223">
        <v>1</v>
      </c>
      <c r="F223">
        <v>12</v>
      </c>
      <c r="G223" t="b">
        <v>0</v>
      </c>
      <c r="H223">
        <v>1</v>
      </c>
      <c r="I223">
        <v>2</v>
      </c>
      <c r="J223">
        <v>0.2</v>
      </c>
      <c r="K223">
        <v>0.18179999999999999</v>
      </c>
      <c r="L223">
        <v>0.4</v>
      </c>
      <c r="M223">
        <v>0.28360000000000002</v>
      </c>
      <c r="N223">
        <v>5</v>
      </c>
      <c r="O223">
        <v>47</v>
      </c>
      <c r="P223">
        <v>52</v>
      </c>
      <c r="Q223" t="str">
        <f t="shared" si="24"/>
        <v>Complete</v>
      </c>
      <c r="R223">
        <f t="shared" si="31"/>
        <v>0.18179999999999999</v>
      </c>
      <c r="S223">
        <f t="shared" si="25"/>
        <v>2011</v>
      </c>
      <c r="T223" t="str">
        <f t="shared" si="26"/>
        <v>January</v>
      </c>
      <c r="U223" t="str">
        <f t="shared" si="27"/>
        <v>Weekday</v>
      </c>
      <c r="V223" t="str">
        <f t="shared" si="28"/>
        <v>Afternoon</v>
      </c>
      <c r="W223" t="str">
        <f t="shared" si="29"/>
        <v>Spring</v>
      </c>
      <c r="X223" t="str">
        <f t="shared" si="30"/>
        <v>Mist/Cloudy</v>
      </c>
    </row>
    <row r="224" spans="1:24">
      <c r="A224">
        <v>223</v>
      </c>
      <c r="B224" s="2">
        <v>40553</v>
      </c>
      <c r="C224">
        <v>1</v>
      </c>
      <c r="D224">
        <v>0</v>
      </c>
      <c r="E224">
        <v>1</v>
      </c>
      <c r="F224">
        <v>13</v>
      </c>
      <c r="G224" t="b">
        <v>0</v>
      </c>
      <c r="H224">
        <v>1</v>
      </c>
      <c r="I224">
        <v>2</v>
      </c>
      <c r="J224">
        <v>0.2</v>
      </c>
      <c r="K224">
        <v>0.18179999999999999</v>
      </c>
      <c r="L224">
        <v>0.4</v>
      </c>
      <c r="M224">
        <v>0.28360000000000002</v>
      </c>
      <c r="N224">
        <v>4</v>
      </c>
      <c r="O224">
        <v>50</v>
      </c>
      <c r="P224">
        <v>54</v>
      </c>
      <c r="Q224" t="str">
        <f t="shared" si="24"/>
        <v>Complete</v>
      </c>
      <c r="R224">
        <f t="shared" si="31"/>
        <v>0.18179999999999999</v>
      </c>
      <c r="S224">
        <f t="shared" si="25"/>
        <v>2011</v>
      </c>
      <c r="T224" t="str">
        <f t="shared" si="26"/>
        <v>January</v>
      </c>
      <c r="U224" t="str">
        <f t="shared" si="27"/>
        <v>Weekday</v>
      </c>
      <c r="V224" t="str">
        <f t="shared" si="28"/>
        <v>Afternoon</v>
      </c>
      <c r="W224" t="str">
        <f t="shared" si="29"/>
        <v>Spring</v>
      </c>
      <c r="X224" t="str">
        <f t="shared" si="30"/>
        <v>Mist/Cloudy</v>
      </c>
    </row>
    <row r="225" spans="1:24">
      <c r="A225">
        <v>224</v>
      </c>
      <c r="B225" s="2">
        <v>40553</v>
      </c>
      <c r="C225">
        <v>1</v>
      </c>
      <c r="D225">
        <v>0</v>
      </c>
      <c r="E225">
        <v>1</v>
      </c>
      <c r="F225">
        <v>14</v>
      </c>
      <c r="G225" t="b">
        <v>0</v>
      </c>
      <c r="H225">
        <v>1</v>
      </c>
      <c r="I225">
        <v>2</v>
      </c>
      <c r="J225">
        <v>0.2</v>
      </c>
      <c r="K225">
        <v>0.19700000000000001</v>
      </c>
      <c r="L225">
        <v>0.4</v>
      </c>
      <c r="M225">
        <v>0.22389999999999999</v>
      </c>
      <c r="N225">
        <v>0</v>
      </c>
      <c r="O225">
        <v>47</v>
      </c>
      <c r="P225">
        <v>47</v>
      </c>
      <c r="Q225" t="str">
        <f t="shared" si="24"/>
        <v>Complete</v>
      </c>
      <c r="R225">
        <f t="shared" si="31"/>
        <v>0.19700000000000001</v>
      </c>
      <c r="S225">
        <f t="shared" si="25"/>
        <v>2011</v>
      </c>
      <c r="T225" t="str">
        <f t="shared" si="26"/>
        <v>January</v>
      </c>
      <c r="U225" t="str">
        <f t="shared" si="27"/>
        <v>Weekday</v>
      </c>
      <c r="V225" t="str">
        <f t="shared" si="28"/>
        <v>Afternoon</v>
      </c>
      <c r="W225" t="str">
        <f t="shared" si="29"/>
        <v>Spring</v>
      </c>
      <c r="X225" t="str">
        <f t="shared" si="30"/>
        <v>Mist/Cloudy</v>
      </c>
    </row>
    <row r="226" spans="1:24">
      <c r="A226">
        <v>225</v>
      </c>
      <c r="B226" s="2">
        <v>40553</v>
      </c>
      <c r="C226">
        <v>1</v>
      </c>
      <c r="D226">
        <v>0</v>
      </c>
      <c r="E226">
        <v>1</v>
      </c>
      <c r="F226">
        <v>15</v>
      </c>
      <c r="G226" t="b">
        <v>0</v>
      </c>
      <c r="H226">
        <v>1</v>
      </c>
      <c r="I226">
        <v>2</v>
      </c>
      <c r="J226">
        <v>0.2</v>
      </c>
      <c r="K226">
        <v>0.19700000000000001</v>
      </c>
      <c r="L226">
        <v>0.4</v>
      </c>
      <c r="M226">
        <v>0.22389999999999999</v>
      </c>
      <c r="N226">
        <v>2</v>
      </c>
      <c r="O226">
        <v>43</v>
      </c>
      <c r="P226">
        <v>45</v>
      </c>
      <c r="Q226" t="str">
        <f t="shared" si="24"/>
        <v>Complete</v>
      </c>
      <c r="R226">
        <f t="shared" si="31"/>
        <v>0.19700000000000001</v>
      </c>
      <c r="S226">
        <f t="shared" si="25"/>
        <v>2011</v>
      </c>
      <c r="T226" t="str">
        <f t="shared" si="26"/>
        <v>January</v>
      </c>
      <c r="U226" t="str">
        <f t="shared" si="27"/>
        <v>Weekday</v>
      </c>
      <c r="V226" t="str">
        <f t="shared" si="28"/>
        <v>Afternoon</v>
      </c>
      <c r="W226" t="str">
        <f t="shared" si="29"/>
        <v>Spring</v>
      </c>
      <c r="X226" t="str">
        <f t="shared" si="30"/>
        <v>Mist/Cloudy</v>
      </c>
    </row>
    <row r="227" spans="1:24">
      <c r="A227">
        <v>226</v>
      </c>
      <c r="B227" s="2">
        <v>40553</v>
      </c>
      <c r="C227">
        <v>1</v>
      </c>
      <c r="D227">
        <v>0</v>
      </c>
      <c r="E227">
        <v>1</v>
      </c>
      <c r="F227">
        <v>16</v>
      </c>
      <c r="G227" t="b">
        <v>0</v>
      </c>
      <c r="H227">
        <v>1</v>
      </c>
      <c r="I227">
        <v>1</v>
      </c>
      <c r="J227">
        <v>0.2</v>
      </c>
      <c r="K227">
        <v>0.21210000000000001</v>
      </c>
      <c r="L227">
        <v>0.4</v>
      </c>
      <c r="M227">
        <v>0.1343</v>
      </c>
      <c r="N227">
        <v>4</v>
      </c>
      <c r="O227">
        <v>70</v>
      </c>
      <c r="P227">
        <v>74</v>
      </c>
      <c r="Q227" t="str">
        <f t="shared" si="24"/>
        <v>Complete</v>
      </c>
      <c r="R227">
        <f t="shared" si="31"/>
        <v>0.21210000000000001</v>
      </c>
      <c r="S227">
        <f t="shared" si="25"/>
        <v>2011</v>
      </c>
      <c r="T227" t="str">
        <f t="shared" si="26"/>
        <v>January</v>
      </c>
      <c r="U227" t="str">
        <f t="shared" si="27"/>
        <v>Weekday</v>
      </c>
      <c r="V227" t="str">
        <f t="shared" si="28"/>
        <v>Afternoon</v>
      </c>
      <c r="W227" t="str">
        <f t="shared" si="29"/>
        <v>Spring</v>
      </c>
      <c r="X227" t="str">
        <f t="shared" si="30"/>
        <v>Clear</v>
      </c>
    </row>
    <row r="228" spans="1:24">
      <c r="A228">
        <v>227</v>
      </c>
      <c r="B228" s="2">
        <v>40553</v>
      </c>
      <c r="C228">
        <v>1</v>
      </c>
      <c r="D228">
        <v>0</v>
      </c>
      <c r="E228">
        <v>1</v>
      </c>
      <c r="F228">
        <v>17</v>
      </c>
      <c r="G228" t="b">
        <v>0</v>
      </c>
      <c r="H228">
        <v>1</v>
      </c>
      <c r="I228">
        <v>1</v>
      </c>
      <c r="J228">
        <v>0.2</v>
      </c>
      <c r="K228">
        <v>0.2273</v>
      </c>
      <c r="L228">
        <v>0.4</v>
      </c>
      <c r="M228">
        <v>0.1045</v>
      </c>
      <c r="N228">
        <v>4</v>
      </c>
      <c r="O228">
        <v>174</v>
      </c>
      <c r="P228">
        <v>178</v>
      </c>
      <c r="Q228" t="str">
        <f t="shared" si="24"/>
        <v>Complete</v>
      </c>
      <c r="R228">
        <f t="shared" si="31"/>
        <v>0.2273</v>
      </c>
      <c r="S228">
        <f t="shared" si="25"/>
        <v>2011</v>
      </c>
      <c r="T228" t="str">
        <f t="shared" si="26"/>
        <v>January</v>
      </c>
      <c r="U228" t="str">
        <f t="shared" si="27"/>
        <v>Weekday</v>
      </c>
      <c r="V228" t="str">
        <f t="shared" si="28"/>
        <v>Afternoon</v>
      </c>
      <c r="W228" t="str">
        <f t="shared" si="29"/>
        <v>Spring</v>
      </c>
      <c r="X228" t="str">
        <f t="shared" si="30"/>
        <v>Clear</v>
      </c>
    </row>
    <row r="229" spans="1:24">
      <c r="A229">
        <v>228</v>
      </c>
      <c r="B229" s="2">
        <v>40553</v>
      </c>
      <c r="C229">
        <v>1</v>
      </c>
      <c r="D229">
        <v>0</v>
      </c>
      <c r="E229">
        <v>1</v>
      </c>
      <c r="F229">
        <v>18</v>
      </c>
      <c r="G229" t="b">
        <v>0</v>
      </c>
      <c r="H229">
        <v>1</v>
      </c>
      <c r="I229">
        <v>1</v>
      </c>
      <c r="J229">
        <v>0.2</v>
      </c>
      <c r="K229">
        <v>0.19700000000000001</v>
      </c>
      <c r="L229">
        <v>0.4</v>
      </c>
      <c r="M229">
        <v>0.22389999999999999</v>
      </c>
      <c r="N229">
        <v>1</v>
      </c>
      <c r="O229">
        <v>154</v>
      </c>
      <c r="P229">
        <v>155</v>
      </c>
      <c r="Q229" t="str">
        <f t="shared" si="24"/>
        <v>Complete</v>
      </c>
      <c r="R229">
        <f t="shared" si="31"/>
        <v>0.19700000000000001</v>
      </c>
      <c r="S229">
        <f t="shared" si="25"/>
        <v>2011</v>
      </c>
      <c r="T229" t="str">
        <f t="shared" si="26"/>
        <v>January</v>
      </c>
      <c r="U229" t="str">
        <f t="shared" si="27"/>
        <v>Weekday</v>
      </c>
      <c r="V229" t="str">
        <f t="shared" si="28"/>
        <v>Evening</v>
      </c>
      <c r="W229" t="str">
        <f t="shared" si="29"/>
        <v>Spring</v>
      </c>
      <c r="X229" t="str">
        <f t="shared" si="30"/>
        <v>Clear</v>
      </c>
    </row>
    <row r="230" spans="1:24">
      <c r="A230">
        <v>229</v>
      </c>
      <c r="B230" s="2">
        <v>40553</v>
      </c>
      <c r="C230">
        <v>1</v>
      </c>
      <c r="D230">
        <v>0</v>
      </c>
      <c r="E230">
        <v>1</v>
      </c>
      <c r="F230">
        <v>19</v>
      </c>
      <c r="G230" t="b">
        <v>0</v>
      </c>
      <c r="H230">
        <v>1</v>
      </c>
      <c r="I230">
        <v>1</v>
      </c>
      <c r="J230">
        <v>0.16</v>
      </c>
      <c r="K230">
        <v>0.16669999999999999</v>
      </c>
      <c r="L230">
        <v>0.47</v>
      </c>
      <c r="M230">
        <v>0.16420000000000001</v>
      </c>
      <c r="N230">
        <v>3</v>
      </c>
      <c r="O230">
        <v>92</v>
      </c>
      <c r="P230">
        <v>95</v>
      </c>
      <c r="Q230" t="str">
        <f t="shared" si="24"/>
        <v>Complete</v>
      </c>
      <c r="R230">
        <f t="shared" si="31"/>
        <v>0.16669999999999999</v>
      </c>
      <c r="S230">
        <f t="shared" si="25"/>
        <v>2011</v>
      </c>
      <c r="T230" t="str">
        <f t="shared" si="26"/>
        <v>January</v>
      </c>
      <c r="U230" t="str">
        <f t="shared" si="27"/>
        <v>Weekday</v>
      </c>
      <c r="V230" t="str">
        <f t="shared" si="28"/>
        <v>Evening</v>
      </c>
      <c r="W230" t="str">
        <f t="shared" si="29"/>
        <v>Spring</v>
      </c>
      <c r="X230" t="str">
        <f t="shared" si="30"/>
        <v>Clear</v>
      </c>
    </row>
    <row r="231" spans="1:24">
      <c r="A231">
        <v>230</v>
      </c>
      <c r="B231" s="2">
        <v>40553</v>
      </c>
      <c r="C231">
        <v>1</v>
      </c>
      <c r="D231">
        <v>0</v>
      </c>
      <c r="E231">
        <v>1</v>
      </c>
      <c r="F231">
        <v>20</v>
      </c>
      <c r="G231" t="b">
        <v>0</v>
      </c>
      <c r="H231">
        <v>1</v>
      </c>
      <c r="I231">
        <v>1</v>
      </c>
      <c r="J231">
        <v>0.16</v>
      </c>
      <c r="K231">
        <v>0.16669999999999999</v>
      </c>
      <c r="L231">
        <v>0.5</v>
      </c>
      <c r="M231">
        <v>0.16420000000000001</v>
      </c>
      <c r="N231">
        <v>1</v>
      </c>
      <c r="O231">
        <v>73</v>
      </c>
      <c r="P231">
        <v>74</v>
      </c>
      <c r="Q231" t="str">
        <f t="shared" si="24"/>
        <v>Complete</v>
      </c>
      <c r="R231">
        <f t="shared" si="31"/>
        <v>0.16669999999999999</v>
      </c>
      <c r="S231">
        <f t="shared" si="25"/>
        <v>2011</v>
      </c>
      <c r="T231" t="str">
        <f t="shared" si="26"/>
        <v>January</v>
      </c>
      <c r="U231" t="str">
        <f t="shared" si="27"/>
        <v>Weekday</v>
      </c>
      <c r="V231" t="str">
        <f t="shared" si="28"/>
        <v>Evening</v>
      </c>
      <c r="W231" t="str">
        <f t="shared" si="29"/>
        <v>Spring</v>
      </c>
      <c r="X231" t="str">
        <f t="shared" si="30"/>
        <v>Clear</v>
      </c>
    </row>
    <row r="232" spans="1:24">
      <c r="A232">
        <v>231</v>
      </c>
      <c r="B232" s="2">
        <v>40553</v>
      </c>
      <c r="C232">
        <v>1</v>
      </c>
      <c r="D232">
        <v>0</v>
      </c>
      <c r="E232">
        <v>1</v>
      </c>
      <c r="F232">
        <v>21</v>
      </c>
      <c r="G232" t="b">
        <v>0</v>
      </c>
      <c r="H232">
        <v>1</v>
      </c>
      <c r="I232">
        <v>1</v>
      </c>
      <c r="J232">
        <v>0.14000000000000001</v>
      </c>
      <c r="K232">
        <v>0.13639999999999999</v>
      </c>
      <c r="L232">
        <v>0.59</v>
      </c>
      <c r="M232">
        <v>0.19400000000000001</v>
      </c>
      <c r="N232">
        <v>1</v>
      </c>
      <c r="O232">
        <v>37</v>
      </c>
      <c r="P232">
        <v>38</v>
      </c>
      <c r="Q232" t="str">
        <f t="shared" si="24"/>
        <v>Complete</v>
      </c>
      <c r="R232">
        <f t="shared" si="31"/>
        <v>0.13639999999999999</v>
      </c>
      <c r="S232">
        <f t="shared" si="25"/>
        <v>2011</v>
      </c>
      <c r="T232" t="str">
        <f t="shared" si="26"/>
        <v>January</v>
      </c>
      <c r="U232" t="str">
        <f t="shared" si="27"/>
        <v>Weekday</v>
      </c>
      <c r="V232" t="str">
        <f t="shared" si="28"/>
        <v>Evening</v>
      </c>
      <c r="W232" t="str">
        <f t="shared" si="29"/>
        <v>Spring</v>
      </c>
      <c r="X232" t="str">
        <f t="shared" si="30"/>
        <v>Clear</v>
      </c>
    </row>
    <row r="233" spans="1:24">
      <c r="A233">
        <v>232</v>
      </c>
      <c r="B233" s="2">
        <v>40553</v>
      </c>
      <c r="C233">
        <v>1</v>
      </c>
      <c r="D233">
        <v>0</v>
      </c>
      <c r="E233">
        <v>1</v>
      </c>
      <c r="F233">
        <v>22</v>
      </c>
      <c r="G233" t="b">
        <v>0</v>
      </c>
      <c r="H233">
        <v>1</v>
      </c>
      <c r="I233">
        <v>1</v>
      </c>
      <c r="J233">
        <v>0.14000000000000001</v>
      </c>
      <c r="K233">
        <v>0.1515</v>
      </c>
      <c r="L233">
        <v>0.59</v>
      </c>
      <c r="M233">
        <v>0.16420000000000001</v>
      </c>
      <c r="N233">
        <v>2</v>
      </c>
      <c r="O233">
        <v>22</v>
      </c>
      <c r="P233">
        <v>24</v>
      </c>
      <c r="Q233" t="str">
        <f t="shared" si="24"/>
        <v>Complete</v>
      </c>
      <c r="R233">
        <f t="shared" si="31"/>
        <v>0.1515</v>
      </c>
      <c r="S233">
        <f t="shared" si="25"/>
        <v>2011</v>
      </c>
      <c r="T233" t="str">
        <f t="shared" si="26"/>
        <v>January</v>
      </c>
      <c r="U233" t="str">
        <f t="shared" si="27"/>
        <v>Weekday</v>
      </c>
      <c r="V233" t="str">
        <f t="shared" si="28"/>
        <v>Evening</v>
      </c>
      <c r="W233" t="str">
        <f t="shared" si="29"/>
        <v>Spring</v>
      </c>
      <c r="X233" t="str">
        <f t="shared" si="30"/>
        <v>Clear</v>
      </c>
    </row>
    <row r="234" spans="1:24">
      <c r="A234">
        <v>233</v>
      </c>
      <c r="B234" s="2">
        <v>40553</v>
      </c>
      <c r="C234">
        <v>1</v>
      </c>
      <c r="D234">
        <v>0</v>
      </c>
      <c r="E234">
        <v>1</v>
      </c>
      <c r="F234">
        <v>23</v>
      </c>
      <c r="G234" t="b">
        <v>0</v>
      </c>
      <c r="H234">
        <v>1</v>
      </c>
      <c r="I234">
        <v>1</v>
      </c>
      <c r="J234">
        <v>0.14000000000000001</v>
      </c>
      <c r="K234">
        <v>0.1515</v>
      </c>
      <c r="L234">
        <v>0.59</v>
      </c>
      <c r="M234">
        <v>0.16420000000000001</v>
      </c>
      <c r="N234">
        <v>0</v>
      </c>
      <c r="O234">
        <v>18</v>
      </c>
      <c r="P234">
        <v>18</v>
      </c>
      <c r="Q234" t="str">
        <f t="shared" si="24"/>
        <v>Complete</v>
      </c>
      <c r="R234">
        <f t="shared" si="31"/>
        <v>0.1515</v>
      </c>
      <c r="S234">
        <f t="shared" si="25"/>
        <v>2011</v>
      </c>
      <c r="T234" t="str">
        <f t="shared" si="26"/>
        <v>January</v>
      </c>
      <c r="U234" t="str">
        <f t="shared" si="27"/>
        <v>Weekday</v>
      </c>
      <c r="V234" t="str">
        <f t="shared" si="28"/>
        <v>Evening</v>
      </c>
      <c r="W234" t="str">
        <f t="shared" si="29"/>
        <v>Spring</v>
      </c>
      <c r="X234" t="str">
        <f t="shared" si="30"/>
        <v>Clear</v>
      </c>
    </row>
    <row r="235" spans="1:24">
      <c r="A235">
        <v>234</v>
      </c>
      <c r="B235" s="2">
        <v>40554</v>
      </c>
      <c r="C235">
        <v>1</v>
      </c>
      <c r="D235">
        <v>0</v>
      </c>
      <c r="E235">
        <v>1</v>
      </c>
      <c r="F235">
        <v>0</v>
      </c>
      <c r="G235" t="b">
        <v>0</v>
      </c>
      <c r="H235">
        <v>2</v>
      </c>
      <c r="I235">
        <v>1</v>
      </c>
      <c r="J235">
        <v>0.14000000000000001</v>
      </c>
      <c r="K235">
        <v>0.16669999999999999</v>
      </c>
      <c r="L235">
        <v>0.59</v>
      </c>
      <c r="M235">
        <v>0.1045</v>
      </c>
      <c r="N235">
        <v>2</v>
      </c>
      <c r="O235">
        <v>10</v>
      </c>
      <c r="P235">
        <v>12</v>
      </c>
      <c r="Q235" t="str">
        <f t="shared" si="24"/>
        <v>Complete</v>
      </c>
      <c r="R235">
        <f t="shared" si="31"/>
        <v>0.16669999999999999</v>
      </c>
      <c r="S235">
        <f t="shared" si="25"/>
        <v>2011</v>
      </c>
      <c r="T235" t="str">
        <f t="shared" si="26"/>
        <v>January</v>
      </c>
      <c r="U235" t="str">
        <f t="shared" si="27"/>
        <v>Weekday</v>
      </c>
      <c r="V235" t="str">
        <f t="shared" si="28"/>
        <v>Night</v>
      </c>
      <c r="W235" t="str">
        <f t="shared" si="29"/>
        <v>Spring</v>
      </c>
      <c r="X235" t="str">
        <f t="shared" si="30"/>
        <v>Clear</v>
      </c>
    </row>
    <row r="236" spans="1:24">
      <c r="A236">
        <v>235</v>
      </c>
      <c r="B236" s="2">
        <v>40554</v>
      </c>
      <c r="C236">
        <v>1</v>
      </c>
      <c r="D236">
        <v>0</v>
      </c>
      <c r="E236">
        <v>1</v>
      </c>
      <c r="F236">
        <v>1</v>
      </c>
      <c r="G236" t="b">
        <v>0</v>
      </c>
      <c r="H236">
        <v>2</v>
      </c>
      <c r="I236">
        <v>1</v>
      </c>
      <c r="J236">
        <v>0.14000000000000001</v>
      </c>
      <c r="K236">
        <v>0.1515</v>
      </c>
      <c r="L236">
        <v>0.59</v>
      </c>
      <c r="M236">
        <v>0.16420000000000001</v>
      </c>
      <c r="N236">
        <v>0</v>
      </c>
      <c r="O236">
        <v>3</v>
      </c>
      <c r="P236">
        <v>3</v>
      </c>
      <c r="Q236" t="str">
        <f t="shared" si="24"/>
        <v>Complete</v>
      </c>
      <c r="R236">
        <f t="shared" si="31"/>
        <v>0.1515</v>
      </c>
      <c r="S236">
        <f t="shared" si="25"/>
        <v>2011</v>
      </c>
      <c r="T236" t="str">
        <f t="shared" si="26"/>
        <v>January</v>
      </c>
      <c r="U236" t="str">
        <f t="shared" si="27"/>
        <v>Weekday</v>
      </c>
      <c r="V236" t="str">
        <f t="shared" si="28"/>
        <v>Night</v>
      </c>
      <c r="W236" t="str">
        <f t="shared" si="29"/>
        <v>Spring</v>
      </c>
      <c r="X236" t="str">
        <f t="shared" si="30"/>
        <v>Clear</v>
      </c>
    </row>
    <row r="237" spans="1:24">
      <c r="A237">
        <v>236</v>
      </c>
      <c r="B237" s="2">
        <v>40554</v>
      </c>
      <c r="C237">
        <v>1</v>
      </c>
      <c r="D237">
        <v>0</v>
      </c>
      <c r="E237">
        <v>1</v>
      </c>
      <c r="F237">
        <v>2</v>
      </c>
      <c r="G237" t="b">
        <v>0</v>
      </c>
      <c r="H237">
        <v>2</v>
      </c>
      <c r="I237">
        <v>2</v>
      </c>
      <c r="J237">
        <v>0.16</v>
      </c>
      <c r="K237">
        <v>0.1515</v>
      </c>
      <c r="L237">
        <v>0.55000000000000004</v>
      </c>
      <c r="M237">
        <v>0.19400000000000001</v>
      </c>
      <c r="N237">
        <v>0</v>
      </c>
      <c r="O237">
        <v>3</v>
      </c>
      <c r="P237">
        <v>3</v>
      </c>
      <c r="Q237" t="str">
        <f t="shared" si="24"/>
        <v>Complete</v>
      </c>
      <c r="R237">
        <f t="shared" si="31"/>
        <v>0.1515</v>
      </c>
      <c r="S237">
        <f t="shared" si="25"/>
        <v>2011</v>
      </c>
      <c r="T237" t="str">
        <f t="shared" si="26"/>
        <v>January</v>
      </c>
      <c r="U237" t="str">
        <f t="shared" si="27"/>
        <v>Weekday</v>
      </c>
      <c r="V237" t="str">
        <f t="shared" si="28"/>
        <v>Night</v>
      </c>
      <c r="W237" t="str">
        <f t="shared" si="29"/>
        <v>Spring</v>
      </c>
      <c r="X237" t="str">
        <f t="shared" si="30"/>
        <v>Mist/Cloudy</v>
      </c>
    </row>
    <row r="238" spans="1:24">
      <c r="A238">
        <v>237</v>
      </c>
      <c r="B238" s="2">
        <v>40554</v>
      </c>
      <c r="C238">
        <v>1</v>
      </c>
      <c r="D238">
        <v>0</v>
      </c>
      <c r="E238">
        <v>1</v>
      </c>
      <c r="F238">
        <v>5</v>
      </c>
      <c r="G238" t="b">
        <v>0</v>
      </c>
      <c r="H238">
        <v>2</v>
      </c>
      <c r="I238">
        <v>2</v>
      </c>
      <c r="J238">
        <v>0.16</v>
      </c>
      <c r="K238">
        <v>0.18179999999999999</v>
      </c>
      <c r="L238">
        <v>0.55000000000000004</v>
      </c>
      <c r="M238">
        <v>0.1343</v>
      </c>
      <c r="N238">
        <v>0</v>
      </c>
      <c r="O238">
        <v>6</v>
      </c>
      <c r="P238">
        <v>6</v>
      </c>
      <c r="Q238" t="str">
        <f t="shared" si="24"/>
        <v>Complete</v>
      </c>
      <c r="R238">
        <f t="shared" si="31"/>
        <v>0.18179999999999999</v>
      </c>
      <c r="S238">
        <f t="shared" si="25"/>
        <v>2011</v>
      </c>
      <c r="T238" t="str">
        <f t="shared" si="26"/>
        <v>January</v>
      </c>
      <c r="U238" t="str">
        <f t="shared" si="27"/>
        <v>Weekday</v>
      </c>
      <c r="V238" t="str">
        <f t="shared" si="28"/>
        <v>Night</v>
      </c>
      <c r="W238" t="str">
        <f t="shared" si="29"/>
        <v>Spring</v>
      </c>
      <c r="X238" t="str">
        <f t="shared" si="30"/>
        <v>Mist/Cloudy</v>
      </c>
    </row>
    <row r="239" spans="1:24">
      <c r="A239">
        <v>238</v>
      </c>
      <c r="B239" s="2">
        <v>40554</v>
      </c>
      <c r="C239">
        <v>1</v>
      </c>
      <c r="D239">
        <v>0</v>
      </c>
      <c r="E239">
        <v>1</v>
      </c>
      <c r="F239">
        <v>6</v>
      </c>
      <c r="G239" t="b">
        <v>0</v>
      </c>
      <c r="H239">
        <v>2</v>
      </c>
      <c r="I239">
        <v>2</v>
      </c>
      <c r="J239">
        <v>0.16</v>
      </c>
      <c r="K239">
        <v>0.18179999999999999</v>
      </c>
      <c r="L239">
        <v>0.55000000000000004</v>
      </c>
      <c r="M239">
        <v>0.1343</v>
      </c>
      <c r="N239">
        <v>0</v>
      </c>
      <c r="O239">
        <v>27</v>
      </c>
      <c r="P239">
        <v>27</v>
      </c>
      <c r="Q239" t="str">
        <f t="shared" si="24"/>
        <v>Complete</v>
      </c>
      <c r="R239">
        <f t="shared" si="31"/>
        <v>0.18179999999999999</v>
      </c>
      <c r="S239">
        <f t="shared" si="25"/>
        <v>2011</v>
      </c>
      <c r="T239" t="str">
        <f t="shared" si="26"/>
        <v>January</v>
      </c>
      <c r="U239" t="str">
        <f t="shared" si="27"/>
        <v>Weekday</v>
      </c>
      <c r="V239" t="str">
        <f t="shared" si="28"/>
        <v>Morning</v>
      </c>
      <c r="W239" t="str">
        <f t="shared" si="29"/>
        <v>Spring</v>
      </c>
      <c r="X239" t="str">
        <f t="shared" si="30"/>
        <v>Mist/Cloudy</v>
      </c>
    </row>
    <row r="240" spans="1:24">
      <c r="A240">
        <v>239</v>
      </c>
      <c r="B240" s="2">
        <v>40554</v>
      </c>
      <c r="C240">
        <v>1</v>
      </c>
      <c r="D240">
        <v>0</v>
      </c>
      <c r="E240">
        <v>1</v>
      </c>
      <c r="F240">
        <v>7</v>
      </c>
      <c r="G240" t="b">
        <v>0</v>
      </c>
      <c r="H240">
        <v>2</v>
      </c>
      <c r="I240">
        <v>2</v>
      </c>
      <c r="J240">
        <v>0.16</v>
      </c>
      <c r="K240">
        <v>0.2273</v>
      </c>
      <c r="L240">
        <v>0.55000000000000004</v>
      </c>
      <c r="M240">
        <v>0</v>
      </c>
      <c r="N240">
        <v>2</v>
      </c>
      <c r="O240">
        <v>97</v>
      </c>
      <c r="P240">
        <v>99</v>
      </c>
      <c r="Q240" t="str">
        <f t="shared" si="24"/>
        <v>Complete</v>
      </c>
      <c r="R240">
        <f t="shared" si="31"/>
        <v>0.2273</v>
      </c>
      <c r="S240">
        <f t="shared" si="25"/>
        <v>2011</v>
      </c>
      <c r="T240" t="str">
        <f t="shared" si="26"/>
        <v>January</v>
      </c>
      <c r="U240" t="str">
        <f t="shared" si="27"/>
        <v>Weekday</v>
      </c>
      <c r="V240" t="str">
        <f t="shared" si="28"/>
        <v>Morning</v>
      </c>
      <c r="W240" t="str">
        <f t="shared" si="29"/>
        <v>Spring</v>
      </c>
      <c r="X240" t="str">
        <f t="shared" si="30"/>
        <v>Mist/Cloudy</v>
      </c>
    </row>
    <row r="241" spans="1:24">
      <c r="A241">
        <v>240</v>
      </c>
      <c r="B241" s="2">
        <v>40554</v>
      </c>
      <c r="C241">
        <v>1</v>
      </c>
      <c r="D241">
        <v>0</v>
      </c>
      <c r="E241">
        <v>1</v>
      </c>
      <c r="F241">
        <v>8</v>
      </c>
      <c r="G241" t="b">
        <v>0</v>
      </c>
      <c r="H241">
        <v>2</v>
      </c>
      <c r="I241">
        <v>2</v>
      </c>
      <c r="J241">
        <v>0.18</v>
      </c>
      <c r="K241">
        <v>0.21210000000000001</v>
      </c>
      <c r="L241">
        <v>0.51</v>
      </c>
      <c r="M241">
        <v>8.9599999999999999E-2</v>
      </c>
      <c r="N241">
        <v>3</v>
      </c>
      <c r="O241">
        <v>214</v>
      </c>
      <c r="P241">
        <v>217</v>
      </c>
      <c r="Q241" t="str">
        <f t="shared" si="24"/>
        <v>Complete</v>
      </c>
      <c r="R241">
        <f t="shared" si="31"/>
        <v>0.21210000000000001</v>
      </c>
      <c r="S241">
        <f t="shared" si="25"/>
        <v>2011</v>
      </c>
      <c r="T241" t="str">
        <f t="shared" si="26"/>
        <v>January</v>
      </c>
      <c r="U241" t="str">
        <f t="shared" si="27"/>
        <v>Weekday</v>
      </c>
      <c r="V241" t="str">
        <f t="shared" si="28"/>
        <v>Morning</v>
      </c>
      <c r="W241" t="str">
        <f t="shared" si="29"/>
        <v>Spring</v>
      </c>
      <c r="X241" t="str">
        <f t="shared" si="30"/>
        <v>Mist/Cloudy</v>
      </c>
    </row>
    <row r="242" spans="1:24">
      <c r="A242">
        <v>241</v>
      </c>
      <c r="B242" s="2">
        <v>40554</v>
      </c>
      <c r="C242">
        <v>1</v>
      </c>
      <c r="D242">
        <v>0</v>
      </c>
      <c r="E242">
        <v>1</v>
      </c>
      <c r="F242">
        <v>9</v>
      </c>
      <c r="G242" t="b">
        <v>0</v>
      </c>
      <c r="H242">
        <v>2</v>
      </c>
      <c r="I242">
        <v>2</v>
      </c>
      <c r="J242">
        <v>0.18</v>
      </c>
      <c r="K242">
        <v>0.19700000000000001</v>
      </c>
      <c r="L242">
        <v>0.51</v>
      </c>
      <c r="M242">
        <v>0.16420000000000001</v>
      </c>
      <c r="N242">
        <v>3</v>
      </c>
      <c r="O242">
        <v>127</v>
      </c>
      <c r="P242">
        <v>130</v>
      </c>
      <c r="Q242" t="str">
        <f t="shared" si="24"/>
        <v>Complete</v>
      </c>
      <c r="R242">
        <f t="shared" si="31"/>
        <v>0.19700000000000001</v>
      </c>
      <c r="S242">
        <f t="shared" si="25"/>
        <v>2011</v>
      </c>
      <c r="T242" t="str">
        <f t="shared" si="26"/>
        <v>January</v>
      </c>
      <c r="U242" t="str">
        <f t="shared" si="27"/>
        <v>Weekday</v>
      </c>
      <c r="V242" t="str">
        <f t="shared" si="28"/>
        <v>Morning</v>
      </c>
      <c r="W242" t="str">
        <f t="shared" si="29"/>
        <v>Spring</v>
      </c>
      <c r="X242" t="str">
        <f t="shared" si="30"/>
        <v>Mist/Cloudy</v>
      </c>
    </row>
    <row r="243" spans="1:24">
      <c r="A243">
        <v>242</v>
      </c>
      <c r="B243" s="2">
        <v>40554</v>
      </c>
      <c r="C243">
        <v>1</v>
      </c>
      <c r="D243">
        <v>0</v>
      </c>
      <c r="E243">
        <v>1</v>
      </c>
      <c r="F243">
        <v>10</v>
      </c>
      <c r="G243" t="b">
        <v>0</v>
      </c>
      <c r="H243">
        <v>2</v>
      </c>
      <c r="I243">
        <v>2</v>
      </c>
      <c r="J243">
        <v>0.2</v>
      </c>
      <c r="K243">
        <v>0.21210000000000001</v>
      </c>
      <c r="L243">
        <v>0.51</v>
      </c>
      <c r="M243">
        <v>0.16420000000000001</v>
      </c>
      <c r="N243">
        <v>3</v>
      </c>
      <c r="O243">
        <v>51</v>
      </c>
      <c r="P243">
        <v>54</v>
      </c>
      <c r="Q243" t="str">
        <f t="shared" si="24"/>
        <v>Complete</v>
      </c>
      <c r="R243">
        <f t="shared" si="31"/>
        <v>0.21210000000000001</v>
      </c>
      <c r="S243">
        <f t="shared" si="25"/>
        <v>2011</v>
      </c>
      <c r="T243" t="str">
        <f t="shared" si="26"/>
        <v>January</v>
      </c>
      <c r="U243" t="str">
        <f t="shared" si="27"/>
        <v>Weekday</v>
      </c>
      <c r="V243" t="str">
        <f t="shared" si="28"/>
        <v>Morning</v>
      </c>
      <c r="W243" t="str">
        <f t="shared" si="29"/>
        <v>Spring</v>
      </c>
      <c r="X243" t="str">
        <f t="shared" si="30"/>
        <v>Mist/Cloudy</v>
      </c>
    </row>
    <row r="244" spans="1:24">
      <c r="A244">
        <v>243</v>
      </c>
      <c r="B244" s="2">
        <v>40554</v>
      </c>
      <c r="C244">
        <v>1</v>
      </c>
      <c r="D244">
        <v>0</v>
      </c>
      <c r="E244">
        <v>1</v>
      </c>
      <c r="F244">
        <v>11</v>
      </c>
      <c r="G244" t="b">
        <v>0</v>
      </c>
      <c r="H244">
        <v>2</v>
      </c>
      <c r="I244">
        <v>2</v>
      </c>
      <c r="J244">
        <v>0.2</v>
      </c>
      <c r="K244">
        <v>0.21210000000000001</v>
      </c>
      <c r="L244">
        <v>0.47</v>
      </c>
      <c r="M244">
        <v>0.1343</v>
      </c>
      <c r="N244">
        <v>4</v>
      </c>
      <c r="O244">
        <v>31</v>
      </c>
      <c r="P244">
        <v>35</v>
      </c>
      <c r="Q244" t="str">
        <f t="shared" si="24"/>
        <v>Complete</v>
      </c>
      <c r="R244">
        <f t="shared" si="31"/>
        <v>0.21210000000000001</v>
      </c>
      <c r="S244">
        <f t="shared" si="25"/>
        <v>2011</v>
      </c>
      <c r="T244" t="str">
        <f t="shared" si="26"/>
        <v>January</v>
      </c>
      <c r="U244" t="str">
        <f t="shared" si="27"/>
        <v>Weekday</v>
      </c>
      <c r="V244" t="str">
        <f t="shared" si="28"/>
        <v>Morning</v>
      </c>
      <c r="W244" t="str">
        <f t="shared" si="29"/>
        <v>Spring</v>
      </c>
      <c r="X244" t="str">
        <f t="shared" si="30"/>
        <v>Mist/Cloudy</v>
      </c>
    </row>
    <row r="245" spans="1:24">
      <c r="A245">
        <v>244</v>
      </c>
      <c r="B245" s="2">
        <v>40554</v>
      </c>
      <c r="C245">
        <v>1</v>
      </c>
      <c r="D245">
        <v>0</v>
      </c>
      <c r="E245">
        <v>1</v>
      </c>
      <c r="F245">
        <v>12</v>
      </c>
      <c r="G245" t="b">
        <v>0</v>
      </c>
      <c r="H245">
        <v>2</v>
      </c>
      <c r="I245">
        <v>2</v>
      </c>
      <c r="J245">
        <v>0.2</v>
      </c>
      <c r="K245">
        <v>0.2273</v>
      </c>
      <c r="L245">
        <v>0.51</v>
      </c>
      <c r="M245">
        <v>0.1045</v>
      </c>
      <c r="N245">
        <v>2</v>
      </c>
      <c r="O245">
        <v>55</v>
      </c>
      <c r="P245">
        <v>57</v>
      </c>
      <c r="Q245" t="str">
        <f t="shared" si="24"/>
        <v>Complete</v>
      </c>
      <c r="R245">
        <f t="shared" si="31"/>
        <v>0.2273</v>
      </c>
      <c r="S245">
        <f t="shared" si="25"/>
        <v>2011</v>
      </c>
      <c r="T245" t="str">
        <f t="shared" si="26"/>
        <v>January</v>
      </c>
      <c r="U245" t="str">
        <f t="shared" si="27"/>
        <v>Weekday</v>
      </c>
      <c r="V245" t="str">
        <f t="shared" si="28"/>
        <v>Afternoon</v>
      </c>
      <c r="W245" t="str">
        <f t="shared" si="29"/>
        <v>Spring</v>
      </c>
      <c r="X245" t="str">
        <f t="shared" si="30"/>
        <v>Mist/Cloudy</v>
      </c>
    </row>
    <row r="246" spans="1:24">
      <c r="A246">
        <v>245</v>
      </c>
      <c r="B246" s="2">
        <v>40554</v>
      </c>
      <c r="C246">
        <v>1</v>
      </c>
      <c r="D246">
        <v>0</v>
      </c>
      <c r="E246">
        <v>1</v>
      </c>
      <c r="F246">
        <v>13</v>
      </c>
      <c r="G246" t="b">
        <v>0</v>
      </c>
      <c r="H246">
        <v>2</v>
      </c>
      <c r="I246">
        <v>2</v>
      </c>
      <c r="J246">
        <v>0.2</v>
      </c>
      <c r="K246">
        <v>0.2273</v>
      </c>
      <c r="L246">
        <v>0.59</v>
      </c>
      <c r="M246">
        <v>8.9599999999999999E-2</v>
      </c>
      <c r="N246">
        <v>6</v>
      </c>
      <c r="O246">
        <v>46</v>
      </c>
      <c r="P246">
        <v>52</v>
      </c>
      <c r="Q246" t="str">
        <f t="shared" si="24"/>
        <v>Complete</v>
      </c>
      <c r="R246">
        <f t="shared" si="31"/>
        <v>0.2273</v>
      </c>
      <c r="S246">
        <f t="shared" si="25"/>
        <v>2011</v>
      </c>
      <c r="T246" t="str">
        <f t="shared" si="26"/>
        <v>January</v>
      </c>
      <c r="U246" t="str">
        <f t="shared" si="27"/>
        <v>Weekday</v>
      </c>
      <c r="V246" t="str">
        <f t="shared" si="28"/>
        <v>Afternoon</v>
      </c>
      <c r="W246" t="str">
        <f t="shared" si="29"/>
        <v>Spring</v>
      </c>
      <c r="X246" t="str">
        <f t="shared" si="30"/>
        <v>Mist/Cloudy</v>
      </c>
    </row>
    <row r="247" spans="1:24">
      <c r="A247">
        <v>246</v>
      </c>
      <c r="B247" s="2">
        <v>40554</v>
      </c>
      <c r="C247">
        <v>1</v>
      </c>
      <c r="D247">
        <v>0</v>
      </c>
      <c r="E247">
        <v>1</v>
      </c>
      <c r="F247">
        <v>14</v>
      </c>
      <c r="G247" t="b">
        <v>0</v>
      </c>
      <c r="H247">
        <v>2</v>
      </c>
      <c r="I247">
        <v>2</v>
      </c>
      <c r="J247">
        <v>0.2</v>
      </c>
      <c r="K247">
        <v>0.2273</v>
      </c>
      <c r="L247">
        <v>0.59</v>
      </c>
      <c r="M247">
        <v>8.9599999999999999E-2</v>
      </c>
      <c r="N247">
        <v>3</v>
      </c>
      <c r="O247">
        <v>60</v>
      </c>
      <c r="P247">
        <v>63</v>
      </c>
      <c r="Q247" t="str">
        <f t="shared" si="24"/>
        <v>Complete</v>
      </c>
      <c r="R247">
        <f t="shared" si="31"/>
        <v>0.2273</v>
      </c>
      <c r="S247">
        <f t="shared" si="25"/>
        <v>2011</v>
      </c>
      <c r="T247" t="str">
        <f t="shared" si="26"/>
        <v>January</v>
      </c>
      <c r="U247" t="str">
        <f t="shared" si="27"/>
        <v>Weekday</v>
      </c>
      <c r="V247" t="str">
        <f t="shared" si="28"/>
        <v>Afternoon</v>
      </c>
      <c r="W247" t="str">
        <f t="shared" si="29"/>
        <v>Spring</v>
      </c>
      <c r="X247" t="str">
        <f t="shared" si="30"/>
        <v>Mist/Cloudy</v>
      </c>
    </row>
    <row r="248" spans="1:24">
      <c r="A248">
        <v>247</v>
      </c>
      <c r="B248" s="2">
        <v>40554</v>
      </c>
      <c r="C248">
        <v>1</v>
      </c>
      <c r="D248">
        <v>0</v>
      </c>
      <c r="E248">
        <v>1</v>
      </c>
      <c r="F248">
        <v>15</v>
      </c>
      <c r="G248" t="b">
        <v>0</v>
      </c>
      <c r="H248">
        <v>2</v>
      </c>
      <c r="I248">
        <v>2</v>
      </c>
      <c r="J248">
        <v>0.16</v>
      </c>
      <c r="K248">
        <v>0.19700000000000001</v>
      </c>
      <c r="L248">
        <v>0.8</v>
      </c>
      <c r="M248">
        <v>8.9599999999999999E-2</v>
      </c>
      <c r="N248">
        <v>2</v>
      </c>
      <c r="O248">
        <v>45</v>
      </c>
      <c r="P248">
        <v>47</v>
      </c>
      <c r="Q248" t="str">
        <f t="shared" si="24"/>
        <v>Complete</v>
      </c>
      <c r="R248">
        <f t="shared" si="31"/>
        <v>0.19700000000000001</v>
      </c>
      <c r="S248">
        <f t="shared" si="25"/>
        <v>2011</v>
      </c>
      <c r="T248" t="str">
        <f t="shared" si="26"/>
        <v>January</v>
      </c>
      <c r="U248" t="str">
        <f t="shared" si="27"/>
        <v>Weekday</v>
      </c>
      <c r="V248" t="str">
        <f t="shared" si="28"/>
        <v>Afternoon</v>
      </c>
      <c r="W248" t="str">
        <f t="shared" si="29"/>
        <v>Spring</v>
      </c>
      <c r="X248" t="str">
        <f t="shared" si="30"/>
        <v>Mist/Cloudy</v>
      </c>
    </row>
    <row r="249" spans="1:24">
      <c r="A249">
        <v>248</v>
      </c>
      <c r="B249" s="2">
        <v>40554</v>
      </c>
      <c r="C249">
        <v>1</v>
      </c>
      <c r="D249">
        <v>0</v>
      </c>
      <c r="E249">
        <v>1</v>
      </c>
      <c r="F249">
        <v>16</v>
      </c>
      <c r="G249" t="b">
        <v>0</v>
      </c>
      <c r="H249">
        <v>2</v>
      </c>
      <c r="I249">
        <v>2</v>
      </c>
      <c r="J249">
        <v>0.16</v>
      </c>
      <c r="K249">
        <v>0.1515</v>
      </c>
      <c r="L249">
        <v>0.86</v>
      </c>
      <c r="M249">
        <v>0.22389999999999999</v>
      </c>
      <c r="N249">
        <v>4</v>
      </c>
      <c r="O249">
        <v>72</v>
      </c>
      <c r="P249">
        <v>76</v>
      </c>
      <c r="Q249" t="str">
        <f t="shared" si="24"/>
        <v>Complete</v>
      </c>
      <c r="R249">
        <f t="shared" si="31"/>
        <v>0.1515</v>
      </c>
      <c r="S249">
        <f t="shared" si="25"/>
        <v>2011</v>
      </c>
      <c r="T249" t="str">
        <f t="shared" si="26"/>
        <v>January</v>
      </c>
      <c r="U249" t="str">
        <f t="shared" si="27"/>
        <v>Weekday</v>
      </c>
      <c r="V249" t="str">
        <f t="shared" si="28"/>
        <v>Afternoon</v>
      </c>
      <c r="W249" t="str">
        <f t="shared" si="29"/>
        <v>Spring</v>
      </c>
      <c r="X249" t="str">
        <f t="shared" si="30"/>
        <v>Mist/Cloudy</v>
      </c>
    </row>
    <row r="250" spans="1:24">
      <c r="A250">
        <v>249</v>
      </c>
      <c r="B250" s="2">
        <v>40554</v>
      </c>
      <c r="C250">
        <v>1</v>
      </c>
      <c r="D250">
        <v>0</v>
      </c>
      <c r="E250">
        <v>1</v>
      </c>
      <c r="F250">
        <v>17</v>
      </c>
      <c r="G250" t="b">
        <v>0</v>
      </c>
      <c r="H250">
        <v>2</v>
      </c>
      <c r="I250">
        <v>2</v>
      </c>
      <c r="J250">
        <v>0.16</v>
      </c>
      <c r="K250">
        <v>0.1515</v>
      </c>
      <c r="L250">
        <v>0.86</v>
      </c>
      <c r="M250">
        <v>0.22389999999999999</v>
      </c>
      <c r="N250">
        <v>6</v>
      </c>
      <c r="O250">
        <v>130</v>
      </c>
      <c r="P250">
        <v>136</v>
      </c>
      <c r="Q250" t="str">
        <f t="shared" si="24"/>
        <v>Complete</v>
      </c>
      <c r="R250">
        <f t="shared" si="31"/>
        <v>0.1515</v>
      </c>
      <c r="S250">
        <f t="shared" si="25"/>
        <v>2011</v>
      </c>
      <c r="T250" t="str">
        <f t="shared" si="26"/>
        <v>January</v>
      </c>
      <c r="U250" t="str">
        <f t="shared" si="27"/>
        <v>Weekday</v>
      </c>
      <c r="V250" t="str">
        <f t="shared" si="28"/>
        <v>Afternoon</v>
      </c>
      <c r="W250" t="str">
        <f t="shared" si="29"/>
        <v>Spring</v>
      </c>
      <c r="X250" t="str">
        <f t="shared" si="30"/>
        <v>Mist/Cloudy</v>
      </c>
    </row>
    <row r="251" spans="1:24">
      <c r="A251">
        <v>250</v>
      </c>
      <c r="B251" s="2">
        <v>40554</v>
      </c>
      <c r="C251">
        <v>1</v>
      </c>
      <c r="D251">
        <v>0</v>
      </c>
      <c r="E251">
        <v>1</v>
      </c>
      <c r="F251">
        <v>18</v>
      </c>
      <c r="G251" t="b">
        <v>0</v>
      </c>
      <c r="H251">
        <v>2</v>
      </c>
      <c r="I251">
        <v>3</v>
      </c>
      <c r="J251">
        <v>0.16</v>
      </c>
      <c r="K251">
        <v>0.18179999999999999</v>
      </c>
      <c r="L251">
        <v>0.93</v>
      </c>
      <c r="M251">
        <v>0.1045</v>
      </c>
      <c r="N251">
        <v>1</v>
      </c>
      <c r="O251">
        <v>94</v>
      </c>
      <c r="P251">
        <v>95</v>
      </c>
      <c r="Q251" t="str">
        <f t="shared" si="24"/>
        <v>Complete</v>
      </c>
      <c r="R251">
        <f t="shared" si="31"/>
        <v>0.18179999999999999</v>
      </c>
      <c r="S251">
        <f t="shared" si="25"/>
        <v>2011</v>
      </c>
      <c r="T251" t="str">
        <f t="shared" si="26"/>
        <v>January</v>
      </c>
      <c r="U251" t="str">
        <f t="shared" si="27"/>
        <v>Weekday</v>
      </c>
      <c r="V251" t="str">
        <f t="shared" si="28"/>
        <v>Evening</v>
      </c>
      <c r="W251" t="str">
        <f t="shared" si="29"/>
        <v>Spring</v>
      </c>
      <c r="X251" t="str">
        <f t="shared" si="30"/>
        <v>Light Rain/Snow</v>
      </c>
    </row>
    <row r="252" spans="1:24">
      <c r="A252">
        <v>251</v>
      </c>
      <c r="B252" s="2">
        <v>40554</v>
      </c>
      <c r="C252">
        <v>1</v>
      </c>
      <c r="D252">
        <v>0</v>
      </c>
      <c r="E252">
        <v>1</v>
      </c>
      <c r="F252">
        <v>19</v>
      </c>
      <c r="G252" t="b">
        <v>0</v>
      </c>
      <c r="H252">
        <v>2</v>
      </c>
      <c r="I252">
        <v>3</v>
      </c>
      <c r="J252">
        <v>0.16</v>
      </c>
      <c r="K252">
        <v>0.2273</v>
      </c>
      <c r="L252">
        <v>0.93</v>
      </c>
      <c r="M252">
        <v>0</v>
      </c>
      <c r="N252">
        <v>0</v>
      </c>
      <c r="O252">
        <v>51</v>
      </c>
      <c r="P252">
        <v>51</v>
      </c>
      <c r="Q252" t="str">
        <f t="shared" si="24"/>
        <v>Complete</v>
      </c>
      <c r="R252">
        <f t="shared" si="31"/>
        <v>0.2273</v>
      </c>
      <c r="S252">
        <f t="shared" si="25"/>
        <v>2011</v>
      </c>
      <c r="T252" t="str">
        <f t="shared" si="26"/>
        <v>January</v>
      </c>
      <c r="U252" t="str">
        <f t="shared" si="27"/>
        <v>Weekday</v>
      </c>
      <c r="V252" t="str">
        <f t="shared" si="28"/>
        <v>Evening</v>
      </c>
      <c r="W252" t="str">
        <f t="shared" si="29"/>
        <v>Spring</v>
      </c>
      <c r="X252" t="str">
        <f t="shared" si="30"/>
        <v>Light Rain/Snow</v>
      </c>
    </row>
    <row r="253" spans="1:24">
      <c r="A253">
        <v>252</v>
      </c>
      <c r="B253" s="2">
        <v>40554</v>
      </c>
      <c r="C253">
        <v>1</v>
      </c>
      <c r="D253">
        <v>0</v>
      </c>
      <c r="E253">
        <v>1</v>
      </c>
      <c r="F253">
        <v>20</v>
      </c>
      <c r="G253" t="b">
        <v>0</v>
      </c>
      <c r="H253">
        <v>2</v>
      </c>
      <c r="I253">
        <v>3</v>
      </c>
      <c r="J253">
        <v>0.16</v>
      </c>
      <c r="K253">
        <v>0.1515</v>
      </c>
      <c r="L253">
        <v>0.93</v>
      </c>
      <c r="M253">
        <v>0.19400000000000001</v>
      </c>
      <c r="N253">
        <v>0</v>
      </c>
      <c r="O253">
        <v>32</v>
      </c>
      <c r="P253">
        <v>32</v>
      </c>
      <c r="Q253" t="str">
        <f t="shared" si="24"/>
        <v>Complete</v>
      </c>
      <c r="R253">
        <f t="shared" si="31"/>
        <v>0.1515</v>
      </c>
      <c r="S253">
        <f t="shared" si="25"/>
        <v>2011</v>
      </c>
      <c r="T253" t="str">
        <f t="shared" si="26"/>
        <v>January</v>
      </c>
      <c r="U253" t="str">
        <f t="shared" si="27"/>
        <v>Weekday</v>
      </c>
      <c r="V253" t="str">
        <f t="shared" si="28"/>
        <v>Evening</v>
      </c>
      <c r="W253" t="str">
        <f t="shared" si="29"/>
        <v>Spring</v>
      </c>
      <c r="X253" t="str">
        <f t="shared" si="30"/>
        <v>Light Rain/Snow</v>
      </c>
    </row>
    <row r="254" spans="1:24">
      <c r="A254">
        <v>253</v>
      </c>
      <c r="B254" s="2">
        <v>40554</v>
      </c>
      <c r="C254">
        <v>1</v>
      </c>
      <c r="D254">
        <v>0</v>
      </c>
      <c r="E254">
        <v>1</v>
      </c>
      <c r="F254">
        <v>21</v>
      </c>
      <c r="G254" t="b">
        <v>0</v>
      </c>
      <c r="H254">
        <v>2</v>
      </c>
      <c r="I254">
        <v>3</v>
      </c>
      <c r="J254">
        <v>0.16</v>
      </c>
      <c r="K254">
        <v>0.19700000000000001</v>
      </c>
      <c r="L254">
        <v>0.86</v>
      </c>
      <c r="M254">
        <v>8.9599999999999999E-2</v>
      </c>
      <c r="N254">
        <v>0</v>
      </c>
      <c r="O254">
        <v>20</v>
      </c>
      <c r="P254">
        <v>20</v>
      </c>
      <c r="Q254" t="str">
        <f t="shared" si="24"/>
        <v>Complete</v>
      </c>
      <c r="R254">
        <f t="shared" si="31"/>
        <v>0.19700000000000001</v>
      </c>
      <c r="S254">
        <f t="shared" si="25"/>
        <v>2011</v>
      </c>
      <c r="T254" t="str">
        <f t="shared" si="26"/>
        <v>January</v>
      </c>
      <c r="U254" t="str">
        <f t="shared" si="27"/>
        <v>Weekday</v>
      </c>
      <c r="V254" t="str">
        <f t="shared" si="28"/>
        <v>Evening</v>
      </c>
      <c r="W254" t="str">
        <f t="shared" si="29"/>
        <v>Spring</v>
      </c>
      <c r="X254" t="str">
        <f t="shared" si="30"/>
        <v>Light Rain/Snow</v>
      </c>
    </row>
    <row r="255" spans="1:24">
      <c r="A255">
        <v>254</v>
      </c>
      <c r="B255" s="2">
        <v>40554</v>
      </c>
      <c r="C255">
        <v>1</v>
      </c>
      <c r="D255">
        <v>0</v>
      </c>
      <c r="E255">
        <v>1</v>
      </c>
      <c r="F255">
        <v>22</v>
      </c>
      <c r="G255" t="b">
        <v>0</v>
      </c>
      <c r="H255">
        <v>2</v>
      </c>
      <c r="I255">
        <v>3</v>
      </c>
      <c r="J255">
        <v>0.16</v>
      </c>
      <c r="K255">
        <v>0.18179999999999999</v>
      </c>
      <c r="L255">
        <v>0.93</v>
      </c>
      <c r="M255">
        <v>0.1045</v>
      </c>
      <c r="N255">
        <v>1</v>
      </c>
      <c r="O255">
        <v>28</v>
      </c>
      <c r="P255">
        <v>29</v>
      </c>
      <c r="Q255" t="str">
        <f t="shared" si="24"/>
        <v>Complete</v>
      </c>
      <c r="R255">
        <f t="shared" si="31"/>
        <v>0.18179999999999999</v>
      </c>
      <c r="S255">
        <f t="shared" si="25"/>
        <v>2011</v>
      </c>
      <c r="T255" t="str">
        <f t="shared" si="26"/>
        <v>January</v>
      </c>
      <c r="U255" t="str">
        <f t="shared" si="27"/>
        <v>Weekday</v>
      </c>
      <c r="V255" t="str">
        <f t="shared" si="28"/>
        <v>Evening</v>
      </c>
      <c r="W255" t="str">
        <f t="shared" si="29"/>
        <v>Spring</v>
      </c>
      <c r="X255" t="str">
        <f t="shared" si="30"/>
        <v>Light Rain/Snow</v>
      </c>
    </row>
    <row r="256" spans="1:24">
      <c r="A256">
        <v>255</v>
      </c>
      <c r="B256" s="2">
        <v>40554</v>
      </c>
      <c r="C256">
        <v>1</v>
      </c>
      <c r="D256">
        <v>0</v>
      </c>
      <c r="E256">
        <v>1</v>
      </c>
      <c r="F256">
        <v>23</v>
      </c>
      <c r="G256" t="b">
        <v>0</v>
      </c>
      <c r="H256">
        <v>2</v>
      </c>
      <c r="I256">
        <v>3</v>
      </c>
      <c r="J256">
        <v>0.16</v>
      </c>
      <c r="K256">
        <v>0.19700000000000001</v>
      </c>
      <c r="L256">
        <v>0.93</v>
      </c>
      <c r="M256">
        <v>8.9599999999999999E-2</v>
      </c>
      <c r="N256">
        <v>1</v>
      </c>
      <c r="O256">
        <v>18</v>
      </c>
      <c r="P256">
        <v>19</v>
      </c>
      <c r="Q256" t="str">
        <f t="shared" si="24"/>
        <v>Complete</v>
      </c>
      <c r="R256">
        <f t="shared" si="31"/>
        <v>0.19700000000000001</v>
      </c>
      <c r="S256">
        <f t="shared" si="25"/>
        <v>2011</v>
      </c>
      <c r="T256" t="str">
        <f t="shared" si="26"/>
        <v>January</v>
      </c>
      <c r="U256" t="str">
        <f t="shared" si="27"/>
        <v>Weekday</v>
      </c>
      <c r="V256" t="str">
        <f t="shared" si="28"/>
        <v>Evening</v>
      </c>
      <c r="W256" t="str">
        <f t="shared" si="29"/>
        <v>Spring</v>
      </c>
      <c r="X256" t="str">
        <f t="shared" si="30"/>
        <v>Light Rain/Snow</v>
      </c>
    </row>
    <row r="257" spans="1:24">
      <c r="A257">
        <v>256</v>
      </c>
      <c r="B257" s="2">
        <v>40555</v>
      </c>
      <c r="C257">
        <v>1</v>
      </c>
      <c r="D257">
        <v>0</v>
      </c>
      <c r="E257">
        <v>1</v>
      </c>
      <c r="F257">
        <v>0</v>
      </c>
      <c r="G257" t="b">
        <v>0</v>
      </c>
      <c r="H257">
        <v>3</v>
      </c>
      <c r="I257">
        <v>2</v>
      </c>
      <c r="J257">
        <v>0.16</v>
      </c>
      <c r="K257">
        <v>0.19700000000000001</v>
      </c>
      <c r="L257">
        <v>0.86</v>
      </c>
      <c r="M257">
        <v>8.9599999999999999E-2</v>
      </c>
      <c r="N257">
        <v>0</v>
      </c>
      <c r="O257">
        <v>7</v>
      </c>
      <c r="P257">
        <v>7</v>
      </c>
      <c r="Q257" t="str">
        <f t="shared" si="24"/>
        <v>Complete</v>
      </c>
      <c r="R257">
        <f t="shared" si="31"/>
        <v>0.19700000000000001</v>
      </c>
      <c r="S257">
        <f t="shared" si="25"/>
        <v>2011</v>
      </c>
      <c r="T257" t="str">
        <f t="shared" si="26"/>
        <v>January</v>
      </c>
      <c r="U257" t="str">
        <f t="shared" si="27"/>
        <v>Weekday</v>
      </c>
      <c r="V257" t="str">
        <f t="shared" si="28"/>
        <v>Night</v>
      </c>
      <c r="W257" t="str">
        <f t="shared" si="29"/>
        <v>Spring</v>
      </c>
      <c r="X257" t="str">
        <f t="shared" si="30"/>
        <v>Mist/Cloudy</v>
      </c>
    </row>
    <row r="258" spans="1:24">
      <c r="A258">
        <v>257</v>
      </c>
      <c r="B258" s="2">
        <v>40555</v>
      </c>
      <c r="C258">
        <v>1</v>
      </c>
      <c r="D258">
        <v>0</v>
      </c>
      <c r="E258">
        <v>1</v>
      </c>
      <c r="F258">
        <v>1</v>
      </c>
      <c r="G258" t="b">
        <v>0</v>
      </c>
      <c r="H258">
        <v>3</v>
      </c>
      <c r="I258">
        <v>2</v>
      </c>
      <c r="J258">
        <v>0.16</v>
      </c>
      <c r="K258">
        <v>0.18179999999999999</v>
      </c>
      <c r="L258">
        <v>0.86</v>
      </c>
      <c r="M258">
        <v>0.1045</v>
      </c>
      <c r="N258">
        <v>0</v>
      </c>
      <c r="O258">
        <v>6</v>
      </c>
      <c r="P258">
        <v>6</v>
      </c>
      <c r="Q258" t="str">
        <f t="shared" ref="Q258:Q321" si="32">IF(K258="","Missing atemp","Complete")</f>
        <v>Complete</v>
      </c>
      <c r="R258">
        <f t="shared" si="31"/>
        <v>0.18179999999999999</v>
      </c>
      <c r="S258">
        <f t="shared" ref="S258:S321" si="33">IF(D258=0,2011,"")</f>
        <v>2011</v>
      </c>
      <c r="T258" t="str">
        <f t="shared" ref="T258:T321" si="34">IF(E258=1,"January","")</f>
        <v>January</v>
      </c>
      <c r="U258" t="str">
        <f t="shared" ref="U258:U321" si="35">IF(G258=TRUE,"Holiday",IF(H258=0,"Sunday",IF(H258=6,"Saturday","Weekday")))</f>
        <v>Weekday</v>
      </c>
      <c r="V258" t="str">
        <f t="shared" ref="V258:V321" si="36">IF(F258&lt;6,"Night",IF(F258&lt;12,"Morning",IF(F258&lt;18,"Afternoon","Evening")))</f>
        <v>Night</v>
      </c>
      <c r="W258" t="str">
        <f t="shared" ref="W258:W321" si="37">IF(C258=1,"Spring","")</f>
        <v>Spring</v>
      </c>
      <c r="X258" t="str">
        <f t="shared" ref="X258:X321" si="38">IF(I258=1,"Clear",IF(I258=2,"Mist/Cloudy",IF(I258=3,"Light Rain/Snow",IF(I258=4,"Heavy Rain/Snow","Unknown"))))</f>
        <v>Mist/Cloudy</v>
      </c>
    </row>
    <row r="259" spans="1:24">
      <c r="A259">
        <v>258</v>
      </c>
      <c r="B259" s="2">
        <v>40555</v>
      </c>
      <c r="C259">
        <v>1</v>
      </c>
      <c r="D259">
        <v>0</v>
      </c>
      <c r="E259">
        <v>1</v>
      </c>
      <c r="F259">
        <v>2</v>
      </c>
      <c r="G259" t="b">
        <v>0</v>
      </c>
      <c r="H259">
        <v>3</v>
      </c>
      <c r="I259">
        <v>1</v>
      </c>
      <c r="J259">
        <v>0.14000000000000001</v>
      </c>
      <c r="K259">
        <v>0.1515</v>
      </c>
      <c r="L259">
        <v>0.86</v>
      </c>
      <c r="M259">
        <v>0.1343</v>
      </c>
      <c r="N259">
        <v>0</v>
      </c>
      <c r="O259">
        <v>1</v>
      </c>
      <c r="P259">
        <v>1</v>
      </c>
      <c r="Q259" t="str">
        <f t="shared" si="32"/>
        <v>Complete</v>
      </c>
      <c r="R259">
        <f t="shared" ref="R259:R322" si="39">IF(K259="",J259,K259)</f>
        <v>0.1515</v>
      </c>
      <c r="S259">
        <f t="shared" si="33"/>
        <v>2011</v>
      </c>
      <c r="T259" t="str">
        <f t="shared" si="34"/>
        <v>January</v>
      </c>
      <c r="U259" t="str">
        <f t="shared" si="35"/>
        <v>Weekday</v>
      </c>
      <c r="V259" t="str">
        <f t="shared" si="36"/>
        <v>Night</v>
      </c>
      <c r="W259" t="str">
        <f t="shared" si="37"/>
        <v>Spring</v>
      </c>
      <c r="X259" t="str">
        <f t="shared" si="38"/>
        <v>Clear</v>
      </c>
    </row>
    <row r="260" spans="1:24">
      <c r="A260">
        <v>259</v>
      </c>
      <c r="B260" s="2">
        <v>40555</v>
      </c>
      <c r="C260">
        <v>1</v>
      </c>
      <c r="D260">
        <v>0</v>
      </c>
      <c r="E260">
        <v>1</v>
      </c>
      <c r="F260">
        <v>5</v>
      </c>
      <c r="G260" t="b">
        <v>0</v>
      </c>
      <c r="H260">
        <v>3</v>
      </c>
      <c r="I260">
        <v>1</v>
      </c>
      <c r="J260">
        <v>0.14000000000000001</v>
      </c>
      <c r="K260">
        <v>0.1515</v>
      </c>
      <c r="L260">
        <v>0.86</v>
      </c>
      <c r="M260">
        <v>0.16420000000000001</v>
      </c>
      <c r="N260">
        <v>0</v>
      </c>
      <c r="O260">
        <v>5</v>
      </c>
      <c r="P260">
        <v>5</v>
      </c>
      <c r="Q260" t="str">
        <f t="shared" si="32"/>
        <v>Complete</v>
      </c>
      <c r="R260">
        <f t="shared" si="39"/>
        <v>0.1515</v>
      </c>
      <c r="S260">
        <f t="shared" si="33"/>
        <v>2011</v>
      </c>
      <c r="T260" t="str">
        <f t="shared" si="34"/>
        <v>January</v>
      </c>
      <c r="U260" t="str">
        <f t="shared" si="35"/>
        <v>Weekday</v>
      </c>
      <c r="V260" t="str">
        <f t="shared" si="36"/>
        <v>Night</v>
      </c>
      <c r="W260" t="str">
        <f t="shared" si="37"/>
        <v>Spring</v>
      </c>
      <c r="X260" t="str">
        <f t="shared" si="38"/>
        <v>Clear</v>
      </c>
    </row>
    <row r="261" spans="1:24">
      <c r="A261">
        <v>260</v>
      </c>
      <c r="B261" s="2">
        <v>40555</v>
      </c>
      <c r="C261">
        <v>1</v>
      </c>
      <c r="D261">
        <v>0</v>
      </c>
      <c r="E261">
        <v>1</v>
      </c>
      <c r="F261">
        <v>6</v>
      </c>
      <c r="G261" t="b">
        <v>0</v>
      </c>
      <c r="H261">
        <v>3</v>
      </c>
      <c r="I261">
        <v>1</v>
      </c>
      <c r="J261">
        <v>0.12</v>
      </c>
      <c r="K261">
        <v>0.1515</v>
      </c>
      <c r="L261">
        <v>0.93</v>
      </c>
      <c r="M261">
        <v>0.1343</v>
      </c>
      <c r="N261">
        <v>0</v>
      </c>
      <c r="O261">
        <v>16</v>
      </c>
      <c r="P261">
        <v>16</v>
      </c>
      <c r="Q261" t="str">
        <f t="shared" si="32"/>
        <v>Complete</v>
      </c>
      <c r="R261">
        <f t="shared" si="39"/>
        <v>0.1515</v>
      </c>
      <c r="S261">
        <f t="shared" si="33"/>
        <v>2011</v>
      </c>
      <c r="T261" t="str">
        <f t="shared" si="34"/>
        <v>January</v>
      </c>
      <c r="U261" t="str">
        <f t="shared" si="35"/>
        <v>Weekday</v>
      </c>
      <c r="V261" t="str">
        <f t="shared" si="36"/>
        <v>Morning</v>
      </c>
      <c r="W261" t="str">
        <f t="shared" si="37"/>
        <v>Spring</v>
      </c>
      <c r="X261" t="str">
        <f t="shared" si="38"/>
        <v>Clear</v>
      </c>
    </row>
    <row r="262" spans="1:24">
      <c r="A262">
        <v>261</v>
      </c>
      <c r="B262" s="2">
        <v>40555</v>
      </c>
      <c r="C262">
        <v>1</v>
      </c>
      <c r="D262">
        <v>0</v>
      </c>
      <c r="E262">
        <v>1</v>
      </c>
      <c r="F262">
        <v>7</v>
      </c>
      <c r="G262" t="b">
        <v>0</v>
      </c>
      <c r="H262">
        <v>3</v>
      </c>
      <c r="I262">
        <v>1</v>
      </c>
      <c r="J262">
        <v>0.14000000000000001</v>
      </c>
      <c r="K262">
        <v>0.1515</v>
      </c>
      <c r="L262">
        <v>0.69</v>
      </c>
      <c r="M262">
        <v>0.1343</v>
      </c>
      <c r="N262">
        <v>0</v>
      </c>
      <c r="O262">
        <v>54</v>
      </c>
      <c r="P262">
        <v>54</v>
      </c>
      <c r="Q262" t="str">
        <f t="shared" si="32"/>
        <v>Complete</v>
      </c>
      <c r="R262">
        <f t="shared" si="39"/>
        <v>0.1515</v>
      </c>
      <c r="S262">
        <f t="shared" si="33"/>
        <v>2011</v>
      </c>
      <c r="T262" t="str">
        <f t="shared" si="34"/>
        <v>January</v>
      </c>
      <c r="U262" t="str">
        <f t="shared" si="35"/>
        <v>Weekday</v>
      </c>
      <c r="V262" t="str">
        <f t="shared" si="36"/>
        <v>Morning</v>
      </c>
      <c r="W262" t="str">
        <f t="shared" si="37"/>
        <v>Spring</v>
      </c>
      <c r="X262" t="str">
        <f t="shared" si="38"/>
        <v>Clear</v>
      </c>
    </row>
    <row r="263" spans="1:24">
      <c r="A263">
        <v>262</v>
      </c>
      <c r="B263" s="2">
        <v>40555</v>
      </c>
      <c r="C263">
        <v>1</v>
      </c>
      <c r="D263">
        <v>0</v>
      </c>
      <c r="E263">
        <v>1</v>
      </c>
      <c r="F263">
        <v>8</v>
      </c>
      <c r="G263" t="b">
        <v>0</v>
      </c>
      <c r="H263">
        <v>3</v>
      </c>
      <c r="I263">
        <v>1</v>
      </c>
      <c r="J263">
        <v>0.16</v>
      </c>
      <c r="K263">
        <v>0.16669999999999999</v>
      </c>
      <c r="L263">
        <v>0.59</v>
      </c>
      <c r="M263">
        <v>0.16420000000000001</v>
      </c>
      <c r="N263">
        <v>3</v>
      </c>
      <c r="O263">
        <v>125</v>
      </c>
      <c r="P263">
        <v>128</v>
      </c>
      <c r="Q263" t="str">
        <f t="shared" si="32"/>
        <v>Complete</v>
      </c>
      <c r="R263">
        <f t="shared" si="39"/>
        <v>0.16669999999999999</v>
      </c>
      <c r="S263">
        <f t="shared" si="33"/>
        <v>2011</v>
      </c>
      <c r="T263" t="str">
        <f t="shared" si="34"/>
        <v>January</v>
      </c>
      <c r="U263" t="str">
        <f t="shared" si="35"/>
        <v>Weekday</v>
      </c>
      <c r="V263" t="str">
        <f t="shared" si="36"/>
        <v>Morning</v>
      </c>
      <c r="W263" t="str">
        <f t="shared" si="37"/>
        <v>Spring</v>
      </c>
      <c r="X263" t="str">
        <f t="shared" si="38"/>
        <v>Clear</v>
      </c>
    </row>
    <row r="264" spans="1:24">
      <c r="A264">
        <v>263</v>
      </c>
      <c r="B264" s="2">
        <v>40555</v>
      </c>
      <c r="C264">
        <v>1</v>
      </c>
      <c r="D264">
        <v>0</v>
      </c>
      <c r="E264">
        <v>1</v>
      </c>
      <c r="F264">
        <v>9</v>
      </c>
      <c r="G264" t="b">
        <v>0</v>
      </c>
      <c r="H264">
        <v>3</v>
      </c>
      <c r="I264">
        <v>1</v>
      </c>
      <c r="J264">
        <v>0.16</v>
      </c>
      <c r="K264">
        <v>0.13639999999999999</v>
      </c>
      <c r="L264">
        <v>0.59</v>
      </c>
      <c r="M264">
        <v>0.32840000000000003</v>
      </c>
      <c r="N264">
        <v>3</v>
      </c>
      <c r="O264">
        <v>78</v>
      </c>
      <c r="P264">
        <v>81</v>
      </c>
      <c r="Q264" t="str">
        <f t="shared" si="32"/>
        <v>Complete</v>
      </c>
      <c r="R264">
        <f t="shared" si="39"/>
        <v>0.13639999999999999</v>
      </c>
      <c r="S264">
        <f t="shared" si="33"/>
        <v>2011</v>
      </c>
      <c r="T264" t="str">
        <f t="shared" si="34"/>
        <v>January</v>
      </c>
      <c r="U264" t="str">
        <f t="shared" si="35"/>
        <v>Weekday</v>
      </c>
      <c r="V264" t="str">
        <f t="shared" si="36"/>
        <v>Morning</v>
      </c>
      <c r="W264" t="str">
        <f t="shared" si="37"/>
        <v>Spring</v>
      </c>
      <c r="X264" t="str">
        <f t="shared" si="38"/>
        <v>Clear</v>
      </c>
    </row>
    <row r="265" spans="1:24">
      <c r="A265">
        <v>264</v>
      </c>
      <c r="B265" s="2">
        <v>40555</v>
      </c>
      <c r="C265">
        <v>1</v>
      </c>
      <c r="D265">
        <v>0</v>
      </c>
      <c r="E265">
        <v>1</v>
      </c>
      <c r="F265">
        <v>10</v>
      </c>
      <c r="G265" t="b">
        <v>0</v>
      </c>
      <c r="H265">
        <v>3</v>
      </c>
      <c r="I265">
        <v>1</v>
      </c>
      <c r="J265">
        <v>0.18</v>
      </c>
      <c r="K265">
        <v>0.18179999999999999</v>
      </c>
      <c r="L265">
        <v>0.55000000000000004</v>
      </c>
      <c r="M265">
        <v>0.22389999999999999</v>
      </c>
      <c r="N265">
        <v>0</v>
      </c>
      <c r="O265">
        <v>39</v>
      </c>
      <c r="P265">
        <v>39</v>
      </c>
      <c r="Q265" t="str">
        <f t="shared" si="32"/>
        <v>Complete</v>
      </c>
      <c r="R265">
        <f t="shared" si="39"/>
        <v>0.18179999999999999</v>
      </c>
      <c r="S265">
        <f t="shared" si="33"/>
        <v>2011</v>
      </c>
      <c r="T265" t="str">
        <f t="shared" si="34"/>
        <v>January</v>
      </c>
      <c r="U265" t="str">
        <f t="shared" si="35"/>
        <v>Weekday</v>
      </c>
      <c r="V265" t="str">
        <f t="shared" si="36"/>
        <v>Morning</v>
      </c>
      <c r="W265" t="str">
        <f t="shared" si="37"/>
        <v>Spring</v>
      </c>
      <c r="X265" t="str">
        <f t="shared" si="38"/>
        <v>Clear</v>
      </c>
    </row>
    <row r="266" spans="1:24">
      <c r="A266">
        <v>265</v>
      </c>
      <c r="B266" s="2">
        <v>40555</v>
      </c>
      <c r="C266">
        <v>1</v>
      </c>
      <c r="D266">
        <v>0</v>
      </c>
      <c r="E266">
        <v>1</v>
      </c>
      <c r="F266">
        <v>11</v>
      </c>
      <c r="G266" t="b">
        <v>0</v>
      </c>
      <c r="H266">
        <v>3</v>
      </c>
      <c r="I266">
        <v>1</v>
      </c>
      <c r="J266">
        <v>0.2</v>
      </c>
      <c r="K266">
        <v>0.18179999999999999</v>
      </c>
      <c r="L266">
        <v>0.51</v>
      </c>
      <c r="M266">
        <v>0.3881</v>
      </c>
      <c r="N266">
        <v>3</v>
      </c>
      <c r="O266">
        <v>32</v>
      </c>
      <c r="P266">
        <v>35</v>
      </c>
      <c r="Q266" t="str">
        <f t="shared" si="32"/>
        <v>Complete</v>
      </c>
      <c r="R266">
        <f t="shared" si="39"/>
        <v>0.18179999999999999</v>
      </c>
      <c r="S266">
        <f t="shared" si="33"/>
        <v>2011</v>
      </c>
      <c r="T266" t="str">
        <f t="shared" si="34"/>
        <v>January</v>
      </c>
      <c r="U266" t="str">
        <f t="shared" si="35"/>
        <v>Weekday</v>
      </c>
      <c r="V266" t="str">
        <f t="shared" si="36"/>
        <v>Morning</v>
      </c>
      <c r="W266" t="str">
        <f t="shared" si="37"/>
        <v>Spring</v>
      </c>
      <c r="X266" t="str">
        <f t="shared" si="38"/>
        <v>Clear</v>
      </c>
    </row>
    <row r="267" spans="1:24">
      <c r="A267">
        <v>266</v>
      </c>
      <c r="B267" s="2">
        <v>40555</v>
      </c>
      <c r="C267">
        <v>1</v>
      </c>
      <c r="D267">
        <v>0</v>
      </c>
      <c r="E267">
        <v>1</v>
      </c>
      <c r="F267">
        <v>12</v>
      </c>
      <c r="G267" t="b">
        <v>0</v>
      </c>
      <c r="H267">
        <v>3</v>
      </c>
      <c r="I267">
        <v>1</v>
      </c>
      <c r="J267">
        <v>0.2</v>
      </c>
      <c r="K267">
        <v>0.1515</v>
      </c>
      <c r="L267">
        <v>0.47</v>
      </c>
      <c r="M267">
        <v>0.58209999999999995</v>
      </c>
      <c r="N267">
        <v>3</v>
      </c>
      <c r="O267">
        <v>52</v>
      </c>
      <c r="P267">
        <v>55</v>
      </c>
      <c r="Q267" t="str">
        <f t="shared" si="32"/>
        <v>Complete</v>
      </c>
      <c r="R267">
        <f t="shared" si="39"/>
        <v>0.1515</v>
      </c>
      <c r="S267">
        <f t="shared" si="33"/>
        <v>2011</v>
      </c>
      <c r="T267" t="str">
        <f t="shared" si="34"/>
        <v>January</v>
      </c>
      <c r="U267" t="str">
        <f t="shared" si="35"/>
        <v>Weekday</v>
      </c>
      <c r="V267" t="str">
        <f t="shared" si="36"/>
        <v>Afternoon</v>
      </c>
      <c r="W267" t="str">
        <f t="shared" si="37"/>
        <v>Spring</v>
      </c>
      <c r="X267" t="str">
        <f t="shared" si="38"/>
        <v>Clear</v>
      </c>
    </row>
    <row r="268" spans="1:24">
      <c r="A268">
        <v>267</v>
      </c>
      <c r="B268" s="2">
        <v>40555</v>
      </c>
      <c r="C268">
        <v>1</v>
      </c>
      <c r="D268">
        <v>0</v>
      </c>
      <c r="E268">
        <v>1</v>
      </c>
      <c r="F268">
        <v>13</v>
      </c>
      <c r="G268" t="b">
        <v>0</v>
      </c>
      <c r="H268">
        <v>3</v>
      </c>
      <c r="I268">
        <v>1</v>
      </c>
      <c r="J268">
        <v>0.22</v>
      </c>
      <c r="K268">
        <v>0.19700000000000001</v>
      </c>
      <c r="L268">
        <v>0.44</v>
      </c>
      <c r="M268">
        <v>0.35820000000000002</v>
      </c>
      <c r="N268">
        <v>0</v>
      </c>
      <c r="O268">
        <v>49</v>
      </c>
      <c r="P268">
        <v>49</v>
      </c>
      <c r="Q268" t="str">
        <f t="shared" si="32"/>
        <v>Complete</v>
      </c>
      <c r="R268">
        <f t="shared" si="39"/>
        <v>0.19700000000000001</v>
      </c>
      <c r="S268">
        <f t="shared" si="33"/>
        <v>2011</v>
      </c>
      <c r="T268" t="str">
        <f t="shared" si="34"/>
        <v>January</v>
      </c>
      <c r="U268" t="str">
        <f t="shared" si="35"/>
        <v>Weekday</v>
      </c>
      <c r="V268" t="str">
        <f t="shared" si="36"/>
        <v>Afternoon</v>
      </c>
      <c r="W268" t="str">
        <f t="shared" si="37"/>
        <v>Spring</v>
      </c>
      <c r="X268" t="str">
        <f t="shared" si="38"/>
        <v>Clear</v>
      </c>
    </row>
    <row r="269" spans="1:24">
      <c r="A269">
        <v>268</v>
      </c>
      <c r="B269" s="2">
        <v>40555</v>
      </c>
      <c r="C269">
        <v>1</v>
      </c>
      <c r="D269">
        <v>0</v>
      </c>
      <c r="E269">
        <v>1</v>
      </c>
      <c r="F269">
        <v>14</v>
      </c>
      <c r="G269" t="b">
        <v>0</v>
      </c>
      <c r="H269">
        <v>3</v>
      </c>
      <c r="I269">
        <v>1</v>
      </c>
      <c r="J269">
        <v>0.2</v>
      </c>
      <c r="K269">
        <v>0.18179999999999999</v>
      </c>
      <c r="L269">
        <v>0.47</v>
      </c>
      <c r="M269">
        <v>0.32840000000000003</v>
      </c>
      <c r="N269">
        <v>0</v>
      </c>
      <c r="O269">
        <v>44</v>
      </c>
      <c r="P269">
        <v>44</v>
      </c>
      <c r="Q269" t="str">
        <f t="shared" si="32"/>
        <v>Complete</v>
      </c>
      <c r="R269">
        <f t="shared" si="39"/>
        <v>0.18179999999999999</v>
      </c>
      <c r="S269">
        <f t="shared" si="33"/>
        <v>2011</v>
      </c>
      <c r="T269" t="str">
        <f t="shared" si="34"/>
        <v>January</v>
      </c>
      <c r="U269" t="str">
        <f t="shared" si="35"/>
        <v>Weekday</v>
      </c>
      <c r="V269" t="str">
        <f t="shared" si="36"/>
        <v>Afternoon</v>
      </c>
      <c r="W269" t="str">
        <f t="shared" si="37"/>
        <v>Spring</v>
      </c>
      <c r="X269" t="str">
        <f t="shared" si="38"/>
        <v>Clear</v>
      </c>
    </row>
    <row r="270" spans="1:24">
      <c r="A270">
        <v>269</v>
      </c>
      <c r="B270" s="2">
        <v>40555</v>
      </c>
      <c r="C270">
        <v>1</v>
      </c>
      <c r="D270">
        <v>0</v>
      </c>
      <c r="E270">
        <v>1</v>
      </c>
      <c r="F270">
        <v>15</v>
      </c>
      <c r="G270" t="b">
        <v>0</v>
      </c>
      <c r="H270">
        <v>3</v>
      </c>
      <c r="I270">
        <v>1</v>
      </c>
      <c r="J270">
        <v>0.2</v>
      </c>
      <c r="K270">
        <v>0.16669999999999999</v>
      </c>
      <c r="L270">
        <v>0.47</v>
      </c>
      <c r="M270">
        <v>0.41789999999999999</v>
      </c>
      <c r="N270">
        <v>1</v>
      </c>
      <c r="O270">
        <v>48</v>
      </c>
      <c r="P270">
        <v>49</v>
      </c>
      <c r="Q270" t="str">
        <f t="shared" si="32"/>
        <v>Complete</v>
      </c>
      <c r="R270">
        <f t="shared" si="39"/>
        <v>0.16669999999999999</v>
      </c>
      <c r="S270">
        <f t="shared" si="33"/>
        <v>2011</v>
      </c>
      <c r="T270" t="str">
        <f t="shared" si="34"/>
        <v>January</v>
      </c>
      <c r="U270" t="str">
        <f t="shared" si="35"/>
        <v>Weekday</v>
      </c>
      <c r="V270" t="str">
        <f t="shared" si="36"/>
        <v>Afternoon</v>
      </c>
      <c r="W270" t="str">
        <f t="shared" si="37"/>
        <v>Spring</v>
      </c>
      <c r="X270" t="str">
        <f t="shared" si="38"/>
        <v>Clear</v>
      </c>
    </row>
    <row r="271" spans="1:24">
      <c r="A271">
        <v>270</v>
      </c>
      <c r="B271" s="2">
        <v>40555</v>
      </c>
      <c r="C271">
        <v>1</v>
      </c>
      <c r="D271">
        <v>0</v>
      </c>
      <c r="E271">
        <v>1</v>
      </c>
      <c r="F271">
        <v>16</v>
      </c>
      <c r="G271" t="b">
        <v>0</v>
      </c>
      <c r="H271">
        <v>3</v>
      </c>
      <c r="I271">
        <v>1</v>
      </c>
      <c r="J271">
        <v>0.22</v>
      </c>
      <c r="K271">
        <v>0.19700000000000001</v>
      </c>
      <c r="L271">
        <v>0.44</v>
      </c>
      <c r="M271">
        <v>0.32840000000000003</v>
      </c>
      <c r="N271">
        <v>5</v>
      </c>
      <c r="O271">
        <v>63</v>
      </c>
      <c r="P271">
        <v>68</v>
      </c>
      <c r="Q271" t="str">
        <f t="shared" si="32"/>
        <v>Complete</v>
      </c>
      <c r="R271">
        <f t="shared" si="39"/>
        <v>0.19700000000000001</v>
      </c>
      <c r="S271">
        <f t="shared" si="33"/>
        <v>2011</v>
      </c>
      <c r="T271" t="str">
        <f t="shared" si="34"/>
        <v>January</v>
      </c>
      <c r="U271" t="str">
        <f t="shared" si="35"/>
        <v>Weekday</v>
      </c>
      <c r="V271" t="str">
        <f t="shared" si="36"/>
        <v>Afternoon</v>
      </c>
      <c r="W271" t="str">
        <f t="shared" si="37"/>
        <v>Spring</v>
      </c>
      <c r="X271" t="str">
        <f t="shared" si="38"/>
        <v>Clear</v>
      </c>
    </row>
    <row r="272" spans="1:24">
      <c r="A272">
        <v>271</v>
      </c>
      <c r="B272" s="2">
        <v>40555</v>
      </c>
      <c r="C272">
        <v>1</v>
      </c>
      <c r="D272">
        <v>0</v>
      </c>
      <c r="E272">
        <v>1</v>
      </c>
      <c r="F272">
        <v>17</v>
      </c>
      <c r="G272" t="b">
        <v>0</v>
      </c>
      <c r="H272">
        <v>3</v>
      </c>
      <c r="I272">
        <v>1</v>
      </c>
      <c r="J272">
        <v>0.2</v>
      </c>
      <c r="K272">
        <v>0.18179999999999999</v>
      </c>
      <c r="L272">
        <v>0.47</v>
      </c>
      <c r="M272">
        <v>0.35820000000000002</v>
      </c>
      <c r="N272">
        <v>0</v>
      </c>
      <c r="O272">
        <v>139</v>
      </c>
      <c r="P272">
        <v>139</v>
      </c>
      <c r="Q272" t="str">
        <f t="shared" si="32"/>
        <v>Complete</v>
      </c>
      <c r="R272">
        <f t="shared" si="39"/>
        <v>0.18179999999999999</v>
      </c>
      <c r="S272">
        <f t="shared" si="33"/>
        <v>2011</v>
      </c>
      <c r="T272" t="str">
        <f t="shared" si="34"/>
        <v>January</v>
      </c>
      <c r="U272" t="str">
        <f t="shared" si="35"/>
        <v>Weekday</v>
      </c>
      <c r="V272" t="str">
        <f t="shared" si="36"/>
        <v>Afternoon</v>
      </c>
      <c r="W272" t="str">
        <f t="shared" si="37"/>
        <v>Spring</v>
      </c>
      <c r="X272" t="str">
        <f t="shared" si="38"/>
        <v>Clear</v>
      </c>
    </row>
    <row r="273" spans="1:24">
      <c r="A273">
        <v>272</v>
      </c>
      <c r="B273" s="2">
        <v>40555</v>
      </c>
      <c r="C273">
        <v>1</v>
      </c>
      <c r="D273">
        <v>0</v>
      </c>
      <c r="E273">
        <v>1</v>
      </c>
      <c r="F273">
        <v>18</v>
      </c>
      <c r="G273" t="b">
        <v>0</v>
      </c>
      <c r="H273">
        <v>3</v>
      </c>
      <c r="I273">
        <v>1</v>
      </c>
      <c r="J273">
        <v>0.2</v>
      </c>
      <c r="K273">
        <v>0.1515</v>
      </c>
      <c r="L273">
        <v>0.47</v>
      </c>
      <c r="M273">
        <v>0.52239999999999998</v>
      </c>
      <c r="N273">
        <v>2</v>
      </c>
      <c r="O273">
        <v>135</v>
      </c>
      <c r="P273">
        <v>137</v>
      </c>
      <c r="Q273" t="str">
        <f t="shared" si="32"/>
        <v>Complete</v>
      </c>
      <c r="R273">
        <f t="shared" si="39"/>
        <v>0.1515</v>
      </c>
      <c r="S273">
        <f t="shared" si="33"/>
        <v>2011</v>
      </c>
      <c r="T273" t="str">
        <f t="shared" si="34"/>
        <v>January</v>
      </c>
      <c r="U273" t="str">
        <f t="shared" si="35"/>
        <v>Weekday</v>
      </c>
      <c r="V273" t="str">
        <f t="shared" si="36"/>
        <v>Evening</v>
      </c>
      <c r="W273" t="str">
        <f t="shared" si="37"/>
        <v>Spring</v>
      </c>
      <c r="X273" t="str">
        <f t="shared" si="38"/>
        <v>Clear</v>
      </c>
    </row>
    <row r="274" spans="1:24">
      <c r="A274">
        <v>273</v>
      </c>
      <c r="B274" s="2">
        <v>40555</v>
      </c>
      <c r="C274">
        <v>1</v>
      </c>
      <c r="D274">
        <v>0</v>
      </c>
      <c r="E274">
        <v>1</v>
      </c>
      <c r="F274">
        <v>19</v>
      </c>
      <c r="G274" t="b">
        <v>0</v>
      </c>
      <c r="H274">
        <v>3</v>
      </c>
      <c r="I274">
        <v>1</v>
      </c>
      <c r="J274">
        <v>0.18</v>
      </c>
      <c r="K274">
        <v>0.1515</v>
      </c>
      <c r="L274">
        <v>0.47</v>
      </c>
      <c r="M274">
        <v>0.41789999999999999</v>
      </c>
      <c r="N274">
        <v>1</v>
      </c>
      <c r="O274">
        <v>82</v>
      </c>
      <c r="P274">
        <v>83</v>
      </c>
      <c r="Q274" t="str">
        <f t="shared" si="32"/>
        <v>Complete</v>
      </c>
      <c r="R274">
        <f t="shared" si="39"/>
        <v>0.1515</v>
      </c>
      <c r="S274">
        <f t="shared" si="33"/>
        <v>2011</v>
      </c>
      <c r="T274" t="str">
        <f t="shared" si="34"/>
        <v>January</v>
      </c>
      <c r="U274" t="str">
        <f t="shared" si="35"/>
        <v>Weekday</v>
      </c>
      <c r="V274" t="str">
        <f t="shared" si="36"/>
        <v>Evening</v>
      </c>
      <c r="W274" t="str">
        <f t="shared" si="37"/>
        <v>Spring</v>
      </c>
      <c r="X274" t="str">
        <f t="shared" si="38"/>
        <v>Clear</v>
      </c>
    </row>
    <row r="275" spans="1:24">
      <c r="A275">
        <v>274</v>
      </c>
      <c r="B275" s="2">
        <v>40555</v>
      </c>
      <c r="C275">
        <v>1</v>
      </c>
      <c r="D275">
        <v>0</v>
      </c>
      <c r="E275">
        <v>1</v>
      </c>
      <c r="F275">
        <v>20</v>
      </c>
      <c r="G275" t="b">
        <v>0</v>
      </c>
      <c r="H275">
        <v>3</v>
      </c>
      <c r="I275">
        <v>1</v>
      </c>
      <c r="J275">
        <v>0.16</v>
      </c>
      <c r="K275">
        <v>0.13639999999999999</v>
      </c>
      <c r="L275">
        <v>0.5</v>
      </c>
      <c r="M275">
        <v>0.32840000000000003</v>
      </c>
      <c r="N275">
        <v>2</v>
      </c>
      <c r="O275">
        <v>54</v>
      </c>
      <c r="P275">
        <v>56</v>
      </c>
      <c r="Q275" t="str">
        <f t="shared" si="32"/>
        <v>Complete</v>
      </c>
      <c r="R275">
        <f t="shared" si="39"/>
        <v>0.13639999999999999</v>
      </c>
      <c r="S275">
        <f t="shared" si="33"/>
        <v>2011</v>
      </c>
      <c r="T275" t="str">
        <f t="shared" si="34"/>
        <v>January</v>
      </c>
      <c r="U275" t="str">
        <f t="shared" si="35"/>
        <v>Weekday</v>
      </c>
      <c r="V275" t="str">
        <f t="shared" si="36"/>
        <v>Evening</v>
      </c>
      <c r="W275" t="str">
        <f t="shared" si="37"/>
        <v>Spring</v>
      </c>
      <c r="X275" t="str">
        <f t="shared" si="38"/>
        <v>Clear</v>
      </c>
    </row>
    <row r="276" spans="1:24">
      <c r="A276">
        <v>275</v>
      </c>
      <c r="B276" s="2">
        <v>40555</v>
      </c>
      <c r="C276">
        <v>1</v>
      </c>
      <c r="D276">
        <v>0</v>
      </c>
      <c r="E276">
        <v>1</v>
      </c>
      <c r="F276">
        <v>21</v>
      </c>
      <c r="G276" t="b">
        <v>0</v>
      </c>
      <c r="H276">
        <v>3</v>
      </c>
      <c r="I276">
        <v>1</v>
      </c>
      <c r="J276">
        <v>0.16</v>
      </c>
      <c r="K276">
        <v>0.13639999999999999</v>
      </c>
      <c r="L276">
        <v>0.55000000000000004</v>
      </c>
      <c r="M276">
        <v>0.32840000000000003</v>
      </c>
      <c r="N276">
        <v>0</v>
      </c>
      <c r="O276">
        <v>57</v>
      </c>
      <c r="P276">
        <v>57</v>
      </c>
      <c r="Q276" t="str">
        <f t="shared" si="32"/>
        <v>Complete</v>
      </c>
      <c r="R276">
        <f t="shared" si="39"/>
        <v>0.13639999999999999</v>
      </c>
      <c r="S276">
        <f t="shared" si="33"/>
        <v>2011</v>
      </c>
      <c r="T276" t="str">
        <f t="shared" si="34"/>
        <v>January</v>
      </c>
      <c r="U276" t="str">
        <f t="shared" si="35"/>
        <v>Weekday</v>
      </c>
      <c r="V276" t="str">
        <f t="shared" si="36"/>
        <v>Evening</v>
      </c>
      <c r="W276" t="str">
        <f t="shared" si="37"/>
        <v>Spring</v>
      </c>
      <c r="X276" t="str">
        <f t="shared" si="38"/>
        <v>Clear</v>
      </c>
    </row>
    <row r="277" spans="1:24">
      <c r="A277">
        <v>276</v>
      </c>
      <c r="B277" s="2">
        <v>40555</v>
      </c>
      <c r="C277">
        <v>1</v>
      </c>
      <c r="D277">
        <v>0</v>
      </c>
      <c r="E277">
        <v>1</v>
      </c>
      <c r="F277">
        <v>22</v>
      </c>
      <c r="G277" t="b">
        <v>0</v>
      </c>
      <c r="H277">
        <v>3</v>
      </c>
      <c r="I277">
        <v>1</v>
      </c>
      <c r="J277">
        <v>0.16</v>
      </c>
      <c r="K277">
        <v>0.1212</v>
      </c>
      <c r="L277">
        <v>0.55000000000000004</v>
      </c>
      <c r="M277">
        <v>0.44779999999999998</v>
      </c>
      <c r="N277">
        <v>1</v>
      </c>
      <c r="O277">
        <v>32</v>
      </c>
      <c r="P277">
        <v>33</v>
      </c>
      <c r="Q277" t="str">
        <f t="shared" si="32"/>
        <v>Complete</v>
      </c>
      <c r="R277">
        <f t="shared" si="39"/>
        <v>0.1212</v>
      </c>
      <c r="S277">
        <f t="shared" si="33"/>
        <v>2011</v>
      </c>
      <c r="T277" t="str">
        <f t="shared" si="34"/>
        <v>January</v>
      </c>
      <c r="U277" t="str">
        <f t="shared" si="35"/>
        <v>Weekday</v>
      </c>
      <c r="V277" t="str">
        <f t="shared" si="36"/>
        <v>Evening</v>
      </c>
      <c r="W277" t="str">
        <f t="shared" si="37"/>
        <v>Spring</v>
      </c>
      <c r="X277" t="str">
        <f t="shared" si="38"/>
        <v>Clear</v>
      </c>
    </row>
    <row r="278" spans="1:24">
      <c r="A278">
        <v>277</v>
      </c>
      <c r="B278" s="2">
        <v>40555</v>
      </c>
      <c r="C278">
        <v>1</v>
      </c>
      <c r="D278">
        <v>0</v>
      </c>
      <c r="E278">
        <v>1</v>
      </c>
      <c r="F278">
        <v>23</v>
      </c>
      <c r="G278" t="b">
        <v>0</v>
      </c>
      <c r="H278">
        <v>3</v>
      </c>
      <c r="I278">
        <v>1</v>
      </c>
      <c r="J278">
        <v>0.14000000000000001</v>
      </c>
      <c r="K278">
        <v>0.1061</v>
      </c>
      <c r="L278">
        <v>0.59</v>
      </c>
      <c r="M278">
        <v>0.41789999999999999</v>
      </c>
      <c r="N278">
        <v>1</v>
      </c>
      <c r="O278">
        <v>19</v>
      </c>
      <c r="P278">
        <v>20</v>
      </c>
      <c r="Q278" t="str">
        <f t="shared" si="32"/>
        <v>Complete</v>
      </c>
      <c r="R278">
        <f t="shared" si="39"/>
        <v>0.1061</v>
      </c>
      <c r="S278">
        <f t="shared" si="33"/>
        <v>2011</v>
      </c>
      <c r="T278" t="str">
        <f t="shared" si="34"/>
        <v>January</v>
      </c>
      <c r="U278" t="str">
        <f t="shared" si="35"/>
        <v>Weekday</v>
      </c>
      <c r="V278" t="str">
        <f t="shared" si="36"/>
        <v>Evening</v>
      </c>
      <c r="W278" t="str">
        <f t="shared" si="37"/>
        <v>Spring</v>
      </c>
      <c r="X278" t="str">
        <f t="shared" si="38"/>
        <v>Clear</v>
      </c>
    </row>
    <row r="279" spans="1:24">
      <c r="A279">
        <v>278</v>
      </c>
      <c r="B279" s="2">
        <v>40556</v>
      </c>
      <c r="C279">
        <v>1</v>
      </c>
      <c r="D279">
        <v>0</v>
      </c>
      <c r="E279">
        <v>1</v>
      </c>
      <c r="F279">
        <v>0</v>
      </c>
      <c r="G279" t="b">
        <v>0</v>
      </c>
      <c r="H279">
        <v>4</v>
      </c>
      <c r="I279">
        <v>1</v>
      </c>
      <c r="J279">
        <v>0.14000000000000001</v>
      </c>
      <c r="K279">
        <v>0.1212</v>
      </c>
      <c r="L279">
        <v>0.59</v>
      </c>
      <c r="M279">
        <v>0.28360000000000002</v>
      </c>
      <c r="N279">
        <v>1</v>
      </c>
      <c r="O279">
        <v>6</v>
      </c>
      <c r="P279">
        <v>7</v>
      </c>
      <c r="Q279" t="str">
        <f t="shared" si="32"/>
        <v>Complete</v>
      </c>
      <c r="R279">
        <f t="shared" si="39"/>
        <v>0.1212</v>
      </c>
      <c r="S279">
        <f t="shared" si="33"/>
        <v>2011</v>
      </c>
      <c r="T279" t="str">
        <f t="shared" si="34"/>
        <v>January</v>
      </c>
      <c r="U279" t="str">
        <f t="shared" si="35"/>
        <v>Weekday</v>
      </c>
      <c r="V279" t="str">
        <f t="shared" si="36"/>
        <v>Night</v>
      </c>
      <c r="W279" t="str">
        <f t="shared" si="37"/>
        <v>Spring</v>
      </c>
      <c r="X279" t="str">
        <f t="shared" si="38"/>
        <v>Clear</v>
      </c>
    </row>
    <row r="280" spans="1:24">
      <c r="A280">
        <v>279</v>
      </c>
      <c r="B280" s="2">
        <v>40556</v>
      </c>
      <c r="C280">
        <v>1</v>
      </c>
      <c r="D280">
        <v>0</v>
      </c>
      <c r="E280">
        <v>1</v>
      </c>
      <c r="F280">
        <v>1</v>
      </c>
      <c r="G280" t="b">
        <v>0</v>
      </c>
      <c r="H280">
        <v>4</v>
      </c>
      <c r="I280">
        <v>1</v>
      </c>
      <c r="J280">
        <v>0.14000000000000001</v>
      </c>
      <c r="K280">
        <v>0.1212</v>
      </c>
      <c r="L280">
        <v>0.5</v>
      </c>
      <c r="M280">
        <v>0.28360000000000002</v>
      </c>
      <c r="N280">
        <v>0</v>
      </c>
      <c r="O280">
        <v>2</v>
      </c>
      <c r="P280">
        <v>2</v>
      </c>
      <c r="Q280" t="str">
        <f t="shared" si="32"/>
        <v>Complete</v>
      </c>
      <c r="R280">
        <f t="shared" si="39"/>
        <v>0.1212</v>
      </c>
      <c r="S280">
        <f t="shared" si="33"/>
        <v>2011</v>
      </c>
      <c r="T280" t="str">
        <f t="shared" si="34"/>
        <v>January</v>
      </c>
      <c r="U280" t="str">
        <f t="shared" si="35"/>
        <v>Weekday</v>
      </c>
      <c r="V280" t="str">
        <f t="shared" si="36"/>
        <v>Night</v>
      </c>
      <c r="W280" t="str">
        <f t="shared" si="37"/>
        <v>Spring</v>
      </c>
      <c r="X280" t="str">
        <f t="shared" si="38"/>
        <v>Clear</v>
      </c>
    </row>
    <row r="281" spans="1:24">
      <c r="A281">
        <v>280</v>
      </c>
      <c r="B281" s="2">
        <v>40556</v>
      </c>
      <c r="C281">
        <v>1</v>
      </c>
      <c r="D281">
        <v>0</v>
      </c>
      <c r="E281">
        <v>1</v>
      </c>
      <c r="F281">
        <v>2</v>
      </c>
      <c r="G281" t="b">
        <v>0</v>
      </c>
      <c r="H281">
        <v>4</v>
      </c>
      <c r="I281">
        <v>1</v>
      </c>
      <c r="J281">
        <v>0.14000000000000001</v>
      </c>
      <c r="K281">
        <v>0.1212</v>
      </c>
      <c r="L281">
        <v>0.5</v>
      </c>
      <c r="M281">
        <v>0.35820000000000002</v>
      </c>
      <c r="N281">
        <v>0</v>
      </c>
      <c r="O281">
        <v>2</v>
      </c>
      <c r="P281">
        <v>2</v>
      </c>
      <c r="Q281" t="str">
        <f t="shared" si="32"/>
        <v>Complete</v>
      </c>
      <c r="R281">
        <f t="shared" si="39"/>
        <v>0.1212</v>
      </c>
      <c r="S281">
        <f t="shared" si="33"/>
        <v>2011</v>
      </c>
      <c r="T281" t="str">
        <f t="shared" si="34"/>
        <v>January</v>
      </c>
      <c r="U281" t="str">
        <f t="shared" si="35"/>
        <v>Weekday</v>
      </c>
      <c r="V281" t="str">
        <f t="shared" si="36"/>
        <v>Night</v>
      </c>
      <c r="W281" t="str">
        <f t="shared" si="37"/>
        <v>Spring</v>
      </c>
      <c r="X281" t="str">
        <f t="shared" si="38"/>
        <v>Clear</v>
      </c>
    </row>
    <row r="282" spans="1:24">
      <c r="A282">
        <v>281</v>
      </c>
      <c r="B282" s="2">
        <v>40556</v>
      </c>
      <c r="C282">
        <v>1</v>
      </c>
      <c r="D282">
        <v>0</v>
      </c>
      <c r="E282">
        <v>1</v>
      </c>
      <c r="F282">
        <v>3</v>
      </c>
      <c r="G282" t="b">
        <v>0</v>
      </c>
      <c r="H282">
        <v>4</v>
      </c>
      <c r="I282">
        <v>1</v>
      </c>
      <c r="J282">
        <v>0.14000000000000001</v>
      </c>
      <c r="K282">
        <v>0.1212</v>
      </c>
      <c r="L282">
        <v>0.5</v>
      </c>
      <c r="M282">
        <v>0.32840000000000003</v>
      </c>
      <c r="N282">
        <v>0</v>
      </c>
      <c r="O282">
        <v>3</v>
      </c>
      <c r="P282">
        <v>3</v>
      </c>
      <c r="Q282" t="str">
        <f t="shared" si="32"/>
        <v>Complete</v>
      </c>
      <c r="R282">
        <f t="shared" si="39"/>
        <v>0.1212</v>
      </c>
      <c r="S282">
        <f t="shared" si="33"/>
        <v>2011</v>
      </c>
      <c r="T282" t="str">
        <f t="shared" si="34"/>
        <v>January</v>
      </c>
      <c r="U282" t="str">
        <f t="shared" si="35"/>
        <v>Weekday</v>
      </c>
      <c r="V282" t="str">
        <f t="shared" si="36"/>
        <v>Night</v>
      </c>
      <c r="W282" t="str">
        <f t="shared" si="37"/>
        <v>Spring</v>
      </c>
      <c r="X282" t="str">
        <f t="shared" si="38"/>
        <v>Clear</v>
      </c>
    </row>
    <row r="283" spans="1:24">
      <c r="A283">
        <v>282</v>
      </c>
      <c r="B283" s="2">
        <v>40556</v>
      </c>
      <c r="C283">
        <v>1</v>
      </c>
      <c r="D283">
        <v>0</v>
      </c>
      <c r="E283">
        <v>1</v>
      </c>
      <c r="F283">
        <v>4</v>
      </c>
      <c r="G283" t="b">
        <v>0</v>
      </c>
      <c r="H283">
        <v>4</v>
      </c>
      <c r="I283">
        <v>1</v>
      </c>
      <c r="J283">
        <v>0.14000000000000001</v>
      </c>
      <c r="K283">
        <v>0.1212</v>
      </c>
      <c r="L283">
        <v>0.5</v>
      </c>
      <c r="M283">
        <v>0.25369999999999998</v>
      </c>
      <c r="N283">
        <v>0</v>
      </c>
      <c r="O283">
        <v>4</v>
      </c>
      <c r="P283">
        <v>4</v>
      </c>
      <c r="Q283" t="str">
        <f t="shared" si="32"/>
        <v>Complete</v>
      </c>
      <c r="R283">
        <f t="shared" si="39"/>
        <v>0.1212</v>
      </c>
      <c r="S283">
        <f t="shared" si="33"/>
        <v>2011</v>
      </c>
      <c r="T283" t="str">
        <f t="shared" si="34"/>
        <v>January</v>
      </c>
      <c r="U283" t="str">
        <f t="shared" si="35"/>
        <v>Weekday</v>
      </c>
      <c r="V283" t="str">
        <f t="shared" si="36"/>
        <v>Night</v>
      </c>
      <c r="W283" t="str">
        <f t="shared" si="37"/>
        <v>Spring</v>
      </c>
      <c r="X283" t="str">
        <f t="shared" si="38"/>
        <v>Clear</v>
      </c>
    </row>
    <row r="284" spans="1:24">
      <c r="A284">
        <v>283</v>
      </c>
      <c r="B284" s="2">
        <v>40556</v>
      </c>
      <c r="C284">
        <v>1</v>
      </c>
      <c r="D284">
        <v>0</v>
      </c>
      <c r="E284">
        <v>1</v>
      </c>
      <c r="F284">
        <v>5</v>
      </c>
      <c r="G284" t="b">
        <v>0</v>
      </c>
      <c r="H284">
        <v>4</v>
      </c>
      <c r="I284">
        <v>1</v>
      </c>
      <c r="J284">
        <v>0.14000000000000001</v>
      </c>
      <c r="K284">
        <v>0.1212</v>
      </c>
      <c r="L284">
        <v>0.5</v>
      </c>
      <c r="M284">
        <v>0.29849999999999999</v>
      </c>
      <c r="N284">
        <v>0</v>
      </c>
      <c r="O284">
        <v>3</v>
      </c>
      <c r="P284">
        <v>3</v>
      </c>
      <c r="Q284" t="str">
        <f t="shared" si="32"/>
        <v>Complete</v>
      </c>
      <c r="R284">
        <f t="shared" si="39"/>
        <v>0.1212</v>
      </c>
      <c r="S284">
        <f t="shared" si="33"/>
        <v>2011</v>
      </c>
      <c r="T284" t="str">
        <f t="shared" si="34"/>
        <v>January</v>
      </c>
      <c r="U284" t="str">
        <f t="shared" si="35"/>
        <v>Weekday</v>
      </c>
      <c r="V284" t="str">
        <f t="shared" si="36"/>
        <v>Night</v>
      </c>
      <c r="W284" t="str">
        <f t="shared" si="37"/>
        <v>Spring</v>
      </c>
      <c r="X284" t="str">
        <f t="shared" si="38"/>
        <v>Clear</v>
      </c>
    </row>
    <row r="285" spans="1:24">
      <c r="A285">
        <v>284</v>
      </c>
      <c r="B285" s="2">
        <v>40556</v>
      </c>
      <c r="C285">
        <v>1</v>
      </c>
      <c r="D285">
        <v>0</v>
      </c>
      <c r="E285">
        <v>1</v>
      </c>
      <c r="F285">
        <v>6</v>
      </c>
      <c r="G285" t="b">
        <v>0</v>
      </c>
      <c r="H285">
        <v>4</v>
      </c>
      <c r="I285">
        <v>1</v>
      </c>
      <c r="J285">
        <v>0.12</v>
      </c>
      <c r="K285">
        <v>0.1515</v>
      </c>
      <c r="L285">
        <v>0.54</v>
      </c>
      <c r="M285">
        <v>0.1343</v>
      </c>
      <c r="N285">
        <v>0</v>
      </c>
      <c r="O285">
        <v>28</v>
      </c>
      <c r="P285">
        <v>28</v>
      </c>
      <c r="Q285" t="str">
        <f t="shared" si="32"/>
        <v>Complete</v>
      </c>
      <c r="R285">
        <f t="shared" si="39"/>
        <v>0.1515</v>
      </c>
      <c r="S285">
        <f t="shared" si="33"/>
        <v>2011</v>
      </c>
      <c r="T285" t="str">
        <f t="shared" si="34"/>
        <v>January</v>
      </c>
      <c r="U285" t="str">
        <f t="shared" si="35"/>
        <v>Weekday</v>
      </c>
      <c r="V285" t="str">
        <f t="shared" si="36"/>
        <v>Morning</v>
      </c>
      <c r="W285" t="str">
        <f t="shared" si="37"/>
        <v>Spring</v>
      </c>
      <c r="X285" t="str">
        <f t="shared" si="38"/>
        <v>Clear</v>
      </c>
    </row>
    <row r="286" spans="1:24">
      <c r="A286">
        <v>285</v>
      </c>
      <c r="B286" s="2">
        <v>40556</v>
      </c>
      <c r="C286">
        <v>1</v>
      </c>
      <c r="D286">
        <v>0</v>
      </c>
      <c r="E286">
        <v>1</v>
      </c>
      <c r="F286">
        <v>7</v>
      </c>
      <c r="G286" t="b">
        <v>0</v>
      </c>
      <c r="H286">
        <v>4</v>
      </c>
      <c r="I286">
        <v>1</v>
      </c>
      <c r="J286">
        <v>0.12</v>
      </c>
      <c r="K286">
        <v>0.1515</v>
      </c>
      <c r="L286">
        <v>0.54</v>
      </c>
      <c r="M286">
        <v>0.1343</v>
      </c>
      <c r="N286">
        <v>0</v>
      </c>
      <c r="O286">
        <v>72</v>
      </c>
      <c r="P286">
        <v>72</v>
      </c>
      <c r="Q286" t="str">
        <f t="shared" si="32"/>
        <v>Complete</v>
      </c>
      <c r="R286">
        <f t="shared" si="39"/>
        <v>0.1515</v>
      </c>
      <c r="S286">
        <f t="shared" si="33"/>
        <v>2011</v>
      </c>
      <c r="T286" t="str">
        <f t="shared" si="34"/>
        <v>January</v>
      </c>
      <c r="U286" t="str">
        <f t="shared" si="35"/>
        <v>Weekday</v>
      </c>
      <c r="V286" t="str">
        <f t="shared" si="36"/>
        <v>Morning</v>
      </c>
      <c r="W286" t="str">
        <f t="shared" si="37"/>
        <v>Spring</v>
      </c>
      <c r="X286" t="str">
        <f t="shared" si="38"/>
        <v>Clear</v>
      </c>
    </row>
    <row r="287" spans="1:24">
      <c r="A287">
        <v>286</v>
      </c>
      <c r="B287" s="2">
        <v>40556</v>
      </c>
      <c r="C287">
        <v>1</v>
      </c>
      <c r="D287">
        <v>0</v>
      </c>
      <c r="E287">
        <v>1</v>
      </c>
      <c r="F287">
        <v>8</v>
      </c>
      <c r="G287" t="b">
        <v>0</v>
      </c>
      <c r="H287">
        <v>4</v>
      </c>
      <c r="I287">
        <v>1</v>
      </c>
      <c r="J287">
        <v>0.14000000000000001</v>
      </c>
      <c r="K287">
        <v>0.13639999999999999</v>
      </c>
      <c r="L287">
        <v>0.5</v>
      </c>
      <c r="M287">
        <v>0.19400000000000001</v>
      </c>
      <c r="N287">
        <v>5</v>
      </c>
      <c r="O287">
        <v>197</v>
      </c>
      <c r="P287">
        <v>202</v>
      </c>
      <c r="Q287" t="str">
        <f t="shared" si="32"/>
        <v>Complete</v>
      </c>
      <c r="R287">
        <f t="shared" si="39"/>
        <v>0.13639999999999999</v>
      </c>
      <c r="S287">
        <f t="shared" si="33"/>
        <v>2011</v>
      </c>
      <c r="T287" t="str">
        <f t="shared" si="34"/>
        <v>January</v>
      </c>
      <c r="U287" t="str">
        <f t="shared" si="35"/>
        <v>Weekday</v>
      </c>
      <c r="V287" t="str">
        <f t="shared" si="36"/>
        <v>Morning</v>
      </c>
      <c r="W287" t="str">
        <f t="shared" si="37"/>
        <v>Spring</v>
      </c>
      <c r="X287" t="str">
        <f t="shared" si="38"/>
        <v>Clear</v>
      </c>
    </row>
    <row r="288" spans="1:24">
      <c r="A288">
        <v>287</v>
      </c>
      <c r="B288" s="2">
        <v>40556</v>
      </c>
      <c r="C288">
        <v>1</v>
      </c>
      <c r="D288">
        <v>0</v>
      </c>
      <c r="E288">
        <v>1</v>
      </c>
      <c r="F288">
        <v>9</v>
      </c>
      <c r="G288" t="b">
        <v>0</v>
      </c>
      <c r="H288">
        <v>4</v>
      </c>
      <c r="I288">
        <v>1</v>
      </c>
      <c r="J288">
        <v>0.14000000000000001</v>
      </c>
      <c r="K288">
        <v>0.1212</v>
      </c>
      <c r="L288">
        <v>0.5</v>
      </c>
      <c r="M288">
        <v>0.32840000000000003</v>
      </c>
      <c r="N288">
        <v>2</v>
      </c>
      <c r="O288">
        <v>137</v>
      </c>
      <c r="P288">
        <v>139</v>
      </c>
      <c r="Q288" t="str">
        <f t="shared" si="32"/>
        <v>Complete</v>
      </c>
      <c r="R288">
        <f t="shared" si="39"/>
        <v>0.1212</v>
      </c>
      <c r="S288">
        <f t="shared" si="33"/>
        <v>2011</v>
      </c>
      <c r="T288" t="str">
        <f t="shared" si="34"/>
        <v>January</v>
      </c>
      <c r="U288" t="str">
        <f t="shared" si="35"/>
        <v>Weekday</v>
      </c>
      <c r="V288" t="str">
        <f t="shared" si="36"/>
        <v>Morning</v>
      </c>
      <c r="W288" t="str">
        <f t="shared" si="37"/>
        <v>Spring</v>
      </c>
      <c r="X288" t="str">
        <f t="shared" si="38"/>
        <v>Clear</v>
      </c>
    </row>
    <row r="289" spans="1:24">
      <c r="A289">
        <v>288</v>
      </c>
      <c r="B289" s="2">
        <v>40556</v>
      </c>
      <c r="C289">
        <v>1</v>
      </c>
      <c r="D289">
        <v>0</v>
      </c>
      <c r="E289">
        <v>1</v>
      </c>
      <c r="F289">
        <v>10</v>
      </c>
      <c r="G289" t="b">
        <v>0</v>
      </c>
      <c r="H289">
        <v>4</v>
      </c>
      <c r="I289">
        <v>2</v>
      </c>
      <c r="J289">
        <v>0.16</v>
      </c>
      <c r="K289">
        <v>0.13639999999999999</v>
      </c>
      <c r="L289">
        <v>0.5</v>
      </c>
      <c r="M289">
        <v>0.35820000000000002</v>
      </c>
      <c r="N289">
        <v>2</v>
      </c>
      <c r="O289">
        <v>36</v>
      </c>
      <c r="P289">
        <v>38</v>
      </c>
      <c r="Q289" t="str">
        <f t="shared" si="32"/>
        <v>Complete</v>
      </c>
      <c r="R289">
        <f t="shared" si="39"/>
        <v>0.13639999999999999</v>
      </c>
      <c r="S289">
        <f t="shared" si="33"/>
        <v>2011</v>
      </c>
      <c r="T289" t="str">
        <f t="shared" si="34"/>
        <v>January</v>
      </c>
      <c r="U289" t="str">
        <f t="shared" si="35"/>
        <v>Weekday</v>
      </c>
      <c r="V289" t="str">
        <f t="shared" si="36"/>
        <v>Morning</v>
      </c>
      <c r="W289" t="str">
        <f t="shared" si="37"/>
        <v>Spring</v>
      </c>
      <c r="X289" t="str">
        <f t="shared" si="38"/>
        <v>Mist/Cloudy</v>
      </c>
    </row>
    <row r="290" spans="1:24">
      <c r="A290">
        <v>289</v>
      </c>
      <c r="B290" s="2">
        <v>40556</v>
      </c>
      <c r="C290">
        <v>1</v>
      </c>
      <c r="D290">
        <v>0</v>
      </c>
      <c r="E290">
        <v>1</v>
      </c>
      <c r="F290">
        <v>11</v>
      </c>
      <c r="G290" t="b">
        <v>0</v>
      </c>
      <c r="H290">
        <v>4</v>
      </c>
      <c r="I290">
        <v>2</v>
      </c>
      <c r="J290">
        <v>0.2</v>
      </c>
      <c r="K290">
        <v>0.16669999999999999</v>
      </c>
      <c r="L290">
        <v>0.44</v>
      </c>
      <c r="M290">
        <v>0.44779999999999998</v>
      </c>
      <c r="N290">
        <v>4</v>
      </c>
      <c r="O290">
        <v>33</v>
      </c>
      <c r="P290">
        <v>37</v>
      </c>
      <c r="Q290" t="str">
        <f t="shared" si="32"/>
        <v>Complete</v>
      </c>
      <c r="R290">
        <f t="shared" si="39"/>
        <v>0.16669999999999999</v>
      </c>
      <c r="S290">
        <f t="shared" si="33"/>
        <v>2011</v>
      </c>
      <c r="T290" t="str">
        <f t="shared" si="34"/>
        <v>January</v>
      </c>
      <c r="U290" t="str">
        <f t="shared" si="35"/>
        <v>Weekday</v>
      </c>
      <c r="V290" t="str">
        <f t="shared" si="36"/>
        <v>Morning</v>
      </c>
      <c r="W290" t="str">
        <f t="shared" si="37"/>
        <v>Spring</v>
      </c>
      <c r="X290" t="str">
        <f t="shared" si="38"/>
        <v>Mist/Cloudy</v>
      </c>
    </row>
    <row r="291" spans="1:24">
      <c r="A291">
        <v>290</v>
      </c>
      <c r="B291" s="2">
        <v>40556</v>
      </c>
      <c r="C291">
        <v>1</v>
      </c>
      <c r="D291">
        <v>0</v>
      </c>
      <c r="E291">
        <v>1</v>
      </c>
      <c r="F291">
        <v>12</v>
      </c>
      <c r="G291" t="b">
        <v>0</v>
      </c>
      <c r="H291">
        <v>4</v>
      </c>
      <c r="I291">
        <v>1</v>
      </c>
      <c r="J291">
        <v>0.2</v>
      </c>
      <c r="K291">
        <v>0.16669999999999999</v>
      </c>
      <c r="L291">
        <v>0.44</v>
      </c>
      <c r="M291">
        <v>0.41789999999999999</v>
      </c>
      <c r="N291">
        <v>3</v>
      </c>
      <c r="O291">
        <v>49</v>
      </c>
      <c r="P291">
        <v>52</v>
      </c>
      <c r="Q291" t="str">
        <f t="shared" si="32"/>
        <v>Complete</v>
      </c>
      <c r="R291">
        <f t="shared" si="39"/>
        <v>0.16669999999999999</v>
      </c>
      <c r="S291">
        <f t="shared" si="33"/>
        <v>2011</v>
      </c>
      <c r="T291" t="str">
        <f t="shared" si="34"/>
        <v>January</v>
      </c>
      <c r="U291" t="str">
        <f t="shared" si="35"/>
        <v>Weekday</v>
      </c>
      <c r="V291" t="str">
        <f t="shared" si="36"/>
        <v>Afternoon</v>
      </c>
      <c r="W291" t="str">
        <f t="shared" si="37"/>
        <v>Spring</v>
      </c>
      <c r="X291" t="str">
        <f t="shared" si="38"/>
        <v>Clear</v>
      </c>
    </row>
    <row r="292" spans="1:24">
      <c r="A292">
        <v>291</v>
      </c>
      <c r="B292" s="2">
        <v>40556</v>
      </c>
      <c r="C292">
        <v>1</v>
      </c>
      <c r="D292">
        <v>0</v>
      </c>
      <c r="E292">
        <v>1</v>
      </c>
      <c r="F292">
        <v>13</v>
      </c>
      <c r="G292" t="b">
        <v>0</v>
      </c>
      <c r="H292">
        <v>4</v>
      </c>
      <c r="I292">
        <v>1</v>
      </c>
      <c r="J292">
        <v>0.22</v>
      </c>
      <c r="K292">
        <v>0.19700000000000001</v>
      </c>
      <c r="L292">
        <v>0.41</v>
      </c>
      <c r="M292">
        <v>0.44779999999999998</v>
      </c>
      <c r="N292">
        <v>2</v>
      </c>
      <c r="O292">
        <v>81</v>
      </c>
      <c r="P292">
        <v>83</v>
      </c>
      <c r="Q292" t="str">
        <f t="shared" si="32"/>
        <v>Complete</v>
      </c>
      <c r="R292">
        <f t="shared" si="39"/>
        <v>0.19700000000000001</v>
      </c>
      <c r="S292">
        <f t="shared" si="33"/>
        <v>2011</v>
      </c>
      <c r="T292" t="str">
        <f t="shared" si="34"/>
        <v>January</v>
      </c>
      <c r="U292" t="str">
        <f t="shared" si="35"/>
        <v>Weekday</v>
      </c>
      <c r="V292" t="str">
        <f t="shared" si="36"/>
        <v>Afternoon</v>
      </c>
      <c r="W292" t="str">
        <f t="shared" si="37"/>
        <v>Spring</v>
      </c>
      <c r="X292" t="str">
        <f t="shared" si="38"/>
        <v>Clear</v>
      </c>
    </row>
    <row r="293" spans="1:24">
      <c r="A293">
        <v>292</v>
      </c>
      <c r="B293" s="2">
        <v>40556</v>
      </c>
      <c r="C293">
        <v>1</v>
      </c>
      <c r="D293">
        <v>0</v>
      </c>
      <c r="E293">
        <v>1</v>
      </c>
      <c r="F293">
        <v>14</v>
      </c>
      <c r="G293" t="b">
        <v>0</v>
      </c>
      <c r="H293">
        <v>4</v>
      </c>
      <c r="I293">
        <v>1</v>
      </c>
      <c r="J293">
        <v>0.22</v>
      </c>
      <c r="K293">
        <v>0.19700000000000001</v>
      </c>
      <c r="L293">
        <v>0.41</v>
      </c>
      <c r="M293">
        <v>0.3881</v>
      </c>
      <c r="N293">
        <v>3</v>
      </c>
      <c r="O293">
        <v>39</v>
      </c>
      <c r="P293">
        <v>42</v>
      </c>
      <c r="Q293" t="str">
        <f t="shared" si="32"/>
        <v>Complete</v>
      </c>
      <c r="R293">
        <f t="shared" si="39"/>
        <v>0.19700000000000001</v>
      </c>
      <c r="S293">
        <f t="shared" si="33"/>
        <v>2011</v>
      </c>
      <c r="T293" t="str">
        <f t="shared" si="34"/>
        <v>January</v>
      </c>
      <c r="U293" t="str">
        <f t="shared" si="35"/>
        <v>Weekday</v>
      </c>
      <c r="V293" t="str">
        <f t="shared" si="36"/>
        <v>Afternoon</v>
      </c>
      <c r="W293" t="str">
        <f t="shared" si="37"/>
        <v>Spring</v>
      </c>
      <c r="X293" t="str">
        <f t="shared" si="38"/>
        <v>Clear</v>
      </c>
    </row>
    <row r="294" spans="1:24">
      <c r="A294">
        <v>293</v>
      </c>
      <c r="B294" s="2">
        <v>40556</v>
      </c>
      <c r="C294">
        <v>1</v>
      </c>
      <c r="D294">
        <v>0</v>
      </c>
      <c r="E294">
        <v>1</v>
      </c>
      <c r="F294">
        <v>15</v>
      </c>
      <c r="G294" t="b">
        <v>0</v>
      </c>
      <c r="H294">
        <v>4</v>
      </c>
      <c r="I294">
        <v>1</v>
      </c>
      <c r="J294">
        <v>0.24</v>
      </c>
      <c r="K294">
        <v>0.21210000000000001</v>
      </c>
      <c r="L294">
        <v>0.38</v>
      </c>
      <c r="M294">
        <v>0.29849999999999999</v>
      </c>
      <c r="N294">
        <v>5</v>
      </c>
      <c r="O294">
        <v>55</v>
      </c>
      <c r="P294">
        <v>60</v>
      </c>
      <c r="Q294" t="str">
        <f t="shared" si="32"/>
        <v>Complete</v>
      </c>
      <c r="R294">
        <f t="shared" si="39"/>
        <v>0.21210000000000001</v>
      </c>
      <c r="S294">
        <f t="shared" si="33"/>
        <v>2011</v>
      </c>
      <c r="T294" t="str">
        <f t="shared" si="34"/>
        <v>January</v>
      </c>
      <c r="U294" t="str">
        <f t="shared" si="35"/>
        <v>Weekday</v>
      </c>
      <c r="V294" t="str">
        <f t="shared" si="36"/>
        <v>Afternoon</v>
      </c>
      <c r="W294" t="str">
        <f t="shared" si="37"/>
        <v>Spring</v>
      </c>
      <c r="X294" t="str">
        <f t="shared" si="38"/>
        <v>Clear</v>
      </c>
    </row>
    <row r="295" spans="1:24">
      <c r="A295">
        <v>294</v>
      </c>
      <c r="B295" s="2">
        <v>40556</v>
      </c>
      <c r="C295">
        <v>1</v>
      </c>
      <c r="D295">
        <v>0</v>
      </c>
      <c r="E295">
        <v>1</v>
      </c>
      <c r="F295">
        <v>16</v>
      </c>
      <c r="G295" t="b">
        <v>0</v>
      </c>
      <c r="H295">
        <v>4</v>
      </c>
      <c r="I295">
        <v>1</v>
      </c>
      <c r="J295">
        <v>0.24</v>
      </c>
      <c r="K295">
        <v>0.21210000000000001</v>
      </c>
      <c r="L295">
        <v>0.38</v>
      </c>
      <c r="M295">
        <v>0.35820000000000002</v>
      </c>
      <c r="N295">
        <v>2</v>
      </c>
      <c r="O295">
        <v>76</v>
      </c>
      <c r="P295">
        <v>78</v>
      </c>
      <c r="Q295" t="str">
        <f t="shared" si="32"/>
        <v>Complete</v>
      </c>
      <c r="R295">
        <f t="shared" si="39"/>
        <v>0.21210000000000001</v>
      </c>
      <c r="S295">
        <f t="shared" si="33"/>
        <v>2011</v>
      </c>
      <c r="T295" t="str">
        <f t="shared" si="34"/>
        <v>January</v>
      </c>
      <c r="U295" t="str">
        <f t="shared" si="35"/>
        <v>Weekday</v>
      </c>
      <c r="V295" t="str">
        <f t="shared" si="36"/>
        <v>Afternoon</v>
      </c>
      <c r="W295" t="str">
        <f t="shared" si="37"/>
        <v>Spring</v>
      </c>
      <c r="X295" t="str">
        <f t="shared" si="38"/>
        <v>Clear</v>
      </c>
    </row>
    <row r="296" spans="1:24">
      <c r="A296">
        <v>295</v>
      </c>
      <c r="B296" s="2">
        <v>40556</v>
      </c>
      <c r="C296">
        <v>1</v>
      </c>
      <c r="D296">
        <v>0</v>
      </c>
      <c r="E296">
        <v>1</v>
      </c>
      <c r="F296">
        <v>17</v>
      </c>
      <c r="G296" t="b">
        <v>0</v>
      </c>
      <c r="H296">
        <v>4</v>
      </c>
      <c r="I296">
        <v>1</v>
      </c>
      <c r="J296">
        <v>0.2</v>
      </c>
      <c r="K296">
        <v>0.18179999999999999</v>
      </c>
      <c r="L296">
        <v>0.4</v>
      </c>
      <c r="M296">
        <v>0.28360000000000002</v>
      </c>
      <c r="N296">
        <v>4</v>
      </c>
      <c r="O296">
        <v>158</v>
      </c>
      <c r="P296">
        <v>162</v>
      </c>
      <c r="Q296" t="str">
        <f t="shared" si="32"/>
        <v>Complete</v>
      </c>
      <c r="R296">
        <f t="shared" si="39"/>
        <v>0.18179999999999999</v>
      </c>
      <c r="S296">
        <f t="shared" si="33"/>
        <v>2011</v>
      </c>
      <c r="T296" t="str">
        <f t="shared" si="34"/>
        <v>January</v>
      </c>
      <c r="U296" t="str">
        <f t="shared" si="35"/>
        <v>Weekday</v>
      </c>
      <c r="V296" t="str">
        <f t="shared" si="36"/>
        <v>Afternoon</v>
      </c>
      <c r="W296" t="str">
        <f t="shared" si="37"/>
        <v>Spring</v>
      </c>
      <c r="X296" t="str">
        <f t="shared" si="38"/>
        <v>Clear</v>
      </c>
    </row>
    <row r="297" spans="1:24">
      <c r="A297">
        <v>296</v>
      </c>
      <c r="B297" s="2">
        <v>40556</v>
      </c>
      <c r="C297">
        <v>1</v>
      </c>
      <c r="D297">
        <v>0</v>
      </c>
      <c r="E297">
        <v>1</v>
      </c>
      <c r="F297">
        <v>18</v>
      </c>
      <c r="G297" t="b">
        <v>0</v>
      </c>
      <c r="H297">
        <v>4</v>
      </c>
      <c r="I297">
        <v>1</v>
      </c>
      <c r="J297">
        <v>0.2</v>
      </c>
      <c r="K297">
        <v>0.18179999999999999</v>
      </c>
      <c r="L297">
        <v>0.4</v>
      </c>
      <c r="M297">
        <v>0.32840000000000003</v>
      </c>
      <c r="N297">
        <v>3</v>
      </c>
      <c r="O297">
        <v>141</v>
      </c>
      <c r="P297">
        <v>144</v>
      </c>
      <c r="Q297" t="str">
        <f t="shared" si="32"/>
        <v>Complete</v>
      </c>
      <c r="R297">
        <f t="shared" si="39"/>
        <v>0.18179999999999999</v>
      </c>
      <c r="S297">
        <f t="shared" si="33"/>
        <v>2011</v>
      </c>
      <c r="T297" t="str">
        <f t="shared" si="34"/>
        <v>January</v>
      </c>
      <c r="U297" t="str">
        <f t="shared" si="35"/>
        <v>Weekday</v>
      </c>
      <c r="V297" t="str">
        <f t="shared" si="36"/>
        <v>Evening</v>
      </c>
      <c r="W297" t="str">
        <f t="shared" si="37"/>
        <v>Spring</v>
      </c>
      <c r="X297" t="str">
        <f t="shared" si="38"/>
        <v>Clear</v>
      </c>
    </row>
    <row r="298" spans="1:24">
      <c r="A298">
        <v>297</v>
      </c>
      <c r="B298" s="2">
        <v>40556</v>
      </c>
      <c r="C298">
        <v>1</v>
      </c>
      <c r="D298">
        <v>0</v>
      </c>
      <c r="E298">
        <v>1</v>
      </c>
      <c r="F298">
        <v>19</v>
      </c>
      <c r="G298" t="b">
        <v>0</v>
      </c>
      <c r="H298">
        <v>4</v>
      </c>
      <c r="I298">
        <v>1</v>
      </c>
      <c r="J298">
        <v>0.16</v>
      </c>
      <c r="K298">
        <v>0.1515</v>
      </c>
      <c r="L298">
        <v>0.47</v>
      </c>
      <c r="M298">
        <v>0.25369999999999998</v>
      </c>
      <c r="N298">
        <v>1</v>
      </c>
      <c r="O298">
        <v>98</v>
      </c>
      <c r="P298">
        <v>99</v>
      </c>
      <c r="Q298" t="str">
        <f t="shared" si="32"/>
        <v>Complete</v>
      </c>
      <c r="R298">
        <f t="shared" si="39"/>
        <v>0.1515</v>
      </c>
      <c r="S298">
        <f t="shared" si="33"/>
        <v>2011</v>
      </c>
      <c r="T298" t="str">
        <f t="shared" si="34"/>
        <v>January</v>
      </c>
      <c r="U298" t="str">
        <f t="shared" si="35"/>
        <v>Weekday</v>
      </c>
      <c r="V298" t="str">
        <f t="shared" si="36"/>
        <v>Evening</v>
      </c>
      <c r="W298" t="str">
        <f t="shared" si="37"/>
        <v>Spring</v>
      </c>
      <c r="X298" t="str">
        <f t="shared" si="38"/>
        <v>Clear</v>
      </c>
    </row>
    <row r="299" spans="1:24">
      <c r="A299">
        <v>298</v>
      </c>
      <c r="B299" s="2">
        <v>40556</v>
      </c>
      <c r="C299">
        <v>1</v>
      </c>
      <c r="D299">
        <v>0</v>
      </c>
      <c r="E299">
        <v>1</v>
      </c>
      <c r="F299">
        <v>20</v>
      </c>
      <c r="G299" t="b">
        <v>0</v>
      </c>
      <c r="H299">
        <v>4</v>
      </c>
      <c r="I299">
        <v>1</v>
      </c>
      <c r="J299">
        <v>0.16</v>
      </c>
      <c r="K299">
        <v>0.1515</v>
      </c>
      <c r="L299">
        <v>0.47</v>
      </c>
      <c r="M299">
        <v>0.22389999999999999</v>
      </c>
      <c r="N299">
        <v>0</v>
      </c>
      <c r="O299">
        <v>64</v>
      </c>
      <c r="P299">
        <v>64</v>
      </c>
      <c r="Q299" t="str">
        <f t="shared" si="32"/>
        <v>Complete</v>
      </c>
      <c r="R299">
        <f t="shared" si="39"/>
        <v>0.1515</v>
      </c>
      <c r="S299">
        <f t="shared" si="33"/>
        <v>2011</v>
      </c>
      <c r="T299" t="str">
        <f t="shared" si="34"/>
        <v>January</v>
      </c>
      <c r="U299" t="str">
        <f t="shared" si="35"/>
        <v>Weekday</v>
      </c>
      <c r="V299" t="str">
        <f t="shared" si="36"/>
        <v>Evening</v>
      </c>
      <c r="W299" t="str">
        <f t="shared" si="37"/>
        <v>Spring</v>
      </c>
      <c r="X299" t="str">
        <f t="shared" si="38"/>
        <v>Clear</v>
      </c>
    </row>
    <row r="300" spans="1:24">
      <c r="A300">
        <v>299</v>
      </c>
      <c r="B300" s="2">
        <v>40556</v>
      </c>
      <c r="C300">
        <v>1</v>
      </c>
      <c r="D300">
        <v>0</v>
      </c>
      <c r="E300">
        <v>1</v>
      </c>
      <c r="F300">
        <v>21</v>
      </c>
      <c r="G300" t="b">
        <v>0</v>
      </c>
      <c r="H300">
        <v>4</v>
      </c>
      <c r="I300">
        <v>1</v>
      </c>
      <c r="J300">
        <v>0.14000000000000001</v>
      </c>
      <c r="K300">
        <v>0.1212</v>
      </c>
      <c r="L300">
        <v>0.46</v>
      </c>
      <c r="M300">
        <v>0.29849999999999999</v>
      </c>
      <c r="N300">
        <v>0</v>
      </c>
      <c r="O300">
        <v>40</v>
      </c>
      <c r="P300">
        <v>40</v>
      </c>
      <c r="Q300" t="str">
        <f t="shared" si="32"/>
        <v>Complete</v>
      </c>
      <c r="R300">
        <f t="shared" si="39"/>
        <v>0.1212</v>
      </c>
      <c r="S300">
        <f t="shared" si="33"/>
        <v>2011</v>
      </c>
      <c r="T300" t="str">
        <f t="shared" si="34"/>
        <v>January</v>
      </c>
      <c r="U300" t="str">
        <f t="shared" si="35"/>
        <v>Weekday</v>
      </c>
      <c r="V300" t="str">
        <f t="shared" si="36"/>
        <v>Evening</v>
      </c>
      <c r="W300" t="str">
        <f t="shared" si="37"/>
        <v>Spring</v>
      </c>
      <c r="X300" t="str">
        <f t="shared" si="38"/>
        <v>Clear</v>
      </c>
    </row>
    <row r="301" spans="1:24">
      <c r="A301">
        <v>300</v>
      </c>
      <c r="B301" s="2">
        <v>40556</v>
      </c>
      <c r="C301">
        <v>1</v>
      </c>
      <c r="D301">
        <v>0</v>
      </c>
      <c r="E301">
        <v>1</v>
      </c>
      <c r="F301">
        <v>22</v>
      </c>
      <c r="G301" t="b">
        <v>0</v>
      </c>
      <c r="H301">
        <v>4</v>
      </c>
      <c r="I301">
        <v>1</v>
      </c>
      <c r="J301">
        <v>0.14000000000000001</v>
      </c>
      <c r="K301">
        <v>0.1212</v>
      </c>
      <c r="L301">
        <v>0.46</v>
      </c>
      <c r="M301">
        <v>0.32840000000000003</v>
      </c>
      <c r="N301">
        <v>0</v>
      </c>
      <c r="O301">
        <v>30</v>
      </c>
      <c r="P301">
        <v>30</v>
      </c>
      <c r="Q301" t="str">
        <f t="shared" si="32"/>
        <v>Complete</v>
      </c>
      <c r="R301">
        <f t="shared" si="39"/>
        <v>0.1212</v>
      </c>
      <c r="S301">
        <f t="shared" si="33"/>
        <v>2011</v>
      </c>
      <c r="T301" t="str">
        <f t="shared" si="34"/>
        <v>January</v>
      </c>
      <c r="U301" t="str">
        <f t="shared" si="35"/>
        <v>Weekday</v>
      </c>
      <c r="V301" t="str">
        <f t="shared" si="36"/>
        <v>Evening</v>
      </c>
      <c r="W301" t="str">
        <f t="shared" si="37"/>
        <v>Spring</v>
      </c>
      <c r="X301" t="str">
        <f t="shared" si="38"/>
        <v>Clear</v>
      </c>
    </row>
    <row r="302" spans="1:24">
      <c r="A302">
        <v>301</v>
      </c>
      <c r="B302" s="2">
        <v>40556</v>
      </c>
      <c r="C302">
        <v>1</v>
      </c>
      <c r="D302">
        <v>0</v>
      </c>
      <c r="E302">
        <v>1</v>
      </c>
      <c r="F302">
        <v>23</v>
      </c>
      <c r="G302" t="b">
        <v>0</v>
      </c>
      <c r="H302">
        <v>4</v>
      </c>
      <c r="I302">
        <v>1</v>
      </c>
      <c r="J302">
        <v>0.12</v>
      </c>
      <c r="K302">
        <v>0.13639999999999999</v>
      </c>
      <c r="L302">
        <v>0.5</v>
      </c>
      <c r="M302">
        <v>0.19400000000000001</v>
      </c>
      <c r="N302">
        <v>1</v>
      </c>
      <c r="O302">
        <v>14</v>
      </c>
      <c r="P302">
        <v>15</v>
      </c>
      <c r="Q302" t="str">
        <f t="shared" si="32"/>
        <v>Complete</v>
      </c>
      <c r="R302">
        <f t="shared" si="39"/>
        <v>0.13639999999999999</v>
      </c>
      <c r="S302">
        <f t="shared" si="33"/>
        <v>2011</v>
      </c>
      <c r="T302" t="str">
        <f t="shared" si="34"/>
        <v>January</v>
      </c>
      <c r="U302" t="str">
        <f t="shared" si="35"/>
        <v>Weekday</v>
      </c>
      <c r="V302" t="str">
        <f t="shared" si="36"/>
        <v>Evening</v>
      </c>
      <c r="W302" t="str">
        <f t="shared" si="37"/>
        <v>Spring</v>
      </c>
      <c r="X302" t="str">
        <f t="shared" si="38"/>
        <v>Clear</v>
      </c>
    </row>
    <row r="303" spans="1:24">
      <c r="A303">
        <v>302</v>
      </c>
      <c r="B303" s="2">
        <v>40557</v>
      </c>
      <c r="C303">
        <v>1</v>
      </c>
      <c r="D303">
        <v>0</v>
      </c>
      <c r="E303">
        <v>1</v>
      </c>
      <c r="F303">
        <v>0</v>
      </c>
      <c r="G303" t="b">
        <v>0</v>
      </c>
      <c r="H303">
        <v>5</v>
      </c>
      <c r="I303">
        <v>1</v>
      </c>
      <c r="J303">
        <v>0.12</v>
      </c>
      <c r="K303">
        <v>0.13639999999999999</v>
      </c>
      <c r="L303">
        <v>0.5</v>
      </c>
      <c r="M303">
        <v>0.19400000000000001</v>
      </c>
      <c r="N303">
        <v>0</v>
      </c>
      <c r="O303">
        <v>14</v>
      </c>
      <c r="P303">
        <v>14</v>
      </c>
      <c r="Q303" t="str">
        <f t="shared" si="32"/>
        <v>Complete</v>
      </c>
      <c r="R303">
        <f t="shared" si="39"/>
        <v>0.13639999999999999</v>
      </c>
      <c r="S303">
        <f t="shared" si="33"/>
        <v>2011</v>
      </c>
      <c r="T303" t="str">
        <f t="shared" si="34"/>
        <v>January</v>
      </c>
      <c r="U303" t="str">
        <f t="shared" si="35"/>
        <v>Weekday</v>
      </c>
      <c r="V303" t="str">
        <f t="shared" si="36"/>
        <v>Night</v>
      </c>
      <c r="W303" t="str">
        <f t="shared" si="37"/>
        <v>Spring</v>
      </c>
      <c r="X303" t="str">
        <f t="shared" si="38"/>
        <v>Clear</v>
      </c>
    </row>
    <row r="304" spans="1:24">
      <c r="A304">
        <v>303</v>
      </c>
      <c r="B304" s="2">
        <v>40557</v>
      </c>
      <c r="C304">
        <v>1</v>
      </c>
      <c r="D304">
        <v>0</v>
      </c>
      <c r="E304">
        <v>1</v>
      </c>
      <c r="F304">
        <v>1</v>
      </c>
      <c r="G304" t="b">
        <v>0</v>
      </c>
      <c r="H304">
        <v>5</v>
      </c>
      <c r="I304">
        <v>1</v>
      </c>
      <c r="J304">
        <v>0.1</v>
      </c>
      <c r="K304">
        <v>0.1212</v>
      </c>
      <c r="L304">
        <v>0.54</v>
      </c>
      <c r="M304">
        <v>0.16420000000000001</v>
      </c>
      <c r="N304">
        <v>0</v>
      </c>
      <c r="O304">
        <v>5</v>
      </c>
      <c r="P304">
        <v>5</v>
      </c>
      <c r="Q304" t="str">
        <f t="shared" si="32"/>
        <v>Complete</v>
      </c>
      <c r="R304">
        <f t="shared" si="39"/>
        <v>0.1212</v>
      </c>
      <c r="S304">
        <f t="shared" si="33"/>
        <v>2011</v>
      </c>
      <c r="T304" t="str">
        <f t="shared" si="34"/>
        <v>January</v>
      </c>
      <c r="U304" t="str">
        <f t="shared" si="35"/>
        <v>Weekday</v>
      </c>
      <c r="V304" t="str">
        <f t="shared" si="36"/>
        <v>Night</v>
      </c>
      <c r="W304" t="str">
        <f t="shared" si="37"/>
        <v>Spring</v>
      </c>
      <c r="X304" t="str">
        <f t="shared" si="38"/>
        <v>Clear</v>
      </c>
    </row>
    <row r="305" spans="1:24">
      <c r="A305">
        <v>304</v>
      </c>
      <c r="B305" s="2">
        <v>40557</v>
      </c>
      <c r="C305">
        <v>1</v>
      </c>
      <c r="D305">
        <v>0</v>
      </c>
      <c r="E305">
        <v>1</v>
      </c>
      <c r="F305">
        <v>2</v>
      </c>
      <c r="G305" t="b">
        <v>0</v>
      </c>
      <c r="H305">
        <v>5</v>
      </c>
      <c r="I305">
        <v>1</v>
      </c>
      <c r="J305">
        <v>0.1</v>
      </c>
      <c r="K305">
        <v>0.1212</v>
      </c>
      <c r="L305">
        <v>0.54</v>
      </c>
      <c r="M305">
        <v>0.1343</v>
      </c>
      <c r="N305">
        <v>0</v>
      </c>
      <c r="O305">
        <v>1</v>
      </c>
      <c r="P305">
        <v>1</v>
      </c>
      <c r="Q305" t="str">
        <f t="shared" si="32"/>
        <v>Complete</v>
      </c>
      <c r="R305">
        <f t="shared" si="39"/>
        <v>0.1212</v>
      </c>
      <c r="S305">
        <f t="shared" si="33"/>
        <v>2011</v>
      </c>
      <c r="T305" t="str">
        <f t="shared" si="34"/>
        <v>January</v>
      </c>
      <c r="U305" t="str">
        <f t="shared" si="35"/>
        <v>Weekday</v>
      </c>
      <c r="V305" t="str">
        <f t="shared" si="36"/>
        <v>Night</v>
      </c>
      <c r="W305" t="str">
        <f t="shared" si="37"/>
        <v>Spring</v>
      </c>
      <c r="X305" t="str">
        <f t="shared" si="38"/>
        <v>Clear</v>
      </c>
    </row>
    <row r="306" spans="1:24">
      <c r="A306">
        <v>305</v>
      </c>
      <c r="B306" s="2">
        <v>40557</v>
      </c>
      <c r="C306">
        <v>1</v>
      </c>
      <c r="D306">
        <v>0</v>
      </c>
      <c r="E306">
        <v>1</v>
      </c>
      <c r="F306">
        <v>3</v>
      </c>
      <c r="G306" t="b">
        <v>0</v>
      </c>
      <c r="H306">
        <v>5</v>
      </c>
      <c r="I306">
        <v>1</v>
      </c>
      <c r="J306">
        <v>0.1</v>
      </c>
      <c r="K306">
        <v>0.13639999999999999</v>
      </c>
      <c r="L306">
        <v>0.54</v>
      </c>
      <c r="M306">
        <v>0.1045</v>
      </c>
      <c r="N306">
        <v>0</v>
      </c>
      <c r="O306">
        <v>1</v>
      </c>
      <c r="P306">
        <v>1</v>
      </c>
      <c r="Q306" t="str">
        <f t="shared" si="32"/>
        <v>Complete</v>
      </c>
      <c r="R306">
        <f t="shared" si="39"/>
        <v>0.13639999999999999</v>
      </c>
      <c r="S306">
        <f t="shared" si="33"/>
        <v>2011</v>
      </c>
      <c r="T306" t="str">
        <f t="shared" si="34"/>
        <v>January</v>
      </c>
      <c r="U306" t="str">
        <f t="shared" si="35"/>
        <v>Weekday</v>
      </c>
      <c r="V306" t="str">
        <f t="shared" si="36"/>
        <v>Night</v>
      </c>
      <c r="W306" t="str">
        <f t="shared" si="37"/>
        <v>Spring</v>
      </c>
      <c r="X306" t="str">
        <f t="shared" si="38"/>
        <v>Clear</v>
      </c>
    </row>
    <row r="307" spans="1:24">
      <c r="A307">
        <v>306</v>
      </c>
      <c r="B307" s="2">
        <v>40557</v>
      </c>
      <c r="C307">
        <v>1</v>
      </c>
      <c r="D307">
        <v>0</v>
      </c>
      <c r="E307">
        <v>1</v>
      </c>
      <c r="F307">
        <v>5</v>
      </c>
      <c r="G307" t="b">
        <v>0</v>
      </c>
      <c r="H307">
        <v>5</v>
      </c>
      <c r="I307">
        <v>1</v>
      </c>
      <c r="J307">
        <v>0.1</v>
      </c>
      <c r="K307">
        <v>0.13639999999999999</v>
      </c>
      <c r="L307">
        <v>0.54</v>
      </c>
      <c r="M307">
        <v>8.9599999999999999E-2</v>
      </c>
      <c r="N307">
        <v>0</v>
      </c>
      <c r="O307">
        <v>8</v>
      </c>
      <c r="P307">
        <v>8</v>
      </c>
      <c r="Q307" t="str">
        <f t="shared" si="32"/>
        <v>Complete</v>
      </c>
      <c r="R307">
        <f t="shared" si="39"/>
        <v>0.13639999999999999</v>
      </c>
      <c r="S307">
        <f t="shared" si="33"/>
        <v>2011</v>
      </c>
      <c r="T307" t="str">
        <f t="shared" si="34"/>
        <v>January</v>
      </c>
      <c r="U307" t="str">
        <f t="shared" si="35"/>
        <v>Weekday</v>
      </c>
      <c r="V307" t="str">
        <f t="shared" si="36"/>
        <v>Night</v>
      </c>
      <c r="W307" t="str">
        <f t="shared" si="37"/>
        <v>Spring</v>
      </c>
      <c r="X307" t="str">
        <f t="shared" si="38"/>
        <v>Clear</v>
      </c>
    </row>
    <row r="308" spans="1:24">
      <c r="A308">
        <v>307</v>
      </c>
      <c r="B308" s="2">
        <v>40557</v>
      </c>
      <c r="C308">
        <v>1</v>
      </c>
      <c r="D308">
        <v>0</v>
      </c>
      <c r="E308">
        <v>1</v>
      </c>
      <c r="F308">
        <v>6</v>
      </c>
      <c r="G308" t="b">
        <v>0</v>
      </c>
      <c r="H308">
        <v>5</v>
      </c>
      <c r="I308">
        <v>1</v>
      </c>
      <c r="J308">
        <v>0.1</v>
      </c>
      <c r="K308">
        <v>0.18179999999999999</v>
      </c>
      <c r="L308">
        <v>0.54</v>
      </c>
      <c r="M308">
        <v>0</v>
      </c>
      <c r="N308">
        <v>0</v>
      </c>
      <c r="O308">
        <v>17</v>
      </c>
      <c r="P308">
        <v>17</v>
      </c>
      <c r="Q308" t="str">
        <f t="shared" si="32"/>
        <v>Complete</v>
      </c>
      <c r="R308">
        <f t="shared" si="39"/>
        <v>0.18179999999999999</v>
      </c>
      <c r="S308">
        <f t="shared" si="33"/>
        <v>2011</v>
      </c>
      <c r="T308" t="str">
        <f t="shared" si="34"/>
        <v>January</v>
      </c>
      <c r="U308" t="str">
        <f t="shared" si="35"/>
        <v>Weekday</v>
      </c>
      <c r="V308" t="str">
        <f t="shared" si="36"/>
        <v>Morning</v>
      </c>
      <c r="W308" t="str">
        <f t="shared" si="37"/>
        <v>Spring</v>
      </c>
      <c r="X308" t="str">
        <f t="shared" si="38"/>
        <v>Clear</v>
      </c>
    </row>
    <row r="309" spans="1:24">
      <c r="A309">
        <v>308</v>
      </c>
      <c r="B309" s="2">
        <v>40557</v>
      </c>
      <c r="C309">
        <v>1</v>
      </c>
      <c r="D309">
        <v>0</v>
      </c>
      <c r="E309">
        <v>1</v>
      </c>
      <c r="F309">
        <v>7</v>
      </c>
      <c r="G309" t="b">
        <v>0</v>
      </c>
      <c r="H309">
        <v>5</v>
      </c>
      <c r="I309">
        <v>1</v>
      </c>
      <c r="J309">
        <v>0.1</v>
      </c>
      <c r="K309">
        <v>0.1212</v>
      </c>
      <c r="L309">
        <v>0.74</v>
      </c>
      <c r="M309">
        <v>0.16420000000000001</v>
      </c>
      <c r="N309">
        <v>0</v>
      </c>
      <c r="O309">
        <v>70</v>
      </c>
      <c r="P309">
        <v>70</v>
      </c>
      <c r="Q309" t="str">
        <f t="shared" si="32"/>
        <v>Complete</v>
      </c>
      <c r="R309">
        <f t="shared" si="39"/>
        <v>0.1212</v>
      </c>
      <c r="S309">
        <f t="shared" si="33"/>
        <v>2011</v>
      </c>
      <c r="T309" t="str">
        <f t="shared" si="34"/>
        <v>January</v>
      </c>
      <c r="U309" t="str">
        <f t="shared" si="35"/>
        <v>Weekday</v>
      </c>
      <c r="V309" t="str">
        <f t="shared" si="36"/>
        <v>Morning</v>
      </c>
      <c r="W309" t="str">
        <f t="shared" si="37"/>
        <v>Spring</v>
      </c>
      <c r="X309" t="str">
        <f t="shared" si="38"/>
        <v>Clear</v>
      </c>
    </row>
    <row r="310" spans="1:24">
      <c r="A310">
        <v>309</v>
      </c>
      <c r="B310" s="2">
        <v>40557</v>
      </c>
      <c r="C310">
        <v>1</v>
      </c>
      <c r="D310">
        <v>0</v>
      </c>
      <c r="E310">
        <v>1</v>
      </c>
      <c r="F310">
        <v>8</v>
      </c>
      <c r="G310" t="b">
        <v>0</v>
      </c>
      <c r="H310">
        <v>5</v>
      </c>
      <c r="I310">
        <v>1</v>
      </c>
      <c r="J310">
        <v>0.12</v>
      </c>
      <c r="K310">
        <v>0.16669999999999999</v>
      </c>
      <c r="L310">
        <v>0.68</v>
      </c>
      <c r="M310">
        <v>0</v>
      </c>
      <c r="N310">
        <v>2</v>
      </c>
      <c r="O310">
        <v>156</v>
      </c>
      <c r="P310">
        <v>158</v>
      </c>
      <c r="Q310" t="str">
        <f t="shared" si="32"/>
        <v>Complete</v>
      </c>
      <c r="R310">
        <f t="shared" si="39"/>
        <v>0.16669999999999999</v>
      </c>
      <c r="S310">
        <f t="shared" si="33"/>
        <v>2011</v>
      </c>
      <c r="T310" t="str">
        <f t="shared" si="34"/>
        <v>January</v>
      </c>
      <c r="U310" t="str">
        <f t="shared" si="35"/>
        <v>Weekday</v>
      </c>
      <c r="V310" t="str">
        <f t="shared" si="36"/>
        <v>Morning</v>
      </c>
      <c r="W310" t="str">
        <f t="shared" si="37"/>
        <v>Spring</v>
      </c>
      <c r="X310" t="str">
        <f t="shared" si="38"/>
        <v>Clear</v>
      </c>
    </row>
    <row r="311" spans="1:24">
      <c r="A311">
        <v>310</v>
      </c>
      <c r="B311" s="2">
        <v>40557</v>
      </c>
      <c r="C311">
        <v>1</v>
      </c>
      <c r="D311">
        <v>0</v>
      </c>
      <c r="E311">
        <v>1</v>
      </c>
      <c r="F311">
        <v>9</v>
      </c>
      <c r="G311" t="b">
        <v>0</v>
      </c>
      <c r="H311">
        <v>5</v>
      </c>
      <c r="I311">
        <v>1</v>
      </c>
      <c r="J311">
        <v>0.14000000000000001</v>
      </c>
      <c r="K311">
        <v>0.1515</v>
      </c>
      <c r="L311">
        <v>0.69</v>
      </c>
      <c r="M311">
        <v>0.1343</v>
      </c>
      <c r="N311">
        <v>0</v>
      </c>
      <c r="O311">
        <v>117</v>
      </c>
      <c r="P311">
        <v>117</v>
      </c>
      <c r="Q311" t="str">
        <f t="shared" si="32"/>
        <v>Complete</v>
      </c>
      <c r="R311">
        <f t="shared" si="39"/>
        <v>0.1515</v>
      </c>
      <c r="S311">
        <f t="shared" si="33"/>
        <v>2011</v>
      </c>
      <c r="T311" t="str">
        <f t="shared" si="34"/>
        <v>January</v>
      </c>
      <c r="U311" t="str">
        <f t="shared" si="35"/>
        <v>Weekday</v>
      </c>
      <c r="V311" t="str">
        <f t="shared" si="36"/>
        <v>Morning</v>
      </c>
      <c r="W311" t="str">
        <f t="shared" si="37"/>
        <v>Spring</v>
      </c>
      <c r="X311" t="str">
        <f t="shared" si="38"/>
        <v>Clear</v>
      </c>
    </row>
    <row r="312" spans="1:24">
      <c r="A312">
        <v>311</v>
      </c>
      <c r="B312" s="2">
        <v>40557</v>
      </c>
      <c r="C312">
        <v>1</v>
      </c>
      <c r="D312">
        <v>0</v>
      </c>
      <c r="E312">
        <v>1</v>
      </c>
      <c r="F312">
        <v>10</v>
      </c>
      <c r="G312" t="b">
        <v>0</v>
      </c>
      <c r="H312">
        <v>5</v>
      </c>
      <c r="I312">
        <v>1</v>
      </c>
      <c r="J312">
        <v>0.18</v>
      </c>
      <c r="K312">
        <v>0.18179999999999999</v>
      </c>
      <c r="L312">
        <v>0.55000000000000004</v>
      </c>
      <c r="M312">
        <v>0.19400000000000001</v>
      </c>
      <c r="N312">
        <v>4</v>
      </c>
      <c r="O312">
        <v>40</v>
      </c>
      <c r="P312">
        <v>44</v>
      </c>
      <c r="Q312" t="str">
        <f t="shared" si="32"/>
        <v>Complete</v>
      </c>
      <c r="R312">
        <f t="shared" si="39"/>
        <v>0.18179999999999999</v>
      </c>
      <c r="S312">
        <f t="shared" si="33"/>
        <v>2011</v>
      </c>
      <c r="T312" t="str">
        <f t="shared" si="34"/>
        <v>January</v>
      </c>
      <c r="U312" t="str">
        <f t="shared" si="35"/>
        <v>Weekday</v>
      </c>
      <c r="V312" t="str">
        <f t="shared" si="36"/>
        <v>Morning</v>
      </c>
      <c r="W312" t="str">
        <f t="shared" si="37"/>
        <v>Spring</v>
      </c>
      <c r="X312" t="str">
        <f t="shared" si="38"/>
        <v>Clear</v>
      </c>
    </row>
    <row r="313" spans="1:24">
      <c r="A313">
        <v>312</v>
      </c>
      <c r="B313" s="2">
        <v>40557</v>
      </c>
      <c r="C313">
        <v>1</v>
      </c>
      <c r="D313">
        <v>0</v>
      </c>
      <c r="E313">
        <v>1</v>
      </c>
      <c r="F313">
        <v>11</v>
      </c>
      <c r="G313" t="b">
        <v>0</v>
      </c>
      <c r="H313">
        <v>5</v>
      </c>
      <c r="I313">
        <v>1</v>
      </c>
      <c r="J313">
        <v>0.18</v>
      </c>
      <c r="K313">
        <v>0.16669999999999999</v>
      </c>
      <c r="L313">
        <v>0.51</v>
      </c>
      <c r="M313">
        <v>0.28360000000000002</v>
      </c>
      <c r="N313">
        <v>6</v>
      </c>
      <c r="O313">
        <v>47</v>
      </c>
      <c r="P313">
        <v>53</v>
      </c>
      <c r="Q313" t="str">
        <f t="shared" si="32"/>
        <v>Complete</v>
      </c>
      <c r="R313">
        <f t="shared" si="39"/>
        <v>0.16669999999999999</v>
      </c>
      <c r="S313">
        <f t="shared" si="33"/>
        <v>2011</v>
      </c>
      <c r="T313" t="str">
        <f t="shared" si="34"/>
        <v>January</v>
      </c>
      <c r="U313" t="str">
        <f t="shared" si="35"/>
        <v>Weekday</v>
      </c>
      <c r="V313" t="str">
        <f t="shared" si="36"/>
        <v>Morning</v>
      </c>
      <c r="W313" t="str">
        <f t="shared" si="37"/>
        <v>Spring</v>
      </c>
      <c r="X313" t="str">
        <f t="shared" si="38"/>
        <v>Clear</v>
      </c>
    </row>
    <row r="314" spans="1:24">
      <c r="A314">
        <v>313</v>
      </c>
      <c r="B314" s="2">
        <v>40557</v>
      </c>
      <c r="C314">
        <v>1</v>
      </c>
      <c r="D314">
        <v>0</v>
      </c>
      <c r="E314">
        <v>1</v>
      </c>
      <c r="F314">
        <v>12</v>
      </c>
      <c r="G314" t="b">
        <v>0</v>
      </c>
      <c r="H314">
        <v>5</v>
      </c>
      <c r="I314">
        <v>1</v>
      </c>
      <c r="J314">
        <v>0.2</v>
      </c>
      <c r="K314">
        <v>0.19700000000000001</v>
      </c>
      <c r="L314">
        <v>0.44</v>
      </c>
      <c r="M314">
        <v>0.25369999999999998</v>
      </c>
      <c r="N314">
        <v>2</v>
      </c>
      <c r="O314">
        <v>59</v>
      </c>
      <c r="P314">
        <v>61</v>
      </c>
      <c r="Q314" t="str">
        <f t="shared" si="32"/>
        <v>Complete</v>
      </c>
      <c r="R314">
        <f t="shared" si="39"/>
        <v>0.19700000000000001</v>
      </c>
      <c r="S314">
        <f t="shared" si="33"/>
        <v>2011</v>
      </c>
      <c r="T314" t="str">
        <f t="shared" si="34"/>
        <v>January</v>
      </c>
      <c r="U314" t="str">
        <f t="shared" si="35"/>
        <v>Weekday</v>
      </c>
      <c r="V314" t="str">
        <f t="shared" si="36"/>
        <v>Afternoon</v>
      </c>
      <c r="W314" t="str">
        <f t="shared" si="37"/>
        <v>Spring</v>
      </c>
      <c r="X314" t="str">
        <f t="shared" si="38"/>
        <v>Clear</v>
      </c>
    </row>
    <row r="315" spans="1:24">
      <c r="A315">
        <v>314</v>
      </c>
      <c r="B315" s="2">
        <v>40557</v>
      </c>
      <c r="C315">
        <v>1</v>
      </c>
      <c r="D315">
        <v>0</v>
      </c>
      <c r="E315">
        <v>1</v>
      </c>
      <c r="F315">
        <v>13</v>
      </c>
      <c r="G315" t="b">
        <v>0</v>
      </c>
      <c r="H315">
        <v>5</v>
      </c>
      <c r="I315">
        <v>1</v>
      </c>
      <c r="J315">
        <v>0.22</v>
      </c>
      <c r="K315">
        <v>0.19700000000000001</v>
      </c>
      <c r="L315">
        <v>0.37</v>
      </c>
      <c r="M315">
        <v>0.3881</v>
      </c>
      <c r="N315">
        <v>4</v>
      </c>
      <c r="O315">
        <v>73</v>
      </c>
      <c r="P315">
        <v>77</v>
      </c>
      <c r="Q315" t="str">
        <f t="shared" si="32"/>
        <v>Complete</v>
      </c>
      <c r="R315">
        <f t="shared" si="39"/>
        <v>0.19700000000000001</v>
      </c>
      <c r="S315">
        <f t="shared" si="33"/>
        <v>2011</v>
      </c>
      <c r="T315" t="str">
        <f t="shared" si="34"/>
        <v>January</v>
      </c>
      <c r="U315" t="str">
        <f t="shared" si="35"/>
        <v>Weekday</v>
      </c>
      <c r="V315" t="str">
        <f t="shared" si="36"/>
        <v>Afternoon</v>
      </c>
      <c r="W315" t="str">
        <f t="shared" si="37"/>
        <v>Spring</v>
      </c>
      <c r="X315" t="str">
        <f t="shared" si="38"/>
        <v>Clear</v>
      </c>
    </row>
    <row r="316" spans="1:24">
      <c r="A316">
        <v>315</v>
      </c>
      <c r="B316" s="2">
        <v>40557</v>
      </c>
      <c r="C316">
        <v>1</v>
      </c>
      <c r="D316">
        <v>0</v>
      </c>
      <c r="E316">
        <v>1</v>
      </c>
      <c r="F316">
        <v>14</v>
      </c>
      <c r="G316" t="b">
        <v>0</v>
      </c>
      <c r="H316">
        <v>5</v>
      </c>
      <c r="I316">
        <v>1</v>
      </c>
      <c r="J316">
        <v>0.22</v>
      </c>
      <c r="K316">
        <v>0.21210000000000001</v>
      </c>
      <c r="L316">
        <v>0.41</v>
      </c>
      <c r="M316">
        <v>0.28360000000000002</v>
      </c>
      <c r="N316">
        <v>5</v>
      </c>
      <c r="O316">
        <v>59</v>
      </c>
      <c r="P316">
        <v>64</v>
      </c>
      <c r="Q316" t="str">
        <f t="shared" si="32"/>
        <v>Complete</v>
      </c>
      <c r="R316">
        <f t="shared" si="39"/>
        <v>0.21210000000000001</v>
      </c>
      <c r="S316">
        <f t="shared" si="33"/>
        <v>2011</v>
      </c>
      <c r="T316" t="str">
        <f t="shared" si="34"/>
        <v>January</v>
      </c>
      <c r="U316" t="str">
        <f t="shared" si="35"/>
        <v>Weekday</v>
      </c>
      <c r="V316" t="str">
        <f t="shared" si="36"/>
        <v>Afternoon</v>
      </c>
      <c r="W316" t="str">
        <f t="shared" si="37"/>
        <v>Spring</v>
      </c>
      <c r="X316" t="str">
        <f t="shared" si="38"/>
        <v>Clear</v>
      </c>
    </row>
    <row r="317" spans="1:24">
      <c r="A317">
        <v>316</v>
      </c>
      <c r="B317" s="2">
        <v>40557</v>
      </c>
      <c r="C317">
        <v>1</v>
      </c>
      <c r="D317">
        <v>0</v>
      </c>
      <c r="E317">
        <v>1</v>
      </c>
      <c r="F317">
        <v>15</v>
      </c>
      <c r="G317" t="b">
        <v>0</v>
      </c>
      <c r="H317">
        <v>5</v>
      </c>
      <c r="I317">
        <v>1</v>
      </c>
      <c r="J317">
        <v>0.24</v>
      </c>
      <c r="K317">
        <v>0.2424</v>
      </c>
      <c r="L317">
        <v>0.38</v>
      </c>
      <c r="M317">
        <v>0.16420000000000001</v>
      </c>
      <c r="N317">
        <v>9</v>
      </c>
      <c r="O317">
        <v>59</v>
      </c>
      <c r="P317">
        <v>68</v>
      </c>
      <c r="Q317" t="str">
        <f t="shared" si="32"/>
        <v>Complete</v>
      </c>
      <c r="R317">
        <f t="shared" si="39"/>
        <v>0.2424</v>
      </c>
      <c r="S317">
        <f t="shared" si="33"/>
        <v>2011</v>
      </c>
      <c r="T317" t="str">
        <f t="shared" si="34"/>
        <v>January</v>
      </c>
      <c r="U317" t="str">
        <f t="shared" si="35"/>
        <v>Weekday</v>
      </c>
      <c r="V317" t="str">
        <f t="shared" si="36"/>
        <v>Afternoon</v>
      </c>
      <c r="W317" t="str">
        <f t="shared" si="37"/>
        <v>Spring</v>
      </c>
      <c r="X317" t="str">
        <f t="shared" si="38"/>
        <v>Clear</v>
      </c>
    </row>
    <row r="318" spans="1:24">
      <c r="A318">
        <v>317</v>
      </c>
      <c r="B318" s="2">
        <v>40557</v>
      </c>
      <c r="C318">
        <v>1</v>
      </c>
      <c r="D318">
        <v>0</v>
      </c>
      <c r="E318">
        <v>1</v>
      </c>
      <c r="F318">
        <v>16</v>
      </c>
      <c r="G318" t="b">
        <v>0</v>
      </c>
      <c r="H318">
        <v>5</v>
      </c>
      <c r="I318">
        <v>1</v>
      </c>
      <c r="J318">
        <v>0.22</v>
      </c>
      <c r="K318">
        <v>0.2424</v>
      </c>
      <c r="L318">
        <v>0.41</v>
      </c>
      <c r="M318">
        <v>0.1045</v>
      </c>
      <c r="N318">
        <v>3</v>
      </c>
      <c r="O318">
        <v>87</v>
      </c>
      <c r="P318">
        <v>90</v>
      </c>
      <c r="Q318" t="str">
        <f t="shared" si="32"/>
        <v>Complete</v>
      </c>
      <c r="R318">
        <f t="shared" si="39"/>
        <v>0.2424</v>
      </c>
      <c r="S318">
        <f t="shared" si="33"/>
        <v>2011</v>
      </c>
      <c r="T318" t="str">
        <f t="shared" si="34"/>
        <v>January</v>
      </c>
      <c r="U318" t="str">
        <f t="shared" si="35"/>
        <v>Weekday</v>
      </c>
      <c r="V318" t="str">
        <f t="shared" si="36"/>
        <v>Afternoon</v>
      </c>
      <c r="W318" t="str">
        <f t="shared" si="37"/>
        <v>Spring</v>
      </c>
      <c r="X318" t="str">
        <f t="shared" si="38"/>
        <v>Clear</v>
      </c>
    </row>
    <row r="319" spans="1:24">
      <c r="A319">
        <v>318</v>
      </c>
      <c r="B319" s="2">
        <v>40557</v>
      </c>
      <c r="C319">
        <v>1</v>
      </c>
      <c r="D319">
        <v>0</v>
      </c>
      <c r="E319">
        <v>1</v>
      </c>
      <c r="F319">
        <v>17</v>
      </c>
      <c r="G319" t="b">
        <v>0</v>
      </c>
      <c r="H319">
        <v>5</v>
      </c>
      <c r="I319">
        <v>1</v>
      </c>
      <c r="J319">
        <v>0.22</v>
      </c>
      <c r="K319">
        <v>0.2273</v>
      </c>
      <c r="L319">
        <v>0.41</v>
      </c>
      <c r="M319">
        <v>0.16420000000000001</v>
      </c>
      <c r="N319">
        <v>4</v>
      </c>
      <c r="O319">
        <v>155</v>
      </c>
      <c r="P319">
        <v>159</v>
      </c>
      <c r="Q319" t="str">
        <f t="shared" si="32"/>
        <v>Complete</v>
      </c>
      <c r="R319">
        <f t="shared" si="39"/>
        <v>0.2273</v>
      </c>
      <c r="S319">
        <f t="shared" si="33"/>
        <v>2011</v>
      </c>
      <c r="T319" t="str">
        <f t="shared" si="34"/>
        <v>January</v>
      </c>
      <c r="U319" t="str">
        <f t="shared" si="35"/>
        <v>Weekday</v>
      </c>
      <c r="V319" t="str">
        <f t="shared" si="36"/>
        <v>Afternoon</v>
      </c>
      <c r="W319" t="str">
        <f t="shared" si="37"/>
        <v>Spring</v>
      </c>
      <c r="X319" t="str">
        <f t="shared" si="38"/>
        <v>Clear</v>
      </c>
    </row>
    <row r="320" spans="1:24">
      <c r="A320">
        <v>319</v>
      </c>
      <c r="B320" s="2">
        <v>40557</v>
      </c>
      <c r="C320">
        <v>1</v>
      </c>
      <c r="D320">
        <v>0</v>
      </c>
      <c r="E320">
        <v>1</v>
      </c>
      <c r="F320">
        <v>18</v>
      </c>
      <c r="G320" t="b">
        <v>0</v>
      </c>
      <c r="H320">
        <v>5</v>
      </c>
      <c r="I320">
        <v>1</v>
      </c>
      <c r="J320">
        <v>0.2</v>
      </c>
      <c r="K320">
        <v>0.2576</v>
      </c>
      <c r="L320">
        <v>0.47</v>
      </c>
      <c r="M320">
        <v>0</v>
      </c>
      <c r="N320">
        <v>5</v>
      </c>
      <c r="O320">
        <v>134</v>
      </c>
      <c r="P320">
        <v>139</v>
      </c>
      <c r="Q320" t="str">
        <f t="shared" si="32"/>
        <v>Complete</v>
      </c>
      <c r="R320">
        <f t="shared" si="39"/>
        <v>0.2576</v>
      </c>
      <c r="S320">
        <f t="shared" si="33"/>
        <v>2011</v>
      </c>
      <c r="T320" t="str">
        <f t="shared" si="34"/>
        <v>January</v>
      </c>
      <c r="U320" t="str">
        <f t="shared" si="35"/>
        <v>Weekday</v>
      </c>
      <c r="V320" t="str">
        <f t="shared" si="36"/>
        <v>Evening</v>
      </c>
      <c r="W320" t="str">
        <f t="shared" si="37"/>
        <v>Spring</v>
      </c>
      <c r="X320" t="str">
        <f t="shared" si="38"/>
        <v>Clear</v>
      </c>
    </row>
    <row r="321" spans="1:24">
      <c r="A321">
        <v>320</v>
      </c>
      <c r="B321" s="2">
        <v>40557</v>
      </c>
      <c r="C321">
        <v>1</v>
      </c>
      <c r="D321">
        <v>0</v>
      </c>
      <c r="E321">
        <v>1</v>
      </c>
      <c r="F321">
        <v>19</v>
      </c>
      <c r="G321" t="b">
        <v>0</v>
      </c>
      <c r="H321">
        <v>5</v>
      </c>
      <c r="I321">
        <v>1</v>
      </c>
      <c r="J321">
        <v>0.16</v>
      </c>
      <c r="K321">
        <v>0.19700000000000001</v>
      </c>
      <c r="L321">
        <v>0.59</v>
      </c>
      <c r="M321">
        <v>8.9599999999999999E-2</v>
      </c>
      <c r="N321">
        <v>3</v>
      </c>
      <c r="O321">
        <v>89</v>
      </c>
      <c r="P321">
        <v>92</v>
      </c>
      <c r="Q321" t="str">
        <f t="shared" si="32"/>
        <v>Complete</v>
      </c>
      <c r="R321">
        <f t="shared" si="39"/>
        <v>0.19700000000000001</v>
      </c>
      <c r="S321">
        <f t="shared" si="33"/>
        <v>2011</v>
      </c>
      <c r="T321" t="str">
        <f t="shared" si="34"/>
        <v>January</v>
      </c>
      <c r="U321" t="str">
        <f t="shared" si="35"/>
        <v>Weekday</v>
      </c>
      <c r="V321" t="str">
        <f t="shared" si="36"/>
        <v>Evening</v>
      </c>
      <c r="W321" t="str">
        <f t="shared" si="37"/>
        <v>Spring</v>
      </c>
      <c r="X321" t="str">
        <f t="shared" si="38"/>
        <v>Clear</v>
      </c>
    </row>
    <row r="322" spans="1:24">
      <c r="A322">
        <v>321</v>
      </c>
      <c r="B322" s="2">
        <v>40557</v>
      </c>
      <c r="C322">
        <v>1</v>
      </c>
      <c r="D322">
        <v>0</v>
      </c>
      <c r="E322">
        <v>1</v>
      </c>
      <c r="F322">
        <v>20</v>
      </c>
      <c r="G322" t="b">
        <v>0</v>
      </c>
      <c r="H322">
        <v>5</v>
      </c>
      <c r="I322">
        <v>1</v>
      </c>
      <c r="J322">
        <v>0.18</v>
      </c>
      <c r="K322">
        <v>0.2424</v>
      </c>
      <c r="L322">
        <v>0.59</v>
      </c>
      <c r="M322">
        <v>0</v>
      </c>
      <c r="N322">
        <v>0</v>
      </c>
      <c r="O322">
        <v>68</v>
      </c>
      <c r="P322">
        <v>68</v>
      </c>
      <c r="Q322" t="str">
        <f t="shared" ref="Q322:Q385" si="40">IF(K322="","Missing atemp","Complete")</f>
        <v>Complete</v>
      </c>
      <c r="R322">
        <f t="shared" si="39"/>
        <v>0.2424</v>
      </c>
      <c r="S322">
        <f t="shared" ref="S322:S385" si="41">IF(D322=0,2011,"")</f>
        <v>2011</v>
      </c>
      <c r="T322" t="str">
        <f t="shared" ref="T322:T385" si="42">IF(E322=1,"January","")</f>
        <v>January</v>
      </c>
      <c r="U322" t="str">
        <f t="shared" ref="U322:U385" si="43">IF(G322=TRUE,"Holiday",IF(H322=0,"Sunday",IF(H322=6,"Saturday","Weekday")))</f>
        <v>Weekday</v>
      </c>
      <c r="V322" t="str">
        <f t="shared" ref="V322:V385" si="44">IF(F322&lt;6,"Night",IF(F322&lt;12,"Morning",IF(F322&lt;18,"Afternoon","Evening")))</f>
        <v>Evening</v>
      </c>
      <c r="W322" t="str">
        <f t="shared" ref="W322:W385" si="45">IF(C322=1,"Spring","")</f>
        <v>Spring</v>
      </c>
      <c r="X322" t="str">
        <f t="shared" ref="X322:X385" si="46">IF(I322=1,"Clear",IF(I322=2,"Mist/Cloudy",IF(I322=3,"Light Rain/Snow",IF(I322=4,"Heavy Rain/Snow","Unknown"))))</f>
        <v>Clear</v>
      </c>
    </row>
    <row r="323" spans="1:24">
      <c r="A323">
        <v>322</v>
      </c>
      <c r="B323" s="2">
        <v>40557</v>
      </c>
      <c r="C323">
        <v>1</v>
      </c>
      <c r="D323">
        <v>0</v>
      </c>
      <c r="E323">
        <v>1</v>
      </c>
      <c r="F323">
        <v>21</v>
      </c>
      <c r="G323" t="b">
        <v>0</v>
      </c>
      <c r="H323">
        <v>5</v>
      </c>
      <c r="I323">
        <v>1</v>
      </c>
      <c r="J323">
        <v>0.16</v>
      </c>
      <c r="K323">
        <v>0.2273</v>
      </c>
      <c r="L323">
        <v>0.69</v>
      </c>
      <c r="M323">
        <v>0</v>
      </c>
      <c r="N323">
        <v>4</v>
      </c>
      <c r="O323">
        <v>48</v>
      </c>
      <c r="P323">
        <v>52</v>
      </c>
      <c r="Q323" t="str">
        <f t="shared" si="40"/>
        <v>Complete</v>
      </c>
      <c r="R323">
        <f t="shared" ref="R323:R386" si="47">IF(K323="",J323,K323)</f>
        <v>0.2273</v>
      </c>
      <c r="S323">
        <f t="shared" si="41"/>
        <v>2011</v>
      </c>
      <c r="T323" t="str">
        <f t="shared" si="42"/>
        <v>January</v>
      </c>
      <c r="U323" t="str">
        <f t="shared" si="43"/>
        <v>Weekday</v>
      </c>
      <c r="V323" t="str">
        <f t="shared" si="44"/>
        <v>Evening</v>
      </c>
      <c r="W323" t="str">
        <f t="shared" si="45"/>
        <v>Spring</v>
      </c>
      <c r="X323" t="str">
        <f t="shared" si="46"/>
        <v>Clear</v>
      </c>
    </row>
    <row r="324" spans="1:24">
      <c r="A324">
        <v>323</v>
      </c>
      <c r="B324" s="2">
        <v>40557</v>
      </c>
      <c r="C324">
        <v>1</v>
      </c>
      <c r="D324">
        <v>0</v>
      </c>
      <c r="E324">
        <v>1</v>
      </c>
      <c r="F324">
        <v>22</v>
      </c>
      <c r="G324" t="b">
        <v>0</v>
      </c>
      <c r="H324">
        <v>5</v>
      </c>
      <c r="I324">
        <v>2</v>
      </c>
      <c r="J324">
        <v>0.16</v>
      </c>
      <c r="K324">
        <v>0.2273</v>
      </c>
      <c r="L324">
        <v>0.69</v>
      </c>
      <c r="M324">
        <v>0</v>
      </c>
      <c r="N324">
        <v>2</v>
      </c>
      <c r="O324">
        <v>34</v>
      </c>
      <c r="P324">
        <v>36</v>
      </c>
      <c r="Q324" t="str">
        <f t="shared" si="40"/>
        <v>Complete</v>
      </c>
      <c r="R324">
        <f t="shared" si="47"/>
        <v>0.2273</v>
      </c>
      <c r="S324">
        <f t="shared" si="41"/>
        <v>2011</v>
      </c>
      <c r="T324" t="str">
        <f t="shared" si="42"/>
        <v>January</v>
      </c>
      <c r="U324" t="str">
        <f t="shared" si="43"/>
        <v>Weekday</v>
      </c>
      <c r="V324" t="str">
        <f t="shared" si="44"/>
        <v>Evening</v>
      </c>
      <c r="W324" t="str">
        <f t="shared" si="45"/>
        <v>Spring</v>
      </c>
      <c r="X324" t="str">
        <f t="shared" si="46"/>
        <v>Mist/Cloudy</v>
      </c>
    </row>
    <row r="325" spans="1:24">
      <c r="A325">
        <v>324</v>
      </c>
      <c r="B325" s="2">
        <v>40557</v>
      </c>
      <c r="C325">
        <v>1</v>
      </c>
      <c r="D325">
        <v>0</v>
      </c>
      <c r="E325">
        <v>1</v>
      </c>
      <c r="F325">
        <v>23</v>
      </c>
      <c r="G325" t="b">
        <v>0</v>
      </c>
      <c r="H325">
        <v>5</v>
      </c>
      <c r="I325">
        <v>2</v>
      </c>
      <c r="J325">
        <v>0.18</v>
      </c>
      <c r="K325">
        <v>0.2424</v>
      </c>
      <c r="L325">
        <v>0.55000000000000004</v>
      </c>
      <c r="M325">
        <v>0</v>
      </c>
      <c r="N325">
        <v>1</v>
      </c>
      <c r="O325">
        <v>26</v>
      </c>
      <c r="P325">
        <v>27</v>
      </c>
      <c r="Q325" t="str">
        <f t="shared" si="40"/>
        <v>Complete</v>
      </c>
      <c r="R325">
        <f t="shared" si="47"/>
        <v>0.2424</v>
      </c>
      <c r="S325">
        <f t="shared" si="41"/>
        <v>2011</v>
      </c>
      <c r="T325" t="str">
        <f t="shared" si="42"/>
        <v>January</v>
      </c>
      <c r="U325" t="str">
        <f t="shared" si="43"/>
        <v>Weekday</v>
      </c>
      <c r="V325" t="str">
        <f t="shared" si="44"/>
        <v>Evening</v>
      </c>
      <c r="W325" t="str">
        <f t="shared" si="45"/>
        <v>Spring</v>
      </c>
      <c r="X325" t="str">
        <f t="shared" si="46"/>
        <v>Mist/Cloudy</v>
      </c>
    </row>
    <row r="326" spans="1:24">
      <c r="A326">
        <v>325</v>
      </c>
      <c r="B326" s="2">
        <v>40558</v>
      </c>
      <c r="C326">
        <v>1</v>
      </c>
      <c r="D326">
        <v>0</v>
      </c>
      <c r="E326">
        <v>1</v>
      </c>
      <c r="F326">
        <v>0</v>
      </c>
      <c r="G326" t="b">
        <v>0</v>
      </c>
      <c r="H326">
        <v>6</v>
      </c>
      <c r="I326">
        <v>1</v>
      </c>
      <c r="J326">
        <v>0.18</v>
      </c>
      <c r="K326">
        <v>0.2424</v>
      </c>
      <c r="L326">
        <v>0.55000000000000004</v>
      </c>
      <c r="M326">
        <v>0</v>
      </c>
      <c r="N326">
        <v>3</v>
      </c>
      <c r="O326">
        <v>25</v>
      </c>
      <c r="P326">
        <v>28</v>
      </c>
      <c r="Q326" t="str">
        <f t="shared" si="40"/>
        <v>Complete</v>
      </c>
      <c r="R326">
        <f t="shared" si="47"/>
        <v>0.2424</v>
      </c>
      <c r="S326">
        <f t="shared" si="41"/>
        <v>2011</v>
      </c>
      <c r="T326" t="str">
        <f t="shared" si="42"/>
        <v>January</v>
      </c>
      <c r="U326" t="str">
        <f t="shared" si="43"/>
        <v>Saturday</v>
      </c>
      <c r="V326" t="str">
        <f t="shared" si="44"/>
        <v>Night</v>
      </c>
      <c r="W326" t="str">
        <f t="shared" si="45"/>
        <v>Spring</v>
      </c>
      <c r="X326" t="str">
        <f t="shared" si="46"/>
        <v>Clear</v>
      </c>
    </row>
    <row r="327" spans="1:24">
      <c r="A327">
        <v>326</v>
      </c>
      <c r="B327" s="2">
        <v>40558</v>
      </c>
      <c r="C327">
        <v>1</v>
      </c>
      <c r="D327">
        <v>0</v>
      </c>
      <c r="E327">
        <v>1</v>
      </c>
      <c r="F327">
        <v>1</v>
      </c>
      <c r="G327" t="b">
        <v>0</v>
      </c>
      <c r="H327">
        <v>6</v>
      </c>
      <c r="I327">
        <v>2</v>
      </c>
      <c r="J327">
        <v>0.16</v>
      </c>
      <c r="K327">
        <v>0.19700000000000001</v>
      </c>
      <c r="L327">
        <v>0.59</v>
      </c>
      <c r="M327">
        <v>8.9599999999999999E-2</v>
      </c>
      <c r="N327">
        <v>2</v>
      </c>
      <c r="O327">
        <v>18</v>
      </c>
      <c r="P327">
        <v>20</v>
      </c>
      <c r="Q327" t="str">
        <f t="shared" si="40"/>
        <v>Complete</v>
      </c>
      <c r="R327">
        <f t="shared" si="47"/>
        <v>0.19700000000000001</v>
      </c>
      <c r="S327">
        <f t="shared" si="41"/>
        <v>2011</v>
      </c>
      <c r="T327" t="str">
        <f t="shared" si="42"/>
        <v>January</v>
      </c>
      <c r="U327" t="str">
        <f t="shared" si="43"/>
        <v>Saturday</v>
      </c>
      <c r="V327" t="str">
        <f t="shared" si="44"/>
        <v>Night</v>
      </c>
      <c r="W327" t="str">
        <f t="shared" si="45"/>
        <v>Spring</v>
      </c>
      <c r="X327" t="str">
        <f t="shared" si="46"/>
        <v>Mist/Cloudy</v>
      </c>
    </row>
    <row r="328" spans="1:24">
      <c r="A328">
        <v>327</v>
      </c>
      <c r="B328" s="2">
        <v>40558</v>
      </c>
      <c r="C328">
        <v>1</v>
      </c>
      <c r="D328">
        <v>0</v>
      </c>
      <c r="E328">
        <v>1</v>
      </c>
      <c r="F328">
        <v>2</v>
      </c>
      <c r="G328" t="b">
        <v>0</v>
      </c>
      <c r="H328">
        <v>6</v>
      </c>
      <c r="I328">
        <v>2</v>
      </c>
      <c r="J328">
        <v>0.16</v>
      </c>
      <c r="K328">
        <v>0.19700000000000001</v>
      </c>
      <c r="L328">
        <v>0.59</v>
      </c>
      <c r="M328">
        <v>8.9599999999999999E-2</v>
      </c>
      <c r="N328">
        <v>0</v>
      </c>
      <c r="O328">
        <v>12</v>
      </c>
      <c r="P328">
        <v>12</v>
      </c>
      <c r="Q328" t="str">
        <f t="shared" si="40"/>
        <v>Complete</v>
      </c>
      <c r="R328">
        <f t="shared" si="47"/>
        <v>0.19700000000000001</v>
      </c>
      <c r="S328">
        <f t="shared" si="41"/>
        <v>2011</v>
      </c>
      <c r="T328" t="str">
        <f t="shared" si="42"/>
        <v>January</v>
      </c>
      <c r="U328" t="str">
        <f t="shared" si="43"/>
        <v>Saturday</v>
      </c>
      <c r="V328" t="str">
        <f t="shared" si="44"/>
        <v>Night</v>
      </c>
      <c r="W328" t="str">
        <f t="shared" si="45"/>
        <v>Spring</v>
      </c>
      <c r="X328" t="str">
        <f t="shared" si="46"/>
        <v>Mist/Cloudy</v>
      </c>
    </row>
    <row r="329" spans="1:24">
      <c r="A329">
        <v>328</v>
      </c>
      <c r="B329" s="2">
        <v>40558</v>
      </c>
      <c r="C329">
        <v>1</v>
      </c>
      <c r="D329">
        <v>0</v>
      </c>
      <c r="E329">
        <v>1</v>
      </c>
      <c r="F329">
        <v>3</v>
      </c>
      <c r="G329" t="b">
        <v>0</v>
      </c>
      <c r="H329">
        <v>6</v>
      </c>
      <c r="I329">
        <v>2</v>
      </c>
      <c r="J329">
        <v>0.16</v>
      </c>
      <c r="K329">
        <v>0.2273</v>
      </c>
      <c r="L329">
        <v>0.59</v>
      </c>
      <c r="M329">
        <v>0</v>
      </c>
      <c r="N329">
        <v>1</v>
      </c>
      <c r="O329">
        <v>7</v>
      </c>
      <c r="P329">
        <v>8</v>
      </c>
      <c r="Q329" t="str">
        <f t="shared" si="40"/>
        <v>Complete</v>
      </c>
      <c r="R329">
        <f t="shared" si="47"/>
        <v>0.2273</v>
      </c>
      <c r="S329">
        <f t="shared" si="41"/>
        <v>2011</v>
      </c>
      <c r="T329" t="str">
        <f t="shared" si="42"/>
        <v>January</v>
      </c>
      <c r="U329" t="str">
        <f t="shared" si="43"/>
        <v>Saturday</v>
      </c>
      <c r="V329" t="str">
        <f t="shared" si="44"/>
        <v>Night</v>
      </c>
      <c r="W329" t="str">
        <f t="shared" si="45"/>
        <v>Spring</v>
      </c>
      <c r="X329" t="str">
        <f t="shared" si="46"/>
        <v>Mist/Cloudy</v>
      </c>
    </row>
    <row r="330" spans="1:24">
      <c r="A330">
        <v>329</v>
      </c>
      <c r="B330" s="2">
        <v>40558</v>
      </c>
      <c r="C330">
        <v>1</v>
      </c>
      <c r="D330">
        <v>0</v>
      </c>
      <c r="E330">
        <v>1</v>
      </c>
      <c r="F330">
        <v>4</v>
      </c>
      <c r="G330" t="b">
        <v>0</v>
      </c>
      <c r="H330">
        <v>6</v>
      </c>
      <c r="I330">
        <v>2</v>
      </c>
      <c r="J330">
        <v>0.16</v>
      </c>
      <c r="K330">
        <v>0.2273</v>
      </c>
      <c r="L330">
        <v>0.59</v>
      </c>
      <c r="M330">
        <v>0</v>
      </c>
      <c r="N330">
        <v>0</v>
      </c>
      <c r="O330">
        <v>5</v>
      </c>
      <c r="P330">
        <v>5</v>
      </c>
      <c r="Q330" t="str">
        <f t="shared" si="40"/>
        <v>Complete</v>
      </c>
      <c r="R330">
        <f t="shared" si="47"/>
        <v>0.2273</v>
      </c>
      <c r="S330">
        <f t="shared" si="41"/>
        <v>2011</v>
      </c>
      <c r="T330" t="str">
        <f t="shared" si="42"/>
        <v>January</v>
      </c>
      <c r="U330" t="str">
        <f t="shared" si="43"/>
        <v>Saturday</v>
      </c>
      <c r="V330" t="str">
        <f t="shared" si="44"/>
        <v>Night</v>
      </c>
      <c r="W330" t="str">
        <f t="shared" si="45"/>
        <v>Spring</v>
      </c>
      <c r="X330" t="str">
        <f t="shared" si="46"/>
        <v>Mist/Cloudy</v>
      </c>
    </row>
    <row r="331" spans="1:24">
      <c r="A331">
        <v>330</v>
      </c>
      <c r="B331" s="2">
        <v>40558</v>
      </c>
      <c r="C331">
        <v>1</v>
      </c>
      <c r="D331">
        <v>0</v>
      </c>
      <c r="E331">
        <v>1</v>
      </c>
      <c r="F331">
        <v>5</v>
      </c>
      <c r="G331" t="b">
        <v>0</v>
      </c>
      <c r="H331">
        <v>6</v>
      </c>
      <c r="I331">
        <v>1</v>
      </c>
      <c r="J331">
        <v>0.16</v>
      </c>
      <c r="K331">
        <v>0.2273</v>
      </c>
      <c r="L331">
        <v>0.59</v>
      </c>
      <c r="M331">
        <v>0</v>
      </c>
      <c r="N331">
        <v>0</v>
      </c>
      <c r="O331">
        <v>1</v>
      </c>
      <c r="P331">
        <v>1</v>
      </c>
      <c r="Q331" t="str">
        <f t="shared" si="40"/>
        <v>Complete</v>
      </c>
      <c r="R331">
        <f t="shared" si="47"/>
        <v>0.2273</v>
      </c>
      <c r="S331">
        <f t="shared" si="41"/>
        <v>2011</v>
      </c>
      <c r="T331" t="str">
        <f t="shared" si="42"/>
        <v>January</v>
      </c>
      <c r="U331" t="str">
        <f t="shared" si="43"/>
        <v>Saturday</v>
      </c>
      <c r="V331" t="str">
        <f t="shared" si="44"/>
        <v>Night</v>
      </c>
      <c r="W331" t="str">
        <f t="shared" si="45"/>
        <v>Spring</v>
      </c>
      <c r="X331" t="str">
        <f t="shared" si="46"/>
        <v>Clear</v>
      </c>
    </row>
    <row r="332" spans="1:24">
      <c r="A332">
        <v>331</v>
      </c>
      <c r="B332" s="2">
        <v>40558</v>
      </c>
      <c r="C332">
        <v>1</v>
      </c>
      <c r="D332">
        <v>0</v>
      </c>
      <c r="E332">
        <v>1</v>
      </c>
      <c r="F332">
        <v>6</v>
      </c>
      <c r="G332" t="b">
        <v>0</v>
      </c>
      <c r="H332">
        <v>6</v>
      </c>
      <c r="I332">
        <v>1</v>
      </c>
      <c r="J332">
        <v>0.14000000000000001</v>
      </c>
      <c r="K332">
        <v>0.16669999999999999</v>
      </c>
      <c r="L332">
        <v>0.63</v>
      </c>
      <c r="M332">
        <v>0.1045</v>
      </c>
      <c r="N332">
        <v>1</v>
      </c>
      <c r="O332">
        <v>2</v>
      </c>
      <c r="P332">
        <v>3</v>
      </c>
      <c r="Q332" t="str">
        <f t="shared" si="40"/>
        <v>Complete</v>
      </c>
      <c r="R332">
        <f t="shared" si="47"/>
        <v>0.16669999999999999</v>
      </c>
      <c r="S332">
        <f t="shared" si="41"/>
        <v>2011</v>
      </c>
      <c r="T332" t="str">
        <f t="shared" si="42"/>
        <v>January</v>
      </c>
      <c r="U332" t="str">
        <f t="shared" si="43"/>
        <v>Saturday</v>
      </c>
      <c r="V332" t="str">
        <f t="shared" si="44"/>
        <v>Morning</v>
      </c>
      <c r="W332" t="str">
        <f t="shared" si="45"/>
        <v>Spring</v>
      </c>
      <c r="X332" t="str">
        <f t="shared" si="46"/>
        <v>Clear</v>
      </c>
    </row>
    <row r="333" spans="1:24">
      <c r="A333">
        <v>332</v>
      </c>
      <c r="B333" s="2">
        <v>40558</v>
      </c>
      <c r="C333">
        <v>1</v>
      </c>
      <c r="D333">
        <v>0</v>
      </c>
      <c r="E333">
        <v>1</v>
      </c>
      <c r="F333">
        <v>7</v>
      </c>
      <c r="G333" t="b">
        <v>0</v>
      </c>
      <c r="H333">
        <v>6</v>
      </c>
      <c r="I333">
        <v>1</v>
      </c>
      <c r="J333">
        <v>0.14000000000000001</v>
      </c>
      <c r="K333">
        <v>0.21210000000000001</v>
      </c>
      <c r="L333">
        <v>0.63</v>
      </c>
      <c r="M333">
        <v>0</v>
      </c>
      <c r="N333">
        <v>1</v>
      </c>
      <c r="O333">
        <v>9</v>
      </c>
      <c r="P333">
        <v>10</v>
      </c>
      <c r="Q333" t="str">
        <f t="shared" si="40"/>
        <v>Complete</v>
      </c>
      <c r="R333">
        <f t="shared" si="47"/>
        <v>0.21210000000000001</v>
      </c>
      <c r="S333">
        <f t="shared" si="41"/>
        <v>2011</v>
      </c>
      <c r="T333" t="str">
        <f t="shared" si="42"/>
        <v>January</v>
      </c>
      <c r="U333" t="str">
        <f t="shared" si="43"/>
        <v>Saturday</v>
      </c>
      <c r="V333" t="str">
        <f t="shared" si="44"/>
        <v>Morning</v>
      </c>
      <c r="W333" t="str">
        <f t="shared" si="45"/>
        <v>Spring</v>
      </c>
      <c r="X333" t="str">
        <f t="shared" si="46"/>
        <v>Clear</v>
      </c>
    </row>
    <row r="334" spans="1:24">
      <c r="A334">
        <v>333</v>
      </c>
      <c r="B334" s="2">
        <v>40558</v>
      </c>
      <c r="C334">
        <v>1</v>
      </c>
      <c r="D334">
        <v>0</v>
      </c>
      <c r="E334">
        <v>1</v>
      </c>
      <c r="F334">
        <v>8</v>
      </c>
      <c r="G334" t="b">
        <v>0</v>
      </c>
      <c r="H334">
        <v>6</v>
      </c>
      <c r="I334">
        <v>1</v>
      </c>
      <c r="J334">
        <v>0.14000000000000001</v>
      </c>
      <c r="K334">
        <v>0.1515</v>
      </c>
      <c r="L334">
        <v>0.63</v>
      </c>
      <c r="M334">
        <v>0.1343</v>
      </c>
      <c r="N334">
        <v>1</v>
      </c>
      <c r="O334">
        <v>22</v>
      </c>
      <c r="P334">
        <v>23</v>
      </c>
      <c r="Q334" t="str">
        <f t="shared" si="40"/>
        <v>Complete</v>
      </c>
      <c r="R334">
        <f t="shared" si="47"/>
        <v>0.1515</v>
      </c>
      <c r="S334">
        <f t="shared" si="41"/>
        <v>2011</v>
      </c>
      <c r="T334" t="str">
        <f t="shared" si="42"/>
        <v>January</v>
      </c>
      <c r="U334" t="str">
        <f t="shared" si="43"/>
        <v>Saturday</v>
      </c>
      <c r="V334" t="str">
        <f t="shared" si="44"/>
        <v>Morning</v>
      </c>
      <c r="W334" t="str">
        <f t="shared" si="45"/>
        <v>Spring</v>
      </c>
      <c r="X334" t="str">
        <f t="shared" si="46"/>
        <v>Clear</v>
      </c>
    </row>
    <row r="335" spans="1:24">
      <c r="A335">
        <v>334</v>
      </c>
      <c r="B335" s="2">
        <v>40558</v>
      </c>
      <c r="C335">
        <v>1</v>
      </c>
      <c r="D335">
        <v>0</v>
      </c>
      <c r="E335">
        <v>1</v>
      </c>
      <c r="F335">
        <v>9</v>
      </c>
      <c r="G335" t="b">
        <v>0</v>
      </c>
      <c r="H335">
        <v>6</v>
      </c>
      <c r="I335">
        <v>1</v>
      </c>
      <c r="J335">
        <v>0.16</v>
      </c>
      <c r="K335">
        <v>0.18179999999999999</v>
      </c>
      <c r="L335">
        <v>0.64</v>
      </c>
      <c r="M335">
        <v>0.1343</v>
      </c>
      <c r="N335">
        <v>2</v>
      </c>
      <c r="O335">
        <v>31</v>
      </c>
      <c r="P335">
        <v>33</v>
      </c>
      <c r="Q335" t="str">
        <f t="shared" si="40"/>
        <v>Complete</v>
      </c>
      <c r="R335">
        <f t="shared" si="47"/>
        <v>0.18179999999999999</v>
      </c>
      <c r="S335">
        <f t="shared" si="41"/>
        <v>2011</v>
      </c>
      <c r="T335" t="str">
        <f t="shared" si="42"/>
        <v>January</v>
      </c>
      <c r="U335" t="str">
        <f t="shared" si="43"/>
        <v>Saturday</v>
      </c>
      <c r="V335" t="str">
        <f t="shared" si="44"/>
        <v>Morning</v>
      </c>
      <c r="W335" t="str">
        <f t="shared" si="45"/>
        <v>Spring</v>
      </c>
      <c r="X335" t="str">
        <f t="shared" si="46"/>
        <v>Clear</v>
      </c>
    </row>
    <row r="336" spans="1:24">
      <c r="A336">
        <v>335</v>
      </c>
      <c r="B336" s="2">
        <v>40558</v>
      </c>
      <c r="C336">
        <v>1</v>
      </c>
      <c r="D336">
        <v>0</v>
      </c>
      <c r="E336">
        <v>1</v>
      </c>
      <c r="F336">
        <v>10</v>
      </c>
      <c r="G336" t="b">
        <v>0</v>
      </c>
      <c r="H336">
        <v>6</v>
      </c>
      <c r="I336">
        <v>1</v>
      </c>
      <c r="J336">
        <v>0.18</v>
      </c>
      <c r="K336">
        <v>0.19700000000000001</v>
      </c>
      <c r="L336">
        <v>0.59</v>
      </c>
      <c r="M336">
        <v>0.16420000000000001</v>
      </c>
      <c r="N336">
        <v>2</v>
      </c>
      <c r="O336">
        <v>57</v>
      </c>
      <c r="P336">
        <v>59</v>
      </c>
      <c r="Q336" t="str">
        <f t="shared" si="40"/>
        <v>Complete</v>
      </c>
      <c r="R336">
        <f t="shared" si="47"/>
        <v>0.19700000000000001</v>
      </c>
      <c r="S336">
        <f t="shared" si="41"/>
        <v>2011</v>
      </c>
      <c r="T336" t="str">
        <f t="shared" si="42"/>
        <v>January</v>
      </c>
      <c r="U336" t="str">
        <f t="shared" si="43"/>
        <v>Saturday</v>
      </c>
      <c r="V336" t="str">
        <f t="shared" si="44"/>
        <v>Morning</v>
      </c>
      <c r="W336" t="str">
        <f t="shared" si="45"/>
        <v>Spring</v>
      </c>
      <c r="X336" t="str">
        <f t="shared" si="46"/>
        <v>Clear</v>
      </c>
    </row>
    <row r="337" spans="1:24">
      <c r="A337">
        <v>336</v>
      </c>
      <c r="B337" s="2">
        <v>40558</v>
      </c>
      <c r="C337">
        <v>1</v>
      </c>
      <c r="D337">
        <v>0</v>
      </c>
      <c r="E337">
        <v>1</v>
      </c>
      <c r="F337">
        <v>11</v>
      </c>
      <c r="G337" t="b">
        <v>0</v>
      </c>
      <c r="H337">
        <v>6</v>
      </c>
      <c r="I337">
        <v>1</v>
      </c>
      <c r="J337">
        <v>0.2</v>
      </c>
      <c r="K337">
        <v>0.19700000000000001</v>
      </c>
      <c r="L337">
        <v>0.55000000000000004</v>
      </c>
      <c r="M337">
        <v>0.22389999999999999</v>
      </c>
      <c r="N337">
        <v>18</v>
      </c>
      <c r="O337">
        <v>54</v>
      </c>
      <c r="P337">
        <v>72</v>
      </c>
      <c r="Q337" t="str">
        <f t="shared" si="40"/>
        <v>Complete</v>
      </c>
      <c r="R337">
        <f t="shared" si="47"/>
        <v>0.19700000000000001</v>
      </c>
      <c r="S337">
        <f t="shared" si="41"/>
        <v>2011</v>
      </c>
      <c r="T337" t="str">
        <f t="shared" si="42"/>
        <v>January</v>
      </c>
      <c r="U337" t="str">
        <f t="shared" si="43"/>
        <v>Saturday</v>
      </c>
      <c r="V337" t="str">
        <f t="shared" si="44"/>
        <v>Morning</v>
      </c>
      <c r="W337" t="str">
        <f t="shared" si="45"/>
        <v>Spring</v>
      </c>
      <c r="X337" t="str">
        <f t="shared" si="46"/>
        <v>Clear</v>
      </c>
    </row>
    <row r="338" spans="1:24">
      <c r="A338">
        <v>337</v>
      </c>
      <c r="B338" s="2">
        <v>40558</v>
      </c>
      <c r="C338">
        <v>1</v>
      </c>
      <c r="D338">
        <v>0</v>
      </c>
      <c r="E338">
        <v>1</v>
      </c>
      <c r="F338">
        <v>12</v>
      </c>
      <c r="G338" t="b">
        <v>0</v>
      </c>
      <c r="H338">
        <v>6</v>
      </c>
      <c r="I338">
        <v>1</v>
      </c>
      <c r="J338">
        <v>0.24</v>
      </c>
      <c r="K338">
        <v>0.2273</v>
      </c>
      <c r="L338">
        <v>0.48</v>
      </c>
      <c r="M338">
        <v>0.22389999999999999</v>
      </c>
      <c r="N338">
        <v>15</v>
      </c>
      <c r="O338">
        <v>74</v>
      </c>
      <c r="P338">
        <v>89</v>
      </c>
      <c r="Q338" t="str">
        <f t="shared" si="40"/>
        <v>Complete</v>
      </c>
      <c r="R338">
        <f t="shared" si="47"/>
        <v>0.2273</v>
      </c>
      <c r="S338">
        <f t="shared" si="41"/>
        <v>2011</v>
      </c>
      <c r="T338" t="str">
        <f t="shared" si="42"/>
        <v>January</v>
      </c>
      <c r="U338" t="str">
        <f t="shared" si="43"/>
        <v>Saturday</v>
      </c>
      <c r="V338" t="str">
        <f t="shared" si="44"/>
        <v>Afternoon</v>
      </c>
      <c r="W338" t="str">
        <f t="shared" si="45"/>
        <v>Spring</v>
      </c>
      <c r="X338" t="str">
        <f t="shared" si="46"/>
        <v>Clear</v>
      </c>
    </row>
    <row r="339" spans="1:24">
      <c r="A339">
        <v>338</v>
      </c>
      <c r="B339" s="2">
        <v>40558</v>
      </c>
      <c r="C339">
        <v>1</v>
      </c>
      <c r="D339">
        <v>0</v>
      </c>
      <c r="E339">
        <v>1</v>
      </c>
      <c r="F339">
        <v>13</v>
      </c>
      <c r="G339" t="b">
        <v>0</v>
      </c>
      <c r="H339">
        <v>6</v>
      </c>
      <c r="I339">
        <v>1</v>
      </c>
      <c r="J339">
        <v>0.28000000000000003</v>
      </c>
      <c r="K339">
        <v>0.2576</v>
      </c>
      <c r="L339">
        <v>0.38</v>
      </c>
      <c r="M339">
        <v>0.29849999999999999</v>
      </c>
      <c r="N339">
        <v>21</v>
      </c>
      <c r="O339">
        <v>80</v>
      </c>
      <c r="P339">
        <v>101</v>
      </c>
      <c r="Q339" t="str">
        <f t="shared" si="40"/>
        <v>Complete</v>
      </c>
      <c r="R339">
        <f t="shared" si="47"/>
        <v>0.2576</v>
      </c>
      <c r="S339">
        <f t="shared" si="41"/>
        <v>2011</v>
      </c>
      <c r="T339" t="str">
        <f t="shared" si="42"/>
        <v>January</v>
      </c>
      <c r="U339" t="str">
        <f t="shared" si="43"/>
        <v>Saturday</v>
      </c>
      <c r="V339" t="str">
        <f t="shared" si="44"/>
        <v>Afternoon</v>
      </c>
      <c r="W339" t="str">
        <f t="shared" si="45"/>
        <v>Spring</v>
      </c>
      <c r="X339" t="str">
        <f t="shared" si="46"/>
        <v>Clear</v>
      </c>
    </row>
    <row r="340" spans="1:24">
      <c r="A340">
        <v>339</v>
      </c>
      <c r="B340" s="2">
        <v>40558</v>
      </c>
      <c r="C340">
        <v>1</v>
      </c>
      <c r="D340">
        <v>0</v>
      </c>
      <c r="E340">
        <v>1</v>
      </c>
      <c r="F340">
        <v>14</v>
      </c>
      <c r="G340" t="b">
        <v>0</v>
      </c>
      <c r="H340">
        <v>6</v>
      </c>
      <c r="I340">
        <v>1</v>
      </c>
      <c r="J340">
        <v>0.3</v>
      </c>
      <c r="K340">
        <v>0.28789999999999999</v>
      </c>
      <c r="L340">
        <v>0.39</v>
      </c>
      <c r="M340">
        <v>0.28360000000000002</v>
      </c>
      <c r="N340">
        <v>26</v>
      </c>
      <c r="O340">
        <v>92</v>
      </c>
      <c r="P340">
        <v>118</v>
      </c>
      <c r="Q340" t="str">
        <f t="shared" si="40"/>
        <v>Complete</v>
      </c>
      <c r="R340">
        <f t="shared" si="47"/>
        <v>0.28789999999999999</v>
      </c>
      <c r="S340">
        <f t="shared" si="41"/>
        <v>2011</v>
      </c>
      <c r="T340" t="str">
        <f t="shared" si="42"/>
        <v>January</v>
      </c>
      <c r="U340" t="str">
        <f t="shared" si="43"/>
        <v>Saturday</v>
      </c>
      <c r="V340" t="str">
        <f t="shared" si="44"/>
        <v>Afternoon</v>
      </c>
      <c r="W340" t="str">
        <f t="shared" si="45"/>
        <v>Spring</v>
      </c>
      <c r="X340" t="str">
        <f t="shared" si="46"/>
        <v>Clear</v>
      </c>
    </row>
    <row r="341" spans="1:24">
      <c r="A341">
        <v>340</v>
      </c>
      <c r="B341" s="2">
        <v>40558</v>
      </c>
      <c r="C341">
        <v>1</v>
      </c>
      <c r="D341">
        <v>0</v>
      </c>
      <c r="E341">
        <v>1</v>
      </c>
      <c r="F341">
        <v>15</v>
      </c>
      <c r="G341" t="b">
        <v>0</v>
      </c>
      <c r="H341">
        <v>6</v>
      </c>
      <c r="I341">
        <v>2</v>
      </c>
      <c r="J341">
        <v>0.32</v>
      </c>
      <c r="K341">
        <v>0.31819999999999998</v>
      </c>
      <c r="L341">
        <v>0.36</v>
      </c>
      <c r="M341">
        <v>0.19400000000000001</v>
      </c>
      <c r="N341">
        <v>21</v>
      </c>
      <c r="O341">
        <v>108</v>
      </c>
      <c r="P341">
        <v>129</v>
      </c>
      <c r="Q341" t="str">
        <f t="shared" si="40"/>
        <v>Complete</v>
      </c>
      <c r="R341">
        <f t="shared" si="47"/>
        <v>0.31819999999999998</v>
      </c>
      <c r="S341">
        <f t="shared" si="41"/>
        <v>2011</v>
      </c>
      <c r="T341" t="str">
        <f t="shared" si="42"/>
        <v>January</v>
      </c>
      <c r="U341" t="str">
        <f t="shared" si="43"/>
        <v>Saturday</v>
      </c>
      <c r="V341" t="str">
        <f t="shared" si="44"/>
        <v>Afternoon</v>
      </c>
      <c r="W341" t="str">
        <f t="shared" si="45"/>
        <v>Spring</v>
      </c>
      <c r="X341" t="str">
        <f t="shared" si="46"/>
        <v>Mist/Cloudy</v>
      </c>
    </row>
    <row r="342" spans="1:24">
      <c r="A342">
        <v>341</v>
      </c>
      <c r="B342" s="2">
        <v>40558</v>
      </c>
      <c r="C342">
        <v>1</v>
      </c>
      <c r="D342">
        <v>0</v>
      </c>
      <c r="E342">
        <v>1</v>
      </c>
      <c r="F342">
        <v>16</v>
      </c>
      <c r="G342" t="b">
        <v>0</v>
      </c>
      <c r="H342">
        <v>6</v>
      </c>
      <c r="I342">
        <v>2</v>
      </c>
      <c r="J342">
        <v>0.34</v>
      </c>
      <c r="K342">
        <v>0.33329999999999999</v>
      </c>
      <c r="L342">
        <v>0.34</v>
      </c>
      <c r="M342">
        <v>0.19400000000000001</v>
      </c>
      <c r="N342">
        <v>33</v>
      </c>
      <c r="O342">
        <v>95</v>
      </c>
      <c r="P342">
        <v>128</v>
      </c>
      <c r="Q342" t="str">
        <f t="shared" si="40"/>
        <v>Complete</v>
      </c>
      <c r="R342">
        <f t="shared" si="47"/>
        <v>0.33329999999999999</v>
      </c>
      <c r="S342">
        <f t="shared" si="41"/>
        <v>2011</v>
      </c>
      <c r="T342" t="str">
        <f t="shared" si="42"/>
        <v>January</v>
      </c>
      <c r="U342" t="str">
        <f t="shared" si="43"/>
        <v>Saturday</v>
      </c>
      <c r="V342" t="str">
        <f t="shared" si="44"/>
        <v>Afternoon</v>
      </c>
      <c r="W342" t="str">
        <f t="shared" si="45"/>
        <v>Spring</v>
      </c>
      <c r="X342" t="str">
        <f t="shared" si="46"/>
        <v>Mist/Cloudy</v>
      </c>
    </row>
    <row r="343" spans="1:24">
      <c r="A343">
        <v>342</v>
      </c>
      <c r="B343" s="2">
        <v>40558</v>
      </c>
      <c r="C343">
        <v>1</v>
      </c>
      <c r="D343">
        <v>0</v>
      </c>
      <c r="E343">
        <v>1</v>
      </c>
      <c r="F343">
        <v>17</v>
      </c>
      <c r="G343" t="b">
        <v>0</v>
      </c>
      <c r="H343">
        <v>6</v>
      </c>
      <c r="I343">
        <v>2</v>
      </c>
      <c r="J343">
        <v>0.32</v>
      </c>
      <c r="K343">
        <v>0.30299999999999999</v>
      </c>
      <c r="L343">
        <v>0.36</v>
      </c>
      <c r="M343">
        <v>0.28360000000000002</v>
      </c>
      <c r="N343">
        <v>29</v>
      </c>
      <c r="O343">
        <v>54</v>
      </c>
      <c r="P343">
        <v>83</v>
      </c>
      <c r="Q343" t="str">
        <f t="shared" si="40"/>
        <v>Complete</v>
      </c>
      <c r="R343">
        <f t="shared" si="47"/>
        <v>0.30299999999999999</v>
      </c>
      <c r="S343">
        <f t="shared" si="41"/>
        <v>2011</v>
      </c>
      <c r="T343" t="str">
        <f t="shared" si="42"/>
        <v>January</v>
      </c>
      <c r="U343" t="str">
        <f t="shared" si="43"/>
        <v>Saturday</v>
      </c>
      <c r="V343" t="str">
        <f t="shared" si="44"/>
        <v>Afternoon</v>
      </c>
      <c r="W343" t="str">
        <f t="shared" si="45"/>
        <v>Spring</v>
      </c>
      <c r="X343" t="str">
        <f t="shared" si="46"/>
        <v>Mist/Cloudy</v>
      </c>
    </row>
    <row r="344" spans="1:24">
      <c r="A344">
        <v>343</v>
      </c>
      <c r="B344" s="2">
        <v>40558</v>
      </c>
      <c r="C344">
        <v>1</v>
      </c>
      <c r="D344">
        <v>0</v>
      </c>
      <c r="E344">
        <v>1</v>
      </c>
      <c r="F344">
        <v>18</v>
      </c>
      <c r="G344" t="b">
        <v>0</v>
      </c>
      <c r="H344">
        <v>6</v>
      </c>
      <c r="I344">
        <v>2</v>
      </c>
      <c r="J344">
        <v>0.3</v>
      </c>
      <c r="K344">
        <v>0.28789999999999999</v>
      </c>
      <c r="L344">
        <v>0.45</v>
      </c>
      <c r="M344">
        <v>0.25369999999999998</v>
      </c>
      <c r="N344">
        <v>15</v>
      </c>
      <c r="O344">
        <v>69</v>
      </c>
      <c r="P344">
        <v>84</v>
      </c>
      <c r="Q344" t="str">
        <f t="shared" si="40"/>
        <v>Complete</v>
      </c>
      <c r="R344">
        <f t="shared" si="47"/>
        <v>0.28789999999999999</v>
      </c>
      <c r="S344">
        <f t="shared" si="41"/>
        <v>2011</v>
      </c>
      <c r="T344" t="str">
        <f t="shared" si="42"/>
        <v>January</v>
      </c>
      <c r="U344" t="str">
        <f t="shared" si="43"/>
        <v>Saturday</v>
      </c>
      <c r="V344" t="str">
        <f t="shared" si="44"/>
        <v>Evening</v>
      </c>
      <c r="W344" t="str">
        <f t="shared" si="45"/>
        <v>Spring</v>
      </c>
      <c r="X344" t="str">
        <f t="shared" si="46"/>
        <v>Mist/Cloudy</v>
      </c>
    </row>
    <row r="345" spans="1:24">
      <c r="A345">
        <v>344</v>
      </c>
      <c r="B345" s="2">
        <v>40558</v>
      </c>
      <c r="C345">
        <v>1</v>
      </c>
      <c r="D345">
        <v>0</v>
      </c>
      <c r="E345">
        <v>1</v>
      </c>
      <c r="F345">
        <v>19</v>
      </c>
      <c r="G345" t="b">
        <v>0</v>
      </c>
      <c r="H345">
        <v>6</v>
      </c>
      <c r="I345">
        <v>2</v>
      </c>
      <c r="J345">
        <v>0.32</v>
      </c>
      <c r="K345">
        <v>0.30299999999999999</v>
      </c>
      <c r="L345">
        <v>0.39</v>
      </c>
      <c r="M345">
        <v>0.25369999999999998</v>
      </c>
      <c r="N345">
        <v>14</v>
      </c>
      <c r="O345">
        <v>60</v>
      </c>
      <c r="P345">
        <v>74</v>
      </c>
      <c r="Q345" t="str">
        <f t="shared" si="40"/>
        <v>Complete</v>
      </c>
      <c r="R345">
        <f t="shared" si="47"/>
        <v>0.30299999999999999</v>
      </c>
      <c r="S345">
        <f t="shared" si="41"/>
        <v>2011</v>
      </c>
      <c r="T345" t="str">
        <f t="shared" si="42"/>
        <v>January</v>
      </c>
      <c r="U345" t="str">
        <f t="shared" si="43"/>
        <v>Saturday</v>
      </c>
      <c r="V345" t="str">
        <f t="shared" si="44"/>
        <v>Evening</v>
      </c>
      <c r="W345" t="str">
        <f t="shared" si="45"/>
        <v>Spring</v>
      </c>
      <c r="X345" t="str">
        <f t="shared" si="46"/>
        <v>Mist/Cloudy</v>
      </c>
    </row>
    <row r="346" spans="1:24">
      <c r="A346">
        <v>345</v>
      </c>
      <c r="B346" s="2">
        <v>40558</v>
      </c>
      <c r="C346">
        <v>1</v>
      </c>
      <c r="D346">
        <v>0</v>
      </c>
      <c r="E346">
        <v>1</v>
      </c>
      <c r="F346">
        <v>20</v>
      </c>
      <c r="G346" t="b">
        <v>0</v>
      </c>
      <c r="H346">
        <v>6</v>
      </c>
      <c r="I346">
        <v>2</v>
      </c>
      <c r="J346">
        <v>0.32</v>
      </c>
      <c r="K346">
        <v>0.30299999999999999</v>
      </c>
      <c r="L346">
        <v>0.39</v>
      </c>
      <c r="M346">
        <v>0.25369999999999998</v>
      </c>
      <c r="N346">
        <v>6</v>
      </c>
      <c r="O346">
        <v>35</v>
      </c>
      <c r="P346">
        <v>41</v>
      </c>
      <c r="Q346" t="str">
        <f t="shared" si="40"/>
        <v>Complete</v>
      </c>
      <c r="R346">
        <f t="shared" si="47"/>
        <v>0.30299999999999999</v>
      </c>
      <c r="S346">
        <f t="shared" si="41"/>
        <v>2011</v>
      </c>
      <c r="T346" t="str">
        <f t="shared" si="42"/>
        <v>January</v>
      </c>
      <c r="U346" t="str">
        <f t="shared" si="43"/>
        <v>Saturday</v>
      </c>
      <c r="V346" t="str">
        <f t="shared" si="44"/>
        <v>Evening</v>
      </c>
      <c r="W346" t="str">
        <f t="shared" si="45"/>
        <v>Spring</v>
      </c>
      <c r="X346" t="str">
        <f t="shared" si="46"/>
        <v>Mist/Cloudy</v>
      </c>
    </row>
    <row r="347" spans="1:24">
      <c r="A347">
        <v>346</v>
      </c>
      <c r="B347" s="2">
        <v>40558</v>
      </c>
      <c r="C347">
        <v>1</v>
      </c>
      <c r="D347">
        <v>0</v>
      </c>
      <c r="E347">
        <v>1</v>
      </c>
      <c r="F347">
        <v>21</v>
      </c>
      <c r="G347" t="b">
        <v>0</v>
      </c>
      <c r="H347">
        <v>6</v>
      </c>
      <c r="I347">
        <v>2</v>
      </c>
      <c r="J347">
        <v>0.32</v>
      </c>
      <c r="K347">
        <v>0.30299999999999999</v>
      </c>
      <c r="L347">
        <v>0.39</v>
      </c>
      <c r="M347">
        <v>0.22389999999999999</v>
      </c>
      <c r="N347">
        <v>6</v>
      </c>
      <c r="O347">
        <v>51</v>
      </c>
      <c r="P347">
        <v>57</v>
      </c>
      <c r="Q347" t="str">
        <f t="shared" si="40"/>
        <v>Complete</v>
      </c>
      <c r="R347">
        <f t="shared" si="47"/>
        <v>0.30299999999999999</v>
      </c>
      <c r="S347">
        <f t="shared" si="41"/>
        <v>2011</v>
      </c>
      <c r="T347" t="str">
        <f t="shared" si="42"/>
        <v>January</v>
      </c>
      <c r="U347" t="str">
        <f t="shared" si="43"/>
        <v>Saturday</v>
      </c>
      <c r="V347" t="str">
        <f t="shared" si="44"/>
        <v>Evening</v>
      </c>
      <c r="W347" t="str">
        <f t="shared" si="45"/>
        <v>Spring</v>
      </c>
      <c r="X347" t="str">
        <f t="shared" si="46"/>
        <v>Mist/Cloudy</v>
      </c>
    </row>
    <row r="348" spans="1:24">
      <c r="A348">
        <v>347</v>
      </c>
      <c r="B348" s="2">
        <v>40558</v>
      </c>
      <c r="C348">
        <v>1</v>
      </c>
      <c r="D348">
        <v>0</v>
      </c>
      <c r="E348">
        <v>1</v>
      </c>
      <c r="F348">
        <v>22</v>
      </c>
      <c r="G348" t="b">
        <v>0</v>
      </c>
      <c r="H348">
        <v>6</v>
      </c>
      <c r="I348">
        <v>2</v>
      </c>
      <c r="J348">
        <v>0.3</v>
      </c>
      <c r="K348">
        <v>0.31819999999999998</v>
      </c>
      <c r="L348">
        <v>0.42</v>
      </c>
      <c r="M348">
        <v>0.1045</v>
      </c>
      <c r="N348">
        <v>0</v>
      </c>
      <c r="O348">
        <v>26</v>
      </c>
      <c r="P348">
        <v>26</v>
      </c>
      <c r="Q348" t="str">
        <f t="shared" si="40"/>
        <v>Complete</v>
      </c>
      <c r="R348">
        <f t="shared" si="47"/>
        <v>0.31819999999999998</v>
      </c>
      <c r="S348">
        <f t="shared" si="41"/>
        <v>2011</v>
      </c>
      <c r="T348" t="str">
        <f t="shared" si="42"/>
        <v>January</v>
      </c>
      <c r="U348" t="str">
        <f t="shared" si="43"/>
        <v>Saturday</v>
      </c>
      <c r="V348" t="str">
        <f t="shared" si="44"/>
        <v>Evening</v>
      </c>
      <c r="W348" t="str">
        <f t="shared" si="45"/>
        <v>Spring</v>
      </c>
      <c r="X348" t="str">
        <f t="shared" si="46"/>
        <v>Mist/Cloudy</v>
      </c>
    </row>
    <row r="349" spans="1:24">
      <c r="A349">
        <v>348</v>
      </c>
      <c r="B349" s="2">
        <v>40558</v>
      </c>
      <c r="C349">
        <v>1</v>
      </c>
      <c r="D349">
        <v>0</v>
      </c>
      <c r="E349">
        <v>1</v>
      </c>
      <c r="F349">
        <v>23</v>
      </c>
      <c r="G349" t="b">
        <v>0</v>
      </c>
      <c r="H349">
        <v>6</v>
      </c>
      <c r="I349">
        <v>1</v>
      </c>
      <c r="J349">
        <v>0.3</v>
      </c>
      <c r="K349">
        <v>0.28789999999999999</v>
      </c>
      <c r="L349">
        <v>0.45</v>
      </c>
      <c r="M349">
        <v>0.28360000000000002</v>
      </c>
      <c r="N349">
        <v>5</v>
      </c>
      <c r="O349">
        <v>39</v>
      </c>
      <c r="P349">
        <v>44</v>
      </c>
      <c r="Q349" t="str">
        <f t="shared" si="40"/>
        <v>Complete</v>
      </c>
      <c r="R349">
        <f t="shared" si="47"/>
        <v>0.28789999999999999</v>
      </c>
      <c r="S349">
        <f t="shared" si="41"/>
        <v>2011</v>
      </c>
      <c r="T349" t="str">
        <f t="shared" si="42"/>
        <v>January</v>
      </c>
      <c r="U349" t="str">
        <f t="shared" si="43"/>
        <v>Saturday</v>
      </c>
      <c r="V349" t="str">
        <f t="shared" si="44"/>
        <v>Evening</v>
      </c>
      <c r="W349" t="str">
        <f t="shared" si="45"/>
        <v>Spring</v>
      </c>
      <c r="X349" t="str">
        <f t="shared" si="46"/>
        <v>Clear</v>
      </c>
    </row>
    <row r="350" spans="1:24">
      <c r="A350">
        <v>349</v>
      </c>
      <c r="B350" s="2">
        <v>40559</v>
      </c>
      <c r="C350">
        <v>1</v>
      </c>
      <c r="D350">
        <v>0</v>
      </c>
      <c r="E350">
        <v>1</v>
      </c>
      <c r="F350">
        <v>0</v>
      </c>
      <c r="G350" t="b">
        <v>0</v>
      </c>
      <c r="H350">
        <v>0</v>
      </c>
      <c r="I350">
        <v>1</v>
      </c>
      <c r="J350">
        <v>0.26</v>
      </c>
      <c r="K350">
        <v>0.30299999999999999</v>
      </c>
      <c r="L350">
        <v>0.56000000000000005</v>
      </c>
      <c r="M350">
        <v>0</v>
      </c>
      <c r="N350">
        <v>6</v>
      </c>
      <c r="O350">
        <v>33</v>
      </c>
      <c r="P350">
        <v>39</v>
      </c>
      <c r="Q350" t="str">
        <f t="shared" si="40"/>
        <v>Complete</v>
      </c>
      <c r="R350">
        <f t="shared" si="47"/>
        <v>0.30299999999999999</v>
      </c>
      <c r="S350">
        <f t="shared" si="41"/>
        <v>2011</v>
      </c>
      <c r="T350" t="str">
        <f t="shared" si="42"/>
        <v>January</v>
      </c>
      <c r="U350" t="str">
        <f t="shared" si="43"/>
        <v>Sunday</v>
      </c>
      <c r="V350" t="str">
        <f t="shared" si="44"/>
        <v>Night</v>
      </c>
      <c r="W350" t="str">
        <f t="shared" si="45"/>
        <v>Spring</v>
      </c>
      <c r="X350" t="str">
        <f t="shared" si="46"/>
        <v>Clear</v>
      </c>
    </row>
    <row r="351" spans="1:24">
      <c r="A351">
        <v>350</v>
      </c>
      <c r="B351" s="2">
        <v>40559</v>
      </c>
      <c r="C351">
        <v>1</v>
      </c>
      <c r="D351">
        <v>0</v>
      </c>
      <c r="E351">
        <v>1</v>
      </c>
      <c r="F351">
        <v>1</v>
      </c>
      <c r="G351" t="b">
        <v>0</v>
      </c>
      <c r="H351">
        <v>0</v>
      </c>
      <c r="I351">
        <v>1</v>
      </c>
      <c r="J351">
        <v>0.26</v>
      </c>
      <c r="K351">
        <v>0.2727</v>
      </c>
      <c r="L351">
        <v>0.56000000000000005</v>
      </c>
      <c r="M351">
        <v>0.1343</v>
      </c>
      <c r="N351">
        <v>4</v>
      </c>
      <c r="O351">
        <v>19</v>
      </c>
      <c r="P351">
        <v>23</v>
      </c>
      <c r="Q351" t="str">
        <f t="shared" si="40"/>
        <v>Complete</v>
      </c>
      <c r="R351">
        <f t="shared" si="47"/>
        <v>0.2727</v>
      </c>
      <c r="S351">
        <f t="shared" si="41"/>
        <v>2011</v>
      </c>
      <c r="T351" t="str">
        <f t="shared" si="42"/>
        <v>January</v>
      </c>
      <c r="U351" t="str">
        <f t="shared" si="43"/>
        <v>Sunday</v>
      </c>
      <c r="V351" t="str">
        <f t="shared" si="44"/>
        <v>Night</v>
      </c>
      <c r="W351" t="str">
        <f t="shared" si="45"/>
        <v>Spring</v>
      </c>
      <c r="X351" t="str">
        <f t="shared" si="46"/>
        <v>Clear</v>
      </c>
    </row>
    <row r="352" spans="1:24">
      <c r="A352">
        <v>351</v>
      </c>
      <c r="B352" s="2">
        <v>40559</v>
      </c>
      <c r="C352">
        <v>1</v>
      </c>
      <c r="D352">
        <v>0</v>
      </c>
      <c r="E352">
        <v>1</v>
      </c>
      <c r="F352">
        <v>2</v>
      </c>
      <c r="G352" t="b">
        <v>0</v>
      </c>
      <c r="H352">
        <v>0</v>
      </c>
      <c r="I352">
        <v>1</v>
      </c>
      <c r="J352">
        <v>0.26</v>
      </c>
      <c r="K352">
        <v>0.28789999999999999</v>
      </c>
      <c r="L352">
        <v>0.56000000000000005</v>
      </c>
      <c r="M352">
        <v>8.9599999999999999E-2</v>
      </c>
      <c r="N352">
        <v>3</v>
      </c>
      <c r="O352">
        <v>13</v>
      </c>
      <c r="P352">
        <v>16</v>
      </c>
      <c r="Q352" t="str">
        <f t="shared" si="40"/>
        <v>Complete</v>
      </c>
      <c r="R352">
        <f t="shared" si="47"/>
        <v>0.28789999999999999</v>
      </c>
      <c r="S352">
        <f t="shared" si="41"/>
        <v>2011</v>
      </c>
      <c r="T352" t="str">
        <f t="shared" si="42"/>
        <v>January</v>
      </c>
      <c r="U352" t="str">
        <f t="shared" si="43"/>
        <v>Sunday</v>
      </c>
      <c r="V352" t="str">
        <f t="shared" si="44"/>
        <v>Night</v>
      </c>
      <c r="W352" t="str">
        <f t="shared" si="45"/>
        <v>Spring</v>
      </c>
      <c r="X352" t="str">
        <f t="shared" si="46"/>
        <v>Clear</v>
      </c>
    </row>
    <row r="353" spans="1:24">
      <c r="A353">
        <v>352</v>
      </c>
      <c r="B353" s="2">
        <v>40559</v>
      </c>
      <c r="C353">
        <v>1</v>
      </c>
      <c r="D353">
        <v>0</v>
      </c>
      <c r="E353">
        <v>1</v>
      </c>
      <c r="F353">
        <v>3</v>
      </c>
      <c r="G353" t="b">
        <v>0</v>
      </c>
      <c r="H353">
        <v>0</v>
      </c>
      <c r="I353">
        <v>1</v>
      </c>
      <c r="J353">
        <v>0.22</v>
      </c>
      <c r="K353">
        <v>0.2727</v>
      </c>
      <c r="L353">
        <v>0.69</v>
      </c>
      <c r="M353">
        <v>0</v>
      </c>
      <c r="N353">
        <v>9</v>
      </c>
      <c r="O353">
        <v>6</v>
      </c>
      <c r="P353">
        <v>15</v>
      </c>
      <c r="Q353" t="str">
        <f t="shared" si="40"/>
        <v>Complete</v>
      </c>
      <c r="R353">
        <f t="shared" si="47"/>
        <v>0.2727</v>
      </c>
      <c r="S353">
        <f t="shared" si="41"/>
        <v>2011</v>
      </c>
      <c r="T353" t="str">
        <f t="shared" si="42"/>
        <v>January</v>
      </c>
      <c r="U353" t="str">
        <f t="shared" si="43"/>
        <v>Sunday</v>
      </c>
      <c r="V353" t="str">
        <f t="shared" si="44"/>
        <v>Night</v>
      </c>
      <c r="W353" t="str">
        <f t="shared" si="45"/>
        <v>Spring</v>
      </c>
      <c r="X353" t="str">
        <f t="shared" si="46"/>
        <v>Clear</v>
      </c>
    </row>
    <row r="354" spans="1:24">
      <c r="A354">
        <v>353</v>
      </c>
      <c r="B354" s="2">
        <v>40559</v>
      </c>
      <c r="C354">
        <v>1</v>
      </c>
      <c r="D354">
        <v>0</v>
      </c>
      <c r="E354">
        <v>1</v>
      </c>
      <c r="F354">
        <v>4</v>
      </c>
      <c r="G354" t="b">
        <v>0</v>
      </c>
      <c r="H354">
        <v>0</v>
      </c>
      <c r="I354">
        <v>1</v>
      </c>
      <c r="J354">
        <v>0.26</v>
      </c>
      <c r="K354">
        <v>0.2576</v>
      </c>
      <c r="L354">
        <v>0.56000000000000005</v>
      </c>
      <c r="M354">
        <v>0.16420000000000001</v>
      </c>
      <c r="N354">
        <v>0</v>
      </c>
      <c r="O354">
        <v>1</v>
      </c>
      <c r="P354">
        <v>1</v>
      </c>
      <c r="Q354" t="str">
        <f t="shared" si="40"/>
        <v>Complete</v>
      </c>
      <c r="R354">
        <f t="shared" si="47"/>
        <v>0.2576</v>
      </c>
      <c r="S354">
        <f t="shared" si="41"/>
        <v>2011</v>
      </c>
      <c r="T354" t="str">
        <f t="shared" si="42"/>
        <v>January</v>
      </c>
      <c r="U354" t="str">
        <f t="shared" si="43"/>
        <v>Sunday</v>
      </c>
      <c r="V354" t="str">
        <f t="shared" si="44"/>
        <v>Night</v>
      </c>
      <c r="W354" t="str">
        <f t="shared" si="45"/>
        <v>Spring</v>
      </c>
      <c r="X354" t="str">
        <f t="shared" si="46"/>
        <v>Clear</v>
      </c>
    </row>
    <row r="355" spans="1:24">
      <c r="A355">
        <v>354</v>
      </c>
      <c r="B355" s="2">
        <v>40559</v>
      </c>
      <c r="C355">
        <v>1</v>
      </c>
      <c r="D355">
        <v>0</v>
      </c>
      <c r="E355">
        <v>1</v>
      </c>
      <c r="F355">
        <v>5</v>
      </c>
      <c r="G355" t="b">
        <v>0</v>
      </c>
      <c r="H355">
        <v>0</v>
      </c>
      <c r="I355">
        <v>2</v>
      </c>
      <c r="J355">
        <v>0.26</v>
      </c>
      <c r="K355">
        <v>0.2576</v>
      </c>
      <c r="L355">
        <v>0.56000000000000005</v>
      </c>
      <c r="M355">
        <v>0.16420000000000001</v>
      </c>
      <c r="N355">
        <v>1</v>
      </c>
      <c r="O355">
        <v>1</v>
      </c>
      <c r="P355">
        <v>2</v>
      </c>
      <c r="Q355" t="str">
        <f t="shared" si="40"/>
        <v>Complete</v>
      </c>
      <c r="R355">
        <f t="shared" si="47"/>
        <v>0.2576</v>
      </c>
      <c r="S355">
        <f t="shared" si="41"/>
        <v>2011</v>
      </c>
      <c r="T355" t="str">
        <f t="shared" si="42"/>
        <v>January</v>
      </c>
      <c r="U355" t="str">
        <f t="shared" si="43"/>
        <v>Sunday</v>
      </c>
      <c r="V355" t="str">
        <f t="shared" si="44"/>
        <v>Night</v>
      </c>
      <c r="W355" t="str">
        <f t="shared" si="45"/>
        <v>Spring</v>
      </c>
      <c r="X355" t="str">
        <f t="shared" si="46"/>
        <v>Mist/Cloudy</v>
      </c>
    </row>
    <row r="356" spans="1:24">
      <c r="A356">
        <v>355</v>
      </c>
      <c r="B356" s="2">
        <v>40559</v>
      </c>
      <c r="C356">
        <v>1</v>
      </c>
      <c r="D356">
        <v>0</v>
      </c>
      <c r="E356">
        <v>1</v>
      </c>
      <c r="F356">
        <v>6</v>
      </c>
      <c r="G356" t="b">
        <v>0</v>
      </c>
      <c r="H356">
        <v>0</v>
      </c>
      <c r="I356">
        <v>2</v>
      </c>
      <c r="J356">
        <v>0.26</v>
      </c>
      <c r="K356">
        <v>0.2576</v>
      </c>
      <c r="L356">
        <v>0.56000000000000005</v>
      </c>
      <c r="M356">
        <v>0.16420000000000001</v>
      </c>
      <c r="N356">
        <v>0</v>
      </c>
      <c r="O356">
        <v>1</v>
      </c>
      <c r="P356">
        <v>1</v>
      </c>
      <c r="Q356" t="str">
        <f t="shared" si="40"/>
        <v>Complete</v>
      </c>
      <c r="R356">
        <f t="shared" si="47"/>
        <v>0.2576</v>
      </c>
      <c r="S356">
        <f t="shared" si="41"/>
        <v>2011</v>
      </c>
      <c r="T356" t="str">
        <f t="shared" si="42"/>
        <v>January</v>
      </c>
      <c r="U356" t="str">
        <f t="shared" si="43"/>
        <v>Sunday</v>
      </c>
      <c r="V356" t="str">
        <f t="shared" si="44"/>
        <v>Morning</v>
      </c>
      <c r="W356" t="str">
        <f t="shared" si="45"/>
        <v>Spring</v>
      </c>
      <c r="X356" t="str">
        <f t="shared" si="46"/>
        <v>Mist/Cloudy</v>
      </c>
    </row>
    <row r="357" spans="1:24">
      <c r="A357">
        <v>356</v>
      </c>
      <c r="B357" s="2">
        <v>40559</v>
      </c>
      <c r="C357">
        <v>1</v>
      </c>
      <c r="D357">
        <v>0</v>
      </c>
      <c r="E357">
        <v>1</v>
      </c>
      <c r="F357">
        <v>7</v>
      </c>
      <c r="G357" t="b">
        <v>0</v>
      </c>
      <c r="H357">
        <v>0</v>
      </c>
      <c r="I357">
        <v>2</v>
      </c>
      <c r="J357">
        <v>0.24</v>
      </c>
      <c r="K357">
        <v>0.21210000000000001</v>
      </c>
      <c r="L357">
        <v>0.56000000000000005</v>
      </c>
      <c r="M357">
        <v>0.29849999999999999</v>
      </c>
      <c r="N357">
        <v>0</v>
      </c>
      <c r="O357">
        <v>3</v>
      </c>
      <c r="P357">
        <v>3</v>
      </c>
      <c r="Q357" t="str">
        <f t="shared" si="40"/>
        <v>Complete</v>
      </c>
      <c r="R357">
        <f t="shared" si="47"/>
        <v>0.21210000000000001</v>
      </c>
      <c r="S357">
        <f t="shared" si="41"/>
        <v>2011</v>
      </c>
      <c r="T357" t="str">
        <f t="shared" si="42"/>
        <v>January</v>
      </c>
      <c r="U357" t="str">
        <f t="shared" si="43"/>
        <v>Sunday</v>
      </c>
      <c r="V357" t="str">
        <f t="shared" si="44"/>
        <v>Morning</v>
      </c>
      <c r="W357" t="str">
        <f t="shared" si="45"/>
        <v>Spring</v>
      </c>
      <c r="X357" t="str">
        <f t="shared" si="46"/>
        <v>Mist/Cloudy</v>
      </c>
    </row>
    <row r="358" spans="1:24">
      <c r="A358">
        <v>357</v>
      </c>
      <c r="B358" s="2">
        <v>40559</v>
      </c>
      <c r="C358">
        <v>1</v>
      </c>
      <c r="D358">
        <v>0</v>
      </c>
      <c r="E358">
        <v>1</v>
      </c>
      <c r="F358">
        <v>8</v>
      </c>
      <c r="G358" t="b">
        <v>0</v>
      </c>
      <c r="H358">
        <v>0</v>
      </c>
      <c r="I358">
        <v>1</v>
      </c>
      <c r="J358">
        <v>0.22</v>
      </c>
      <c r="K358">
        <v>0.21210000000000001</v>
      </c>
      <c r="L358">
        <v>0.55000000000000004</v>
      </c>
      <c r="M358">
        <v>0.28360000000000002</v>
      </c>
      <c r="N358">
        <v>0</v>
      </c>
      <c r="O358">
        <v>18</v>
      </c>
      <c r="P358">
        <v>18</v>
      </c>
      <c r="Q358" t="str">
        <f t="shared" si="40"/>
        <v>Complete</v>
      </c>
      <c r="R358">
        <f t="shared" si="47"/>
        <v>0.21210000000000001</v>
      </c>
      <c r="S358">
        <f t="shared" si="41"/>
        <v>2011</v>
      </c>
      <c r="T358" t="str">
        <f t="shared" si="42"/>
        <v>January</v>
      </c>
      <c r="U358" t="str">
        <f t="shared" si="43"/>
        <v>Sunday</v>
      </c>
      <c r="V358" t="str">
        <f t="shared" si="44"/>
        <v>Morning</v>
      </c>
      <c r="W358" t="str">
        <f t="shared" si="45"/>
        <v>Spring</v>
      </c>
      <c r="X358" t="str">
        <f t="shared" si="46"/>
        <v>Clear</v>
      </c>
    </row>
    <row r="359" spans="1:24">
      <c r="A359">
        <v>358</v>
      </c>
      <c r="B359" s="2">
        <v>40559</v>
      </c>
      <c r="C359">
        <v>1</v>
      </c>
      <c r="D359">
        <v>0</v>
      </c>
      <c r="E359">
        <v>1</v>
      </c>
      <c r="F359">
        <v>9</v>
      </c>
      <c r="G359" t="b">
        <v>0</v>
      </c>
      <c r="H359">
        <v>0</v>
      </c>
      <c r="I359">
        <v>1</v>
      </c>
      <c r="J359">
        <v>0.22</v>
      </c>
      <c r="K359">
        <v>0.21210000000000001</v>
      </c>
      <c r="L359">
        <v>0.51</v>
      </c>
      <c r="M359">
        <v>0.25369999999999998</v>
      </c>
      <c r="N359">
        <v>3</v>
      </c>
      <c r="O359">
        <v>29</v>
      </c>
      <c r="P359">
        <v>32</v>
      </c>
      <c r="Q359" t="str">
        <f t="shared" si="40"/>
        <v>Complete</v>
      </c>
      <c r="R359">
        <f t="shared" si="47"/>
        <v>0.21210000000000001</v>
      </c>
      <c r="S359">
        <f t="shared" si="41"/>
        <v>2011</v>
      </c>
      <c r="T359" t="str">
        <f t="shared" si="42"/>
        <v>January</v>
      </c>
      <c r="U359" t="str">
        <f t="shared" si="43"/>
        <v>Sunday</v>
      </c>
      <c r="V359" t="str">
        <f t="shared" si="44"/>
        <v>Morning</v>
      </c>
      <c r="W359" t="str">
        <f t="shared" si="45"/>
        <v>Spring</v>
      </c>
      <c r="X359" t="str">
        <f t="shared" si="46"/>
        <v>Clear</v>
      </c>
    </row>
    <row r="360" spans="1:24">
      <c r="A360">
        <v>359</v>
      </c>
      <c r="B360" s="2">
        <v>40559</v>
      </c>
      <c r="C360">
        <v>1</v>
      </c>
      <c r="D360">
        <v>0</v>
      </c>
      <c r="E360">
        <v>1</v>
      </c>
      <c r="F360">
        <v>10</v>
      </c>
      <c r="G360" t="b">
        <v>0</v>
      </c>
      <c r="H360">
        <v>0</v>
      </c>
      <c r="I360">
        <v>1</v>
      </c>
      <c r="J360">
        <v>0.22</v>
      </c>
      <c r="K360">
        <v>0.21210000000000001</v>
      </c>
      <c r="L360">
        <v>0.51</v>
      </c>
      <c r="M360">
        <v>0.28360000000000002</v>
      </c>
      <c r="N360">
        <v>8</v>
      </c>
      <c r="O360">
        <v>71</v>
      </c>
      <c r="P360">
        <v>79</v>
      </c>
      <c r="Q360" t="str">
        <f t="shared" si="40"/>
        <v>Complete</v>
      </c>
      <c r="R360">
        <f t="shared" si="47"/>
        <v>0.21210000000000001</v>
      </c>
      <c r="S360">
        <f t="shared" si="41"/>
        <v>2011</v>
      </c>
      <c r="T360" t="str">
        <f t="shared" si="42"/>
        <v>January</v>
      </c>
      <c r="U360" t="str">
        <f t="shared" si="43"/>
        <v>Sunday</v>
      </c>
      <c r="V360" t="str">
        <f t="shared" si="44"/>
        <v>Morning</v>
      </c>
      <c r="W360" t="str">
        <f t="shared" si="45"/>
        <v>Spring</v>
      </c>
      <c r="X360" t="str">
        <f t="shared" si="46"/>
        <v>Clear</v>
      </c>
    </row>
    <row r="361" spans="1:24">
      <c r="A361">
        <v>360</v>
      </c>
      <c r="B361" s="2">
        <v>40559</v>
      </c>
      <c r="C361">
        <v>1</v>
      </c>
      <c r="D361">
        <v>0</v>
      </c>
      <c r="E361">
        <v>1</v>
      </c>
      <c r="F361">
        <v>11</v>
      </c>
      <c r="G361" t="b">
        <v>0</v>
      </c>
      <c r="H361">
        <v>0</v>
      </c>
      <c r="I361">
        <v>1</v>
      </c>
      <c r="J361">
        <v>0.24</v>
      </c>
      <c r="K361">
        <v>0.2273</v>
      </c>
      <c r="L361">
        <v>0.44</v>
      </c>
      <c r="M361">
        <v>0.25369999999999998</v>
      </c>
      <c r="N361">
        <v>23</v>
      </c>
      <c r="O361">
        <v>70</v>
      </c>
      <c r="P361">
        <v>93</v>
      </c>
      <c r="Q361" t="str">
        <f t="shared" si="40"/>
        <v>Complete</v>
      </c>
      <c r="R361">
        <f t="shared" si="47"/>
        <v>0.2273</v>
      </c>
      <c r="S361">
        <f t="shared" si="41"/>
        <v>2011</v>
      </c>
      <c r="T361" t="str">
        <f t="shared" si="42"/>
        <v>January</v>
      </c>
      <c r="U361" t="str">
        <f t="shared" si="43"/>
        <v>Sunday</v>
      </c>
      <c r="V361" t="str">
        <f t="shared" si="44"/>
        <v>Morning</v>
      </c>
      <c r="W361" t="str">
        <f t="shared" si="45"/>
        <v>Spring</v>
      </c>
      <c r="X361" t="str">
        <f t="shared" si="46"/>
        <v>Clear</v>
      </c>
    </row>
    <row r="362" spans="1:24">
      <c r="A362">
        <v>361</v>
      </c>
      <c r="B362" s="2">
        <v>40559</v>
      </c>
      <c r="C362">
        <v>1</v>
      </c>
      <c r="D362">
        <v>0</v>
      </c>
      <c r="E362">
        <v>1</v>
      </c>
      <c r="F362">
        <v>12</v>
      </c>
      <c r="G362" t="b">
        <v>0</v>
      </c>
      <c r="H362">
        <v>0</v>
      </c>
      <c r="I362">
        <v>1</v>
      </c>
      <c r="J362">
        <v>0.24</v>
      </c>
      <c r="K362">
        <v>0.21210000000000001</v>
      </c>
      <c r="L362">
        <v>0.41</v>
      </c>
      <c r="M362">
        <v>0.28360000000000002</v>
      </c>
      <c r="N362">
        <v>29</v>
      </c>
      <c r="O362">
        <v>75</v>
      </c>
      <c r="P362">
        <v>104</v>
      </c>
      <c r="Q362" t="str">
        <f t="shared" si="40"/>
        <v>Complete</v>
      </c>
      <c r="R362">
        <f t="shared" si="47"/>
        <v>0.21210000000000001</v>
      </c>
      <c r="S362">
        <f t="shared" si="41"/>
        <v>2011</v>
      </c>
      <c r="T362" t="str">
        <f t="shared" si="42"/>
        <v>January</v>
      </c>
      <c r="U362" t="str">
        <f t="shared" si="43"/>
        <v>Sunday</v>
      </c>
      <c r="V362" t="str">
        <f t="shared" si="44"/>
        <v>Afternoon</v>
      </c>
      <c r="W362" t="str">
        <f t="shared" si="45"/>
        <v>Spring</v>
      </c>
      <c r="X362" t="str">
        <f t="shared" si="46"/>
        <v>Clear</v>
      </c>
    </row>
    <row r="363" spans="1:24">
      <c r="A363">
        <v>362</v>
      </c>
      <c r="B363" s="2">
        <v>40559</v>
      </c>
      <c r="C363">
        <v>1</v>
      </c>
      <c r="D363">
        <v>0</v>
      </c>
      <c r="E363">
        <v>1</v>
      </c>
      <c r="F363">
        <v>13</v>
      </c>
      <c r="G363" t="b">
        <v>0</v>
      </c>
      <c r="H363">
        <v>0</v>
      </c>
      <c r="I363">
        <v>1</v>
      </c>
      <c r="J363">
        <v>0.26</v>
      </c>
      <c r="K363">
        <v>0.2273</v>
      </c>
      <c r="L363">
        <v>0.35</v>
      </c>
      <c r="M363">
        <v>0.29849999999999999</v>
      </c>
      <c r="N363">
        <v>23</v>
      </c>
      <c r="O363">
        <v>95</v>
      </c>
      <c r="P363">
        <v>118</v>
      </c>
      <c r="Q363" t="str">
        <f t="shared" si="40"/>
        <v>Complete</v>
      </c>
      <c r="R363">
        <f t="shared" si="47"/>
        <v>0.2273</v>
      </c>
      <c r="S363">
        <f t="shared" si="41"/>
        <v>2011</v>
      </c>
      <c r="T363" t="str">
        <f t="shared" si="42"/>
        <v>January</v>
      </c>
      <c r="U363" t="str">
        <f t="shared" si="43"/>
        <v>Sunday</v>
      </c>
      <c r="V363" t="str">
        <f t="shared" si="44"/>
        <v>Afternoon</v>
      </c>
      <c r="W363" t="str">
        <f t="shared" si="45"/>
        <v>Spring</v>
      </c>
      <c r="X363" t="str">
        <f t="shared" si="46"/>
        <v>Clear</v>
      </c>
    </row>
    <row r="364" spans="1:24">
      <c r="A364">
        <v>363</v>
      </c>
      <c r="B364" s="2">
        <v>40559</v>
      </c>
      <c r="C364">
        <v>1</v>
      </c>
      <c r="D364">
        <v>0</v>
      </c>
      <c r="E364">
        <v>1</v>
      </c>
      <c r="F364">
        <v>14</v>
      </c>
      <c r="G364" t="b">
        <v>0</v>
      </c>
      <c r="H364">
        <v>0</v>
      </c>
      <c r="I364">
        <v>1</v>
      </c>
      <c r="J364">
        <v>0.28000000000000003</v>
      </c>
      <c r="K364">
        <v>0.2727</v>
      </c>
      <c r="L364">
        <v>0.36</v>
      </c>
      <c r="M364">
        <v>0.25369999999999998</v>
      </c>
      <c r="N364">
        <v>22</v>
      </c>
      <c r="O364">
        <v>69</v>
      </c>
      <c r="P364">
        <v>91</v>
      </c>
      <c r="Q364" t="str">
        <f t="shared" si="40"/>
        <v>Complete</v>
      </c>
      <c r="R364">
        <f t="shared" si="47"/>
        <v>0.2727</v>
      </c>
      <c r="S364">
        <f t="shared" si="41"/>
        <v>2011</v>
      </c>
      <c r="T364" t="str">
        <f t="shared" si="42"/>
        <v>January</v>
      </c>
      <c r="U364" t="str">
        <f t="shared" si="43"/>
        <v>Sunday</v>
      </c>
      <c r="V364" t="str">
        <f t="shared" si="44"/>
        <v>Afternoon</v>
      </c>
      <c r="W364" t="str">
        <f t="shared" si="45"/>
        <v>Spring</v>
      </c>
      <c r="X364" t="str">
        <f t="shared" si="46"/>
        <v>Clear</v>
      </c>
    </row>
    <row r="365" spans="1:24">
      <c r="A365">
        <v>364</v>
      </c>
      <c r="B365" s="2">
        <v>40559</v>
      </c>
      <c r="C365">
        <v>1</v>
      </c>
      <c r="D365">
        <v>0</v>
      </c>
      <c r="E365">
        <v>1</v>
      </c>
      <c r="F365">
        <v>15</v>
      </c>
      <c r="G365" t="b">
        <v>0</v>
      </c>
      <c r="H365">
        <v>0</v>
      </c>
      <c r="I365">
        <v>1</v>
      </c>
      <c r="J365">
        <v>0.26</v>
      </c>
      <c r="K365">
        <v>0.2424</v>
      </c>
      <c r="L365">
        <v>0.38</v>
      </c>
      <c r="M365">
        <v>0.25369999999999998</v>
      </c>
      <c r="N365">
        <v>35</v>
      </c>
      <c r="O365">
        <v>78</v>
      </c>
      <c r="P365">
        <v>113</v>
      </c>
      <c r="Q365" t="str">
        <f t="shared" si="40"/>
        <v>Complete</v>
      </c>
      <c r="R365">
        <f t="shared" si="47"/>
        <v>0.2424</v>
      </c>
      <c r="S365">
        <f t="shared" si="41"/>
        <v>2011</v>
      </c>
      <c r="T365" t="str">
        <f t="shared" si="42"/>
        <v>January</v>
      </c>
      <c r="U365" t="str">
        <f t="shared" si="43"/>
        <v>Sunday</v>
      </c>
      <c r="V365" t="str">
        <f t="shared" si="44"/>
        <v>Afternoon</v>
      </c>
      <c r="W365" t="str">
        <f t="shared" si="45"/>
        <v>Spring</v>
      </c>
      <c r="X365" t="str">
        <f t="shared" si="46"/>
        <v>Clear</v>
      </c>
    </row>
    <row r="366" spans="1:24">
      <c r="A366">
        <v>365</v>
      </c>
      <c r="B366" s="2">
        <v>40559</v>
      </c>
      <c r="C366">
        <v>1</v>
      </c>
      <c r="D366">
        <v>0</v>
      </c>
      <c r="E366">
        <v>1</v>
      </c>
      <c r="F366">
        <v>16</v>
      </c>
      <c r="G366" t="b">
        <v>0</v>
      </c>
      <c r="H366">
        <v>0</v>
      </c>
      <c r="I366">
        <v>1</v>
      </c>
      <c r="J366">
        <v>0.24</v>
      </c>
      <c r="K366">
        <v>0.2273</v>
      </c>
      <c r="L366">
        <v>0.38</v>
      </c>
      <c r="M366">
        <v>0.22389999999999999</v>
      </c>
      <c r="N366">
        <v>22</v>
      </c>
      <c r="O366">
        <v>77</v>
      </c>
      <c r="P366">
        <v>99</v>
      </c>
      <c r="Q366" t="str">
        <f t="shared" si="40"/>
        <v>Complete</v>
      </c>
      <c r="R366">
        <f t="shared" si="47"/>
        <v>0.2273</v>
      </c>
      <c r="S366">
        <f t="shared" si="41"/>
        <v>2011</v>
      </c>
      <c r="T366" t="str">
        <f t="shared" si="42"/>
        <v>January</v>
      </c>
      <c r="U366" t="str">
        <f t="shared" si="43"/>
        <v>Sunday</v>
      </c>
      <c r="V366" t="str">
        <f t="shared" si="44"/>
        <v>Afternoon</v>
      </c>
      <c r="W366" t="str">
        <f t="shared" si="45"/>
        <v>Spring</v>
      </c>
      <c r="X366" t="str">
        <f t="shared" si="46"/>
        <v>Clear</v>
      </c>
    </row>
    <row r="367" spans="1:24">
      <c r="A367">
        <v>366</v>
      </c>
      <c r="B367" s="2">
        <v>40559</v>
      </c>
      <c r="C367">
        <v>1</v>
      </c>
      <c r="D367">
        <v>0</v>
      </c>
      <c r="E367">
        <v>1</v>
      </c>
      <c r="F367">
        <v>17</v>
      </c>
      <c r="G367" t="b">
        <v>0</v>
      </c>
      <c r="H367">
        <v>0</v>
      </c>
      <c r="I367">
        <v>1</v>
      </c>
      <c r="J367">
        <v>0.22</v>
      </c>
      <c r="K367">
        <v>0.21210000000000001</v>
      </c>
      <c r="L367">
        <v>0.37</v>
      </c>
      <c r="M367">
        <v>0.25369999999999998</v>
      </c>
      <c r="N367">
        <v>23</v>
      </c>
      <c r="O367">
        <v>82</v>
      </c>
      <c r="P367">
        <v>105</v>
      </c>
      <c r="Q367" t="str">
        <f t="shared" si="40"/>
        <v>Complete</v>
      </c>
      <c r="R367">
        <f t="shared" si="47"/>
        <v>0.21210000000000001</v>
      </c>
      <c r="S367">
        <f t="shared" si="41"/>
        <v>2011</v>
      </c>
      <c r="T367" t="str">
        <f t="shared" si="42"/>
        <v>January</v>
      </c>
      <c r="U367" t="str">
        <f t="shared" si="43"/>
        <v>Sunday</v>
      </c>
      <c r="V367" t="str">
        <f t="shared" si="44"/>
        <v>Afternoon</v>
      </c>
      <c r="W367" t="str">
        <f t="shared" si="45"/>
        <v>Spring</v>
      </c>
      <c r="X367" t="str">
        <f t="shared" si="46"/>
        <v>Clear</v>
      </c>
    </row>
    <row r="368" spans="1:24">
      <c r="A368">
        <v>367</v>
      </c>
      <c r="B368" s="2">
        <v>40559</v>
      </c>
      <c r="C368">
        <v>1</v>
      </c>
      <c r="D368">
        <v>0</v>
      </c>
      <c r="E368">
        <v>1</v>
      </c>
      <c r="F368">
        <v>18</v>
      </c>
      <c r="G368" t="b">
        <v>0</v>
      </c>
      <c r="H368">
        <v>0</v>
      </c>
      <c r="I368">
        <v>1</v>
      </c>
      <c r="J368">
        <v>0.2</v>
      </c>
      <c r="K368">
        <v>0.21210000000000001</v>
      </c>
      <c r="L368">
        <v>0.4</v>
      </c>
      <c r="M368">
        <v>0.16420000000000001</v>
      </c>
      <c r="N368">
        <v>11</v>
      </c>
      <c r="O368">
        <v>56</v>
      </c>
      <c r="P368">
        <v>67</v>
      </c>
      <c r="Q368" t="str">
        <f t="shared" si="40"/>
        <v>Complete</v>
      </c>
      <c r="R368">
        <f t="shared" si="47"/>
        <v>0.21210000000000001</v>
      </c>
      <c r="S368">
        <f t="shared" si="41"/>
        <v>2011</v>
      </c>
      <c r="T368" t="str">
        <f t="shared" si="42"/>
        <v>January</v>
      </c>
      <c r="U368" t="str">
        <f t="shared" si="43"/>
        <v>Sunday</v>
      </c>
      <c r="V368" t="str">
        <f t="shared" si="44"/>
        <v>Evening</v>
      </c>
      <c r="W368" t="str">
        <f t="shared" si="45"/>
        <v>Spring</v>
      </c>
      <c r="X368" t="str">
        <f t="shared" si="46"/>
        <v>Clear</v>
      </c>
    </row>
    <row r="369" spans="1:24">
      <c r="A369">
        <v>368</v>
      </c>
      <c r="B369" s="2">
        <v>40559</v>
      </c>
      <c r="C369">
        <v>1</v>
      </c>
      <c r="D369">
        <v>0</v>
      </c>
      <c r="E369">
        <v>1</v>
      </c>
      <c r="F369">
        <v>19</v>
      </c>
      <c r="G369" t="b">
        <v>0</v>
      </c>
      <c r="H369">
        <v>0</v>
      </c>
      <c r="I369">
        <v>1</v>
      </c>
      <c r="J369">
        <v>0.18</v>
      </c>
      <c r="K369">
        <v>0.19700000000000001</v>
      </c>
      <c r="L369">
        <v>0.47</v>
      </c>
      <c r="M369">
        <v>0.1343</v>
      </c>
      <c r="N369">
        <v>14</v>
      </c>
      <c r="O369">
        <v>47</v>
      </c>
      <c r="P369">
        <v>61</v>
      </c>
      <c r="Q369" t="str">
        <f t="shared" si="40"/>
        <v>Complete</v>
      </c>
      <c r="R369">
        <f t="shared" si="47"/>
        <v>0.19700000000000001</v>
      </c>
      <c r="S369">
        <f t="shared" si="41"/>
        <v>2011</v>
      </c>
      <c r="T369" t="str">
        <f t="shared" si="42"/>
        <v>January</v>
      </c>
      <c r="U369" t="str">
        <f t="shared" si="43"/>
        <v>Sunday</v>
      </c>
      <c r="V369" t="str">
        <f t="shared" si="44"/>
        <v>Evening</v>
      </c>
      <c r="W369" t="str">
        <f t="shared" si="45"/>
        <v>Spring</v>
      </c>
      <c r="X369" t="str">
        <f t="shared" si="46"/>
        <v>Clear</v>
      </c>
    </row>
    <row r="370" spans="1:24">
      <c r="A370">
        <v>369</v>
      </c>
      <c r="B370" s="2">
        <v>40559</v>
      </c>
      <c r="C370">
        <v>1</v>
      </c>
      <c r="D370">
        <v>0</v>
      </c>
      <c r="E370">
        <v>1</v>
      </c>
      <c r="F370">
        <v>20</v>
      </c>
      <c r="G370" t="b">
        <v>0</v>
      </c>
      <c r="H370">
        <v>0</v>
      </c>
      <c r="I370">
        <v>1</v>
      </c>
      <c r="J370">
        <v>0.18</v>
      </c>
      <c r="K370">
        <v>0.19700000000000001</v>
      </c>
      <c r="L370">
        <v>0.47</v>
      </c>
      <c r="M370">
        <v>0.16420000000000001</v>
      </c>
      <c r="N370">
        <v>7</v>
      </c>
      <c r="O370">
        <v>50</v>
      </c>
      <c r="P370">
        <v>57</v>
      </c>
      <c r="Q370" t="str">
        <f t="shared" si="40"/>
        <v>Complete</v>
      </c>
      <c r="R370">
        <f t="shared" si="47"/>
        <v>0.19700000000000001</v>
      </c>
      <c r="S370">
        <f t="shared" si="41"/>
        <v>2011</v>
      </c>
      <c r="T370" t="str">
        <f t="shared" si="42"/>
        <v>January</v>
      </c>
      <c r="U370" t="str">
        <f t="shared" si="43"/>
        <v>Sunday</v>
      </c>
      <c r="V370" t="str">
        <f t="shared" si="44"/>
        <v>Evening</v>
      </c>
      <c r="W370" t="str">
        <f t="shared" si="45"/>
        <v>Spring</v>
      </c>
      <c r="X370" t="str">
        <f t="shared" si="46"/>
        <v>Clear</v>
      </c>
    </row>
    <row r="371" spans="1:24">
      <c r="A371">
        <v>370</v>
      </c>
      <c r="B371" s="2">
        <v>40559</v>
      </c>
      <c r="C371">
        <v>1</v>
      </c>
      <c r="D371">
        <v>0</v>
      </c>
      <c r="E371">
        <v>1</v>
      </c>
      <c r="F371">
        <v>21</v>
      </c>
      <c r="G371" t="b">
        <v>0</v>
      </c>
      <c r="H371">
        <v>0</v>
      </c>
      <c r="I371">
        <v>1</v>
      </c>
      <c r="J371">
        <v>0.18</v>
      </c>
      <c r="K371">
        <v>0.19700000000000001</v>
      </c>
      <c r="L371">
        <v>0.51</v>
      </c>
      <c r="M371">
        <v>0.16420000000000001</v>
      </c>
      <c r="N371">
        <v>6</v>
      </c>
      <c r="O371">
        <v>22</v>
      </c>
      <c r="P371">
        <v>28</v>
      </c>
      <c r="Q371" t="str">
        <f t="shared" si="40"/>
        <v>Complete</v>
      </c>
      <c r="R371">
        <f t="shared" si="47"/>
        <v>0.19700000000000001</v>
      </c>
      <c r="S371">
        <f t="shared" si="41"/>
        <v>2011</v>
      </c>
      <c r="T371" t="str">
        <f t="shared" si="42"/>
        <v>January</v>
      </c>
      <c r="U371" t="str">
        <f t="shared" si="43"/>
        <v>Sunday</v>
      </c>
      <c r="V371" t="str">
        <f t="shared" si="44"/>
        <v>Evening</v>
      </c>
      <c r="W371" t="str">
        <f t="shared" si="45"/>
        <v>Spring</v>
      </c>
      <c r="X371" t="str">
        <f t="shared" si="46"/>
        <v>Clear</v>
      </c>
    </row>
    <row r="372" spans="1:24">
      <c r="A372">
        <v>371</v>
      </c>
      <c r="B372" s="2">
        <v>40559</v>
      </c>
      <c r="C372">
        <v>1</v>
      </c>
      <c r="D372">
        <v>0</v>
      </c>
      <c r="E372">
        <v>1</v>
      </c>
      <c r="F372">
        <v>22</v>
      </c>
      <c r="G372" t="b">
        <v>0</v>
      </c>
      <c r="H372">
        <v>0</v>
      </c>
      <c r="I372">
        <v>2</v>
      </c>
      <c r="J372">
        <v>0.2</v>
      </c>
      <c r="K372">
        <v>0.21210000000000001</v>
      </c>
      <c r="L372">
        <v>0.49</v>
      </c>
      <c r="M372">
        <v>0.1343</v>
      </c>
      <c r="N372">
        <v>2</v>
      </c>
      <c r="O372">
        <v>19</v>
      </c>
      <c r="P372">
        <v>21</v>
      </c>
      <c r="Q372" t="str">
        <f t="shared" si="40"/>
        <v>Complete</v>
      </c>
      <c r="R372">
        <f t="shared" si="47"/>
        <v>0.21210000000000001</v>
      </c>
      <c r="S372">
        <f t="shared" si="41"/>
        <v>2011</v>
      </c>
      <c r="T372" t="str">
        <f t="shared" si="42"/>
        <v>January</v>
      </c>
      <c r="U372" t="str">
        <f t="shared" si="43"/>
        <v>Sunday</v>
      </c>
      <c r="V372" t="str">
        <f t="shared" si="44"/>
        <v>Evening</v>
      </c>
      <c r="W372" t="str">
        <f t="shared" si="45"/>
        <v>Spring</v>
      </c>
      <c r="X372" t="str">
        <f t="shared" si="46"/>
        <v>Mist/Cloudy</v>
      </c>
    </row>
    <row r="373" spans="1:24">
      <c r="A373">
        <v>372</v>
      </c>
      <c r="B373" s="2">
        <v>40559</v>
      </c>
      <c r="C373">
        <v>1</v>
      </c>
      <c r="D373">
        <v>0</v>
      </c>
      <c r="E373">
        <v>1</v>
      </c>
      <c r="F373">
        <v>23</v>
      </c>
      <c r="G373" t="b">
        <v>0</v>
      </c>
      <c r="H373">
        <v>0</v>
      </c>
      <c r="I373">
        <v>2</v>
      </c>
      <c r="J373">
        <v>0.2</v>
      </c>
      <c r="K373">
        <v>0.2273</v>
      </c>
      <c r="L373">
        <v>0.4</v>
      </c>
      <c r="M373">
        <v>0.1045</v>
      </c>
      <c r="N373">
        <v>0</v>
      </c>
      <c r="O373">
        <v>18</v>
      </c>
      <c r="P373">
        <v>18</v>
      </c>
      <c r="Q373" t="str">
        <f t="shared" si="40"/>
        <v>Complete</v>
      </c>
      <c r="R373">
        <f t="shared" si="47"/>
        <v>0.2273</v>
      </c>
      <c r="S373">
        <f t="shared" si="41"/>
        <v>2011</v>
      </c>
      <c r="T373" t="str">
        <f t="shared" si="42"/>
        <v>January</v>
      </c>
      <c r="U373" t="str">
        <f t="shared" si="43"/>
        <v>Sunday</v>
      </c>
      <c r="V373" t="str">
        <f t="shared" si="44"/>
        <v>Evening</v>
      </c>
      <c r="W373" t="str">
        <f t="shared" si="45"/>
        <v>Spring</v>
      </c>
      <c r="X373" t="str">
        <f t="shared" si="46"/>
        <v>Mist/Cloudy</v>
      </c>
    </row>
    <row r="374" spans="1:24">
      <c r="A374">
        <v>373</v>
      </c>
      <c r="B374" s="2">
        <v>40560</v>
      </c>
      <c r="C374">
        <v>1</v>
      </c>
      <c r="D374">
        <v>0</v>
      </c>
      <c r="E374">
        <v>1</v>
      </c>
      <c r="F374">
        <v>0</v>
      </c>
      <c r="G374" t="b">
        <v>1</v>
      </c>
      <c r="H374">
        <v>1</v>
      </c>
      <c r="I374">
        <v>2</v>
      </c>
      <c r="J374">
        <v>0.2</v>
      </c>
      <c r="K374">
        <v>0.19700000000000001</v>
      </c>
      <c r="L374">
        <v>0.47</v>
      </c>
      <c r="M374">
        <v>0.22389999999999999</v>
      </c>
      <c r="N374">
        <v>1</v>
      </c>
      <c r="O374">
        <v>16</v>
      </c>
      <c r="P374">
        <v>17</v>
      </c>
      <c r="Q374" t="str">
        <f t="shared" si="40"/>
        <v>Complete</v>
      </c>
      <c r="R374">
        <f t="shared" si="47"/>
        <v>0.19700000000000001</v>
      </c>
      <c r="S374">
        <f t="shared" si="41"/>
        <v>2011</v>
      </c>
      <c r="T374" t="str">
        <f t="shared" si="42"/>
        <v>January</v>
      </c>
      <c r="U374" t="str">
        <f t="shared" si="43"/>
        <v>Holiday</v>
      </c>
      <c r="V374" t="str">
        <f t="shared" si="44"/>
        <v>Night</v>
      </c>
      <c r="W374" t="str">
        <f t="shared" si="45"/>
        <v>Spring</v>
      </c>
      <c r="X374" t="str">
        <f t="shared" si="46"/>
        <v>Mist/Cloudy</v>
      </c>
    </row>
    <row r="375" spans="1:24">
      <c r="A375">
        <v>374</v>
      </c>
      <c r="B375" s="2">
        <v>40560</v>
      </c>
      <c r="C375">
        <v>1</v>
      </c>
      <c r="D375">
        <v>0</v>
      </c>
      <c r="E375">
        <v>1</v>
      </c>
      <c r="F375">
        <v>1</v>
      </c>
      <c r="G375" t="b">
        <v>1</v>
      </c>
      <c r="H375">
        <v>1</v>
      </c>
      <c r="I375">
        <v>2</v>
      </c>
      <c r="J375">
        <v>0.2</v>
      </c>
      <c r="K375">
        <v>0.19700000000000001</v>
      </c>
      <c r="L375">
        <v>0.44</v>
      </c>
      <c r="M375">
        <v>0.19400000000000001</v>
      </c>
      <c r="N375">
        <v>1</v>
      </c>
      <c r="O375">
        <v>15</v>
      </c>
      <c r="P375">
        <v>16</v>
      </c>
      <c r="Q375" t="str">
        <f t="shared" si="40"/>
        <v>Complete</v>
      </c>
      <c r="R375">
        <f t="shared" si="47"/>
        <v>0.19700000000000001</v>
      </c>
      <c r="S375">
        <f t="shared" si="41"/>
        <v>2011</v>
      </c>
      <c r="T375" t="str">
        <f t="shared" si="42"/>
        <v>January</v>
      </c>
      <c r="U375" t="str">
        <f t="shared" si="43"/>
        <v>Holiday</v>
      </c>
      <c r="V375" t="str">
        <f t="shared" si="44"/>
        <v>Night</v>
      </c>
      <c r="W375" t="str">
        <f t="shared" si="45"/>
        <v>Spring</v>
      </c>
      <c r="X375" t="str">
        <f t="shared" si="46"/>
        <v>Mist/Cloudy</v>
      </c>
    </row>
    <row r="376" spans="1:24">
      <c r="A376">
        <v>375</v>
      </c>
      <c r="B376" s="2">
        <v>40560</v>
      </c>
      <c r="C376">
        <v>1</v>
      </c>
      <c r="D376">
        <v>0</v>
      </c>
      <c r="E376">
        <v>1</v>
      </c>
      <c r="F376">
        <v>2</v>
      </c>
      <c r="G376" t="b">
        <v>1</v>
      </c>
      <c r="H376">
        <v>1</v>
      </c>
      <c r="I376">
        <v>2</v>
      </c>
      <c r="J376">
        <v>0.18</v>
      </c>
      <c r="K376">
        <v>0.16669999999999999</v>
      </c>
      <c r="L376">
        <v>0.43</v>
      </c>
      <c r="M376">
        <v>0.25369999999999998</v>
      </c>
      <c r="N376">
        <v>0</v>
      </c>
      <c r="O376">
        <v>8</v>
      </c>
      <c r="P376">
        <v>8</v>
      </c>
      <c r="Q376" t="str">
        <f t="shared" si="40"/>
        <v>Complete</v>
      </c>
      <c r="R376">
        <f t="shared" si="47"/>
        <v>0.16669999999999999</v>
      </c>
      <c r="S376">
        <f t="shared" si="41"/>
        <v>2011</v>
      </c>
      <c r="T376" t="str">
        <f t="shared" si="42"/>
        <v>January</v>
      </c>
      <c r="U376" t="str">
        <f t="shared" si="43"/>
        <v>Holiday</v>
      </c>
      <c r="V376" t="str">
        <f t="shared" si="44"/>
        <v>Night</v>
      </c>
      <c r="W376" t="str">
        <f t="shared" si="45"/>
        <v>Spring</v>
      </c>
      <c r="X376" t="str">
        <f t="shared" si="46"/>
        <v>Mist/Cloudy</v>
      </c>
    </row>
    <row r="377" spans="1:24">
      <c r="A377">
        <v>376</v>
      </c>
      <c r="B377" s="2">
        <v>40560</v>
      </c>
      <c r="C377">
        <v>1</v>
      </c>
      <c r="D377">
        <v>0</v>
      </c>
      <c r="E377">
        <v>1</v>
      </c>
      <c r="F377">
        <v>3</v>
      </c>
      <c r="G377" t="b">
        <v>1</v>
      </c>
      <c r="H377">
        <v>1</v>
      </c>
      <c r="I377">
        <v>2</v>
      </c>
      <c r="J377">
        <v>0.18</v>
      </c>
      <c r="K377">
        <v>0.18179999999999999</v>
      </c>
      <c r="L377">
        <v>0.43</v>
      </c>
      <c r="M377">
        <v>0.19400000000000001</v>
      </c>
      <c r="N377">
        <v>0</v>
      </c>
      <c r="O377">
        <v>2</v>
      </c>
      <c r="P377">
        <v>2</v>
      </c>
      <c r="Q377" t="str">
        <f t="shared" si="40"/>
        <v>Complete</v>
      </c>
      <c r="R377">
        <f t="shared" si="47"/>
        <v>0.18179999999999999</v>
      </c>
      <c r="S377">
        <f t="shared" si="41"/>
        <v>2011</v>
      </c>
      <c r="T377" t="str">
        <f t="shared" si="42"/>
        <v>January</v>
      </c>
      <c r="U377" t="str">
        <f t="shared" si="43"/>
        <v>Holiday</v>
      </c>
      <c r="V377" t="str">
        <f t="shared" si="44"/>
        <v>Night</v>
      </c>
      <c r="W377" t="str">
        <f t="shared" si="45"/>
        <v>Spring</v>
      </c>
      <c r="X377" t="str">
        <f t="shared" si="46"/>
        <v>Mist/Cloudy</v>
      </c>
    </row>
    <row r="378" spans="1:24">
      <c r="A378">
        <v>377</v>
      </c>
      <c r="B378" s="2">
        <v>40560</v>
      </c>
      <c r="C378">
        <v>1</v>
      </c>
      <c r="D378">
        <v>0</v>
      </c>
      <c r="E378">
        <v>1</v>
      </c>
      <c r="F378">
        <v>4</v>
      </c>
      <c r="G378" t="b">
        <v>1</v>
      </c>
      <c r="H378">
        <v>1</v>
      </c>
      <c r="I378">
        <v>2</v>
      </c>
      <c r="J378">
        <v>0.18</v>
      </c>
      <c r="K378">
        <v>0.19700000000000001</v>
      </c>
      <c r="L378">
        <v>0.43</v>
      </c>
      <c r="M378">
        <v>0.1343</v>
      </c>
      <c r="N378">
        <v>1</v>
      </c>
      <c r="O378">
        <v>2</v>
      </c>
      <c r="P378">
        <v>3</v>
      </c>
      <c r="Q378" t="str">
        <f t="shared" si="40"/>
        <v>Complete</v>
      </c>
      <c r="R378">
        <f t="shared" si="47"/>
        <v>0.19700000000000001</v>
      </c>
      <c r="S378">
        <f t="shared" si="41"/>
        <v>2011</v>
      </c>
      <c r="T378" t="str">
        <f t="shared" si="42"/>
        <v>January</v>
      </c>
      <c r="U378" t="str">
        <f t="shared" si="43"/>
        <v>Holiday</v>
      </c>
      <c r="V378" t="str">
        <f t="shared" si="44"/>
        <v>Night</v>
      </c>
      <c r="W378" t="str">
        <f t="shared" si="45"/>
        <v>Spring</v>
      </c>
      <c r="X378" t="str">
        <f t="shared" si="46"/>
        <v>Mist/Cloudy</v>
      </c>
    </row>
    <row r="379" spans="1:24">
      <c r="A379">
        <v>378</v>
      </c>
      <c r="B379" s="2">
        <v>40560</v>
      </c>
      <c r="C379">
        <v>1</v>
      </c>
      <c r="D379">
        <v>0</v>
      </c>
      <c r="E379">
        <v>1</v>
      </c>
      <c r="F379">
        <v>5</v>
      </c>
      <c r="G379" t="b">
        <v>1</v>
      </c>
      <c r="H379">
        <v>1</v>
      </c>
      <c r="I379">
        <v>2</v>
      </c>
      <c r="J379">
        <v>0.18</v>
      </c>
      <c r="K379">
        <v>0.19700000000000001</v>
      </c>
      <c r="L379">
        <v>0.43</v>
      </c>
      <c r="M379">
        <v>0.16420000000000001</v>
      </c>
      <c r="N379">
        <v>0</v>
      </c>
      <c r="O379">
        <v>1</v>
      </c>
      <c r="P379">
        <v>1</v>
      </c>
      <c r="Q379" t="str">
        <f t="shared" si="40"/>
        <v>Complete</v>
      </c>
      <c r="R379">
        <f t="shared" si="47"/>
        <v>0.19700000000000001</v>
      </c>
      <c r="S379">
        <f t="shared" si="41"/>
        <v>2011</v>
      </c>
      <c r="T379" t="str">
        <f t="shared" si="42"/>
        <v>January</v>
      </c>
      <c r="U379" t="str">
        <f t="shared" si="43"/>
        <v>Holiday</v>
      </c>
      <c r="V379" t="str">
        <f t="shared" si="44"/>
        <v>Night</v>
      </c>
      <c r="W379" t="str">
        <f t="shared" si="45"/>
        <v>Spring</v>
      </c>
      <c r="X379" t="str">
        <f t="shared" si="46"/>
        <v>Mist/Cloudy</v>
      </c>
    </row>
    <row r="380" spans="1:24">
      <c r="A380">
        <v>379</v>
      </c>
      <c r="B380" s="2">
        <v>40560</v>
      </c>
      <c r="C380">
        <v>1</v>
      </c>
      <c r="D380">
        <v>0</v>
      </c>
      <c r="E380">
        <v>1</v>
      </c>
      <c r="F380">
        <v>6</v>
      </c>
      <c r="G380" t="b">
        <v>1</v>
      </c>
      <c r="H380">
        <v>1</v>
      </c>
      <c r="I380">
        <v>2</v>
      </c>
      <c r="J380">
        <v>0.18</v>
      </c>
      <c r="K380">
        <v>0.18179999999999999</v>
      </c>
      <c r="L380">
        <v>0.43</v>
      </c>
      <c r="M380">
        <v>0.19400000000000001</v>
      </c>
      <c r="N380">
        <v>0</v>
      </c>
      <c r="O380">
        <v>5</v>
      </c>
      <c r="P380">
        <v>5</v>
      </c>
      <c r="Q380" t="str">
        <f t="shared" si="40"/>
        <v>Complete</v>
      </c>
      <c r="R380">
        <f t="shared" si="47"/>
        <v>0.18179999999999999</v>
      </c>
      <c r="S380">
        <f t="shared" si="41"/>
        <v>2011</v>
      </c>
      <c r="T380" t="str">
        <f t="shared" si="42"/>
        <v>January</v>
      </c>
      <c r="U380" t="str">
        <f t="shared" si="43"/>
        <v>Holiday</v>
      </c>
      <c r="V380" t="str">
        <f t="shared" si="44"/>
        <v>Morning</v>
      </c>
      <c r="W380" t="str">
        <f t="shared" si="45"/>
        <v>Spring</v>
      </c>
      <c r="X380" t="str">
        <f t="shared" si="46"/>
        <v>Mist/Cloudy</v>
      </c>
    </row>
    <row r="381" spans="1:24">
      <c r="A381">
        <v>380</v>
      </c>
      <c r="B381" s="2">
        <v>40560</v>
      </c>
      <c r="C381">
        <v>1</v>
      </c>
      <c r="D381">
        <v>0</v>
      </c>
      <c r="E381">
        <v>1</v>
      </c>
      <c r="F381">
        <v>7</v>
      </c>
      <c r="G381" t="b">
        <v>1</v>
      </c>
      <c r="H381">
        <v>1</v>
      </c>
      <c r="I381">
        <v>2</v>
      </c>
      <c r="J381">
        <v>0.16</v>
      </c>
      <c r="K381">
        <v>0.18179999999999999</v>
      </c>
      <c r="L381">
        <v>0.5</v>
      </c>
      <c r="M381">
        <v>0.1343</v>
      </c>
      <c r="N381">
        <v>4</v>
      </c>
      <c r="O381">
        <v>9</v>
      </c>
      <c r="P381">
        <v>13</v>
      </c>
      <c r="Q381" t="str">
        <f t="shared" si="40"/>
        <v>Complete</v>
      </c>
      <c r="R381">
        <f t="shared" si="47"/>
        <v>0.18179999999999999</v>
      </c>
      <c r="S381">
        <f t="shared" si="41"/>
        <v>2011</v>
      </c>
      <c r="T381" t="str">
        <f t="shared" si="42"/>
        <v>January</v>
      </c>
      <c r="U381" t="str">
        <f t="shared" si="43"/>
        <v>Holiday</v>
      </c>
      <c r="V381" t="str">
        <f t="shared" si="44"/>
        <v>Morning</v>
      </c>
      <c r="W381" t="str">
        <f t="shared" si="45"/>
        <v>Spring</v>
      </c>
      <c r="X381" t="str">
        <f t="shared" si="46"/>
        <v>Mist/Cloudy</v>
      </c>
    </row>
    <row r="382" spans="1:24">
      <c r="A382">
        <v>381</v>
      </c>
      <c r="B382" s="2">
        <v>40560</v>
      </c>
      <c r="C382">
        <v>1</v>
      </c>
      <c r="D382">
        <v>0</v>
      </c>
      <c r="E382">
        <v>1</v>
      </c>
      <c r="F382">
        <v>8</v>
      </c>
      <c r="G382" t="b">
        <v>1</v>
      </c>
      <c r="H382">
        <v>1</v>
      </c>
      <c r="I382">
        <v>2</v>
      </c>
      <c r="J382">
        <v>0.16</v>
      </c>
      <c r="K382">
        <v>0.1515</v>
      </c>
      <c r="L382">
        <v>0.47</v>
      </c>
      <c r="M382">
        <v>0.22389999999999999</v>
      </c>
      <c r="N382">
        <v>3</v>
      </c>
      <c r="O382">
        <v>30</v>
      </c>
      <c r="P382">
        <v>33</v>
      </c>
      <c r="Q382" t="str">
        <f t="shared" si="40"/>
        <v>Complete</v>
      </c>
      <c r="R382">
        <f t="shared" si="47"/>
        <v>0.1515</v>
      </c>
      <c r="S382">
        <f t="shared" si="41"/>
        <v>2011</v>
      </c>
      <c r="T382" t="str">
        <f t="shared" si="42"/>
        <v>January</v>
      </c>
      <c r="U382" t="str">
        <f t="shared" si="43"/>
        <v>Holiday</v>
      </c>
      <c r="V382" t="str">
        <f t="shared" si="44"/>
        <v>Morning</v>
      </c>
      <c r="W382" t="str">
        <f t="shared" si="45"/>
        <v>Spring</v>
      </c>
      <c r="X382" t="str">
        <f t="shared" si="46"/>
        <v>Mist/Cloudy</v>
      </c>
    </row>
    <row r="383" spans="1:24">
      <c r="A383">
        <v>382</v>
      </c>
      <c r="B383" s="2">
        <v>40560</v>
      </c>
      <c r="C383">
        <v>1</v>
      </c>
      <c r="D383">
        <v>0</v>
      </c>
      <c r="E383">
        <v>1</v>
      </c>
      <c r="F383">
        <v>9</v>
      </c>
      <c r="G383" t="b">
        <v>1</v>
      </c>
      <c r="H383">
        <v>1</v>
      </c>
      <c r="I383">
        <v>2</v>
      </c>
      <c r="J383">
        <v>0.16</v>
      </c>
      <c r="K383">
        <v>0.1515</v>
      </c>
      <c r="L383">
        <v>0.47</v>
      </c>
      <c r="M383">
        <v>0.22389999999999999</v>
      </c>
      <c r="N383">
        <v>8</v>
      </c>
      <c r="O383">
        <v>39</v>
      </c>
      <c r="P383">
        <v>47</v>
      </c>
      <c r="Q383" t="str">
        <f t="shared" si="40"/>
        <v>Complete</v>
      </c>
      <c r="R383">
        <f t="shared" si="47"/>
        <v>0.1515</v>
      </c>
      <c r="S383">
        <f t="shared" si="41"/>
        <v>2011</v>
      </c>
      <c r="T383" t="str">
        <f t="shared" si="42"/>
        <v>January</v>
      </c>
      <c r="U383" t="str">
        <f t="shared" si="43"/>
        <v>Holiday</v>
      </c>
      <c r="V383" t="str">
        <f t="shared" si="44"/>
        <v>Morning</v>
      </c>
      <c r="W383" t="str">
        <f t="shared" si="45"/>
        <v>Spring</v>
      </c>
      <c r="X383" t="str">
        <f t="shared" si="46"/>
        <v>Mist/Cloudy</v>
      </c>
    </row>
    <row r="384" spans="1:24">
      <c r="A384">
        <v>383</v>
      </c>
      <c r="B384" s="2">
        <v>40560</v>
      </c>
      <c r="C384">
        <v>1</v>
      </c>
      <c r="D384">
        <v>0</v>
      </c>
      <c r="E384">
        <v>1</v>
      </c>
      <c r="F384">
        <v>10</v>
      </c>
      <c r="G384" t="b">
        <v>1</v>
      </c>
      <c r="H384">
        <v>1</v>
      </c>
      <c r="I384">
        <v>2</v>
      </c>
      <c r="J384">
        <v>0.16</v>
      </c>
      <c r="K384">
        <v>0.1515</v>
      </c>
      <c r="L384">
        <v>0.5</v>
      </c>
      <c r="M384">
        <v>0.25369999999999998</v>
      </c>
      <c r="N384">
        <v>7</v>
      </c>
      <c r="O384">
        <v>50</v>
      </c>
      <c r="P384">
        <v>57</v>
      </c>
      <c r="Q384" t="str">
        <f t="shared" si="40"/>
        <v>Complete</v>
      </c>
      <c r="R384">
        <f t="shared" si="47"/>
        <v>0.1515</v>
      </c>
      <c r="S384">
        <f t="shared" si="41"/>
        <v>2011</v>
      </c>
      <c r="T384" t="str">
        <f t="shared" si="42"/>
        <v>January</v>
      </c>
      <c r="U384" t="str">
        <f t="shared" si="43"/>
        <v>Holiday</v>
      </c>
      <c r="V384" t="str">
        <f t="shared" si="44"/>
        <v>Morning</v>
      </c>
      <c r="W384" t="str">
        <f t="shared" si="45"/>
        <v>Spring</v>
      </c>
      <c r="X384" t="str">
        <f t="shared" si="46"/>
        <v>Mist/Cloudy</v>
      </c>
    </row>
    <row r="385" spans="1:24">
      <c r="A385">
        <v>384</v>
      </c>
      <c r="B385" s="2">
        <v>40560</v>
      </c>
      <c r="C385">
        <v>1</v>
      </c>
      <c r="D385">
        <v>0</v>
      </c>
      <c r="E385">
        <v>1</v>
      </c>
      <c r="F385">
        <v>11</v>
      </c>
      <c r="G385" t="b">
        <v>1</v>
      </c>
      <c r="H385">
        <v>1</v>
      </c>
      <c r="I385">
        <v>2</v>
      </c>
      <c r="J385">
        <v>0.16</v>
      </c>
      <c r="K385">
        <v>0.1515</v>
      </c>
      <c r="L385">
        <v>0.55000000000000004</v>
      </c>
      <c r="M385">
        <v>0.19400000000000001</v>
      </c>
      <c r="N385">
        <v>9</v>
      </c>
      <c r="O385">
        <v>55</v>
      </c>
      <c r="P385">
        <v>64</v>
      </c>
      <c r="Q385" t="str">
        <f t="shared" si="40"/>
        <v>Complete</v>
      </c>
      <c r="R385">
        <f t="shared" si="47"/>
        <v>0.1515</v>
      </c>
      <c r="S385">
        <f t="shared" si="41"/>
        <v>2011</v>
      </c>
      <c r="T385" t="str">
        <f t="shared" si="42"/>
        <v>January</v>
      </c>
      <c r="U385" t="str">
        <f t="shared" si="43"/>
        <v>Holiday</v>
      </c>
      <c r="V385" t="str">
        <f t="shared" si="44"/>
        <v>Morning</v>
      </c>
      <c r="W385" t="str">
        <f t="shared" si="45"/>
        <v>Spring</v>
      </c>
      <c r="X385" t="str">
        <f t="shared" si="46"/>
        <v>Mist/Cloudy</v>
      </c>
    </row>
    <row r="386" spans="1:24">
      <c r="A386">
        <v>385</v>
      </c>
      <c r="B386" s="2">
        <v>40560</v>
      </c>
      <c r="C386">
        <v>1</v>
      </c>
      <c r="D386">
        <v>0</v>
      </c>
      <c r="E386">
        <v>1</v>
      </c>
      <c r="F386">
        <v>12</v>
      </c>
      <c r="G386" t="b">
        <v>1</v>
      </c>
      <c r="H386">
        <v>1</v>
      </c>
      <c r="I386">
        <v>2</v>
      </c>
      <c r="J386">
        <v>0.18</v>
      </c>
      <c r="K386">
        <v>0.19700000000000001</v>
      </c>
      <c r="L386">
        <v>0.47</v>
      </c>
      <c r="M386">
        <v>0.1343</v>
      </c>
      <c r="N386">
        <v>10</v>
      </c>
      <c r="O386">
        <v>70</v>
      </c>
      <c r="P386">
        <v>80</v>
      </c>
      <c r="Q386" t="str">
        <f t="shared" ref="Q386:Q449" si="48">IF(K386="","Missing atemp","Complete")</f>
        <v>Complete</v>
      </c>
      <c r="R386">
        <f t="shared" si="47"/>
        <v>0.19700000000000001</v>
      </c>
      <c r="S386">
        <f t="shared" ref="S386:S449" si="49">IF(D386=0,2011,"")</f>
        <v>2011</v>
      </c>
      <c r="T386" t="str">
        <f t="shared" ref="T386:T449" si="50">IF(E386=1,"January","")</f>
        <v>January</v>
      </c>
      <c r="U386" t="str">
        <f t="shared" ref="U386:U449" si="51">IF(G386=TRUE,"Holiday",IF(H386=0,"Sunday",IF(H386=6,"Saturday","Weekday")))</f>
        <v>Holiday</v>
      </c>
      <c r="V386" t="str">
        <f t="shared" ref="V386:V449" si="52">IF(F386&lt;6,"Night",IF(F386&lt;12,"Morning",IF(F386&lt;18,"Afternoon","Evening")))</f>
        <v>Afternoon</v>
      </c>
      <c r="W386" t="str">
        <f t="shared" ref="W386:W449" si="53">IF(C386=1,"Spring","")</f>
        <v>Spring</v>
      </c>
      <c r="X386" t="str">
        <f t="shared" ref="X386:X449" si="54">IF(I386=1,"Clear",IF(I386=2,"Mist/Cloudy",IF(I386=3,"Light Rain/Snow",IF(I386=4,"Heavy Rain/Snow","Unknown"))))</f>
        <v>Mist/Cloudy</v>
      </c>
    </row>
    <row r="387" spans="1:24">
      <c r="A387">
        <v>386</v>
      </c>
      <c r="B387" s="2">
        <v>40560</v>
      </c>
      <c r="C387">
        <v>1</v>
      </c>
      <c r="D387">
        <v>0</v>
      </c>
      <c r="E387">
        <v>1</v>
      </c>
      <c r="F387">
        <v>13</v>
      </c>
      <c r="G387" t="b">
        <v>1</v>
      </c>
      <c r="H387">
        <v>1</v>
      </c>
      <c r="I387">
        <v>2</v>
      </c>
      <c r="J387">
        <v>0.18</v>
      </c>
      <c r="K387">
        <v>0.19700000000000001</v>
      </c>
      <c r="L387">
        <v>0.47</v>
      </c>
      <c r="M387">
        <v>0.1343</v>
      </c>
      <c r="N387">
        <v>13</v>
      </c>
      <c r="O387">
        <v>80</v>
      </c>
      <c r="P387">
        <v>93</v>
      </c>
      <c r="Q387" t="str">
        <f t="shared" si="48"/>
        <v>Complete</v>
      </c>
      <c r="R387">
        <f t="shared" ref="R387:R450" si="55">IF(K387="",J387,K387)</f>
        <v>0.19700000000000001</v>
      </c>
      <c r="S387">
        <f t="shared" si="49"/>
        <v>2011</v>
      </c>
      <c r="T387" t="str">
        <f t="shared" si="50"/>
        <v>January</v>
      </c>
      <c r="U387" t="str">
        <f t="shared" si="51"/>
        <v>Holiday</v>
      </c>
      <c r="V387" t="str">
        <f t="shared" si="52"/>
        <v>Afternoon</v>
      </c>
      <c r="W387" t="str">
        <f t="shared" si="53"/>
        <v>Spring</v>
      </c>
      <c r="X387" t="str">
        <f t="shared" si="54"/>
        <v>Mist/Cloudy</v>
      </c>
    </row>
    <row r="388" spans="1:24">
      <c r="A388">
        <v>387</v>
      </c>
      <c r="B388" s="2">
        <v>40560</v>
      </c>
      <c r="C388">
        <v>1</v>
      </c>
      <c r="D388">
        <v>0</v>
      </c>
      <c r="E388">
        <v>1</v>
      </c>
      <c r="F388">
        <v>14</v>
      </c>
      <c r="G388" t="b">
        <v>1</v>
      </c>
      <c r="H388">
        <v>1</v>
      </c>
      <c r="I388">
        <v>2</v>
      </c>
      <c r="J388">
        <v>0.18</v>
      </c>
      <c r="K388">
        <v>0.21210000000000001</v>
      </c>
      <c r="L388">
        <v>0.43</v>
      </c>
      <c r="M388">
        <v>0.1045</v>
      </c>
      <c r="N388">
        <v>12</v>
      </c>
      <c r="O388">
        <v>74</v>
      </c>
      <c r="P388">
        <v>86</v>
      </c>
      <c r="Q388" t="str">
        <f t="shared" si="48"/>
        <v>Complete</v>
      </c>
      <c r="R388">
        <f t="shared" si="55"/>
        <v>0.21210000000000001</v>
      </c>
      <c r="S388">
        <f t="shared" si="49"/>
        <v>2011</v>
      </c>
      <c r="T388" t="str">
        <f t="shared" si="50"/>
        <v>January</v>
      </c>
      <c r="U388" t="str">
        <f t="shared" si="51"/>
        <v>Holiday</v>
      </c>
      <c r="V388" t="str">
        <f t="shared" si="52"/>
        <v>Afternoon</v>
      </c>
      <c r="W388" t="str">
        <f t="shared" si="53"/>
        <v>Spring</v>
      </c>
      <c r="X388" t="str">
        <f t="shared" si="54"/>
        <v>Mist/Cloudy</v>
      </c>
    </row>
    <row r="389" spans="1:24">
      <c r="A389">
        <v>388</v>
      </c>
      <c r="B389" s="2">
        <v>40560</v>
      </c>
      <c r="C389">
        <v>1</v>
      </c>
      <c r="D389">
        <v>0</v>
      </c>
      <c r="E389">
        <v>1</v>
      </c>
      <c r="F389">
        <v>15</v>
      </c>
      <c r="G389" t="b">
        <v>1</v>
      </c>
      <c r="H389">
        <v>1</v>
      </c>
      <c r="I389">
        <v>2</v>
      </c>
      <c r="J389">
        <v>0.2</v>
      </c>
      <c r="K389">
        <v>0.21210000000000001</v>
      </c>
      <c r="L389">
        <v>0.47</v>
      </c>
      <c r="M389">
        <v>0.16420000000000001</v>
      </c>
      <c r="N389">
        <v>21</v>
      </c>
      <c r="O389">
        <v>72</v>
      </c>
      <c r="P389">
        <v>93</v>
      </c>
      <c r="Q389" t="str">
        <f t="shared" si="48"/>
        <v>Complete</v>
      </c>
      <c r="R389">
        <f t="shared" si="55"/>
        <v>0.21210000000000001</v>
      </c>
      <c r="S389">
        <f t="shared" si="49"/>
        <v>2011</v>
      </c>
      <c r="T389" t="str">
        <f t="shared" si="50"/>
        <v>January</v>
      </c>
      <c r="U389" t="str">
        <f t="shared" si="51"/>
        <v>Holiday</v>
      </c>
      <c r="V389" t="str">
        <f t="shared" si="52"/>
        <v>Afternoon</v>
      </c>
      <c r="W389" t="str">
        <f t="shared" si="53"/>
        <v>Spring</v>
      </c>
      <c r="X389" t="str">
        <f t="shared" si="54"/>
        <v>Mist/Cloudy</v>
      </c>
    </row>
    <row r="390" spans="1:24">
      <c r="A390">
        <v>389</v>
      </c>
      <c r="B390" s="2">
        <v>40560</v>
      </c>
      <c r="C390">
        <v>1</v>
      </c>
      <c r="D390">
        <v>0</v>
      </c>
      <c r="E390">
        <v>1</v>
      </c>
      <c r="F390">
        <v>16</v>
      </c>
      <c r="G390" t="b">
        <v>1</v>
      </c>
      <c r="H390">
        <v>1</v>
      </c>
      <c r="I390">
        <v>2</v>
      </c>
      <c r="J390">
        <v>0.2</v>
      </c>
      <c r="K390">
        <v>0.21210000000000001</v>
      </c>
      <c r="L390">
        <v>0.47</v>
      </c>
      <c r="M390">
        <v>0.16420000000000001</v>
      </c>
      <c r="N390">
        <v>6</v>
      </c>
      <c r="O390">
        <v>76</v>
      </c>
      <c r="P390">
        <v>82</v>
      </c>
      <c r="Q390" t="str">
        <f t="shared" si="48"/>
        <v>Complete</v>
      </c>
      <c r="R390">
        <f t="shared" si="55"/>
        <v>0.21210000000000001</v>
      </c>
      <c r="S390">
        <f t="shared" si="49"/>
        <v>2011</v>
      </c>
      <c r="T390" t="str">
        <f t="shared" si="50"/>
        <v>January</v>
      </c>
      <c r="U390" t="str">
        <f t="shared" si="51"/>
        <v>Holiday</v>
      </c>
      <c r="V390" t="str">
        <f t="shared" si="52"/>
        <v>Afternoon</v>
      </c>
      <c r="W390" t="str">
        <f t="shared" si="53"/>
        <v>Spring</v>
      </c>
      <c r="X390" t="str">
        <f t="shared" si="54"/>
        <v>Mist/Cloudy</v>
      </c>
    </row>
    <row r="391" spans="1:24">
      <c r="A391">
        <v>390</v>
      </c>
      <c r="B391" s="2">
        <v>40560</v>
      </c>
      <c r="C391">
        <v>1</v>
      </c>
      <c r="D391">
        <v>0</v>
      </c>
      <c r="E391">
        <v>1</v>
      </c>
      <c r="F391">
        <v>17</v>
      </c>
      <c r="G391" t="b">
        <v>1</v>
      </c>
      <c r="H391">
        <v>1</v>
      </c>
      <c r="I391">
        <v>1</v>
      </c>
      <c r="J391">
        <v>0.2</v>
      </c>
      <c r="K391">
        <v>0.19700000000000001</v>
      </c>
      <c r="L391">
        <v>0.51</v>
      </c>
      <c r="M391">
        <v>0.19400000000000001</v>
      </c>
      <c r="N391">
        <v>4</v>
      </c>
      <c r="O391">
        <v>67</v>
      </c>
      <c r="P391">
        <v>71</v>
      </c>
      <c r="Q391" t="str">
        <f t="shared" si="48"/>
        <v>Complete</v>
      </c>
      <c r="R391">
        <f t="shared" si="55"/>
        <v>0.19700000000000001</v>
      </c>
      <c r="S391">
        <f t="shared" si="49"/>
        <v>2011</v>
      </c>
      <c r="T391" t="str">
        <f t="shared" si="50"/>
        <v>January</v>
      </c>
      <c r="U391" t="str">
        <f t="shared" si="51"/>
        <v>Holiday</v>
      </c>
      <c r="V391" t="str">
        <f t="shared" si="52"/>
        <v>Afternoon</v>
      </c>
      <c r="W391" t="str">
        <f t="shared" si="53"/>
        <v>Spring</v>
      </c>
      <c r="X391" t="str">
        <f t="shared" si="54"/>
        <v>Clear</v>
      </c>
    </row>
    <row r="392" spans="1:24">
      <c r="A392">
        <v>391</v>
      </c>
      <c r="B392" s="2">
        <v>40560</v>
      </c>
      <c r="C392">
        <v>1</v>
      </c>
      <c r="D392">
        <v>0</v>
      </c>
      <c r="E392">
        <v>1</v>
      </c>
      <c r="F392">
        <v>18</v>
      </c>
      <c r="G392" t="b">
        <v>1</v>
      </c>
      <c r="H392">
        <v>1</v>
      </c>
      <c r="I392">
        <v>2</v>
      </c>
      <c r="J392">
        <v>0.18</v>
      </c>
      <c r="K392">
        <v>0.16669999999999999</v>
      </c>
      <c r="L392">
        <v>0.55000000000000004</v>
      </c>
      <c r="M392">
        <v>0.25369999999999998</v>
      </c>
      <c r="N392">
        <v>7</v>
      </c>
      <c r="O392">
        <v>85</v>
      </c>
      <c r="P392">
        <v>92</v>
      </c>
      <c r="Q392" t="str">
        <f t="shared" si="48"/>
        <v>Complete</v>
      </c>
      <c r="R392">
        <f t="shared" si="55"/>
        <v>0.16669999999999999</v>
      </c>
      <c r="S392">
        <f t="shared" si="49"/>
        <v>2011</v>
      </c>
      <c r="T392" t="str">
        <f t="shared" si="50"/>
        <v>January</v>
      </c>
      <c r="U392" t="str">
        <f t="shared" si="51"/>
        <v>Holiday</v>
      </c>
      <c r="V392" t="str">
        <f t="shared" si="52"/>
        <v>Evening</v>
      </c>
      <c r="W392" t="str">
        <f t="shared" si="53"/>
        <v>Spring</v>
      </c>
      <c r="X392" t="str">
        <f t="shared" si="54"/>
        <v>Mist/Cloudy</v>
      </c>
    </row>
    <row r="393" spans="1:24">
      <c r="A393">
        <v>392</v>
      </c>
      <c r="B393" s="2">
        <v>40560</v>
      </c>
      <c r="C393">
        <v>1</v>
      </c>
      <c r="D393">
        <v>0</v>
      </c>
      <c r="E393">
        <v>1</v>
      </c>
      <c r="F393">
        <v>19</v>
      </c>
      <c r="G393" t="b">
        <v>1</v>
      </c>
      <c r="H393">
        <v>1</v>
      </c>
      <c r="I393">
        <v>3</v>
      </c>
      <c r="J393">
        <v>0.18</v>
      </c>
      <c r="K393">
        <v>0.18179999999999999</v>
      </c>
      <c r="L393">
        <v>0.59</v>
      </c>
      <c r="M393">
        <v>0.19400000000000001</v>
      </c>
      <c r="N393">
        <v>2</v>
      </c>
      <c r="O393">
        <v>58</v>
      </c>
      <c r="P393">
        <v>60</v>
      </c>
      <c r="Q393" t="str">
        <f t="shared" si="48"/>
        <v>Complete</v>
      </c>
      <c r="R393">
        <f t="shared" si="55"/>
        <v>0.18179999999999999</v>
      </c>
      <c r="S393">
        <f t="shared" si="49"/>
        <v>2011</v>
      </c>
      <c r="T393" t="str">
        <f t="shared" si="50"/>
        <v>January</v>
      </c>
      <c r="U393" t="str">
        <f t="shared" si="51"/>
        <v>Holiday</v>
      </c>
      <c r="V393" t="str">
        <f t="shared" si="52"/>
        <v>Evening</v>
      </c>
      <c r="W393" t="str">
        <f t="shared" si="53"/>
        <v>Spring</v>
      </c>
      <c r="X393" t="str">
        <f t="shared" si="54"/>
        <v>Light Rain/Snow</v>
      </c>
    </row>
    <row r="394" spans="1:24">
      <c r="A394">
        <v>393</v>
      </c>
      <c r="B394" s="2">
        <v>40560</v>
      </c>
      <c r="C394">
        <v>1</v>
      </c>
      <c r="D394">
        <v>0</v>
      </c>
      <c r="E394">
        <v>1</v>
      </c>
      <c r="F394">
        <v>20</v>
      </c>
      <c r="G394" t="b">
        <v>1</v>
      </c>
      <c r="H394">
        <v>1</v>
      </c>
      <c r="I394">
        <v>3</v>
      </c>
      <c r="J394">
        <v>0.16</v>
      </c>
      <c r="K394">
        <v>0.1515</v>
      </c>
      <c r="L394">
        <v>0.8</v>
      </c>
      <c r="M394">
        <v>0.19400000000000001</v>
      </c>
      <c r="N394">
        <v>4</v>
      </c>
      <c r="O394">
        <v>29</v>
      </c>
      <c r="P394">
        <v>33</v>
      </c>
      <c r="Q394" t="str">
        <f t="shared" si="48"/>
        <v>Complete</v>
      </c>
      <c r="R394">
        <f t="shared" si="55"/>
        <v>0.1515</v>
      </c>
      <c r="S394">
        <f t="shared" si="49"/>
        <v>2011</v>
      </c>
      <c r="T394" t="str">
        <f t="shared" si="50"/>
        <v>January</v>
      </c>
      <c r="U394" t="str">
        <f t="shared" si="51"/>
        <v>Holiday</v>
      </c>
      <c r="V394" t="str">
        <f t="shared" si="52"/>
        <v>Evening</v>
      </c>
      <c r="W394" t="str">
        <f t="shared" si="53"/>
        <v>Spring</v>
      </c>
      <c r="X394" t="str">
        <f t="shared" si="54"/>
        <v>Light Rain/Snow</v>
      </c>
    </row>
    <row r="395" spans="1:24">
      <c r="A395">
        <v>394</v>
      </c>
      <c r="B395" s="2">
        <v>40560</v>
      </c>
      <c r="C395">
        <v>1</v>
      </c>
      <c r="D395">
        <v>0</v>
      </c>
      <c r="E395">
        <v>1</v>
      </c>
      <c r="F395">
        <v>21</v>
      </c>
      <c r="G395" t="b">
        <v>1</v>
      </c>
      <c r="H395">
        <v>1</v>
      </c>
      <c r="I395">
        <v>3</v>
      </c>
      <c r="J395">
        <v>0.16</v>
      </c>
      <c r="K395">
        <v>0.1515</v>
      </c>
      <c r="L395">
        <v>0.8</v>
      </c>
      <c r="M395">
        <v>0.19400000000000001</v>
      </c>
      <c r="N395">
        <v>3</v>
      </c>
      <c r="O395">
        <v>24</v>
      </c>
      <c r="P395">
        <v>27</v>
      </c>
      <c r="Q395" t="str">
        <f t="shared" si="48"/>
        <v>Complete</v>
      </c>
      <c r="R395">
        <f t="shared" si="55"/>
        <v>0.1515</v>
      </c>
      <c r="S395">
        <f t="shared" si="49"/>
        <v>2011</v>
      </c>
      <c r="T395" t="str">
        <f t="shared" si="50"/>
        <v>January</v>
      </c>
      <c r="U395" t="str">
        <f t="shared" si="51"/>
        <v>Holiday</v>
      </c>
      <c r="V395" t="str">
        <f t="shared" si="52"/>
        <v>Evening</v>
      </c>
      <c r="W395" t="str">
        <f t="shared" si="53"/>
        <v>Spring</v>
      </c>
      <c r="X395" t="str">
        <f t="shared" si="54"/>
        <v>Light Rain/Snow</v>
      </c>
    </row>
    <row r="396" spans="1:24">
      <c r="A396">
        <v>395</v>
      </c>
      <c r="B396" s="2">
        <v>40560</v>
      </c>
      <c r="C396">
        <v>1</v>
      </c>
      <c r="D396">
        <v>0</v>
      </c>
      <c r="E396">
        <v>1</v>
      </c>
      <c r="F396">
        <v>22</v>
      </c>
      <c r="G396" t="b">
        <v>1</v>
      </c>
      <c r="H396">
        <v>1</v>
      </c>
      <c r="I396">
        <v>3</v>
      </c>
      <c r="J396">
        <v>0.14000000000000001</v>
      </c>
      <c r="K396">
        <v>0.1212</v>
      </c>
      <c r="L396">
        <v>0.93</v>
      </c>
      <c r="M396">
        <v>0.25369999999999998</v>
      </c>
      <c r="N396">
        <v>0</v>
      </c>
      <c r="O396">
        <v>13</v>
      </c>
      <c r="P396">
        <v>13</v>
      </c>
      <c r="Q396" t="str">
        <f t="shared" si="48"/>
        <v>Complete</v>
      </c>
      <c r="R396">
        <f t="shared" si="55"/>
        <v>0.1212</v>
      </c>
      <c r="S396">
        <f t="shared" si="49"/>
        <v>2011</v>
      </c>
      <c r="T396" t="str">
        <f t="shared" si="50"/>
        <v>January</v>
      </c>
      <c r="U396" t="str">
        <f t="shared" si="51"/>
        <v>Holiday</v>
      </c>
      <c r="V396" t="str">
        <f t="shared" si="52"/>
        <v>Evening</v>
      </c>
      <c r="W396" t="str">
        <f t="shared" si="53"/>
        <v>Spring</v>
      </c>
      <c r="X396" t="str">
        <f t="shared" si="54"/>
        <v>Light Rain/Snow</v>
      </c>
    </row>
    <row r="397" spans="1:24">
      <c r="A397">
        <v>396</v>
      </c>
      <c r="B397" s="2">
        <v>40560</v>
      </c>
      <c r="C397">
        <v>1</v>
      </c>
      <c r="D397">
        <v>0</v>
      </c>
      <c r="E397">
        <v>1</v>
      </c>
      <c r="F397">
        <v>23</v>
      </c>
      <c r="G397" t="b">
        <v>1</v>
      </c>
      <c r="H397">
        <v>1</v>
      </c>
      <c r="I397">
        <v>3</v>
      </c>
      <c r="J397">
        <v>0.16</v>
      </c>
      <c r="K397">
        <v>0.13639999999999999</v>
      </c>
      <c r="L397">
        <v>0.86</v>
      </c>
      <c r="M397">
        <v>0.28360000000000002</v>
      </c>
      <c r="N397">
        <v>1</v>
      </c>
      <c r="O397">
        <v>3</v>
      </c>
      <c r="P397">
        <v>4</v>
      </c>
      <c r="Q397" t="str">
        <f t="shared" si="48"/>
        <v>Complete</v>
      </c>
      <c r="R397">
        <f t="shared" si="55"/>
        <v>0.13639999999999999</v>
      </c>
      <c r="S397">
        <f t="shared" si="49"/>
        <v>2011</v>
      </c>
      <c r="T397" t="str">
        <f t="shared" si="50"/>
        <v>January</v>
      </c>
      <c r="U397" t="str">
        <f t="shared" si="51"/>
        <v>Holiday</v>
      </c>
      <c r="V397" t="str">
        <f t="shared" si="52"/>
        <v>Evening</v>
      </c>
      <c r="W397" t="str">
        <f t="shared" si="53"/>
        <v>Spring</v>
      </c>
      <c r="X397" t="str">
        <f t="shared" si="54"/>
        <v>Light Rain/Snow</v>
      </c>
    </row>
    <row r="398" spans="1:24">
      <c r="A398">
        <v>397</v>
      </c>
      <c r="B398" s="2">
        <v>40561</v>
      </c>
      <c r="C398">
        <v>1</v>
      </c>
      <c r="D398">
        <v>0</v>
      </c>
      <c r="E398">
        <v>1</v>
      </c>
      <c r="F398">
        <v>12</v>
      </c>
      <c r="G398" t="b">
        <v>0</v>
      </c>
      <c r="H398">
        <v>2</v>
      </c>
      <c r="I398">
        <v>2</v>
      </c>
      <c r="J398">
        <v>0.2</v>
      </c>
      <c r="K398">
        <v>0.18179999999999999</v>
      </c>
      <c r="L398">
        <v>0.86</v>
      </c>
      <c r="M398">
        <v>0.32840000000000003</v>
      </c>
      <c r="N398">
        <v>0</v>
      </c>
      <c r="O398">
        <v>3</v>
      </c>
      <c r="P398">
        <v>3</v>
      </c>
      <c r="Q398" t="str">
        <f t="shared" si="48"/>
        <v>Complete</v>
      </c>
      <c r="R398">
        <f t="shared" si="55"/>
        <v>0.18179999999999999</v>
      </c>
      <c r="S398">
        <f t="shared" si="49"/>
        <v>2011</v>
      </c>
      <c r="T398" t="str">
        <f t="shared" si="50"/>
        <v>January</v>
      </c>
      <c r="U398" t="str">
        <f t="shared" si="51"/>
        <v>Weekday</v>
      </c>
      <c r="V398" t="str">
        <f t="shared" si="52"/>
        <v>Afternoon</v>
      </c>
      <c r="W398" t="str">
        <f t="shared" si="53"/>
        <v>Spring</v>
      </c>
      <c r="X398" t="str">
        <f t="shared" si="54"/>
        <v>Mist/Cloudy</v>
      </c>
    </row>
    <row r="399" spans="1:24">
      <c r="A399">
        <v>398</v>
      </c>
      <c r="B399" s="2">
        <v>40561</v>
      </c>
      <c r="C399">
        <v>1</v>
      </c>
      <c r="D399">
        <v>0</v>
      </c>
      <c r="E399">
        <v>1</v>
      </c>
      <c r="F399">
        <v>13</v>
      </c>
      <c r="G399" t="b">
        <v>0</v>
      </c>
      <c r="H399">
        <v>2</v>
      </c>
      <c r="I399">
        <v>2</v>
      </c>
      <c r="J399">
        <v>0.2</v>
      </c>
      <c r="K399">
        <v>0.19700000000000001</v>
      </c>
      <c r="L399">
        <v>0.86</v>
      </c>
      <c r="M399">
        <v>0.22389999999999999</v>
      </c>
      <c r="N399">
        <v>0</v>
      </c>
      <c r="O399">
        <v>22</v>
      </c>
      <c r="P399">
        <v>22</v>
      </c>
      <c r="Q399" t="str">
        <f t="shared" si="48"/>
        <v>Complete</v>
      </c>
      <c r="R399">
        <f t="shared" si="55"/>
        <v>0.19700000000000001</v>
      </c>
      <c r="S399">
        <f t="shared" si="49"/>
        <v>2011</v>
      </c>
      <c r="T399" t="str">
        <f t="shared" si="50"/>
        <v>January</v>
      </c>
      <c r="U399" t="str">
        <f t="shared" si="51"/>
        <v>Weekday</v>
      </c>
      <c r="V399" t="str">
        <f t="shared" si="52"/>
        <v>Afternoon</v>
      </c>
      <c r="W399" t="str">
        <f t="shared" si="53"/>
        <v>Spring</v>
      </c>
      <c r="X399" t="str">
        <f t="shared" si="54"/>
        <v>Mist/Cloudy</v>
      </c>
    </row>
    <row r="400" spans="1:24">
      <c r="A400">
        <v>399</v>
      </c>
      <c r="B400" s="2">
        <v>40561</v>
      </c>
      <c r="C400">
        <v>1</v>
      </c>
      <c r="D400">
        <v>0</v>
      </c>
      <c r="E400">
        <v>1</v>
      </c>
      <c r="F400">
        <v>14</v>
      </c>
      <c r="G400" t="b">
        <v>0</v>
      </c>
      <c r="H400">
        <v>2</v>
      </c>
      <c r="I400">
        <v>2</v>
      </c>
      <c r="J400">
        <v>0.22</v>
      </c>
      <c r="K400">
        <v>0.2273</v>
      </c>
      <c r="L400">
        <v>0.8</v>
      </c>
      <c r="M400">
        <v>0.16420000000000001</v>
      </c>
      <c r="N400">
        <v>2</v>
      </c>
      <c r="O400">
        <v>26</v>
      </c>
      <c r="P400">
        <v>28</v>
      </c>
      <c r="Q400" t="str">
        <f t="shared" si="48"/>
        <v>Complete</v>
      </c>
      <c r="R400">
        <f t="shared" si="55"/>
        <v>0.2273</v>
      </c>
      <c r="S400">
        <f t="shared" si="49"/>
        <v>2011</v>
      </c>
      <c r="T400" t="str">
        <f t="shared" si="50"/>
        <v>January</v>
      </c>
      <c r="U400" t="str">
        <f t="shared" si="51"/>
        <v>Weekday</v>
      </c>
      <c r="V400" t="str">
        <f t="shared" si="52"/>
        <v>Afternoon</v>
      </c>
      <c r="W400" t="str">
        <f t="shared" si="53"/>
        <v>Spring</v>
      </c>
      <c r="X400" t="str">
        <f t="shared" si="54"/>
        <v>Mist/Cloudy</v>
      </c>
    </row>
    <row r="401" spans="1:24">
      <c r="A401">
        <v>400</v>
      </c>
      <c r="B401" s="2">
        <v>40561</v>
      </c>
      <c r="C401">
        <v>1</v>
      </c>
      <c r="D401">
        <v>0</v>
      </c>
      <c r="E401">
        <v>1</v>
      </c>
      <c r="F401">
        <v>15</v>
      </c>
      <c r="G401" t="b">
        <v>0</v>
      </c>
      <c r="H401">
        <v>2</v>
      </c>
      <c r="I401">
        <v>2</v>
      </c>
      <c r="J401">
        <v>0.22</v>
      </c>
      <c r="K401">
        <v>0.2273</v>
      </c>
      <c r="L401">
        <v>0.87</v>
      </c>
      <c r="M401">
        <v>0.16420000000000001</v>
      </c>
      <c r="N401">
        <v>3</v>
      </c>
      <c r="O401">
        <v>32</v>
      </c>
      <c r="P401">
        <v>35</v>
      </c>
      <c r="Q401" t="str">
        <f t="shared" si="48"/>
        <v>Complete</v>
      </c>
      <c r="R401">
        <f t="shared" si="55"/>
        <v>0.2273</v>
      </c>
      <c r="S401">
        <f t="shared" si="49"/>
        <v>2011</v>
      </c>
      <c r="T401" t="str">
        <f t="shared" si="50"/>
        <v>January</v>
      </c>
      <c r="U401" t="str">
        <f t="shared" si="51"/>
        <v>Weekday</v>
      </c>
      <c r="V401" t="str">
        <f t="shared" si="52"/>
        <v>Afternoon</v>
      </c>
      <c r="W401" t="str">
        <f t="shared" si="53"/>
        <v>Spring</v>
      </c>
      <c r="X401" t="str">
        <f t="shared" si="54"/>
        <v>Mist/Cloudy</v>
      </c>
    </row>
    <row r="402" spans="1:24">
      <c r="A402">
        <v>401</v>
      </c>
      <c r="B402" s="2">
        <v>40561</v>
      </c>
      <c r="C402">
        <v>1</v>
      </c>
      <c r="D402">
        <v>0</v>
      </c>
      <c r="E402">
        <v>1</v>
      </c>
      <c r="F402">
        <v>16</v>
      </c>
      <c r="G402" t="b">
        <v>0</v>
      </c>
      <c r="H402">
        <v>2</v>
      </c>
      <c r="I402">
        <v>2</v>
      </c>
      <c r="J402">
        <v>0.22</v>
      </c>
      <c r="K402">
        <v>0.2273</v>
      </c>
      <c r="L402">
        <v>0.87</v>
      </c>
      <c r="M402">
        <v>0.19400000000000001</v>
      </c>
      <c r="N402">
        <v>0</v>
      </c>
      <c r="O402">
        <v>61</v>
      </c>
      <c r="P402">
        <v>61</v>
      </c>
      <c r="Q402" t="str">
        <f t="shared" si="48"/>
        <v>Complete</v>
      </c>
      <c r="R402">
        <f t="shared" si="55"/>
        <v>0.2273</v>
      </c>
      <c r="S402">
        <f t="shared" si="49"/>
        <v>2011</v>
      </c>
      <c r="T402" t="str">
        <f t="shared" si="50"/>
        <v>January</v>
      </c>
      <c r="U402" t="str">
        <f t="shared" si="51"/>
        <v>Weekday</v>
      </c>
      <c r="V402" t="str">
        <f t="shared" si="52"/>
        <v>Afternoon</v>
      </c>
      <c r="W402" t="str">
        <f t="shared" si="53"/>
        <v>Spring</v>
      </c>
      <c r="X402" t="str">
        <f t="shared" si="54"/>
        <v>Mist/Cloudy</v>
      </c>
    </row>
    <row r="403" spans="1:24">
      <c r="A403">
        <v>402</v>
      </c>
      <c r="B403" s="2">
        <v>40561</v>
      </c>
      <c r="C403">
        <v>1</v>
      </c>
      <c r="D403">
        <v>0</v>
      </c>
      <c r="E403">
        <v>1</v>
      </c>
      <c r="F403">
        <v>17</v>
      </c>
      <c r="G403" t="b">
        <v>0</v>
      </c>
      <c r="H403">
        <v>2</v>
      </c>
      <c r="I403">
        <v>2</v>
      </c>
      <c r="J403">
        <v>0.22</v>
      </c>
      <c r="K403">
        <v>0.2273</v>
      </c>
      <c r="L403">
        <v>0.82</v>
      </c>
      <c r="M403">
        <v>0.19400000000000001</v>
      </c>
      <c r="N403">
        <v>1</v>
      </c>
      <c r="O403">
        <v>124</v>
      </c>
      <c r="P403">
        <v>125</v>
      </c>
      <c r="Q403" t="str">
        <f t="shared" si="48"/>
        <v>Complete</v>
      </c>
      <c r="R403">
        <f t="shared" si="55"/>
        <v>0.2273</v>
      </c>
      <c r="S403">
        <f t="shared" si="49"/>
        <v>2011</v>
      </c>
      <c r="T403" t="str">
        <f t="shared" si="50"/>
        <v>January</v>
      </c>
      <c r="U403" t="str">
        <f t="shared" si="51"/>
        <v>Weekday</v>
      </c>
      <c r="V403" t="str">
        <f t="shared" si="52"/>
        <v>Afternoon</v>
      </c>
      <c r="W403" t="str">
        <f t="shared" si="53"/>
        <v>Spring</v>
      </c>
      <c r="X403" t="str">
        <f t="shared" si="54"/>
        <v>Mist/Cloudy</v>
      </c>
    </row>
    <row r="404" spans="1:24">
      <c r="A404">
        <v>403</v>
      </c>
      <c r="B404" s="2">
        <v>40561</v>
      </c>
      <c r="C404">
        <v>1</v>
      </c>
      <c r="D404">
        <v>0</v>
      </c>
      <c r="E404">
        <v>1</v>
      </c>
      <c r="F404">
        <v>18</v>
      </c>
      <c r="G404" t="b">
        <v>0</v>
      </c>
      <c r="H404">
        <v>2</v>
      </c>
      <c r="I404">
        <v>2</v>
      </c>
      <c r="J404">
        <v>0.22</v>
      </c>
      <c r="K404">
        <v>0.2273</v>
      </c>
      <c r="L404">
        <v>0.8</v>
      </c>
      <c r="M404">
        <v>0.16420000000000001</v>
      </c>
      <c r="N404">
        <v>1</v>
      </c>
      <c r="O404">
        <v>132</v>
      </c>
      <c r="P404">
        <v>133</v>
      </c>
      <c r="Q404" t="str">
        <f t="shared" si="48"/>
        <v>Complete</v>
      </c>
      <c r="R404">
        <f t="shared" si="55"/>
        <v>0.2273</v>
      </c>
      <c r="S404">
        <f t="shared" si="49"/>
        <v>2011</v>
      </c>
      <c r="T404" t="str">
        <f t="shared" si="50"/>
        <v>January</v>
      </c>
      <c r="U404" t="str">
        <f t="shared" si="51"/>
        <v>Weekday</v>
      </c>
      <c r="V404" t="str">
        <f t="shared" si="52"/>
        <v>Evening</v>
      </c>
      <c r="W404" t="str">
        <f t="shared" si="53"/>
        <v>Spring</v>
      </c>
      <c r="X404" t="str">
        <f t="shared" si="54"/>
        <v>Mist/Cloudy</v>
      </c>
    </row>
    <row r="405" spans="1:24">
      <c r="A405">
        <v>404</v>
      </c>
      <c r="B405" s="2">
        <v>40561</v>
      </c>
      <c r="C405">
        <v>1</v>
      </c>
      <c r="D405">
        <v>0</v>
      </c>
      <c r="E405">
        <v>1</v>
      </c>
      <c r="F405">
        <v>19</v>
      </c>
      <c r="G405" t="b">
        <v>0</v>
      </c>
      <c r="H405">
        <v>2</v>
      </c>
      <c r="I405">
        <v>2</v>
      </c>
      <c r="J405">
        <v>0.22</v>
      </c>
      <c r="K405">
        <v>0.2273</v>
      </c>
      <c r="L405">
        <v>0.8</v>
      </c>
      <c r="M405">
        <v>0.1343</v>
      </c>
      <c r="N405">
        <v>1</v>
      </c>
      <c r="O405">
        <v>98</v>
      </c>
      <c r="P405">
        <v>99</v>
      </c>
      <c r="Q405" t="str">
        <f t="shared" si="48"/>
        <v>Complete</v>
      </c>
      <c r="R405">
        <f t="shared" si="55"/>
        <v>0.2273</v>
      </c>
      <c r="S405">
        <f t="shared" si="49"/>
        <v>2011</v>
      </c>
      <c r="T405" t="str">
        <f t="shared" si="50"/>
        <v>January</v>
      </c>
      <c r="U405" t="str">
        <f t="shared" si="51"/>
        <v>Weekday</v>
      </c>
      <c r="V405" t="str">
        <f t="shared" si="52"/>
        <v>Evening</v>
      </c>
      <c r="W405" t="str">
        <f t="shared" si="53"/>
        <v>Spring</v>
      </c>
      <c r="X405" t="str">
        <f t="shared" si="54"/>
        <v>Mist/Cloudy</v>
      </c>
    </row>
    <row r="406" spans="1:24">
      <c r="A406">
        <v>405</v>
      </c>
      <c r="B406" s="2">
        <v>40561</v>
      </c>
      <c r="C406">
        <v>1</v>
      </c>
      <c r="D406">
        <v>0</v>
      </c>
      <c r="E406">
        <v>1</v>
      </c>
      <c r="F406">
        <v>20</v>
      </c>
      <c r="G406" t="b">
        <v>0</v>
      </c>
      <c r="H406">
        <v>2</v>
      </c>
      <c r="I406">
        <v>2</v>
      </c>
      <c r="J406">
        <v>0.22</v>
      </c>
      <c r="K406">
        <v>0.2727</v>
      </c>
      <c r="L406">
        <v>0.87</v>
      </c>
      <c r="M406">
        <v>0</v>
      </c>
      <c r="N406">
        <v>0</v>
      </c>
      <c r="O406">
        <v>83</v>
      </c>
      <c r="P406">
        <v>83</v>
      </c>
      <c r="Q406" t="str">
        <f t="shared" si="48"/>
        <v>Complete</v>
      </c>
      <c r="R406">
        <f t="shared" si="55"/>
        <v>0.2727</v>
      </c>
      <c r="S406">
        <f t="shared" si="49"/>
        <v>2011</v>
      </c>
      <c r="T406" t="str">
        <f t="shared" si="50"/>
        <v>January</v>
      </c>
      <c r="U406" t="str">
        <f t="shared" si="51"/>
        <v>Weekday</v>
      </c>
      <c r="V406" t="str">
        <f t="shared" si="52"/>
        <v>Evening</v>
      </c>
      <c r="W406" t="str">
        <f t="shared" si="53"/>
        <v>Spring</v>
      </c>
      <c r="X406" t="str">
        <f t="shared" si="54"/>
        <v>Mist/Cloudy</v>
      </c>
    </row>
    <row r="407" spans="1:24">
      <c r="A407">
        <v>406</v>
      </c>
      <c r="B407" s="2">
        <v>40561</v>
      </c>
      <c r="C407">
        <v>1</v>
      </c>
      <c r="D407">
        <v>0</v>
      </c>
      <c r="E407">
        <v>1</v>
      </c>
      <c r="F407">
        <v>21</v>
      </c>
      <c r="G407" t="b">
        <v>0</v>
      </c>
      <c r="H407">
        <v>2</v>
      </c>
      <c r="I407">
        <v>2</v>
      </c>
      <c r="J407">
        <v>0.22</v>
      </c>
      <c r="K407">
        <v>0.2424</v>
      </c>
      <c r="L407">
        <v>0.93</v>
      </c>
      <c r="M407">
        <v>0.1045</v>
      </c>
      <c r="N407">
        <v>0</v>
      </c>
      <c r="O407">
        <v>41</v>
      </c>
      <c r="P407">
        <v>41</v>
      </c>
      <c r="Q407" t="str">
        <f t="shared" si="48"/>
        <v>Complete</v>
      </c>
      <c r="R407">
        <f t="shared" si="55"/>
        <v>0.2424</v>
      </c>
      <c r="S407">
        <f t="shared" si="49"/>
        <v>2011</v>
      </c>
      <c r="T407" t="str">
        <f t="shared" si="50"/>
        <v>January</v>
      </c>
      <c r="U407" t="str">
        <f t="shared" si="51"/>
        <v>Weekday</v>
      </c>
      <c r="V407" t="str">
        <f t="shared" si="52"/>
        <v>Evening</v>
      </c>
      <c r="W407" t="str">
        <f t="shared" si="53"/>
        <v>Spring</v>
      </c>
      <c r="X407" t="str">
        <f t="shared" si="54"/>
        <v>Mist/Cloudy</v>
      </c>
    </row>
    <row r="408" spans="1:24">
      <c r="A408">
        <v>407</v>
      </c>
      <c r="B408" s="2">
        <v>40561</v>
      </c>
      <c r="C408">
        <v>1</v>
      </c>
      <c r="D408">
        <v>0</v>
      </c>
      <c r="E408">
        <v>1</v>
      </c>
      <c r="F408">
        <v>22</v>
      </c>
      <c r="G408" t="b">
        <v>0</v>
      </c>
      <c r="H408">
        <v>2</v>
      </c>
      <c r="I408">
        <v>2</v>
      </c>
      <c r="J408">
        <v>0.22</v>
      </c>
      <c r="K408">
        <v>0.2576</v>
      </c>
      <c r="L408">
        <v>0.93</v>
      </c>
      <c r="M408">
        <v>8.9599999999999999E-2</v>
      </c>
      <c r="N408">
        <v>0</v>
      </c>
      <c r="O408">
        <v>33</v>
      </c>
      <c r="P408">
        <v>33</v>
      </c>
      <c r="Q408" t="str">
        <f t="shared" si="48"/>
        <v>Complete</v>
      </c>
      <c r="R408">
        <f t="shared" si="55"/>
        <v>0.2576</v>
      </c>
      <c r="S408">
        <f t="shared" si="49"/>
        <v>2011</v>
      </c>
      <c r="T408" t="str">
        <f t="shared" si="50"/>
        <v>January</v>
      </c>
      <c r="U408" t="str">
        <f t="shared" si="51"/>
        <v>Weekday</v>
      </c>
      <c r="V408" t="str">
        <f t="shared" si="52"/>
        <v>Evening</v>
      </c>
      <c r="W408" t="str">
        <f t="shared" si="53"/>
        <v>Spring</v>
      </c>
      <c r="X408" t="str">
        <f t="shared" si="54"/>
        <v>Mist/Cloudy</v>
      </c>
    </row>
    <row r="409" spans="1:24">
      <c r="A409">
        <v>408</v>
      </c>
      <c r="B409" s="2">
        <v>40561</v>
      </c>
      <c r="C409">
        <v>1</v>
      </c>
      <c r="D409">
        <v>0</v>
      </c>
      <c r="E409">
        <v>1</v>
      </c>
      <c r="F409">
        <v>23</v>
      </c>
      <c r="G409" t="b">
        <v>0</v>
      </c>
      <c r="H409">
        <v>2</v>
      </c>
      <c r="I409">
        <v>2</v>
      </c>
      <c r="J409">
        <v>0.22</v>
      </c>
      <c r="K409">
        <v>0.2727</v>
      </c>
      <c r="L409">
        <v>0.93</v>
      </c>
      <c r="M409">
        <v>0</v>
      </c>
      <c r="N409">
        <v>1</v>
      </c>
      <c r="O409">
        <v>19</v>
      </c>
      <c r="P409">
        <v>20</v>
      </c>
      <c r="Q409" t="str">
        <f t="shared" si="48"/>
        <v>Complete</v>
      </c>
      <c r="R409">
        <f t="shared" si="55"/>
        <v>0.2727</v>
      </c>
      <c r="S409">
        <f t="shared" si="49"/>
        <v>2011</v>
      </c>
      <c r="T409" t="str">
        <f t="shared" si="50"/>
        <v>January</v>
      </c>
      <c r="U409" t="str">
        <f t="shared" si="51"/>
        <v>Weekday</v>
      </c>
      <c r="V409" t="str">
        <f t="shared" si="52"/>
        <v>Evening</v>
      </c>
      <c r="W409" t="str">
        <f t="shared" si="53"/>
        <v>Spring</v>
      </c>
      <c r="X409" t="str">
        <f t="shared" si="54"/>
        <v>Mist/Cloudy</v>
      </c>
    </row>
    <row r="410" spans="1:24">
      <c r="A410">
        <v>409</v>
      </c>
      <c r="B410" s="2">
        <v>40562</v>
      </c>
      <c r="C410">
        <v>1</v>
      </c>
      <c r="D410">
        <v>0</v>
      </c>
      <c r="E410">
        <v>1</v>
      </c>
      <c r="F410">
        <v>0</v>
      </c>
      <c r="G410" t="b">
        <v>0</v>
      </c>
      <c r="H410">
        <v>3</v>
      </c>
      <c r="I410">
        <v>2</v>
      </c>
      <c r="J410">
        <v>0.22</v>
      </c>
      <c r="K410">
        <v>0.2727</v>
      </c>
      <c r="L410">
        <v>0.93</v>
      </c>
      <c r="M410">
        <v>0</v>
      </c>
      <c r="N410">
        <v>0</v>
      </c>
      <c r="O410">
        <v>3</v>
      </c>
      <c r="P410">
        <v>3</v>
      </c>
      <c r="Q410" t="str">
        <f t="shared" si="48"/>
        <v>Complete</v>
      </c>
      <c r="R410">
        <f t="shared" si="55"/>
        <v>0.2727</v>
      </c>
      <c r="S410">
        <f t="shared" si="49"/>
        <v>2011</v>
      </c>
      <c r="T410" t="str">
        <f t="shared" si="50"/>
        <v>January</v>
      </c>
      <c r="U410" t="str">
        <f t="shared" si="51"/>
        <v>Weekday</v>
      </c>
      <c r="V410" t="str">
        <f t="shared" si="52"/>
        <v>Night</v>
      </c>
      <c r="W410" t="str">
        <f t="shared" si="53"/>
        <v>Spring</v>
      </c>
      <c r="X410" t="str">
        <f t="shared" si="54"/>
        <v>Mist/Cloudy</v>
      </c>
    </row>
    <row r="411" spans="1:24">
      <c r="A411">
        <v>410</v>
      </c>
      <c r="B411" s="2">
        <v>40562</v>
      </c>
      <c r="C411">
        <v>1</v>
      </c>
      <c r="D411">
        <v>0</v>
      </c>
      <c r="E411">
        <v>1</v>
      </c>
      <c r="F411">
        <v>1</v>
      </c>
      <c r="G411" t="b">
        <v>0</v>
      </c>
      <c r="H411">
        <v>3</v>
      </c>
      <c r="I411">
        <v>3</v>
      </c>
      <c r="J411">
        <v>0.22</v>
      </c>
      <c r="K411">
        <v>0.2273</v>
      </c>
      <c r="L411">
        <v>0.93</v>
      </c>
      <c r="M411">
        <v>0.1343</v>
      </c>
      <c r="N411">
        <v>1</v>
      </c>
      <c r="O411">
        <v>6</v>
      </c>
      <c r="P411">
        <v>7</v>
      </c>
      <c r="Q411" t="str">
        <f t="shared" si="48"/>
        <v>Complete</v>
      </c>
      <c r="R411">
        <f t="shared" si="55"/>
        <v>0.2273</v>
      </c>
      <c r="S411">
        <f t="shared" si="49"/>
        <v>2011</v>
      </c>
      <c r="T411" t="str">
        <f t="shared" si="50"/>
        <v>January</v>
      </c>
      <c r="U411" t="str">
        <f t="shared" si="51"/>
        <v>Weekday</v>
      </c>
      <c r="V411" t="str">
        <f t="shared" si="52"/>
        <v>Night</v>
      </c>
      <c r="W411" t="str">
        <f t="shared" si="53"/>
        <v>Spring</v>
      </c>
      <c r="X411" t="str">
        <f t="shared" si="54"/>
        <v>Light Rain/Snow</v>
      </c>
    </row>
    <row r="412" spans="1:24">
      <c r="A412">
        <v>411</v>
      </c>
      <c r="B412" s="2">
        <v>40562</v>
      </c>
      <c r="C412">
        <v>1</v>
      </c>
      <c r="D412">
        <v>0</v>
      </c>
      <c r="E412">
        <v>1</v>
      </c>
      <c r="F412">
        <v>2</v>
      </c>
      <c r="G412" t="b">
        <v>0</v>
      </c>
      <c r="H412">
        <v>3</v>
      </c>
      <c r="I412">
        <v>3</v>
      </c>
      <c r="J412">
        <v>0.22</v>
      </c>
      <c r="K412">
        <v>0.2273</v>
      </c>
      <c r="L412">
        <v>0.93</v>
      </c>
      <c r="M412">
        <v>0.1343</v>
      </c>
      <c r="N412">
        <v>0</v>
      </c>
      <c r="O412">
        <v>3</v>
      </c>
      <c r="P412">
        <v>3</v>
      </c>
      <c r="Q412" t="str">
        <f t="shared" si="48"/>
        <v>Complete</v>
      </c>
      <c r="R412">
        <f t="shared" si="55"/>
        <v>0.2273</v>
      </c>
      <c r="S412">
        <f t="shared" si="49"/>
        <v>2011</v>
      </c>
      <c r="T412" t="str">
        <f t="shared" si="50"/>
        <v>January</v>
      </c>
      <c r="U412" t="str">
        <f t="shared" si="51"/>
        <v>Weekday</v>
      </c>
      <c r="V412" t="str">
        <f t="shared" si="52"/>
        <v>Night</v>
      </c>
      <c r="W412" t="str">
        <f t="shared" si="53"/>
        <v>Spring</v>
      </c>
      <c r="X412" t="str">
        <f t="shared" si="54"/>
        <v>Light Rain/Snow</v>
      </c>
    </row>
    <row r="413" spans="1:24">
      <c r="A413">
        <v>412</v>
      </c>
      <c r="B413" s="2">
        <v>40562</v>
      </c>
      <c r="C413">
        <v>1</v>
      </c>
      <c r="D413">
        <v>0</v>
      </c>
      <c r="E413">
        <v>1</v>
      </c>
      <c r="F413">
        <v>4</v>
      </c>
      <c r="G413" t="b">
        <v>0</v>
      </c>
      <c r="H413">
        <v>3</v>
      </c>
      <c r="I413">
        <v>3</v>
      </c>
      <c r="J413">
        <v>0.22</v>
      </c>
      <c r="K413">
        <v>0.2273</v>
      </c>
      <c r="L413">
        <v>0.93</v>
      </c>
      <c r="M413">
        <v>0.1343</v>
      </c>
      <c r="N413">
        <v>1</v>
      </c>
      <c r="O413">
        <v>1</v>
      </c>
      <c r="P413">
        <v>2</v>
      </c>
      <c r="Q413" t="str">
        <f t="shared" si="48"/>
        <v>Complete</v>
      </c>
      <c r="R413">
        <f t="shared" si="55"/>
        <v>0.2273</v>
      </c>
      <c r="S413">
        <f t="shared" si="49"/>
        <v>2011</v>
      </c>
      <c r="T413" t="str">
        <f t="shared" si="50"/>
        <v>January</v>
      </c>
      <c r="U413" t="str">
        <f t="shared" si="51"/>
        <v>Weekday</v>
      </c>
      <c r="V413" t="str">
        <f t="shared" si="52"/>
        <v>Night</v>
      </c>
      <c r="W413" t="str">
        <f t="shared" si="53"/>
        <v>Spring</v>
      </c>
      <c r="X413" t="str">
        <f t="shared" si="54"/>
        <v>Light Rain/Snow</v>
      </c>
    </row>
    <row r="414" spans="1:24">
      <c r="A414">
        <v>413</v>
      </c>
      <c r="B414" s="2">
        <v>40562</v>
      </c>
      <c r="C414">
        <v>1</v>
      </c>
      <c r="D414">
        <v>0</v>
      </c>
      <c r="E414">
        <v>1</v>
      </c>
      <c r="F414">
        <v>5</v>
      </c>
      <c r="G414" t="b">
        <v>0</v>
      </c>
      <c r="H414">
        <v>3</v>
      </c>
      <c r="I414">
        <v>2</v>
      </c>
      <c r="J414">
        <v>0.22</v>
      </c>
      <c r="K414">
        <v>0.2576</v>
      </c>
      <c r="L414">
        <v>0.93</v>
      </c>
      <c r="M414">
        <v>8.9599999999999999E-2</v>
      </c>
      <c r="N414">
        <v>0</v>
      </c>
      <c r="O414">
        <v>7</v>
      </c>
      <c r="P414">
        <v>7</v>
      </c>
      <c r="Q414" t="str">
        <f t="shared" si="48"/>
        <v>Complete</v>
      </c>
      <c r="R414">
        <f t="shared" si="55"/>
        <v>0.2576</v>
      </c>
      <c r="S414">
        <f t="shared" si="49"/>
        <v>2011</v>
      </c>
      <c r="T414" t="str">
        <f t="shared" si="50"/>
        <v>January</v>
      </c>
      <c r="U414" t="str">
        <f t="shared" si="51"/>
        <v>Weekday</v>
      </c>
      <c r="V414" t="str">
        <f t="shared" si="52"/>
        <v>Night</v>
      </c>
      <c r="W414" t="str">
        <f t="shared" si="53"/>
        <v>Spring</v>
      </c>
      <c r="X414" t="str">
        <f t="shared" si="54"/>
        <v>Mist/Cloudy</v>
      </c>
    </row>
    <row r="415" spans="1:24">
      <c r="A415">
        <v>414</v>
      </c>
      <c r="B415" s="2">
        <v>40562</v>
      </c>
      <c r="C415">
        <v>1</v>
      </c>
      <c r="D415">
        <v>0</v>
      </c>
      <c r="E415">
        <v>1</v>
      </c>
      <c r="F415">
        <v>6</v>
      </c>
      <c r="G415" t="b">
        <v>0</v>
      </c>
      <c r="H415">
        <v>3</v>
      </c>
      <c r="I415">
        <v>2</v>
      </c>
      <c r="J415">
        <v>0.22</v>
      </c>
      <c r="K415">
        <v>0.2576</v>
      </c>
      <c r="L415">
        <v>0.93</v>
      </c>
      <c r="M415">
        <v>8.9599999999999999E-2</v>
      </c>
      <c r="N415">
        <v>0</v>
      </c>
      <c r="O415">
        <v>32</v>
      </c>
      <c r="P415">
        <v>32</v>
      </c>
      <c r="Q415" t="str">
        <f t="shared" si="48"/>
        <v>Complete</v>
      </c>
      <c r="R415">
        <f t="shared" si="55"/>
        <v>0.2576</v>
      </c>
      <c r="S415">
        <f t="shared" si="49"/>
        <v>2011</v>
      </c>
      <c r="T415" t="str">
        <f t="shared" si="50"/>
        <v>January</v>
      </c>
      <c r="U415" t="str">
        <f t="shared" si="51"/>
        <v>Weekday</v>
      </c>
      <c r="V415" t="str">
        <f t="shared" si="52"/>
        <v>Morning</v>
      </c>
      <c r="W415" t="str">
        <f t="shared" si="53"/>
        <v>Spring</v>
      </c>
      <c r="X415" t="str">
        <f t="shared" si="54"/>
        <v>Mist/Cloudy</v>
      </c>
    </row>
    <row r="416" spans="1:24">
      <c r="A416">
        <v>415</v>
      </c>
      <c r="B416" s="2">
        <v>40562</v>
      </c>
      <c r="C416">
        <v>1</v>
      </c>
      <c r="D416">
        <v>0</v>
      </c>
      <c r="E416">
        <v>1</v>
      </c>
      <c r="F416">
        <v>7</v>
      </c>
      <c r="G416" t="b">
        <v>0</v>
      </c>
      <c r="H416">
        <v>3</v>
      </c>
      <c r="I416">
        <v>2</v>
      </c>
      <c r="J416">
        <v>0.24</v>
      </c>
      <c r="K416">
        <v>0.2576</v>
      </c>
      <c r="L416">
        <v>0.92</v>
      </c>
      <c r="M416">
        <v>0.1045</v>
      </c>
      <c r="N416">
        <v>1</v>
      </c>
      <c r="O416">
        <v>89</v>
      </c>
      <c r="P416">
        <v>90</v>
      </c>
      <c r="Q416" t="str">
        <f t="shared" si="48"/>
        <v>Complete</v>
      </c>
      <c r="R416">
        <f t="shared" si="55"/>
        <v>0.2576</v>
      </c>
      <c r="S416">
        <f t="shared" si="49"/>
        <v>2011</v>
      </c>
      <c r="T416" t="str">
        <f t="shared" si="50"/>
        <v>January</v>
      </c>
      <c r="U416" t="str">
        <f t="shared" si="51"/>
        <v>Weekday</v>
      </c>
      <c r="V416" t="str">
        <f t="shared" si="52"/>
        <v>Morning</v>
      </c>
      <c r="W416" t="str">
        <f t="shared" si="53"/>
        <v>Spring</v>
      </c>
      <c r="X416" t="str">
        <f t="shared" si="54"/>
        <v>Mist/Cloudy</v>
      </c>
    </row>
    <row r="417" spans="1:24">
      <c r="A417">
        <v>416</v>
      </c>
      <c r="B417" s="2">
        <v>40562</v>
      </c>
      <c r="C417">
        <v>1</v>
      </c>
      <c r="D417">
        <v>0</v>
      </c>
      <c r="E417">
        <v>1</v>
      </c>
      <c r="F417">
        <v>8</v>
      </c>
      <c r="G417" t="b">
        <v>0</v>
      </c>
      <c r="H417">
        <v>3</v>
      </c>
      <c r="I417">
        <v>2</v>
      </c>
      <c r="J417">
        <v>0.24</v>
      </c>
      <c r="K417">
        <v>0.2576</v>
      </c>
      <c r="L417">
        <v>0.93</v>
      </c>
      <c r="M417">
        <v>0.1045</v>
      </c>
      <c r="N417">
        <v>1</v>
      </c>
      <c r="O417">
        <v>196</v>
      </c>
      <c r="P417">
        <v>197</v>
      </c>
      <c r="Q417" t="str">
        <f t="shared" si="48"/>
        <v>Complete</v>
      </c>
      <c r="R417">
        <f t="shared" si="55"/>
        <v>0.2576</v>
      </c>
      <c r="S417">
        <f t="shared" si="49"/>
        <v>2011</v>
      </c>
      <c r="T417" t="str">
        <f t="shared" si="50"/>
        <v>January</v>
      </c>
      <c r="U417" t="str">
        <f t="shared" si="51"/>
        <v>Weekday</v>
      </c>
      <c r="V417" t="str">
        <f t="shared" si="52"/>
        <v>Morning</v>
      </c>
      <c r="W417" t="str">
        <f t="shared" si="53"/>
        <v>Spring</v>
      </c>
      <c r="X417" t="str">
        <f t="shared" si="54"/>
        <v>Mist/Cloudy</v>
      </c>
    </row>
    <row r="418" spans="1:24">
      <c r="A418">
        <v>417</v>
      </c>
      <c r="B418" s="2">
        <v>40562</v>
      </c>
      <c r="C418">
        <v>1</v>
      </c>
      <c r="D418">
        <v>0</v>
      </c>
      <c r="E418">
        <v>1</v>
      </c>
      <c r="F418">
        <v>9</v>
      </c>
      <c r="G418" t="b">
        <v>0</v>
      </c>
      <c r="H418">
        <v>3</v>
      </c>
      <c r="I418">
        <v>2</v>
      </c>
      <c r="J418">
        <v>0.24</v>
      </c>
      <c r="K418">
        <v>0.2576</v>
      </c>
      <c r="L418">
        <v>0.93</v>
      </c>
      <c r="M418">
        <v>0.1045</v>
      </c>
      <c r="N418">
        <v>2</v>
      </c>
      <c r="O418">
        <v>107</v>
      </c>
      <c r="P418">
        <v>109</v>
      </c>
      <c r="Q418" t="str">
        <f t="shared" si="48"/>
        <v>Complete</v>
      </c>
      <c r="R418">
        <f t="shared" si="55"/>
        <v>0.2576</v>
      </c>
      <c r="S418">
        <f t="shared" si="49"/>
        <v>2011</v>
      </c>
      <c r="T418" t="str">
        <f t="shared" si="50"/>
        <v>January</v>
      </c>
      <c r="U418" t="str">
        <f t="shared" si="51"/>
        <v>Weekday</v>
      </c>
      <c r="V418" t="str">
        <f t="shared" si="52"/>
        <v>Morning</v>
      </c>
      <c r="W418" t="str">
        <f t="shared" si="53"/>
        <v>Spring</v>
      </c>
      <c r="X418" t="str">
        <f t="shared" si="54"/>
        <v>Mist/Cloudy</v>
      </c>
    </row>
    <row r="419" spans="1:24">
      <c r="A419">
        <v>418</v>
      </c>
      <c r="B419" s="2">
        <v>40562</v>
      </c>
      <c r="C419">
        <v>1</v>
      </c>
      <c r="D419">
        <v>0</v>
      </c>
      <c r="E419">
        <v>1</v>
      </c>
      <c r="F419">
        <v>10</v>
      </c>
      <c r="G419" t="b">
        <v>0</v>
      </c>
      <c r="H419">
        <v>3</v>
      </c>
      <c r="I419">
        <v>2</v>
      </c>
      <c r="J419">
        <v>0.26</v>
      </c>
      <c r="K419">
        <v>0.2727</v>
      </c>
      <c r="L419">
        <v>0.93</v>
      </c>
      <c r="M419">
        <v>0.1343</v>
      </c>
      <c r="N419">
        <v>1</v>
      </c>
      <c r="O419">
        <v>46</v>
      </c>
      <c r="P419">
        <v>47</v>
      </c>
      <c r="Q419" t="str">
        <f t="shared" si="48"/>
        <v>Complete</v>
      </c>
      <c r="R419">
        <f t="shared" si="55"/>
        <v>0.2727</v>
      </c>
      <c r="S419">
        <f t="shared" si="49"/>
        <v>2011</v>
      </c>
      <c r="T419" t="str">
        <f t="shared" si="50"/>
        <v>January</v>
      </c>
      <c r="U419" t="str">
        <f t="shared" si="51"/>
        <v>Weekday</v>
      </c>
      <c r="V419" t="str">
        <f t="shared" si="52"/>
        <v>Morning</v>
      </c>
      <c r="W419" t="str">
        <f t="shared" si="53"/>
        <v>Spring</v>
      </c>
      <c r="X419" t="str">
        <f t="shared" si="54"/>
        <v>Mist/Cloudy</v>
      </c>
    </row>
    <row r="420" spans="1:24">
      <c r="A420">
        <v>419</v>
      </c>
      <c r="B420" s="2">
        <v>40562</v>
      </c>
      <c r="C420">
        <v>1</v>
      </c>
      <c r="D420">
        <v>0</v>
      </c>
      <c r="E420">
        <v>1</v>
      </c>
      <c r="F420">
        <v>11</v>
      </c>
      <c r="G420" t="b">
        <v>0</v>
      </c>
      <c r="H420">
        <v>3</v>
      </c>
      <c r="I420">
        <v>2</v>
      </c>
      <c r="J420">
        <v>0.28000000000000003</v>
      </c>
      <c r="K420">
        <v>0.30299999999999999</v>
      </c>
      <c r="L420">
        <v>0.87</v>
      </c>
      <c r="M420">
        <v>8.9599999999999999E-2</v>
      </c>
      <c r="N420">
        <v>5</v>
      </c>
      <c r="O420">
        <v>47</v>
      </c>
      <c r="P420">
        <v>52</v>
      </c>
      <c r="Q420" t="str">
        <f t="shared" si="48"/>
        <v>Complete</v>
      </c>
      <c r="R420">
        <f t="shared" si="55"/>
        <v>0.30299999999999999</v>
      </c>
      <c r="S420">
        <f t="shared" si="49"/>
        <v>2011</v>
      </c>
      <c r="T420" t="str">
        <f t="shared" si="50"/>
        <v>January</v>
      </c>
      <c r="U420" t="str">
        <f t="shared" si="51"/>
        <v>Weekday</v>
      </c>
      <c r="V420" t="str">
        <f t="shared" si="52"/>
        <v>Morning</v>
      </c>
      <c r="W420" t="str">
        <f t="shared" si="53"/>
        <v>Spring</v>
      </c>
      <c r="X420" t="str">
        <f t="shared" si="54"/>
        <v>Mist/Cloudy</v>
      </c>
    </row>
    <row r="421" spans="1:24">
      <c r="A421">
        <v>420</v>
      </c>
      <c r="B421" s="2">
        <v>40562</v>
      </c>
      <c r="C421">
        <v>1</v>
      </c>
      <c r="D421">
        <v>0</v>
      </c>
      <c r="E421">
        <v>1</v>
      </c>
      <c r="F421">
        <v>12</v>
      </c>
      <c r="G421" t="b">
        <v>0</v>
      </c>
      <c r="H421">
        <v>3</v>
      </c>
      <c r="I421">
        <v>2</v>
      </c>
      <c r="J421">
        <v>0.3</v>
      </c>
      <c r="K421">
        <v>0.31819999999999998</v>
      </c>
      <c r="L421">
        <v>0.81</v>
      </c>
      <c r="M421">
        <v>8.9599999999999999E-2</v>
      </c>
      <c r="N421">
        <v>5</v>
      </c>
      <c r="O421">
        <v>65</v>
      </c>
      <c r="P421">
        <v>70</v>
      </c>
      <c r="Q421" t="str">
        <f t="shared" si="48"/>
        <v>Complete</v>
      </c>
      <c r="R421">
        <f t="shared" si="55"/>
        <v>0.31819999999999998</v>
      </c>
      <c r="S421">
        <f t="shared" si="49"/>
        <v>2011</v>
      </c>
      <c r="T421" t="str">
        <f t="shared" si="50"/>
        <v>January</v>
      </c>
      <c r="U421" t="str">
        <f t="shared" si="51"/>
        <v>Weekday</v>
      </c>
      <c r="V421" t="str">
        <f t="shared" si="52"/>
        <v>Afternoon</v>
      </c>
      <c r="W421" t="str">
        <f t="shared" si="53"/>
        <v>Spring</v>
      </c>
      <c r="X421" t="str">
        <f t="shared" si="54"/>
        <v>Mist/Cloudy</v>
      </c>
    </row>
    <row r="422" spans="1:24">
      <c r="A422">
        <v>421</v>
      </c>
      <c r="B422" s="2">
        <v>40562</v>
      </c>
      <c r="C422">
        <v>1</v>
      </c>
      <c r="D422">
        <v>0</v>
      </c>
      <c r="E422">
        <v>1</v>
      </c>
      <c r="F422">
        <v>13</v>
      </c>
      <c r="G422" t="b">
        <v>0</v>
      </c>
      <c r="H422">
        <v>3</v>
      </c>
      <c r="I422">
        <v>1</v>
      </c>
      <c r="J422">
        <v>0.4</v>
      </c>
      <c r="K422">
        <v>0.40910000000000002</v>
      </c>
      <c r="L422">
        <v>0.62</v>
      </c>
      <c r="M422">
        <v>0.28360000000000002</v>
      </c>
      <c r="N422">
        <v>11</v>
      </c>
      <c r="O422">
        <v>67</v>
      </c>
      <c r="P422">
        <v>78</v>
      </c>
      <c r="Q422" t="str">
        <f t="shared" si="48"/>
        <v>Complete</v>
      </c>
      <c r="R422">
        <f t="shared" si="55"/>
        <v>0.40910000000000002</v>
      </c>
      <c r="S422">
        <f t="shared" si="49"/>
        <v>2011</v>
      </c>
      <c r="T422" t="str">
        <f t="shared" si="50"/>
        <v>January</v>
      </c>
      <c r="U422" t="str">
        <f t="shared" si="51"/>
        <v>Weekday</v>
      </c>
      <c r="V422" t="str">
        <f t="shared" si="52"/>
        <v>Afternoon</v>
      </c>
      <c r="W422" t="str">
        <f t="shared" si="53"/>
        <v>Spring</v>
      </c>
      <c r="X422" t="str">
        <f t="shared" si="54"/>
        <v>Clear</v>
      </c>
    </row>
    <row r="423" spans="1:24">
      <c r="A423">
        <v>422</v>
      </c>
      <c r="B423" s="2">
        <v>40562</v>
      </c>
      <c r="C423">
        <v>1</v>
      </c>
      <c r="D423">
        <v>0</v>
      </c>
      <c r="E423">
        <v>1</v>
      </c>
      <c r="F423">
        <v>14</v>
      </c>
      <c r="G423" t="b">
        <v>0</v>
      </c>
      <c r="H423">
        <v>3</v>
      </c>
      <c r="I423">
        <v>1</v>
      </c>
      <c r="J423">
        <v>0.4</v>
      </c>
      <c r="K423">
        <v>0.40910000000000002</v>
      </c>
      <c r="L423">
        <v>0.57999999999999996</v>
      </c>
      <c r="M423">
        <v>0.25369999999999998</v>
      </c>
      <c r="N423">
        <v>7</v>
      </c>
      <c r="O423">
        <v>68</v>
      </c>
      <c r="P423">
        <v>75</v>
      </c>
      <c r="Q423" t="str">
        <f t="shared" si="48"/>
        <v>Complete</v>
      </c>
      <c r="R423">
        <f t="shared" si="55"/>
        <v>0.40910000000000002</v>
      </c>
      <c r="S423">
        <f t="shared" si="49"/>
        <v>2011</v>
      </c>
      <c r="T423" t="str">
        <f t="shared" si="50"/>
        <v>January</v>
      </c>
      <c r="U423" t="str">
        <f t="shared" si="51"/>
        <v>Weekday</v>
      </c>
      <c r="V423" t="str">
        <f t="shared" si="52"/>
        <v>Afternoon</v>
      </c>
      <c r="W423" t="str">
        <f t="shared" si="53"/>
        <v>Spring</v>
      </c>
      <c r="X423" t="str">
        <f t="shared" si="54"/>
        <v>Clear</v>
      </c>
    </row>
    <row r="424" spans="1:24">
      <c r="A424">
        <v>423</v>
      </c>
      <c r="B424" s="2">
        <v>40562</v>
      </c>
      <c r="C424">
        <v>1</v>
      </c>
      <c r="D424">
        <v>0</v>
      </c>
      <c r="E424">
        <v>1</v>
      </c>
      <c r="F424">
        <v>15</v>
      </c>
      <c r="G424" t="b">
        <v>0</v>
      </c>
      <c r="H424">
        <v>3</v>
      </c>
      <c r="I424">
        <v>1</v>
      </c>
      <c r="J424">
        <v>0.4</v>
      </c>
      <c r="K424">
        <v>0.40910000000000002</v>
      </c>
      <c r="L424">
        <v>0.54</v>
      </c>
      <c r="M424">
        <v>0.28360000000000002</v>
      </c>
      <c r="N424">
        <v>4</v>
      </c>
      <c r="O424">
        <v>78</v>
      </c>
      <c r="P424">
        <v>82</v>
      </c>
      <c r="Q424" t="str">
        <f t="shared" si="48"/>
        <v>Complete</v>
      </c>
      <c r="R424">
        <f t="shared" si="55"/>
        <v>0.40910000000000002</v>
      </c>
      <c r="S424">
        <f t="shared" si="49"/>
        <v>2011</v>
      </c>
      <c r="T424" t="str">
        <f t="shared" si="50"/>
        <v>January</v>
      </c>
      <c r="U424" t="str">
        <f t="shared" si="51"/>
        <v>Weekday</v>
      </c>
      <c r="V424" t="str">
        <f t="shared" si="52"/>
        <v>Afternoon</v>
      </c>
      <c r="W424" t="str">
        <f t="shared" si="53"/>
        <v>Spring</v>
      </c>
      <c r="X424" t="str">
        <f t="shared" si="54"/>
        <v>Clear</v>
      </c>
    </row>
    <row r="425" spans="1:24">
      <c r="A425">
        <v>424</v>
      </c>
      <c r="B425" s="2">
        <v>40562</v>
      </c>
      <c r="C425">
        <v>1</v>
      </c>
      <c r="D425">
        <v>0</v>
      </c>
      <c r="E425">
        <v>1</v>
      </c>
      <c r="F425">
        <v>16</v>
      </c>
      <c r="G425" t="b">
        <v>0</v>
      </c>
      <c r="H425">
        <v>3</v>
      </c>
      <c r="I425">
        <v>1</v>
      </c>
      <c r="J425">
        <v>0.38</v>
      </c>
      <c r="K425">
        <v>0.39389999999999997</v>
      </c>
      <c r="L425">
        <v>0.57999999999999996</v>
      </c>
      <c r="M425">
        <v>0.3881</v>
      </c>
      <c r="N425">
        <v>10</v>
      </c>
      <c r="O425">
        <v>94</v>
      </c>
      <c r="P425">
        <v>104</v>
      </c>
      <c r="Q425" t="str">
        <f t="shared" si="48"/>
        <v>Complete</v>
      </c>
      <c r="R425">
        <f t="shared" si="55"/>
        <v>0.39389999999999997</v>
      </c>
      <c r="S425">
        <f t="shared" si="49"/>
        <v>2011</v>
      </c>
      <c r="T425" t="str">
        <f t="shared" si="50"/>
        <v>January</v>
      </c>
      <c r="U425" t="str">
        <f t="shared" si="51"/>
        <v>Weekday</v>
      </c>
      <c r="V425" t="str">
        <f t="shared" si="52"/>
        <v>Afternoon</v>
      </c>
      <c r="W425" t="str">
        <f t="shared" si="53"/>
        <v>Spring</v>
      </c>
      <c r="X425" t="str">
        <f t="shared" si="54"/>
        <v>Clear</v>
      </c>
    </row>
    <row r="426" spans="1:24">
      <c r="A426">
        <v>425</v>
      </c>
      <c r="B426" s="2">
        <v>40562</v>
      </c>
      <c r="C426">
        <v>1</v>
      </c>
      <c r="D426">
        <v>0</v>
      </c>
      <c r="E426">
        <v>1</v>
      </c>
      <c r="F426">
        <v>17</v>
      </c>
      <c r="G426" t="b">
        <v>0</v>
      </c>
      <c r="H426">
        <v>3</v>
      </c>
      <c r="I426">
        <v>1</v>
      </c>
      <c r="J426">
        <v>0.36</v>
      </c>
      <c r="K426">
        <v>0.33329999999999999</v>
      </c>
      <c r="L426">
        <v>0.56999999999999995</v>
      </c>
      <c r="M426">
        <v>0.32840000000000003</v>
      </c>
      <c r="N426">
        <v>7</v>
      </c>
      <c r="O426">
        <v>190</v>
      </c>
      <c r="P426">
        <v>197</v>
      </c>
      <c r="Q426" t="str">
        <f t="shared" si="48"/>
        <v>Complete</v>
      </c>
      <c r="R426">
        <f t="shared" si="55"/>
        <v>0.33329999999999999</v>
      </c>
      <c r="S426">
        <f t="shared" si="49"/>
        <v>2011</v>
      </c>
      <c r="T426" t="str">
        <f t="shared" si="50"/>
        <v>January</v>
      </c>
      <c r="U426" t="str">
        <f t="shared" si="51"/>
        <v>Weekday</v>
      </c>
      <c r="V426" t="str">
        <f t="shared" si="52"/>
        <v>Afternoon</v>
      </c>
      <c r="W426" t="str">
        <f t="shared" si="53"/>
        <v>Spring</v>
      </c>
      <c r="X426" t="str">
        <f t="shared" si="54"/>
        <v>Clear</v>
      </c>
    </row>
    <row r="427" spans="1:24">
      <c r="A427">
        <v>426</v>
      </c>
      <c r="B427" s="2">
        <v>40562</v>
      </c>
      <c r="C427">
        <v>1</v>
      </c>
      <c r="D427">
        <v>0</v>
      </c>
      <c r="E427">
        <v>1</v>
      </c>
      <c r="F427">
        <v>18</v>
      </c>
      <c r="G427" t="b">
        <v>0</v>
      </c>
      <c r="H427">
        <v>3</v>
      </c>
      <c r="I427">
        <v>1</v>
      </c>
      <c r="J427">
        <v>0.34</v>
      </c>
      <c r="K427">
        <v>0.31819999999999998</v>
      </c>
      <c r="L427">
        <v>0.61</v>
      </c>
      <c r="M427">
        <v>0.28360000000000002</v>
      </c>
      <c r="N427">
        <v>5</v>
      </c>
      <c r="O427">
        <v>156</v>
      </c>
      <c r="P427">
        <v>161</v>
      </c>
      <c r="Q427" t="str">
        <f t="shared" si="48"/>
        <v>Complete</v>
      </c>
      <c r="R427">
        <f t="shared" si="55"/>
        <v>0.31819999999999998</v>
      </c>
      <c r="S427">
        <f t="shared" si="49"/>
        <v>2011</v>
      </c>
      <c r="T427" t="str">
        <f t="shared" si="50"/>
        <v>January</v>
      </c>
      <c r="U427" t="str">
        <f t="shared" si="51"/>
        <v>Weekday</v>
      </c>
      <c r="V427" t="str">
        <f t="shared" si="52"/>
        <v>Evening</v>
      </c>
      <c r="W427" t="str">
        <f t="shared" si="53"/>
        <v>Spring</v>
      </c>
      <c r="X427" t="str">
        <f t="shared" si="54"/>
        <v>Clear</v>
      </c>
    </row>
    <row r="428" spans="1:24">
      <c r="A428">
        <v>427</v>
      </c>
      <c r="B428" s="2">
        <v>40562</v>
      </c>
      <c r="C428">
        <v>1</v>
      </c>
      <c r="D428">
        <v>0</v>
      </c>
      <c r="E428">
        <v>1</v>
      </c>
      <c r="F428">
        <v>19</v>
      </c>
      <c r="G428" t="b">
        <v>0</v>
      </c>
      <c r="H428">
        <v>3</v>
      </c>
      <c r="I428">
        <v>1</v>
      </c>
      <c r="J428">
        <v>0.32</v>
      </c>
      <c r="K428">
        <v>0.28789999999999999</v>
      </c>
      <c r="L428">
        <v>0.56999999999999995</v>
      </c>
      <c r="M428">
        <v>0.41789999999999999</v>
      </c>
      <c r="N428">
        <v>4</v>
      </c>
      <c r="O428">
        <v>108</v>
      </c>
      <c r="P428">
        <v>112</v>
      </c>
      <c r="Q428" t="str">
        <f t="shared" si="48"/>
        <v>Complete</v>
      </c>
      <c r="R428">
        <f t="shared" si="55"/>
        <v>0.28789999999999999</v>
      </c>
      <c r="S428">
        <f t="shared" si="49"/>
        <v>2011</v>
      </c>
      <c r="T428" t="str">
        <f t="shared" si="50"/>
        <v>January</v>
      </c>
      <c r="U428" t="str">
        <f t="shared" si="51"/>
        <v>Weekday</v>
      </c>
      <c r="V428" t="str">
        <f t="shared" si="52"/>
        <v>Evening</v>
      </c>
      <c r="W428" t="str">
        <f t="shared" si="53"/>
        <v>Spring</v>
      </c>
      <c r="X428" t="str">
        <f t="shared" si="54"/>
        <v>Clear</v>
      </c>
    </row>
    <row r="429" spans="1:24">
      <c r="A429">
        <v>428</v>
      </c>
      <c r="B429" s="2">
        <v>40562</v>
      </c>
      <c r="C429">
        <v>1</v>
      </c>
      <c r="D429">
        <v>0</v>
      </c>
      <c r="E429">
        <v>1</v>
      </c>
      <c r="F429">
        <v>20</v>
      </c>
      <c r="G429" t="b">
        <v>0</v>
      </c>
      <c r="H429">
        <v>3</v>
      </c>
      <c r="I429">
        <v>1</v>
      </c>
      <c r="J429">
        <v>0.32</v>
      </c>
      <c r="K429">
        <v>0.30299999999999999</v>
      </c>
      <c r="L429">
        <v>0.49</v>
      </c>
      <c r="M429">
        <v>0.29849999999999999</v>
      </c>
      <c r="N429">
        <v>2</v>
      </c>
      <c r="O429">
        <v>74</v>
      </c>
      <c r="P429">
        <v>76</v>
      </c>
      <c r="Q429" t="str">
        <f t="shared" si="48"/>
        <v>Complete</v>
      </c>
      <c r="R429">
        <f t="shared" si="55"/>
        <v>0.30299999999999999</v>
      </c>
      <c r="S429">
        <f t="shared" si="49"/>
        <v>2011</v>
      </c>
      <c r="T429" t="str">
        <f t="shared" si="50"/>
        <v>January</v>
      </c>
      <c r="U429" t="str">
        <f t="shared" si="51"/>
        <v>Weekday</v>
      </c>
      <c r="V429" t="str">
        <f t="shared" si="52"/>
        <v>Evening</v>
      </c>
      <c r="W429" t="str">
        <f t="shared" si="53"/>
        <v>Spring</v>
      </c>
      <c r="X429" t="str">
        <f t="shared" si="54"/>
        <v>Clear</v>
      </c>
    </row>
    <row r="430" spans="1:24">
      <c r="A430">
        <v>429</v>
      </c>
      <c r="B430" s="2">
        <v>40562</v>
      </c>
      <c r="C430">
        <v>1</v>
      </c>
      <c r="D430">
        <v>0</v>
      </c>
      <c r="E430">
        <v>1</v>
      </c>
      <c r="F430">
        <v>21</v>
      </c>
      <c r="G430" t="b">
        <v>0</v>
      </c>
      <c r="H430">
        <v>3</v>
      </c>
      <c r="I430">
        <v>1</v>
      </c>
      <c r="J430">
        <v>0.32</v>
      </c>
      <c r="K430">
        <v>0.28789999999999999</v>
      </c>
      <c r="L430">
        <v>0.49</v>
      </c>
      <c r="M430">
        <v>0.41789999999999999</v>
      </c>
      <c r="N430">
        <v>4</v>
      </c>
      <c r="O430">
        <v>55</v>
      </c>
      <c r="P430">
        <v>59</v>
      </c>
      <c r="Q430" t="str">
        <f t="shared" si="48"/>
        <v>Complete</v>
      </c>
      <c r="R430">
        <f t="shared" si="55"/>
        <v>0.28789999999999999</v>
      </c>
      <c r="S430">
        <f t="shared" si="49"/>
        <v>2011</v>
      </c>
      <c r="T430" t="str">
        <f t="shared" si="50"/>
        <v>January</v>
      </c>
      <c r="U430" t="str">
        <f t="shared" si="51"/>
        <v>Weekday</v>
      </c>
      <c r="V430" t="str">
        <f t="shared" si="52"/>
        <v>Evening</v>
      </c>
      <c r="W430" t="str">
        <f t="shared" si="53"/>
        <v>Spring</v>
      </c>
      <c r="X430" t="str">
        <f t="shared" si="54"/>
        <v>Clear</v>
      </c>
    </row>
    <row r="431" spans="1:24">
      <c r="A431">
        <v>430</v>
      </c>
      <c r="B431" s="2">
        <v>40562</v>
      </c>
      <c r="C431">
        <v>1</v>
      </c>
      <c r="D431">
        <v>0</v>
      </c>
      <c r="E431">
        <v>1</v>
      </c>
      <c r="F431">
        <v>22</v>
      </c>
      <c r="G431" t="b">
        <v>0</v>
      </c>
      <c r="H431">
        <v>3</v>
      </c>
      <c r="I431">
        <v>1</v>
      </c>
      <c r="J431">
        <v>0.3</v>
      </c>
      <c r="K431">
        <v>0.30299999999999999</v>
      </c>
      <c r="L431">
        <v>0.52</v>
      </c>
      <c r="M431">
        <v>0.16420000000000001</v>
      </c>
      <c r="N431">
        <v>6</v>
      </c>
      <c r="O431">
        <v>53</v>
      </c>
      <c r="P431">
        <v>59</v>
      </c>
      <c r="Q431" t="str">
        <f t="shared" si="48"/>
        <v>Complete</v>
      </c>
      <c r="R431">
        <f t="shared" si="55"/>
        <v>0.30299999999999999</v>
      </c>
      <c r="S431">
        <f t="shared" si="49"/>
        <v>2011</v>
      </c>
      <c r="T431" t="str">
        <f t="shared" si="50"/>
        <v>January</v>
      </c>
      <c r="U431" t="str">
        <f t="shared" si="51"/>
        <v>Weekday</v>
      </c>
      <c r="V431" t="str">
        <f t="shared" si="52"/>
        <v>Evening</v>
      </c>
      <c r="W431" t="str">
        <f t="shared" si="53"/>
        <v>Spring</v>
      </c>
      <c r="X431" t="str">
        <f t="shared" si="54"/>
        <v>Clear</v>
      </c>
    </row>
    <row r="432" spans="1:24">
      <c r="A432">
        <v>431</v>
      </c>
      <c r="B432" s="2">
        <v>40562</v>
      </c>
      <c r="C432">
        <v>1</v>
      </c>
      <c r="D432">
        <v>0</v>
      </c>
      <c r="E432">
        <v>1</v>
      </c>
      <c r="F432">
        <v>23</v>
      </c>
      <c r="G432" t="b">
        <v>0</v>
      </c>
      <c r="H432">
        <v>3</v>
      </c>
      <c r="I432">
        <v>1</v>
      </c>
      <c r="J432">
        <v>0.3</v>
      </c>
      <c r="K432">
        <v>0.2727</v>
      </c>
      <c r="L432">
        <v>0.52</v>
      </c>
      <c r="M432">
        <v>0.4627</v>
      </c>
      <c r="N432">
        <v>1</v>
      </c>
      <c r="O432">
        <v>27</v>
      </c>
      <c r="P432">
        <v>28</v>
      </c>
      <c r="Q432" t="str">
        <f t="shared" si="48"/>
        <v>Complete</v>
      </c>
      <c r="R432">
        <f t="shared" si="55"/>
        <v>0.2727</v>
      </c>
      <c r="S432">
        <f t="shared" si="49"/>
        <v>2011</v>
      </c>
      <c r="T432" t="str">
        <f t="shared" si="50"/>
        <v>January</v>
      </c>
      <c r="U432" t="str">
        <f t="shared" si="51"/>
        <v>Weekday</v>
      </c>
      <c r="V432" t="str">
        <f t="shared" si="52"/>
        <v>Evening</v>
      </c>
      <c r="W432" t="str">
        <f t="shared" si="53"/>
        <v>Spring</v>
      </c>
      <c r="X432" t="str">
        <f t="shared" si="54"/>
        <v>Clear</v>
      </c>
    </row>
    <row r="433" spans="1:24">
      <c r="A433">
        <v>432</v>
      </c>
      <c r="B433" s="2">
        <v>40563</v>
      </c>
      <c r="C433">
        <v>1</v>
      </c>
      <c r="D433">
        <v>0</v>
      </c>
      <c r="E433">
        <v>1</v>
      </c>
      <c r="F433">
        <v>0</v>
      </c>
      <c r="G433" t="b">
        <v>0</v>
      </c>
      <c r="H433">
        <v>4</v>
      </c>
      <c r="I433">
        <v>1</v>
      </c>
      <c r="J433">
        <v>0.26</v>
      </c>
      <c r="K433">
        <v>0.2273</v>
      </c>
      <c r="L433">
        <v>0.56000000000000005</v>
      </c>
      <c r="M433">
        <v>0.3881</v>
      </c>
      <c r="N433">
        <v>5</v>
      </c>
      <c r="O433">
        <v>8</v>
      </c>
      <c r="P433">
        <v>13</v>
      </c>
      <c r="Q433" t="str">
        <f t="shared" si="48"/>
        <v>Complete</v>
      </c>
      <c r="R433">
        <f t="shared" si="55"/>
        <v>0.2273</v>
      </c>
      <c r="S433">
        <f t="shared" si="49"/>
        <v>2011</v>
      </c>
      <c r="T433" t="str">
        <f t="shared" si="50"/>
        <v>January</v>
      </c>
      <c r="U433" t="str">
        <f t="shared" si="51"/>
        <v>Weekday</v>
      </c>
      <c r="V433" t="str">
        <f t="shared" si="52"/>
        <v>Night</v>
      </c>
      <c r="W433" t="str">
        <f t="shared" si="53"/>
        <v>Spring</v>
      </c>
      <c r="X433" t="str">
        <f t="shared" si="54"/>
        <v>Clear</v>
      </c>
    </row>
    <row r="434" spans="1:24">
      <c r="A434">
        <v>433</v>
      </c>
      <c r="B434" s="2">
        <v>40563</v>
      </c>
      <c r="C434">
        <v>1</v>
      </c>
      <c r="D434">
        <v>0</v>
      </c>
      <c r="E434">
        <v>1</v>
      </c>
      <c r="F434">
        <v>1</v>
      </c>
      <c r="G434" t="b">
        <v>0</v>
      </c>
      <c r="H434">
        <v>4</v>
      </c>
      <c r="I434">
        <v>1</v>
      </c>
      <c r="J434">
        <v>0.26</v>
      </c>
      <c r="K434">
        <v>0.2727</v>
      </c>
      <c r="L434">
        <v>0.56000000000000005</v>
      </c>
      <c r="M434">
        <v>0</v>
      </c>
      <c r="N434">
        <v>2</v>
      </c>
      <c r="O434">
        <v>3</v>
      </c>
      <c r="P434">
        <v>5</v>
      </c>
      <c r="Q434" t="str">
        <f t="shared" si="48"/>
        <v>Complete</v>
      </c>
      <c r="R434">
        <f t="shared" si="55"/>
        <v>0.2727</v>
      </c>
      <c r="S434">
        <f t="shared" si="49"/>
        <v>2011</v>
      </c>
      <c r="T434" t="str">
        <f t="shared" si="50"/>
        <v>January</v>
      </c>
      <c r="U434" t="str">
        <f t="shared" si="51"/>
        <v>Weekday</v>
      </c>
      <c r="V434" t="str">
        <f t="shared" si="52"/>
        <v>Night</v>
      </c>
      <c r="W434" t="str">
        <f t="shared" si="53"/>
        <v>Spring</v>
      </c>
      <c r="X434" t="str">
        <f t="shared" si="54"/>
        <v>Clear</v>
      </c>
    </row>
    <row r="435" spans="1:24">
      <c r="A435">
        <v>434</v>
      </c>
      <c r="B435" s="2">
        <v>40563</v>
      </c>
      <c r="C435">
        <v>1</v>
      </c>
      <c r="D435">
        <v>0</v>
      </c>
      <c r="E435">
        <v>1</v>
      </c>
      <c r="F435">
        <v>2</v>
      </c>
      <c r="G435" t="b">
        <v>0</v>
      </c>
      <c r="H435">
        <v>4</v>
      </c>
      <c r="I435">
        <v>1</v>
      </c>
      <c r="J435">
        <v>0.26</v>
      </c>
      <c r="K435">
        <v>0.2727</v>
      </c>
      <c r="L435">
        <v>0.56000000000000005</v>
      </c>
      <c r="M435">
        <v>0</v>
      </c>
      <c r="N435">
        <v>0</v>
      </c>
      <c r="O435">
        <v>2</v>
      </c>
      <c r="P435">
        <v>2</v>
      </c>
      <c r="Q435" t="str">
        <f t="shared" si="48"/>
        <v>Complete</v>
      </c>
      <c r="R435">
        <f t="shared" si="55"/>
        <v>0.2727</v>
      </c>
      <c r="S435">
        <f t="shared" si="49"/>
        <v>2011</v>
      </c>
      <c r="T435" t="str">
        <f t="shared" si="50"/>
        <v>January</v>
      </c>
      <c r="U435" t="str">
        <f t="shared" si="51"/>
        <v>Weekday</v>
      </c>
      <c r="V435" t="str">
        <f t="shared" si="52"/>
        <v>Night</v>
      </c>
      <c r="W435" t="str">
        <f t="shared" si="53"/>
        <v>Spring</v>
      </c>
      <c r="X435" t="str">
        <f t="shared" si="54"/>
        <v>Clear</v>
      </c>
    </row>
    <row r="436" spans="1:24">
      <c r="A436">
        <v>435</v>
      </c>
      <c r="B436" s="2">
        <v>40563</v>
      </c>
      <c r="C436">
        <v>1</v>
      </c>
      <c r="D436">
        <v>0</v>
      </c>
      <c r="E436">
        <v>1</v>
      </c>
      <c r="F436">
        <v>3</v>
      </c>
      <c r="G436" t="b">
        <v>0</v>
      </c>
      <c r="H436">
        <v>4</v>
      </c>
      <c r="I436">
        <v>1</v>
      </c>
      <c r="J436">
        <v>0.26</v>
      </c>
      <c r="K436">
        <v>0.2576</v>
      </c>
      <c r="L436">
        <v>0.56000000000000005</v>
      </c>
      <c r="M436">
        <v>0.16420000000000001</v>
      </c>
      <c r="N436">
        <v>0</v>
      </c>
      <c r="O436">
        <v>1</v>
      </c>
      <c r="P436">
        <v>1</v>
      </c>
      <c r="Q436" t="str">
        <f t="shared" si="48"/>
        <v>Complete</v>
      </c>
      <c r="R436">
        <f t="shared" si="55"/>
        <v>0.2576</v>
      </c>
      <c r="S436">
        <f t="shared" si="49"/>
        <v>2011</v>
      </c>
      <c r="T436" t="str">
        <f t="shared" si="50"/>
        <v>January</v>
      </c>
      <c r="U436" t="str">
        <f t="shared" si="51"/>
        <v>Weekday</v>
      </c>
      <c r="V436" t="str">
        <f t="shared" si="52"/>
        <v>Night</v>
      </c>
      <c r="W436" t="str">
        <f t="shared" si="53"/>
        <v>Spring</v>
      </c>
      <c r="X436" t="str">
        <f t="shared" si="54"/>
        <v>Clear</v>
      </c>
    </row>
    <row r="437" spans="1:24">
      <c r="A437">
        <v>436</v>
      </c>
      <c r="B437" s="2">
        <v>40563</v>
      </c>
      <c r="C437">
        <v>1</v>
      </c>
      <c r="D437">
        <v>0</v>
      </c>
      <c r="E437">
        <v>1</v>
      </c>
      <c r="F437">
        <v>4</v>
      </c>
      <c r="G437" t="b">
        <v>0</v>
      </c>
      <c r="H437">
        <v>4</v>
      </c>
      <c r="I437">
        <v>1</v>
      </c>
      <c r="J437">
        <v>0.26</v>
      </c>
      <c r="K437">
        <v>0.2576</v>
      </c>
      <c r="L437">
        <v>0.56000000000000005</v>
      </c>
      <c r="M437">
        <v>0.16420000000000001</v>
      </c>
      <c r="N437">
        <v>0</v>
      </c>
      <c r="O437">
        <v>1</v>
      </c>
      <c r="P437">
        <v>1</v>
      </c>
      <c r="Q437" t="str">
        <f t="shared" si="48"/>
        <v>Complete</v>
      </c>
      <c r="R437">
        <f t="shared" si="55"/>
        <v>0.2576</v>
      </c>
      <c r="S437">
        <f t="shared" si="49"/>
        <v>2011</v>
      </c>
      <c r="T437" t="str">
        <f t="shared" si="50"/>
        <v>January</v>
      </c>
      <c r="U437" t="str">
        <f t="shared" si="51"/>
        <v>Weekday</v>
      </c>
      <c r="V437" t="str">
        <f t="shared" si="52"/>
        <v>Night</v>
      </c>
      <c r="W437" t="str">
        <f t="shared" si="53"/>
        <v>Spring</v>
      </c>
      <c r="X437" t="str">
        <f t="shared" si="54"/>
        <v>Clear</v>
      </c>
    </row>
    <row r="438" spans="1:24">
      <c r="A438">
        <v>437</v>
      </c>
      <c r="B438" s="2">
        <v>40563</v>
      </c>
      <c r="C438">
        <v>1</v>
      </c>
      <c r="D438">
        <v>0</v>
      </c>
      <c r="E438">
        <v>1</v>
      </c>
      <c r="F438">
        <v>5</v>
      </c>
      <c r="G438" t="b">
        <v>0</v>
      </c>
      <c r="H438">
        <v>4</v>
      </c>
      <c r="I438">
        <v>1</v>
      </c>
      <c r="J438">
        <v>0.24</v>
      </c>
      <c r="K438">
        <v>0.2273</v>
      </c>
      <c r="L438">
        <v>0.6</v>
      </c>
      <c r="M438">
        <v>0.22389999999999999</v>
      </c>
      <c r="N438">
        <v>0</v>
      </c>
      <c r="O438">
        <v>6</v>
      </c>
      <c r="P438">
        <v>6</v>
      </c>
      <c r="Q438" t="str">
        <f t="shared" si="48"/>
        <v>Complete</v>
      </c>
      <c r="R438">
        <f t="shared" si="55"/>
        <v>0.2273</v>
      </c>
      <c r="S438">
        <f t="shared" si="49"/>
        <v>2011</v>
      </c>
      <c r="T438" t="str">
        <f t="shared" si="50"/>
        <v>January</v>
      </c>
      <c r="U438" t="str">
        <f t="shared" si="51"/>
        <v>Weekday</v>
      </c>
      <c r="V438" t="str">
        <f t="shared" si="52"/>
        <v>Night</v>
      </c>
      <c r="W438" t="str">
        <f t="shared" si="53"/>
        <v>Spring</v>
      </c>
      <c r="X438" t="str">
        <f t="shared" si="54"/>
        <v>Clear</v>
      </c>
    </row>
    <row r="439" spans="1:24">
      <c r="A439">
        <v>438</v>
      </c>
      <c r="B439" s="2">
        <v>40563</v>
      </c>
      <c r="C439">
        <v>1</v>
      </c>
      <c r="D439">
        <v>0</v>
      </c>
      <c r="E439">
        <v>1</v>
      </c>
      <c r="F439">
        <v>6</v>
      </c>
      <c r="G439" t="b">
        <v>0</v>
      </c>
      <c r="H439">
        <v>4</v>
      </c>
      <c r="I439">
        <v>1</v>
      </c>
      <c r="J439">
        <v>0.22</v>
      </c>
      <c r="K439">
        <v>0.21210000000000001</v>
      </c>
      <c r="L439">
        <v>0.6</v>
      </c>
      <c r="M439">
        <v>0.22389999999999999</v>
      </c>
      <c r="N439">
        <v>0</v>
      </c>
      <c r="O439">
        <v>35</v>
      </c>
      <c r="P439">
        <v>35</v>
      </c>
      <c r="Q439" t="str">
        <f t="shared" si="48"/>
        <v>Complete</v>
      </c>
      <c r="R439">
        <f t="shared" si="55"/>
        <v>0.21210000000000001</v>
      </c>
      <c r="S439">
        <f t="shared" si="49"/>
        <v>2011</v>
      </c>
      <c r="T439" t="str">
        <f t="shared" si="50"/>
        <v>January</v>
      </c>
      <c r="U439" t="str">
        <f t="shared" si="51"/>
        <v>Weekday</v>
      </c>
      <c r="V439" t="str">
        <f t="shared" si="52"/>
        <v>Morning</v>
      </c>
      <c r="W439" t="str">
        <f t="shared" si="53"/>
        <v>Spring</v>
      </c>
      <c r="X439" t="str">
        <f t="shared" si="54"/>
        <v>Clear</v>
      </c>
    </row>
    <row r="440" spans="1:24">
      <c r="A440">
        <v>439</v>
      </c>
      <c r="B440" s="2">
        <v>40563</v>
      </c>
      <c r="C440">
        <v>1</v>
      </c>
      <c r="D440">
        <v>0</v>
      </c>
      <c r="E440">
        <v>1</v>
      </c>
      <c r="F440">
        <v>7</v>
      </c>
      <c r="G440" t="b">
        <v>0</v>
      </c>
      <c r="H440">
        <v>4</v>
      </c>
      <c r="I440">
        <v>1</v>
      </c>
      <c r="J440">
        <v>0.22</v>
      </c>
      <c r="K440">
        <v>0.21210000000000001</v>
      </c>
      <c r="L440">
        <v>0.55000000000000004</v>
      </c>
      <c r="M440">
        <v>0.22389999999999999</v>
      </c>
      <c r="N440">
        <v>1</v>
      </c>
      <c r="O440">
        <v>100</v>
      </c>
      <c r="P440">
        <v>101</v>
      </c>
      <c r="Q440" t="str">
        <f t="shared" si="48"/>
        <v>Complete</v>
      </c>
      <c r="R440">
        <f t="shared" si="55"/>
        <v>0.21210000000000001</v>
      </c>
      <c r="S440">
        <f t="shared" si="49"/>
        <v>2011</v>
      </c>
      <c r="T440" t="str">
        <f t="shared" si="50"/>
        <v>January</v>
      </c>
      <c r="U440" t="str">
        <f t="shared" si="51"/>
        <v>Weekday</v>
      </c>
      <c r="V440" t="str">
        <f t="shared" si="52"/>
        <v>Morning</v>
      </c>
      <c r="W440" t="str">
        <f t="shared" si="53"/>
        <v>Spring</v>
      </c>
      <c r="X440" t="str">
        <f t="shared" si="54"/>
        <v>Clear</v>
      </c>
    </row>
    <row r="441" spans="1:24">
      <c r="A441">
        <v>440</v>
      </c>
      <c r="B441" s="2">
        <v>40563</v>
      </c>
      <c r="C441">
        <v>1</v>
      </c>
      <c r="D441">
        <v>0</v>
      </c>
      <c r="E441">
        <v>1</v>
      </c>
      <c r="F441">
        <v>8</v>
      </c>
      <c r="G441" t="b">
        <v>0</v>
      </c>
      <c r="H441">
        <v>4</v>
      </c>
      <c r="I441">
        <v>1</v>
      </c>
      <c r="J441">
        <v>0.22</v>
      </c>
      <c r="K441">
        <v>0.21210000000000001</v>
      </c>
      <c r="L441">
        <v>0.55000000000000004</v>
      </c>
      <c r="M441">
        <v>0.28360000000000002</v>
      </c>
      <c r="N441">
        <v>2</v>
      </c>
      <c r="O441">
        <v>247</v>
      </c>
      <c r="P441">
        <v>249</v>
      </c>
      <c r="Q441" t="str">
        <f t="shared" si="48"/>
        <v>Complete</v>
      </c>
      <c r="R441">
        <f t="shared" si="55"/>
        <v>0.21210000000000001</v>
      </c>
      <c r="S441">
        <f t="shared" si="49"/>
        <v>2011</v>
      </c>
      <c r="T441" t="str">
        <f t="shared" si="50"/>
        <v>January</v>
      </c>
      <c r="U441" t="str">
        <f t="shared" si="51"/>
        <v>Weekday</v>
      </c>
      <c r="V441" t="str">
        <f t="shared" si="52"/>
        <v>Morning</v>
      </c>
      <c r="W441" t="str">
        <f t="shared" si="53"/>
        <v>Spring</v>
      </c>
      <c r="X441" t="str">
        <f t="shared" si="54"/>
        <v>Clear</v>
      </c>
    </row>
    <row r="442" spans="1:24">
      <c r="A442">
        <v>441</v>
      </c>
      <c r="B442" s="2">
        <v>40563</v>
      </c>
      <c r="C442">
        <v>1</v>
      </c>
      <c r="D442">
        <v>0</v>
      </c>
      <c r="E442">
        <v>1</v>
      </c>
      <c r="F442">
        <v>9</v>
      </c>
      <c r="G442" t="b">
        <v>0</v>
      </c>
      <c r="H442">
        <v>4</v>
      </c>
      <c r="I442">
        <v>2</v>
      </c>
      <c r="J442">
        <v>0.24</v>
      </c>
      <c r="K442">
        <v>0.2273</v>
      </c>
      <c r="L442">
        <v>0.52</v>
      </c>
      <c r="M442">
        <v>0.22389999999999999</v>
      </c>
      <c r="N442">
        <v>3</v>
      </c>
      <c r="O442">
        <v>140</v>
      </c>
      <c r="P442">
        <v>143</v>
      </c>
      <c r="Q442" t="str">
        <f t="shared" si="48"/>
        <v>Complete</v>
      </c>
      <c r="R442">
        <f t="shared" si="55"/>
        <v>0.2273</v>
      </c>
      <c r="S442">
        <f t="shared" si="49"/>
        <v>2011</v>
      </c>
      <c r="T442" t="str">
        <f t="shared" si="50"/>
        <v>January</v>
      </c>
      <c r="U442" t="str">
        <f t="shared" si="51"/>
        <v>Weekday</v>
      </c>
      <c r="V442" t="str">
        <f t="shared" si="52"/>
        <v>Morning</v>
      </c>
      <c r="W442" t="str">
        <f t="shared" si="53"/>
        <v>Spring</v>
      </c>
      <c r="X442" t="str">
        <f t="shared" si="54"/>
        <v>Mist/Cloudy</v>
      </c>
    </row>
    <row r="443" spans="1:24">
      <c r="A443">
        <v>442</v>
      </c>
      <c r="B443" s="2">
        <v>40563</v>
      </c>
      <c r="C443">
        <v>1</v>
      </c>
      <c r="D443">
        <v>0</v>
      </c>
      <c r="E443">
        <v>1</v>
      </c>
      <c r="F443">
        <v>10</v>
      </c>
      <c r="G443" t="b">
        <v>0</v>
      </c>
      <c r="H443">
        <v>4</v>
      </c>
      <c r="I443">
        <v>1</v>
      </c>
      <c r="J443">
        <v>0.26</v>
      </c>
      <c r="K443">
        <v>0.2273</v>
      </c>
      <c r="L443">
        <v>0.48</v>
      </c>
      <c r="M443">
        <v>0.29849999999999999</v>
      </c>
      <c r="N443">
        <v>1</v>
      </c>
      <c r="O443">
        <v>56</v>
      </c>
      <c r="P443">
        <v>57</v>
      </c>
      <c r="Q443" t="str">
        <f t="shared" si="48"/>
        <v>Complete</v>
      </c>
      <c r="R443">
        <f t="shared" si="55"/>
        <v>0.2273</v>
      </c>
      <c r="S443">
        <f t="shared" si="49"/>
        <v>2011</v>
      </c>
      <c r="T443" t="str">
        <f t="shared" si="50"/>
        <v>January</v>
      </c>
      <c r="U443" t="str">
        <f t="shared" si="51"/>
        <v>Weekday</v>
      </c>
      <c r="V443" t="str">
        <f t="shared" si="52"/>
        <v>Morning</v>
      </c>
      <c r="W443" t="str">
        <f t="shared" si="53"/>
        <v>Spring</v>
      </c>
      <c r="X443" t="str">
        <f t="shared" si="54"/>
        <v>Clear</v>
      </c>
    </row>
    <row r="444" spans="1:24">
      <c r="A444">
        <v>443</v>
      </c>
      <c r="B444" s="2">
        <v>40563</v>
      </c>
      <c r="C444">
        <v>1</v>
      </c>
      <c r="D444">
        <v>0</v>
      </c>
      <c r="E444">
        <v>1</v>
      </c>
      <c r="F444">
        <v>11</v>
      </c>
      <c r="G444" t="b">
        <v>0</v>
      </c>
      <c r="H444">
        <v>4</v>
      </c>
      <c r="I444">
        <v>2</v>
      </c>
      <c r="J444">
        <v>0.28000000000000003</v>
      </c>
      <c r="K444">
        <v>0.2727</v>
      </c>
      <c r="L444">
        <v>0.45</v>
      </c>
      <c r="M444">
        <v>0.16420000000000001</v>
      </c>
      <c r="N444">
        <v>5</v>
      </c>
      <c r="O444">
        <v>63</v>
      </c>
      <c r="P444">
        <v>68</v>
      </c>
      <c r="Q444" t="str">
        <f t="shared" si="48"/>
        <v>Complete</v>
      </c>
      <c r="R444">
        <f t="shared" si="55"/>
        <v>0.2727</v>
      </c>
      <c r="S444">
        <f t="shared" si="49"/>
        <v>2011</v>
      </c>
      <c r="T444" t="str">
        <f t="shared" si="50"/>
        <v>January</v>
      </c>
      <c r="U444" t="str">
        <f t="shared" si="51"/>
        <v>Weekday</v>
      </c>
      <c r="V444" t="str">
        <f t="shared" si="52"/>
        <v>Morning</v>
      </c>
      <c r="W444" t="str">
        <f t="shared" si="53"/>
        <v>Spring</v>
      </c>
      <c r="X444" t="str">
        <f t="shared" si="54"/>
        <v>Mist/Cloudy</v>
      </c>
    </row>
    <row r="445" spans="1:24">
      <c r="A445">
        <v>444</v>
      </c>
      <c r="B445" s="2">
        <v>40563</v>
      </c>
      <c r="C445">
        <v>1</v>
      </c>
      <c r="D445">
        <v>0</v>
      </c>
      <c r="E445">
        <v>1</v>
      </c>
      <c r="F445">
        <v>12</v>
      </c>
      <c r="G445" t="b">
        <v>0</v>
      </c>
      <c r="H445">
        <v>4</v>
      </c>
      <c r="I445">
        <v>2</v>
      </c>
      <c r="J445">
        <v>0.3</v>
      </c>
      <c r="K445">
        <v>0.33329999999999999</v>
      </c>
      <c r="L445">
        <v>0.42</v>
      </c>
      <c r="M445">
        <v>0</v>
      </c>
      <c r="N445">
        <v>7</v>
      </c>
      <c r="O445">
        <v>77</v>
      </c>
      <c r="P445">
        <v>84</v>
      </c>
      <c r="Q445" t="str">
        <f t="shared" si="48"/>
        <v>Complete</v>
      </c>
      <c r="R445">
        <f t="shared" si="55"/>
        <v>0.33329999999999999</v>
      </c>
      <c r="S445">
        <f t="shared" si="49"/>
        <v>2011</v>
      </c>
      <c r="T445" t="str">
        <f t="shared" si="50"/>
        <v>January</v>
      </c>
      <c r="U445" t="str">
        <f t="shared" si="51"/>
        <v>Weekday</v>
      </c>
      <c r="V445" t="str">
        <f t="shared" si="52"/>
        <v>Afternoon</v>
      </c>
      <c r="W445" t="str">
        <f t="shared" si="53"/>
        <v>Spring</v>
      </c>
      <c r="X445" t="str">
        <f t="shared" si="54"/>
        <v>Mist/Cloudy</v>
      </c>
    </row>
    <row r="446" spans="1:24">
      <c r="A446">
        <v>445</v>
      </c>
      <c r="B446" s="2">
        <v>40563</v>
      </c>
      <c r="C446">
        <v>1</v>
      </c>
      <c r="D446">
        <v>0</v>
      </c>
      <c r="E446">
        <v>1</v>
      </c>
      <c r="F446">
        <v>13</v>
      </c>
      <c r="G446" t="b">
        <v>0</v>
      </c>
      <c r="H446">
        <v>4</v>
      </c>
      <c r="I446">
        <v>2</v>
      </c>
      <c r="J446">
        <v>0.28000000000000003</v>
      </c>
      <c r="K446">
        <v>0.28789999999999999</v>
      </c>
      <c r="L446">
        <v>0.45</v>
      </c>
      <c r="M446">
        <v>0.1045</v>
      </c>
      <c r="N446">
        <v>12</v>
      </c>
      <c r="O446">
        <v>86</v>
      </c>
      <c r="P446">
        <v>98</v>
      </c>
      <c r="Q446" t="str">
        <f t="shared" si="48"/>
        <v>Complete</v>
      </c>
      <c r="R446">
        <f t="shared" si="55"/>
        <v>0.28789999999999999</v>
      </c>
      <c r="S446">
        <f t="shared" si="49"/>
        <v>2011</v>
      </c>
      <c r="T446" t="str">
        <f t="shared" si="50"/>
        <v>January</v>
      </c>
      <c r="U446" t="str">
        <f t="shared" si="51"/>
        <v>Weekday</v>
      </c>
      <c r="V446" t="str">
        <f t="shared" si="52"/>
        <v>Afternoon</v>
      </c>
      <c r="W446" t="str">
        <f t="shared" si="53"/>
        <v>Spring</v>
      </c>
      <c r="X446" t="str">
        <f t="shared" si="54"/>
        <v>Mist/Cloudy</v>
      </c>
    </row>
    <row r="447" spans="1:24">
      <c r="A447">
        <v>446</v>
      </c>
      <c r="B447" s="2">
        <v>40563</v>
      </c>
      <c r="C447">
        <v>1</v>
      </c>
      <c r="D447">
        <v>0</v>
      </c>
      <c r="E447">
        <v>1</v>
      </c>
      <c r="F447">
        <v>14</v>
      </c>
      <c r="G447" t="b">
        <v>0</v>
      </c>
      <c r="H447">
        <v>4</v>
      </c>
      <c r="I447">
        <v>2</v>
      </c>
      <c r="J447">
        <v>0.3</v>
      </c>
      <c r="K447">
        <v>0.30299999999999999</v>
      </c>
      <c r="L447">
        <v>0.45</v>
      </c>
      <c r="M447">
        <v>0.1343</v>
      </c>
      <c r="N447">
        <v>6</v>
      </c>
      <c r="O447">
        <v>75</v>
      </c>
      <c r="P447">
        <v>81</v>
      </c>
      <c r="Q447" t="str">
        <f t="shared" si="48"/>
        <v>Complete</v>
      </c>
      <c r="R447">
        <f t="shared" si="55"/>
        <v>0.30299999999999999</v>
      </c>
      <c r="S447">
        <f t="shared" si="49"/>
        <v>2011</v>
      </c>
      <c r="T447" t="str">
        <f t="shared" si="50"/>
        <v>January</v>
      </c>
      <c r="U447" t="str">
        <f t="shared" si="51"/>
        <v>Weekday</v>
      </c>
      <c r="V447" t="str">
        <f t="shared" si="52"/>
        <v>Afternoon</v>
      </c>
      <c r="W447" t="str">
        <f t="shared" si="53"/>
        <v>Spring</v>
      </c>
      <c r="X447" t="str">
        <f t="shared" si="54"/>
        <v>Mist/Cloudy</v>
      </c>
    </row>
    <row r="448" spans="1:24">
      <c r="A448">
        <v>447</v>
      </c>
      <c r="B448" s="2">
        <v>40563</v>
      </c>
      <c r="C448">
        <v>1</v>
      </c>
      <c r="D448">
        <v>0</v>
      </c>
      <c r="E448">
        <v>1</v>
      </c>
      <c r="F448">
        <v>15</v>
      </c>
      <c r="G448" t="b">
        <v>0</v>
      </c>
      <c r="H448">
        <v>4</v>
      </c>
      <c r="I448">
        <v>2</v>
      </c>
      <c r="J448">
        <v>0.32</v>
      </c>
      <c r="K448">
        <v>0.31819999999999998</v>
      </c>
      <c r="L448">
        <v>0.45</v>
      </c>
      <c r="M448">
        <v>0.19400000000000001</v>
      </c>
      <c r="N448">
        <v>8</v>
      </c>
      <c r="O448">
        <v>62</v>
      </c>
      <c r="P448">
        <v>70</v>
      </c>
      <c r="Q448" t="str">
        <f t="shared" si="48"/>
        <v>Complete</v>
      </c>
      <c r="R448">
        <f t="shared" si="55"/>
        <v>0.31819999999999998</v>
      </c>
      <c r="S448">
        <f t="shared" si="49"/>
        <v>2011</v>
      </c>
      <c r="T448" t="str">
        <f t="shared" si="50"/>
        <v>January</v>
      </c>
      <c r="U448" t="str">
        <f t="shared" si="51"/>
        <v>Weekday</v>
      </c>
      <c r="V448" t="str">
        <f t="shared" si="52"/>
        <v>Afternoon</v>
      </c>
      <c r="W448" t="str">
        <f t="shared" si="53"/>
        <v>Spring</v>
      </c>
      <c r="X448" t="str">
        <f t="shared" si="54"/>
        <v>Mist/Cloudy</v>
      </c>
    </row>
    <row r="449" spans="1:24">
      <c r="A449">
        <v>448</v>
      </c>
      <c r="B449" s="2">
        <v>40563</v>
      </c>
      <c r="C449">
        <v>1</v>
      </c>
      <c r="D449">
        <v>0</v>
      </c>
      <c r="E449">
        <v>1</v>
      </c>
      <c r="F449">
        <v>16</v>
      </c>
      <c r="G449" t="b">
        <v>0</v>
      </c>
      <c r="H449">
        <v>4</v>
      </c>
      <c r="I449">
        <v>2</v>
      </c>
      <c r="J449">
        <v>0.3</v>
      </c>
      <c r="K449">
        <v>0.30299999999999999</v>
      </c>
      <c r="L449">
        <v>0.49</v>
      </c>
      <c r="M449">
        <v>0.1343</v>
      </c>
      <c r="N449">
        <v>8</v>
      </c>
      <c r="O449">
        <v>83</v>
      </c>
      <c r="P449">
        <v>91</v>
      </c>
      <c r="Q449" t="str">
        <f t="shared" si="48"/>
        <v>Complete</v>
      </c>
      <c r="R449">
        <f t="shared" si="55"/>
        <v>0.30299999999999999</v>
      </c>
      <c r="S449">
        <f t="shared" si="49"/>
        <v>2011</v>
      </c>
      <c r="T449" t="str">
        <f t="shared" si="50"/>
        <v>January</v>
      </c>
      <c r="U449" t="str">
        <f t="shared" si="51"/>
        <v>Weekday</v>
      </c>
      <c r="V449" t="str">
        <f t="shared" si="52"/>
        <v>Afternoon</v>
      </c>
      <c r="W449" t="str">
        <f t="shared" si="53"/>
        <v>Spring</v>
      </c>
      <c r="X449" t="str">
        <f t="shared" si="54"/>
        <v>Mist/Cloudy</v>
      </c>
    </row>
    <row r="450" spans="1:24">
      <c r="A450">
        <v>449</v>
      </c>
      <c r="B450" s="2">
        <v>40563</v>
      </c>
      <c r="C450">
        <v>1</v>
      </c>
      <c r="D450">
        <v>0</v>
      </c>
      <c r="E450">
        <v>1</v>
      </c>
      <c r="F450">
        <v>17</v>
      </c>
      <c r="G450" t="b">
        <v>0</v>
      </c>
      <c r="H450">
        <v>4</v>
      </c>
      <c r="I450">
        <v>2</v>
      </c>
      <c r="J450">
        <v>0.3</v>
      </c>
      <c r="K450">
        <v>0.31819999999999998</v>
      </c>
      <c r="L450">
        <v>0.49</v>
      </c>
      <c r="M450">
        <v>0.1045</v>
      </c>
      <c r="N450">
        <v>8</v>
      </c>
      <c r="O450">
        <v>207</v>
      </c>
      <c r="P450">
        <v>215</v>
      </c>
      <c r="Q450" t="str">
        <f t="shared" ref="Q450:Q513" si="56">IF(K450="","Missing atemp","Complete")</f>
        <v>Complete</v>
      </c>
      <c r="R450">
        <f t="shared" si="55"/>
        <v>0.31819999999999998</v>
      </c>
      <c r="S450">
        <f t="shared" ref="S450:S513" si="57">IF(D450=0,2011,"")</f>
        <v>2011</v>
      </c>
      <c r="T450" t="str">
        <f t="shared" ref="T450:T513" si="58">IF(E450=1,"January","")</f>
        <v>January</v>
      </c>
      <c r="U450" t="str">
        <f t="shared" ref="U450:U513" si="59">IF(G450=TRUE,"Holiday",IF(H450=0,"Sunday",IF(H450=6,"Saturday","Weekday")))</f>
        <v>Weekday</v>
      </c>
      <c r="V450" t="str">
        <f t="shared" ref="V450:V513" si="60">IF(F450&lt;6,"Night",IF(F450&lt;12,"Morning",IF(F450&lt;18,"Afternoon","Evening")))</f>
        <v>Afternoon</v>
      </c>
      <c r="W450" t="str">
        <f t="shared" ref="W450:W513" si="61">IF(C450=1,"Spring","")</f>
        <v>Spring</v>
      </c>
      <c r="X450" t="str">
        <f t="shared" ref="X450:X513" si="62">IF(I450=1,"Clear",IF(I450=2,"Mist/Cloudy",IF(I450=3,"Light Rain/Snow",IF(I450=4,"Heavy Rain/Snow","Unknown"))))</f>
        <v>Mist/Cloudy</v>
      </c>
    </row>
    <row r="451" spans="1:24">
      <c r="A451">
        <v>450</v>
      </c>
      <c r="B451" s="2">
        <v>40563</v>
      </c>
      <c r="C451">
        <v>1</v>
      </c>
      <c r="D451">
        <v>0</v>
      </c>
      <c r="E451">
        <v>1</v>
      </c>
      <c r="F451">
        <v>18</v>
      </c>
      <c r="G451" t="b">
        <v>0</v>
      </c>
      <c r="H451">
        <v>4</v>
      </c>
      <c r="I451">
        <v>2</v>
      </c>
      <c r="J451">
        <v>0.26</v>
      </c>
      <c r="K451">
        <v>0.2576</v>
      </c>
      <c r="L451">
        <v>0.56000000000000005</v>
      </c>
      <c r="M451">
        <v>0.19400000000000001</v>
      </c>
      <c r="N451">
        <v>1</v>
      </c>
      <c r="O451">
        <v>184</v>
      </c>
      <c r="P451">
        <v>185</v>
      </c>
      <c r="Q451" t="str">
        <f t="shared" si="56"/>
        <v>Complete</v>
      </c>
      <c r="R451">
        <f t="shared" ref="R451:R514" si="63">IF(K451="",J451,K451)</f>
        <v>0.2576</v>
      </c>
      <c r="S451">
        <f t="shared" si="57"/>
        <v>2011</v>
      </c>
      <c r="T451" t="str">
        <f t="shared" si="58"/>
        <v>January</v>
      </c>
      <c r="U451" t="str">
        <f t="shared" si="59"/>
        <v>Weekday</v>
      </c>
      <c r="V451" t="str">
        <f t="shared" si="60"/>
        <v>Evening</v>
      </c>
      <c r="W451" t="str">
        <f t="shared" si="61"/>
        <v>Spring</v>
      </c>
      <c r="X451" t="str">
        <f t="shared" si="62"/>
        <v>Mist/Cloudy</v>
      </c>
    </row>
    <row r="452" spans="1:24">
      <c r="A452">
        <v>451</v>
      </c>
      <c r="B452" s="2">
        <v>40563</v>
      </c>
      <c r="C452">
        <v>1</v>
      </c>
      <c r="D452">
        <v>0</v>
      </c>
      <c r="E452">
        <v>1</v>
      </c>
      <c r="F452">
        <v>19</v>
      </c>
      <c r="G452" t="b">
        <v>0</v>
      </c>
      <c r="H452">
        <v>4</v>
      </c>
      <c r="I452">
        <v>1</v>
      </c>
      <c r="J452">
        <v>0.26</v>
      </c>
      <c r="K452">
        <v>0.2273</v>
      </c>
      <c r="L452">
        <v>0.56000000000000005</v>
      </c>
      <c r="M452">
        <v>0.32840000000000003</v>
      </c>
      <c r="N452">
        <v>6</v>
      </c>
      <c r="O452">
        <v>146</v>
      </c>
      <c r="P452">
        <v>152</v>
      </c>
      <c r="Q452" t="str">
        <f t="shared" si="56"/>
        <v>Complete</v>
      </c>
      <c r="R452">
        <f t="shared" si="63"/>
        <v>0.2273</v>
      </c>
      <c r="S452">
        <f t="shared" si="57"/>
        <v>2011</v>
      </c>
      <c r="T452" t="str">
        <f t="shared" si="58"/>
        <v>January</v>
      </c>
      <c r="U452" t="str">
        <f t="shared" si="59"/>
        <v>Weekday</v>
      </c>
      <c r="V452" t="str">
        <f t="shared" si="60"/>
        <v>Evening</v>
      </c>
      <c r="W452" t="str">
        <f t="shared" si="61"/>
        <v>Spring</v>
      </c>
      <c r="X452" t="str">
        <f t="shared" si="62"/>
        <v>Clear</v>
      </c>
    </row>
    <row r="453" spans="1:24">
      <c r="A453">
        <v>452</v>
      </c>
      <c r="B453" s="2">
        <v>40563</v>
      </c>
      <c r="C453">
        <v>1</v>
      </c>
      <c r="D453">
        <v>0</v>
      </c>
      <c r="E453">
        <v>1</v>
      </c>
      <c r="F453">
        <v>20</v>
      </c>
      <c r="G453" t="b">
        <v>0</v>
      </c>
      <c r="H453">
        <v>4</v>
      </c>
      <c r="I453">
        <v>2</v>
      </c>
      <c r="J453">
        <v>0.26</v>
      </c>
      <c r="K453">
        <v>0.2424</v>
      </c>
      <c r="L453">
        <v>0.6</v>
      </c>
      <c r="M453">
        <v>0.28360000000000002</v>
      </c>
      <c r="N453">
        <v>2</v>
      </c>
      <c r="O453">
        <v>124</v>
      </c>
      <c r="P453">
        <v>126</v>
      </c>
      <c r="Q453" t="str">
        <f t="shared" si="56"/>
        <v>Complete</v>
      </c>
      <c r="R453">
        <f t="shared" si="63"/>
        <v>0.2424</v>
      </c>
      <c r="S453">
        <f t="shared" si="57"/>
        <v>2011</v>
      </c>
      <c r="T453" t="str">
        <f t="shared" si="58"/>
        <v>January</v>
      </c>
      <c r="U453" t="str">
        <f t="shared" si="59"/>
        <v>Weekday</v>
      </c>
      <c r="V453" t="str">
        <f t="shared" si="60"/>
        <v>Evening</v>
      </c>
      <c r="W453" t="str">
        <f t="shared" si="61"/>
        <v>Spring</v>
      </c>
      <c r="X453" t="str">
        <f t="shared" si="62"/>
        <v>Mist/Cloudy</v>
      </c>
    </row>
    <row r="454" spans="1:24">
      <c r="A454">
        <v>453</v>
      </c>
      <c r="B454" s="2">
        <v>40563</v>
      </c>
      <c r="C454">
        <v>1</v>
      </c>
      <c r="D454">
        <v>0</v>
      </c>
      <c r="E454">
        <v>1</v>
      </c>
      <c r="F454">
        <v>21</v>
      </c>
      <c r="G454" t="b">
        <v>0</v>
      </c>
      <c r="H454">
        <v>4</v>
      </c>
      <c r="I454">
        <v>2</v>
      </c>
      <c r="J454">
        <v>0.24</v>
      </c>
      <c r="K454">
        <v>0.2273</v>
      </c>
      <c r="L454">
        <v>0.6</v>
      </c>
      <c r="M454">
        <v>0.25369999999999998</v>
      </c>
      <c r="N454">
        <v>3</v>
      </c>
      <c r="O454">
        <v>54</v>
      </c>
      <c r="P454">
        <v>57</v>
      </c>
      <c r="Q454" t="str">
        <f t="shared" si="56"/>
        <v>Complete</v>
      </c>
      <c r="R454">
        <f t="shared" si="63"/>
        <v>0.2273</v>
      </c>
      <c r="S454">
        <f t="shared" si="57"/>
        <v>2011</v>
      </c>
      <c r="T454" t="str">
        <f t="shared" si="58"/>
        <v>January</v>
      </c>
      <c r="U454" t="str">
        <f t="shared" si="59"/>
        <v>Weekday</v>
      </c>
      <c r="V454" t="str">
        <f t="shared" si="60"/>
        <v>Evening</v>
      </c>
      <c r="W454" t="str">
        <f t="shared" si="61"/>
        <v>Spring</v>
      </c>
      <c r="X454" t="str">
        <f t="shared" si="62"/>
        <v>Mist/Cloudy</v>
      </c>
    </row>
    <row r="455" spans="1:24">
      <c r="A455">
        <v>454</v>
      </c>
      <c r="B455" s="2">
        <v>40563</v>
      </c>
      <c r="C455">
        <v>1</v>
      </c>
      <c r="D455">
        <v>0</v>
      </c>
      <c r="E455">
        <v>1</v>
      </c>
      <c r="F455">
        <v>22</v>
      </c>
      <c r="G455" t="b">
        <v>0</v>
      </c>
      <c r="H455">
        <v>4</v>
      </c>
      <c r="I455">
        <v>2</v>
      </c>
      <c r="J455">
        <v>0.24</v>
      </c>
      <c r="K455">
        <v>0.21210000000000001</v>
      </c>
      <c r="L455">
        <v>0.65</v>
      </c>
      <c r="M455">
        <v>0.28360000000000002</v>
      </c>
      <c r="N455">
        <v>0</v>
      </c>
      <c r="O455">
        <v>56</v>
      </c>
      <c r="P455">
        <v>56</v>
      </c>
      <c r="Q455" t="str">
        <f t="shared" si="56"/>
        <v>Complete</v>
      </c>
      <c r="R455">
        <f t="shared" si="63"/>
        <v>0.21210000000000001</v>
      </c>
      <c r="S455">
        <f t="shared" si="57"/>
        <v>2011</v>
      </c>
      <c r="T455" t="str">
        <f t="shared" si="58"/>
        <v>January</v>
      </c>
      <c r="U455" t="str">
        <f t="shared" si="59"/>
        <v>Weekday</v>
      </c>
      <c r="V455" t="str">
        <f t="shared" si="60"/>
        <v>Evening</v>
      </c>
      <c r="W455" t="str">
        <f t="shared" si="61"/>
        <v>Spring</v>
      </c>
      <c r="X455" t="str">
        <f t="shared" si="62"/>
        <v>Mist/Cloudy</v>
      </c>
    </row>
    <row r="456" spans="1:24">
      <c r="A456">
        <v>455</v>
      </c>
      <c r="B456" s="2">
        <v>40563</v>
      </c>
      <c r="C456">
        <v>1</v>
      </c>
      <c r="D456">
        <v>0</v>
      </c>
      <c r="E456">
        <v>1</v>
      </c>
      <c r="F456">
        <v>23</v>
      </c>
      <c r="G456" t="b">
        <v>0</v>
      </c>
      <c r="H456">
        <v>4</v>
      </c>
      <c r="I456">
        <v>2</v>
      </c>
      <c r="J456">
        <v>0.24</v>
      </c>
      <c r="K456">
        <v>0.21210000000000001</v>
      </c>
      <c r="L456">
        <v>0.65</v>
      </c>
      <c r="M456">
        <v>0.32840000000000003</v>
      </c>
      <c r="N456">
        <v>3</v>
      </c>
      <c r="O456">
        <v>28</v>
      </c>
      <c r="P456">
        <v>31</v>
      </c>
      <c r="Q456" t="str">
        <f t="shared" si="56"/>
        <v>Complete</v>
      </c>
      <c r="R456">
        <f t="shared" si="63"/>
        <v>0.21210000000000001</v>
      </c>
      <c r="S456">
        <f t="shared" si="57"/>
        <v>2011</v>
      </c>
      <c r="T456" t="str">
        <f t="shared" si="58"/>
        <v>January</v>
      </c>
      <c r="U456" t="str">
        <f t="shared" si="59"/>
        <v>Weekday</v>
      </c>
      <c r="V456" t="str">
        <f t="shared" si="60"/>
        <v>Evening</v>
      </c>
      <c r="W456" t="str">
        <f t="shared" si="61"/>
        <v>Spring</v>
      </c>
      <c r="X456" t="str">
        <f t="shared" si="62"/>
        <v>Mist/Cloudy</v>
      </c>
    </row>
    <row r="457" spans="1:24">
      <c r="A457">
        <v>456</v>
      </c>
      <c r="B457" s="2">
        <v>40564</v>
      </c>
      <c r="C457">
        <v>1</v>
      </c>
      <c r="D457">
        <v>0</v>
      </c>
      <c r="E457">
        <v>1</v>
      </c>
      <c r="F457">
        <v>0</v>
      </c>
      <c r="G457" t="b">
        <v>0</v>
      </c>
      <c r="H457">
        <v>5</v>
      </c>
      <c r="I457">
        <v>2</v>
      </c>
      <c r="J457">
        <v>0.24</v>
      </c>
      <c r="K457">
        <v>0.2273</v>
      </c>
      <c r="L457">
        <v>0.7</v>
      </c>
      <c r="M457">
        <v>0.25369999999999998</v>
      </c>
      <c r="N457">
        <v>1</v>
      </c>
      <c r="O457">
        <v>20</v>
      </c>
      <c r="P457">
        <v>21</v>
      </c>
      <c r="Q457" t="str">
        <f t="shared" si="56"/>
        <v>Complete</v>
      </c>
      <c r="R457">
        <f t="shared" si="63"/>
        <v>0.2273</v>
      </c>
      <c r="S457">
        <f t="shared" si="57"/>
        <v>2011</v>
      </c>
      <c r="T457" t="str">
        <f t="shared" si="58"/>
        <v>January</v>
      </c>
      <c r="U457" t="str">
        <f t="shared" si="59"/>
        <v>Weekday</v>
      </c>
      <c r="V457" t="str">
        <f t="shared" si="60"/>
        <v>Night</v>
      </c>
      <c r="W457" t="str">
        <f t="shared" si="61"/>
        <v>Spring</v>
      </c>
      <c r="X457" t="str">
        <f t="shared" si="62"/>
        <v>Mist/Cloudy</v>
      </c>
    </row>
    <row r="458" spans="1:24">
      <c r="A458">
        <v>457</v>
      </c>
      <c r="B458" s="2">
        <v>40564</v>
      </c>
      <c r="C458">
        <v>1</v>
      </c>
      <c r="D458">
        <v>0</v>
      </c>
      <c r="E458">
        <v>1</v>
      </c>
      <c r="F458">
        <v>1</v>
      </c>
      <c r="G458" t="b">
        <v>0</v>
      </c>
      <c r="H458">
        <v>5</v>
      </c>
      <c r="I458">
        <v>2</v>
      </c>
      <c r="J458">
        <v>0.24</v>
      </c>
      <c r="K458">
        <v>0.2273</v>
      </c>
      <c r="L458">
        <v>0.7</v>
      </c>
      <c r="M458">
        <v>0.25369999999999998</v>
      </c>
      <c r="N458">
        <v>0</v>
      </c>
      <c r="O458">
        <v>6</v>
      </c>
      <c r="P458">
        <v>6</v>
      </c>
      <c r="Q458" t="str">
        <f t="shared" si="56"/>
        <v>Complete</v>
      </c>
      <c r="R458">
        <f t="shared" si="63"/>
        <v>0.2273</v>
      </c>
      <c r="S458">
        <f t="shared" si="57"/>
        <v>2011</v>
      </c>
      <c r="T458" t="str">
        <f t="shared" si="58"/>
        <v>January</v>
      </c>
      <c r="U458" t="str">
        <f t="shared" si="59"/>
        <v>Weekday</v>
      </c>
      <c r="V458" t="str">
        <f t="shared" si="60"/>
        <v>Night</v>
      </c>
      <c r="W458" t="str">
        <f t="shared" si="61"/>
        <v>Spring</v>
      </c>
      <c r="X458" t="str">
        <f t="shared" si="62"/>
        <v>Mist/Cloudy</v>
      </c>
    </row>
    <row r="459" spans="1:24">
      <c r="A459">
        <v>458</v>
      </c>
      <c r="B459" s="2">
        <v>40564</v>
      </c>
      <c r="C459">
        <v>1</v>
      </c>
      <c r="D459">
        <v>0</v>
      </c>
      <c r="E459">
        <v>1</v>
      </c>
      <c r="F459">
        <v>2</v>
      </c>
      <c r="G459" t="b">
        <v>0</v>
      </c>
      <c r="H459">
        <v>5</v>
      </c>
      <c r="I459">
        <v>3</v>
      </c>
      <c r="J459">
        <v>0.24</v>
      </c>
      <c r="K459">
        <v>0.2424</v>
      </c>
      <c r="L459">
        <v>0.75</v>
      </c>
      <c r="M459">
        <v>0.16420000000000001</v>
      </c>
      <c r="N459">
        <v>0</v>
      </c>
      <c r="O459">
        <v>2</v>
      </c>
      <c r="P459">
        <v>2</v>
      </c>
      <c r="Q459" t="str">
        <f t="shared" si="56"/>
        <v>Complete</v>
      </c>
      <c r="R459">
        <f t="shared" si="63"/>
        <v>0.2424</v>
      </c>
      <c r="S459">
        <f t="shared" si="57"/>
        <v>2011</v>
      </c>
      <c r="T459" t="str">
        <f t="shared" si="58"/>
        <v>January</v>
      </c>
      <c r="U459" t="str">
        <f t="shared" si="59"/>
        <v>Weekday</v>
      </c>
      <c r="V459" t="str">
        <f t="shared" si="60"/>
        <v>Night</v>
      </c>
      <c r="W459" t="str">
        <f t="shared" si="61"/>
        <v>Spring</v>
      </c>
      <c r="X459" t="str">
        <f t="shared" si="62"/>
        <v>Light Rain/Snow</v>
      </c>
    </row>
    <row r="460" spans="1:24">
      <c r="A460">
        <v>459</v>
      </c>
      <c r="B460" s="2">
        <v>40564</v>
      </c>
      <c r="C460">
        <v>1</v>
      </c>
      <c r="D460">
        <v>0</v>
      </c>
      <c r="E460">
        <v>1</v>
      </c>
      <c r="F460">
        <v>3</v>
      </c>
      <c r="G460" t="b">
        <v>0</v>
      </c>
      <c r="H460">
        <v>5</v>
      </c>
      <c r="I460">
        <v>3</v>
      </c>
      <c r="J460">
        <v>0.22</v>
      </c>
      <c r="K460">
        <v>0.21210000000000001</v>
      </c>
      <c r="L460">
        <v>0.8</v>
      </c>
      <c r="M460">
        <v>0.29849999999999999</v>
      </c>
      <c r="N460">
        <v>0</v>
      </c>
      <c r="O460">
        <v>1</v>
      </c>
      <c r="P460">
        <v>1</v>
      </c>
      <c r="Q460" t="str">
        <f t="shared" si="56"/>
        <v>Complete</v>
      </c>
      <c r="R460">
        <f t="shared" si="63"/>
        <v>0.21210000000000001</v>
      </c>
      <c r="S460">
        <f t="shared" si="57"/>
        <v>2011</v>
      </c>
      <c r="T460" t="str">
        <f t="shared" si="58"/>
        <v>January</v>
      </c>
      <c r="U460" t="str">
        <f t="shared" si="59"/>
        <v>Weekday</v>
      </c>
      <c r="V460" t="str">
        <f t="shared" si="60"/>
        <v>Night</v>
      </c>
      <c r="W460" t="str">
        <f t="shared" si="61"/>
        <v>Spring</v>
      </c>
      <c r="X460" t="str">
        <f t="shared" si="62"/>
        <v>Light Rain/Snow</v>
      </c>
    </row>
    <row r="461" spans="1:24">
      <c r="A461">
        <v>460</v>
      </c>
      <c r="B461" s="2">
        <v>40564</v>
      </c>
      <c r="C461">
        <v>1</v>
      </c>
      <c r="D461">
        <v>0</v>
      </c>
      <c r="E461">
        <v>1</v>
      </c>
      <c r="F461">
        <v>4</v>
      </c>
      <c r="G461" t="b">
        <v>0</v>
      </c>
      <c r="H461">
        <v>5</v>
      </c>
      <c r="I461">
        <v>2</v>
      </c>
      <c r="J461">
        <v>0.22</v>
      </c>
      <c r="K461">
        <v>0.2576</v>
      </c>
      <c r="L461">
        <v>0.87</v>
      </c>
      <c r="M461">
        <v>8.9599999999999999E-2</v>
      </c>
      <c r="N461">
        <v>0</v>
      </c>
      <c r="O461">
        <v>1</v>
      </c>
      <c r="P461">
        <v>1</v>
      </c>
      <c r="Q461" t="str">
        <f t="shared" si="56"/>
        <v>Complete</v>
      </c>
      <c r="R461">
        <f t="shared" si="63"/>
        <v>0.2576</v>
      </c>
      <c r="S461">
        <f t="shared" si="57"/>
        <v>2011</v>
      </c>
      <c r="T461" t="str">
        <f t="shared" si="58"/>
        <v>January</v>
      </c>
      <c r="U461" t="str">
        <f t="shared" si="59"/>
        <v>Weekday</v>
      </c>
      <c r="V461" t="str">
        <f t="shared" si="60"/>
        <v>Night</v>
      </c>
      <c r="W461" t="str">
        <f t="shared" si="61"/>
        <v>Spring</v>
      </c>
      <c r="X461" t="str">
        <f t="shared" si="62"/>
        <v>Mist/Cloudy</v>
      </c>
    </row>
    <row r="462" spans="1:24">
      <c r="A462">
        <v>461</v>
      </c>
      <c r="B462" s="2">
        <v>40564</v>
      </c>
      <c r="C462">
        <v>1</v>
      </c>
      <c r="D462">
        <v>0</v>
      </c>
      <c r="E462">
        <v>1</v>
      </c>
      <c r="F462">
        <v>5</v>
      </c>
      <c r="G462" t="b">
        <v>0</v>
      </c>
      <c r="H462">
        <v>5</v>
      </c>
      <c r="I462">
        <v>1</v>
      </c>
      <c r="J462">
        <v>0.24</v>
      </c>
      <c r="K462">
        <v>0.19700000000000001</v>
      </c>
      <c r="L462">
        <v>0.6</v>
      </c>
      <c r="M462">
        <v>0.41789999999999999</v>
      </c>
      <c r="N462">
        <v>1</v>
      </c>
      <c r="O462">
        <v>4</v>
      </c>
      <c r="P462">
        <v>5</v>
      </c>
      <c r="Q462" t="str">
        <f t="shared" si="56"/>
        <v>Complete</v>
      </c>
      <c r="R462">
        <f t="shared" si="63"/>
        <v>0.19700000000000001</v>
      </c>
      <c r="S462">
        <f t="shared" si="57"/>
        <v>2011</v>
      </c>
      <c r="T462" t="str">
        <f t="shared" si="58"/>
        <v>January</v>
      </c>
      <c r="U462" t="str">
        <f t="shared" si="59"/>
        <v>Weekday</v>
      </c>
      <c r="V462" t="str">
        <f t="shared" si="60"/>
        <v>Night</v>
      </c>
      <c r="W462" t="str">
        <f t="shared" si="61"/>
        <v>Spring</v>
      </c>
      <c r="X462" t="str">
        <f t="shared" si="62"/>
        <v>Clear</v>
      </c>
    </row>
    <row r="463" spans="1:24">
      <c r="A463">
        <v>462</v>
      </c>
      <c r="B463" s="2">
        <v>40564</v>
      </c>
      <c r="C463">
        <v>1</v>
      </c>
      <c r="D463">
        <v>0</v>
      </c>
      <c r="E463">
        <v>1</v>
      </c>
      <c r="F463">
        <v>6</v>
      </c>
      <c r="G463" t="b">
        <v>0</v>
      </c>
      <c r="H463">
        <v>5</v>
      </c>
      <c r="I463">
        <v>1</v>
      </c>
      <c r="J463">
        <v>0.22</v>
      </c>
      <c r="K463">
        <v>0.21210000000000001</v>
      </c>
      <c r="L463">
        <v>0.55000000000000004</v>
      </c>
      <c r="M463">
        <v>0.25369999999999998</v>
      </c>
      <c r="N463">
        <v>0</v>
      </c>
      <c r="O463">
        <v>27</v>
      </c>
      <c r="P463">
        <v>27</v>
      </c>
      <c r="Q463" t="str">
        <f t="shared" si="56"/>
        <v>Complete</v>
      </c>
      <c r="R463">
        <f t="shared" si="63"/>
        <v>0.21210000000000001</v>
      </c>
      <c r="S463">
        <f t="shared" si="57"/>
        <v>2011</v>
      </c>
      <c r="T463" t="str">
        <f t="shared" si="58"/>
        <v>January</v>
      </c>
      <c r="U463" t="str">
        <f t="shared" si="59"/>
        <v>Weekday</v>
      </c>
      <c r="V463" t="str">
        <f t="shared" si="60"/>
        <v>Morning</v>
      </c>
      <c r="W463" t="str">
        <f t="shared" si="61"/>
        <v>Spring</v>
      </c>
      <c r="X463" t="str">
        <f t="shared" si="62"/>
        <v>Clear</v>
      </c>
    </row>
    <row r="464" spans="1:24">
      <c r="A464">
        <v>463</v>
      </c>
      <c r="B464" s="2">
        <v>40564</v>
      </c>
      <c r="C464">
        <v>1</v>
      </c>
      <c r="D464">
        <v>0</v>
      </c>
      <c r="E464">
        <v>1</v>
      </c>
      <c r="F464">
        <v>7</v>
      </c>
      <c r="G464" t="b">
        <v>0</v>
      </c>
      <c r="H464">
        <v>5</v>
      </c>
      <c r="I464">
        <v>1</v>
      </c>
      <c r="J464">
        <v>0.2</v>
      </c>
      <c r="K464">
        <v>0.18179999999999999</v>
      </c>
      <c r="L464">
        <v>0.51</v>
      </c>
      <c r="M464">
        <v>0.28360000000000002</v>
      </c>
      <c r="N464">
        <v>2</v>
      </c>
      <c r="O464">
        <v>66</v>
      </c>
      <c r="P464">
        <v>68</v>
      </c>
      <c r="Q464" t="str">
        <f t="shared" si="56"/>
        <v>Complete</v>
      </c>
      <c r="R464">
        <f t="shared" si="63"/>
        <v>0.18179999999999999</v>
      </c>
      <c r="S464">
        <f t="shared" si="57"/>
        <v>2011</v>
      </c>
      <c r="T464" t="str">
        <f t="shared" si="58"/>
        <v>January</v>
      </c>
      <c r="U464" t="str">
        <f t="shared" si="59"/>
        <v>Weekday</v>
      </c>
      <c r="V464" t="str">
        <f t="shared" si="60"/>
        <v>Morning</v>
      </c>
      <c r="W464" t="str">
        <f t="shared" si="61"/>
        <v>Spring</v>
      </c>
      <c r="X464" t="str">
        <f t="shared" si="62"/>
        <v>Clear</v>
      </c>
    </row>
    <row r="465" spans="1:24">
      <c r="A465">
        <v>464</v>
      </c>
      <c r="B465" s="2">
        <v>40564</v>
      </c>
      <c r="C465">
        <v>1</v>
      </c>
      <c r="D465">
        <v>0</v>
      </c>
      <c r="E465">
        <v>1</v>
      </c>
      <c r="F465">
        <v>8</v>
      </c>
      <c r="G465" t="b">
        <v>0</v>
      </c>
      <c r="H465">
        <v>5</v>
      </c>
      <c r="I465">
        <v>1</v>
      </c>
      <c r="J465">
        <v>0.2</v>
      </c>
      <c r="K465">
        <v>0.18179999999999999</v>
      </c>
      <c r="L465">
        <v>0.47</v>
      </c>
      <c r="M465">
        <v>0.32840000000000003</v>
      </c>
      <c r="N465">
        <v>7</v>
      </c>
      <c r="O465">
        <v>210</v>
      </c>
      <c r="P465">
        <v>217</v>
      </c>
      <c r="Q465" t="str">
        <f t="shared" si="56"/>
        <v>Complete</v>
      </c>
      <c r="R465">
        <f t="shared" si="63"/>
        <v>0.18179999999999999</v>
      </c>
      <c r="S465">
        <f t="shared" si="57"/>
        <v>2011</v>
      </c>
      <c r="T465" t="str">
        <f t="shared" si="58"/>
        <v>January</v>
      </c>
      <c r="U465" t="str">
        <f t="shared" si="59"/>
        <v>Weekday</v>
      </c>
      <c r="V465" t="str">
        <f t="shared" si="60"/>
        <v>Morning</v>
      </c>
      <c r="W465" t="str">
        <f t="shared" si="61"/>
        <v>Spring</v>
      </c>
      <c r="X465" t="str">
        <f t="shared" si="62"/>
        <v>Clear</v>
      </c>
    </row>
    <row r="466" spans="1:24">
      <c r="A466">
        <v>465</v>
      </c>
      <c r="B466" s="2">
        <v>40564</v>
      </c>
      <c r="C466">
        <v>1</v>
      </c>
      <c r="D466">
        <v>0</v>
      </c>
      <c r="E466">
        <v>1</v>
      </c>
      <c r="F466">
        <v>9</v>
      </c>
      <c r="G466" t="b">
        <v>0</v>
      </c>
      <c r="H466">
        <v>5</v>
      </c>
      <c r="I466">
        <v>1</v>
      </c>
      <c r="J466">
        <v>0.2</v>
      </c>
      <c r="K466">
        <v>0.18179999999999999</v>
      </c>
      <c r="L466">
        <v>0.51</v>
      </c>
      <c r="M466">
        <v>0.35820000000000002</v>
      </c>
      <c r="N466">
        <v>7</v>
      </c>
      <c r="O466">
        <v>159</v>
      </c>
      <c r="P466">
        <v>166</v>
      </c>
      <c r="Q466" t="str">
        <f t="shared" si="56"/>
        <v>Complete</v>
      </c>
      <c r="R466">
        <f t="shared" si="63"/>
        <v>0.18179999999999999</v>
      </c>
      <c r="S466">
        <f t="shared" si="57"/>
        <v>2011</v>
      </c>
      <c r="T466" t="str">
        <f t="shared" si="58"/>
        <v>January</v>
      </c>
      <c r="U466" t="str">
        <f t="shared" si="59"/>
        <v>Weekday</v>
      </c>
      <c r="V466" t="str">
        <f t="shared" si="60"/>
        <v>Morning</v>
      </c>
      <c r="W466" t="str">
        <f t="shared" si="61"/>
        <v>Spring</v>
      </c>
      <c r="X466" t="str">
        <f t="shared" si="62"/>
        <v>Clear</v>
      </c>
    </row>
    <row r="467" spans="1:24">
      <c r="A467">
        <v>466</v>
      </c>
      <c r="B467" s="2">
        <v>40564</v>
      </c>
      <c r="C467">
        <v>1</v>
      </c>
      <c r="D467">
        <v>0</v>
      </c>
      <c r="E467">
        <v>1</v>
      </c>
      <c r="F467">
        <v>10</v>
      </c>
      <c r="G467" t="b">
        <v>0</v>
      </c>
      <c r="H467">
        <v>5</v>
      </c>
      <c r="I467">
        <v>1</v>
      </c>
      <c r="J467">
        <v>0.2</v>
      </c>
      <c r="K467">
        <v>0.16669999999999999</v>
      </c>
      <c r="L467">
        <v>0.47</v>
      </c>
      <c r="M467">
        <v>0.4627</v>
      </c>
      <c r="N467">
        <v>6</v>
      </c>
      <c r="O467">
        <v>57</v>
      </c>
      <c r="P467">
        <v>63</v>
      </c>
      <c r="Q467" t="str">
        <f t="shared" si="56"/>
        <v>Complete</v>
      </c>
      <c r="R467">
        <f t="shared" si="63"/>
        <v>0.16669999999999999</v>
      </c>
      <c r="S467">
        <f t="shared" si="57"/>
        <v>2011</v>
      </c>
      <c r="T467" t="str">
        <f t="shared" si="58"/>
        <v>January</v>
      </c>
      <c r="U467" t="str">
        <f t="shared" si="59"/>
        <v>Weekday</v>
      </c>
      <c r="V467" t="str">
        <f t="shared" si="60"/>
        <v>Morning</v>
      </c>
      <c r="W467" t="str">
        <f t="shared" si="61"/>
        <v>Spring</v>
      </c>
      <c r="X467" t="str">
        <f t="shared" si="62"/>
        <v>Clear</v>
      </c>
    </row>
    <row r="468" spans="1:24">
      <c r="A468">
        <v>467</v>
      </c>
      <c r="B468" s="2">
        <v>40564</v>
      </c>
      <c r="C468">
        <v>1</v>
      </c>
      <c r="D468">
        <v>0</v>
      </c>
      <c r="E468">
        <v>1</v>
      </c>
      <c r="F468">
        <v>11</v>
      </c>
      <c r="G468" t="b">
        <v>0</v>
      </c>
      <c r="H468">
        <v>5</v>
      </c>
      <c r="I468">
        <v>1</v>
      </c>
      <c r="J468">
        <v>0.22</v>
      </c>
      <c r="K468">
        <v>0.18179999999999999</v>
      </c>
      <c r="L468">
        <v>0.41</v>
      </c>
      <c r="M468">
        <v>0.4627</v>
      </c>
      <c r="N468">
        <v>6</v>
      </c>
      <c r="O468">
        <v>53</v>
      </c>
      <c r="P468">
        <v>59</v>
      </c>
      <c r="Q468" t="str">
        <f t="shared" si="56"/>
        <v>Complete</v>
      </c>
      <c r="R468">
        <f t="shared" si="63"/>
        <v>0.18179999999999999</v>
      </c>
      <c r="S468">
        <f t="shared" si="57"/>
        <v>2011</v>
      </c>
      <c r="T468" t="str">
        <f t="shared" si="58"/>
        <v>January</v>
      </c>
      <c r="U468" t="str">
        <f t="shared" si="59"/>
        <v>Weekday</v>
      </c>
      <c r="V468" t="str">
        <f t="shared" si="60"/>
        <v>Morning</v>
      </c>
      <c r="W468" t="str">
        <f t="shared" si="61"/>
        <v>Spring</v>
      </c>
      <c r="X468" t="str">
        <f t="shared" si="62"/>
        <v>Clear</v>
      </c>
    </row>
    <row r="469" spans="1:24">
      <c r="A469">
        <v>468</v>
      </c>
      <c r="B469" s="2">
        <v>40564</v>
      </c>
      <c r="C469">
        <v>1</v>
      </c>
      <c r="D469">
        <v>0</v>
      </c>
      <c r="E469">
        <v>1</v>
      </c>
      <c r="F469">
        <v>12</v>
      </c>
      <c r="G469" t="b">
        <v>0</v>
      </c>
      <c r="H469">
        <v>5</v>
      </c>
      <c r="I469">
        <v>1</v>
      </c>
      <c r="J469">
        <v>0.22</v>
      </c>
      <c r="K469">
        <v>0.18179999999999999</v>
      </c>
      <c r="L469">
        <v>0.27</v>
      </c>
      <c r="M469">
        <v>0.58209999999999995</v>
      </c>
      <c r="N469">
        <v>11</v>
      </c>
      <c r="O469">
        <v>67</v>
      </c>
      <c r="P469">
        <v>78</v>
      </c>
      <c r="Q469" t="str">
        <f t="shared" si="56"/>
        <v>Complete</v>
      </c>
      <c r="R469">
        <f t="shared" si="63"/>
        <v>0.18179999999999999</v>
      </c>
      <c r="S469">
        <f t="shared" si="57"/>
        <v>2011</v>
      </c>
      <c r="T469" t="str">
        <f t="shared" si="58"/>
        <v>January</v>
      </c>
      <c r="U469" t="str">
        <f t="shared" si="59"/>
        <v>Weekday</v>
      </c>
      <c r="V469" t="str">
        <f t="shared" si="60"/>
        <v>Afternoon</v>
      </c>
      <c r="W469" t="str">
        <f t="shared" si="61"/>
        <v>Spring</v>
      </c>
      <c r="X469" t="str">
        <f t="shared" si="62"/>
        <v>Clear</v>
      </c>
    </row>
    <row r="470" spans="1:24">
      <c r="A470">
        <v>469</v>
      </c>
      <c r="B470" s="2">
        <v>40564</v>
      </c>
      <c r="C470">
        <v>1</v>
      </c>
      <c r="D470">
        <v>0</v>
      </c>
      <c r="E470">
        <v>1</v>
      </c>
      <c r="F470">
        <v>13</v>
      </c>
      <c r="G470" t="b">
        <v>0</v>
      </c>
      <c r="H470">
        <v>5</v>
      </c>
      <c r="I470">
        <v>1</v>
      </c>
      <c r="J470">
        <v>0.2</v>
      </c>
      <c r="K470">
        <v>0.1515</v>
      </c>
      <c r="L470">
        <v>0.21</v>
      </c>
      <c r="M470">
        <v>0.58209999999999995</v>
      </c>
      <c r="N470">
        <v>8</v>
      </c>
      <c r="O470">
        <v>65</v>
      </c>
      <c r="P470">
        <v>73</v>
      </c>
      <c r="Q470" t="str">
        <f t="shared" si="56"/>
        <v>Complete</v>
      </c>
      <c r="R470">
        <f t="shared" si="63"/>
        <v>0.1515</v>
      </c>
      <c r="S470">
        <f t="shared" si="57"/>
        <v>2011</v>
      </c>
      <c r="T470" t="str">
        <f t="shared" si="58"/>
        <v>January</v>
      </c>
      <c r="U470" t="str">
        <f t="shared" si="59"/>
        <v>Weekday</v>
      </c>
      <c r="V470" t="str">
        <f t="shared" si="60"/>
        <v>Afternoon</v>
      </c>
      <c r="W470" t="str">
        <f t="shared" si="61"/>
        <v>Spring</v>
      </c>
      <c r="X470" t="str">
        <f t="shared" si="62"/>
        <v>Clear</v>
      </c>
    </row>
    <row r="471" spans="1:24">
      <c r="A471">
        <v>470</v>
      </c>
      <c r="B471" s="2">
        <v>40564</v>
      </c>
      <c r="C471">
        <v>1</v>
      </c>
      <c r="D471">
        <v>0</v>
      </c>
      <c r="E471">
        <v>1</v>
      </c>
      <c r="F471">
        <v>14</v>
      </c>
      <c r="G471" t="b">
        <v>0</v>
      </c>
      <c r="H471">
        <v>5</v>
      </c>
      <c r="I471">
        <v>1</v>
      </c>
      <c r="J471">
        <v>0.2</v>
      </c>
      <c r="K471">
        <v>0.1515</v>
      </c>
      <c r="L471">
        <v>0.25</v>
      </c>
      <c r="M471">
        <v>0.52239999999999998</v>
      </c>
      <c r="N471">
        <v>6</v>
      </c>
      <c r="O471">
        <v>56</v>
      </c>
      <c r="P471">
        <v>62</v>
      </c>
      <c r="Q471" t="str">
        <f t="shared" si="56"/>
        <v>Complete</v>
      </c>
      <c r="R471">
        <f t="shared" si="63"/>
        <v>0.1515</v>
      </c>
      <c r="S471">
        <f t="shared" si="57"/>
        <v>2011</v>
      </c>
      <c r="T471" t="str">
        <f t="shared" si="58"/>
        <v>January</v>
      </c>
      <c r="U471" t="str">
        <f t="shared" si="59"/>
        <v>Weekday</v>
      </c>
      <c r="V471" t="str">
        <f t="shared" si="60"/>
        <v>Afternoon</v>
      </c>
      <c r="W471" t="str">
        <f t="shared" si="61"/>
        <v>Spring</v>
      </c>
      <c r="X471" t="str">
        <f t="shared" si="62"/>
        <v>Clear</v>
      </c>
    </row>
    <row r="472" spans="1:24">
      <c r="A472">
        <v>471</v>
      </c>
      <c r="B472" s="2">
        <v>40564</v>
      </c>
      <c r="C472">
        <v>1</v>
      </c>
      <c r="D472">
        <v>0</v>
      </c>
      <c r="E472">
        <v>1</v>
      </c>
      <c r="F472">
        <v>15</v>
      </c>
      <c r="G472" t="b">
        <v>0</v>
      </c>
      <c r="H472">
        <v>5</v>
      </c>
      <c r="I472">
        <v>1</v>
      </c>
      <c r="J472">
        <v>0.16</v>
      </c>
      <c r="K472">
        <v>0.1212</v>
      </c>
      <c r="L472">
        <v>0.26</v>
      </c>
      <c r="M472">
        <v>0.44779999999999998</v>
      </c>
      <c r="N472">
        <v>4</v>
      </c>
      <c r="O472">
        <v>61</v>
      </c>
      <c r="P472">
        <v>65</v>
      </c>
      <c r="Q472" t="str">
        <f t="shared" si="56"/>
        <v>Complete</v>
      </c>
      <c r="R472">
        <f t="shared" si="63"/>
        <v>0.1212</v>
      </c>
      <c r="S472">
        <f t="shared" si="57"/>
        <v>2011</v>
      </c>
      <c r="T472" t="str">
        <f t="shared" si="58"/>
        <v>January</v>
      </c>
      <c r="U472" t="str">
        <f t="shared" si="59"/>
        <v>Weekday</v>
      </c>
      <c r="V472" t="str">
        <f t="shared" si="60"/>
        <v>Afternoon</v>
      </c>
      <c r="W472" t="str">
        <f t="shared" si="61"/>
        <v>Spring</v>
      </c>
      <c r="X472" t="str">
        <f t="shared" si="62"/>
        <v>Clear</v>
      </c>
    </row>
    <row r="473" spans="1:24">
      <c r="A473">
        <v>472</v>
      </c>
      <c r="B473" s="2">
        <v>40564</v>
      </c>
      <c r="C473">
        <v>1</v>
      </c>
      <c r="D473">
        <v>0</v>
      </c>
      <c r="E473">
        <v>1</v>
      </c>
      <c r="F473">
        <v>16</v>
      </c>
      <c r="G473" t="b">
        <v>0</v>
      </c>
      <c r="H473">
        <v>5</v>
      </c>
      <c r="I473">
        <v>1</v>
      </c>
      <c r="J473">
        <v>0.16</v>
      </c>
      <c r="K473">
        <v>0.13639999999999999</v>
      </c>
      <c r="L473">
        <v>0.26</v>
      </c>
      <c r="M473">
        <v>0.35820000000000002</v>
      </c>
      <c r="N473">
        <v>0</v>
      </c>
      <c r="O473">
        <v>97</v>
      </c>
      <c r="P473">
        <v>97</v>
      </c>
      <c r="Q473" t="str">
        <f t="shared" si="56"/>
        <v>Complete</v>
      </c>
      <c r="R473">
        <f t="shared" si="63"/>
        <v>0.13639999999999999</v>
      </c>
      <c r="S473">
        <f t="shared" si="57"/>
        <v>2011</v>
      </c>
      <c r="T473" t="str">
        <f t="shared" si="58"/>
        <v>January</v>
      </c>
      <c r="U473" t="str">
        <f t="shared" si="59"/>
        <v>Weekday</v>
      </c>
      <c r="V473" t="str">
        <f t="shared" si="60"/>
        <v>Afternoon</v>
      </c>
      <c r="W473" t="str">
        <f t="shared" si="61"/>
        <v>Spring</v>
      </c>
      <c r="X473" t="str">
        <f t="shared" si="62"/>
        <v>Clear</v>
      </c>
    </row>
    <row r="474" spans="1:24">
      <c r="A474">
        <v>473</v>
      </c>
      <c r="B474" s="2">
        <v>40564</v>
      </c>
      <c r="C474">
        <v>1</v>
      </c>
      <c r="D474">
        <v>0</v>
      </c>
      <c r="E474">
        <v>1</v>
      </c>
      <c r="F474">
        <v>17</v>
      </c>
      <c r="G474" t="b">
        <v>0</v>
      </c>
      <c r="H474">
        <v>5</v>
      </c>
      <c r="I474">
        <v>1</v>
      </c>
      <c r="J474">
        <v>0.14000000000000001</v>
      </c>
      <c r="K474">
        <v>0.1212</v>
      </c>
      <c r="L474">
        <v>0.28000000000000003</v>
      </c>
      <c r="M474">
        <v>0.35820000000000002</v>
      </c>
      <c r="N474">
        <v>10</v>
      </c>
      <c r="O474">
        <v>151</v>
      </c>
      <c r="P474">
        <v>161</v>
      </c>
      <c r="Q474" t="str">
        <f t="shared" si="56"/>
        <v>Complete</v>
      </c>
      <c r="R474">
        <f t="shared" si="63"/>
        <v>0.1212</v>
      </c>
      <c r="S474">
        <f t="shared" si="57"/>
        <v>2011</v>
      </c>
      <c r="T474" t="str">
        <f t="shared" si="58"/>
        <v>January</v>
      </c>
      <c r="U474" t="str">
        <f t="shared" si="59"/>
        <v>Weekday</v>
      </c>
      <c r="V474" t="str">
        <f t="shared" si="60"/>
        <v>Afternoon</v>
      </c>
      <c r="W474" t="str">
        <f t="shared" si="61"/>
        <v>Spring</v>
      </c>
      <c r="X474" t="str">
        <f t="shared" si="62"/>
        <v>Clear</v>
      </c>
    </row>
    <row r="475" spans="1:24">
      <c r="A475">
        <v>474</v>
      </c>
      <c r="B475" s="2">
        <v>40564</v>
      </c>
      <c r="C475">
        <v>1</v>
      </c>
      <c r="D475">
        <v>0</v>
      </c>
      <c r="E475">
        <v>1</v>
      </c>
      <c r="F475">
        <v>18</v>
      </c>
      <c r="G475" t="b">
        <v>0</v>
      </c>
      <c r="H475">
        <v>5</v>
      </c>
      <c r="I475">
        <v>1</v>
      </c>
      <c r="J475">
        <v>0.12</v>
      </c>
      <c r="K475">
        <v>0.1212</v>
      </c>
      <c r="L475">
        <v>0.3</v>
      </c>
      <c r="M475">
        <v>0.25369999999999998</v>
      </c>
      <c r="N475">
        <v>1</v>
      </c>
      <c r="O475">
        <v>119</v>
      </c>
      <c r="P475">
        <v>120</v>
      </c>
      <c r="Q475" t="str">
        <f t="shared" si="56"/>
        <v>Complete</v>
      </c>
      <c r="R475">
        <f t="shared" si="63"/>
        <v>0.1212</v>
      </c>
      <c r="S475">
        <f t="shared" si="57"/>
        <v>2011</v>
      </c>
      <c r="T475" t="str">
        <f t="shared" si="58"/>
        <v>January</v>
      </c>
      <c r="U475" t="str">
        <f t="shared" si="59"/>
        <v>Weekday</v>
      </c>
      <c r="V475" t="str">
        <f t="shared" si="60"/>
        <v>Evening</v>
      </c>
      <c r="W475" t="str">
        <f t="shared" si="61"/>
        <v>Spring</v>
      </c>
      <c r="X475" t="str">
        <f t="shared" si="62"/>
        <v>Clear</v>
      </c>
    </row>
    <row r="476" spans="1:24">
      <c r="A476">
        <v>475</v>
      </c>
      <c r="B476" s="2">
        <v>40564</v>
      </c>
      <c r="C476">
        <v>1</v>
      </c>
      <c r="D476">
        <v>0</v>
      </c>
      <c r="E476">
        <v>1</v>
      </c>
      <c r="F476">
        <v>19</v>
      </c>
      <c r="G476" t="b">
        <v>0</v>
      </c>
      <c r="H476">
        <v>5</v>
      </c>
      <c r="I476">
        <v>1</v>
      </c>
      <c r="J476">
        <v>0.12</v>
      </c>
      <c r="K476">
        <v>0.1061</v>
      </c>
      <c r="L476">
        <v>0.3</v>
      </c>
      <c r="M476">
        <v>0.32840000000000003</v>
      </c>
      <c r="N476">
        <v>3</v>
      </c>
      <c r="O476">
        <v>93</v>
      </c>
      <c r="P476">
        <v>96</v>
      </c>
      <c r="Q476" t="str">
        <f t="shared" si="56"/>
        <v>Complete</v>
      </c>
      <c r="R476">
        <f t="shared" si="63"/>
        <v>0.1061</v>
      </c>
      <c r="S476">
        <f t="shared" si="57"/>
        <v>2011</v>
      </c>
      <c r="T476" t="str">
        <f t="shared" si="58"/>
        <v>January</v>
      </c>
      <c r="U476" t="str">
        <f t="shared" si="59"/>
        <v>Weekday</v>
      </c>
      <c r="V476" t="str">
        <f t="shared" si="60"/>
        <v>Evening</v>
      </c>
      <c r="W476" t="str">
        <f t="shared" si="61"/>
        <v>Spring</v>
      </c>
      <c r="X476" t="str">
        <f t="shared" si="62"/>
        <v>Clear</v>
      </c>
    </row>
    <row r="477" spans="1:24">
      <c r="A477">
        <v>476</v>
      </c>
      <c r="B477" s="2">
        <v>40564</v>
      </c>
      <c r="C477">
        <v>1</v>
      </c>
      <c r="D477">
        <v>0</v>
      </c>
      <c r="E477">
        <v>1</v>
      </c>
      <c r="F477">
        <v>20</v>
      </c>
      <c r="G477" t="b">
        <v>0</v>
      </c>
      <c r="H477">
        <v>5</v>
      </c>
      <c r="I477">
        <v>1</v>
      </c>
      <c r="J477">
        <v>0.1</v>
      </c>
      <c r="K477">
        <v>7.5800000000000006E-2</v>
      </c>
      <c r="L477">
        <v>0.33</v>
      </c>
      <c r="M477">
        <v>0.41789999999999999</v>
      </c>
      <c r="N477">
        <v>1</v>
      </c>
      <c r="O477">
        <v>52</v>
      </c>
      <c r="P477">
        <v>53</v>
      </c>
      <c r="Q477" t="str">
        <f t="shared" si="56"/>
        <v>Complete</v>
      </c>
      <c r="R477">
        <f t="shared" si="63"/>
        <v>7.5800000000000006E-2</v>
      </c>
      <c r="S477">
        <f t="shared" si="57"/>
        <v>2011</v>
      </c>
      <c r="T477" t="str">
        <f t="shared" si="58"/>
        <v>January</v>
      </c>
      <c r="U477" t="str">
        <f t="shared" si="59"/>
        <v>Weekday</v>
      </c>
      <c r="V477" t="str">
        <f t="shared" si="60"/>
        <v>Evening</v>
      </c>
      <c r="W477" t="str">
        <f t="shared" si="61"/>
        <v>Spring</v>
      </c>
      <c r="X477" t="str">
        <f t="shared" si="62"/>
        <v>Clear</v>
      </c>
    </row>
    <row r="478" spans="1:24">
      <c r="A478">
        <v>477</v>
      </c>
      <c r="B478" s="2">
        <v>40564</v>
      </c>
      <c r="C478">
        <v>1</v>
      </c>
      <c r="D478">
        <v>0</v>
      </c>
      <c r="E478">
        <v>1</v>
      </c>
      <c r="F478">
        <v>21</v>
      </c>
      <c r="G478" t="b">
        <v>0</v>
      </c>
      <c r="H478">
        <v>5</v>
      </c>
      <c r="I478">
        <v>1</v>
      </c>
      <c r="J478">
        <v>0.08</v>
      </c>
      <c r="K478">
        <v>7.5800000000000006E-2</v>
      </c>
      <c r="L478">
        <v>0.38</v>
      </c>
      <c r="M478">
        <v>0.28360000000000002</v>
      </c>
      <c r="N478">
        <v>0</v>
      </c>
      <c r="O478">
        <v>41</v>
      </c>
      <c r="P478">
        <v>41</v>
      </c>
      <c r="Q478" t="str">
        <f t="shared" si="56"/>
        <v>Complete</v>
      </c>
      <c r="R478">
        <f t="shared" si="63"/>
        <v>7.5800000000000006E-2</v>
      </c>
      <c r="S478">
        <f t="shared" si="57"/>
        <v>2011</v>
      </c>
      <c r="T478" t="str">
        <f t="shared" si="58"/>
        <v>January</v>
      </c>
      <c r="U478" t="str">
        <f t="shared" si="59"/>
        <v>Weekday</v>
      </c>
      <c r="V478" t="str">
        <f t="shared" si="60"/>
        <v>Evening</v>
      </c>
      <c r="W478" t="str">
        <f t="shared" si="61"/>
        <v>Spring</v>
      </c>
      <c r="X478" t="str">
        <f t="shared" si="62"/>
        <v>Clear</v>
      </c>
    </row>
    <row r="479" spans="1:24">
      <c r="A479">
        <v>478</v>
      </c>
      <c r="B479" s="2">
        <v>40564</v>
      </c>
      <c r="C479">
        <v>1</v>
      </c>
      <c r="D479">
        <v>0</v>
      </c>
      <c r="E479">
        <v>1</v>
      </c>
      <c r="F479">
        <v>22</v>
      </c>
      <c r="G479" t="b">
        <v>0</v>
      </c>
      <c r="H479">
        <v>5</v>
      </c>
      <c r="I479">
        <v>1</v>
      </c>
      <c r="J479">
        <v>0.06</v>
      </c>
      <c r="K479">
        <v>3.0300000000000001E-2</v>
      </c>
      <c r="L479">
        <v>0.41</v>
      </c>
      <c r="M479">
        <v>0.3881</v>
      </c>
      <c r="N479">
        <v>1</v>
      </c>
      <c r="O479">
        <v>33</v>
      </c>
      <c r="P479">
        <v>34</v>
      </c>
      <c r="Q479" t="str">
        <f t="shared" si="56"/>
        <v>Complete</v>
      </c>
      <c r="R479">
        <f t="shared" si="63"/>
        <v>3.0300000000000001E-2</v>
      </c>
      <c r="S479">
        <f t="shared" si="57"/>
        <v>2011</v>
      </c>
      <c r="T479" t="str">
        <f t="shared" si="58"/>
        <v>January</v>
      </c>
      <c r="U479" t="str">
        <f t="shared" si="59"/>
        <v>Weekday</v>
      </c>
      <c r="V479" t="str">
        <f t="shared" si="60"/>
        <v>Evening</v>
      </c>
      <c r="W479" t="str">
        <f t="shared" si="61"/>
        <v>Spring</v>
      </c>
      <c r="X479" t="str">
        <f t="shared" si="62"/>
        <v>Clear</v>
      </c>
    </row>
    <row r="480" spans="1:24">
      <c r="A480">
        <v>479</v>
      </c>
      <c r="B480" s="2">
        <v>40564</v>
      </c>
      <c r="C480">
        <v>1</v>
      </c>
      <c r="D480">
        <v>0</v>
      </c>
      <c r="E480">
        <v>1</v>
      </c>
      <c r="F480">
        <v>23</v>
      </c>
      <c r="G480" t="b">
        <v>0</v>
      </c>
      <c r="H480">
        <v>5</v>
      </c>
      <c r="I480">
        <v>1</v>
      </c>
      <c r="J480">
        <v>0.06</v>
      </c>
      <c r="K480">
        <v>4.5499999999999999E-2</v>
      </c>
      <c r="L480">
        <v>0.38</v>
      </c>
      <c r="M480">
        <v>0.32840000000000003</v>
      </c>
      <c r="N480">
        <v>0</v>
      </c>
      <c r="O480">
        <v>27</v>
      </c>
      <c r="P480">
        <v>27</v>
      </c>
      <c r="Q480" t="str">
        <f t="shared" si="56"/>
        <v>Complete</v>
      </c>
      <c r="R480">
        <f t="shared" si="63"/>
        <v>4.5499999999999999E-2</v>
      </c>
      <c r="S480">
        <f t="shared" si="57"/>
        <v>2011</v>
      </c>
      <c r="T480" t="str">
        <f t="shared" si="58"/>
        <v>January</v>
      </c>
      <c r="U480" t="str">
        <f t="shared" si="59"/>
        <v>Weekday</v>
      </c>
      <c r="V480" t="str">
        <f t="shared" si="60"/>
        <v>Evening</v>
      </c>
      <c r="W480" t="str">
        <f t="shared" si="61"/>
        <v>Spring</v>
      </c>
      <c r="X480" t="str">
        <f t="shared" si="62"/>
        <v>Clear</v>
      </c>
    </row>
    <row r="481" spans="1:24">
      <c r="A481">
        <v>480</v>
      </c>
      <c r="B481" s="2">
        <v>40565</v>
      </c>
      <c r="C481">
        <v>1</v>
      </c>
      <c r="D481">
        <v>0</v>
      </c>
      <c r="E481">
        <v>1</v>
      </c>
      <c r="F481">
        <v>0</v>
      </c>
      <c r="G481" t="b">
        <v>0</v>
      </c>
      <c r="H481">
        <v>6</v>
      </c>
      <c r="I481">
        <v>1</v>
      </c>
      <c r="J481">
        <v>0.04</v>
      </c>
      <c r="K481">
        <v>3.0300000000000001E-2</v>
      </c>
      <c r="L481">
        <v>0.45</v>
      </c>
      <c r="M481">
        <v>0.25369999999999998</v>
      </c>
      <c r="N481">
        <v>0</v>
      </c>
      <c r="O481">
        <v>13</v>
      </c>
      <c r="P481">
        <v>13</v>
      </c>
      <c r="Q481" t="str">
        <f t="shared" si="56"/>
        <v>Complete</v>
      </c>
      <c r="R481">
        <f t="shared" si="63"/>
        <v>3.0300000000000001E-2</v>
      </c>
      <c r="S481">
        <f t="shared" si="57"/>
        <v>2011</v>
      </c>
      <c r="T481" t="str">
        <f t="shared" si="58"/>
        <v>January</v>
      </c>
      <c r="U481" t="str">
        <f t="shared" si="59"/>
        <v>Saturday</v>
      </c>
      <c r="V481" t="str">
        <f t="shared" si="60"/>
        <v>Night</v>
      </c>
      <c r="W481" t="str">
        <f t="shared" si="61"/>
        <v>Spring</v>
      </c>
      <c r="X481" t="str">
        <f t="shared" si="62"/>
        <v>Clear</v>
      </c>
    </row>
    <row r="482" spans="1:24">
      <c r="A482">
        <v>481</v>
      </c>
      <c r="B482" s="2">
        <v>40565</v>
      </c>
      <c r="C482">
        <v>1</v>
      </c>
      <c r="D482">
        <v>0</v>
      </c>
      <c r="E482">
        <v>1</v>
      </c>
      <c r="F482">
        <v>1</v>
      </c>
      <c r="G482" t="b">
        <v>0</v>
      </c>
      <c r="H482">
        <v>6</v>
      </c>
      <c r="I482">
        <v>2</v>
      </c>
      <c r="J482">
        <v>0.04</v>
      </c>
      <c r="K482">
        <v>0</v>
      </c>
      <c r="L482">
        <v>0.41</v>
      </c>
      <c r="M482">
        <v>0.3881</v>
      </c>
      <c r="N482">
        <v>3</v>
      </c>
      <c r="O482">
        <v>9</v>
      </c>
      <c r="P482">
        <v>12</v>
      </c>
      <c r="Q482" t="str">
        <f t="shared" si="56"/>
        <v>Complete</v>
      </c>
      <c r="R482">
        <f t="shared" si="63"/>
        <v>0</v>
      </c>
      <c r="S482">
        <f t="shared" si="57"/>
        <v>2011</v>
      </c>
      <c r="T482" t="str">
        <f t="shared" si="58"/>
        <v>January</v>
      </c>
      <c r="U482" t="str">
        <f t="shared" si="59"/>
        <v>Saturday</v>
      </c>
      <c r="V482" t="str">
        <f t="shared" si="60"/>
        <v>Night</v>
      </c>
      <c r="W482" t="str">
        <f t="shared" si="61"/>
        <v>Spring</v>
      </c>
      <c r="X482" t="str">
        <f t="shared" si="62"/>
        <v>Mist/Cloudy</v>
      </c>
    </row>
    <row r="483" spans="1:24">
      <c r="A483">
        <v>482</v>
      </c>
      <c r="B483" s="2">
        <v>40565</v>
      </c>
      <c r="C483">
        <v>1</v>
      </c>
      <c r="D483">
        <v>0</v>
      </c>
      <c r="E483">
        <v>1</v>
      </c>
      <c r="F483">
        <v>2</v>
      </c>
      <c r="G483" t="b">
        <v>0</v>
      </c>
      <c r="H483">
        <v>6</v>
      </c>
      <c r="I483">
        <v>2</v>
      </c>
      <c r="J483">
        <v>0.04</v>
      </c>
      <c r="K483">
        <v>3.0300000000000001E-2</v>
      </c>
      <c r="L483">
        <v>0.41</v>
      </c>
      <c r="M483">
        <v>0.25369999999999998</v>
      </c>
      <c r="N483">
        <v>0</v>
      </c>
      <c r="O483">
        <v>11</v>
      </c>
      <c r="P483">
        <v>11</v>
      </c>
      <c r="Q483" t="str">
        <f t="shared" si="56"/>
        <v>Complete</v>
      </c>
      <c r="R483">
        <f t="shared" si="63"/>
        <v>3.0300000000000001E-2</v>
      </c>
      <c r="S483">
        <f t="shared" si="57"/>
        <v>2011</v>
      </c>
      <c r="T483" t="str">
        <f t="shared" si="58"/>
        <v>January</v>
      </c>
      <c r="U483" t="str">
        <f t="shared" si="59"/>
        <v>Saturday</v>
      </c>
      <c r="V483" t="str">
        <f t="shared" si="60"/>
        <v>Night</v>
      </c>
      <c r="W483" t="str">
        <f t="shared" si="61"/>
        <v>Spring</v>
      </c>
      <c r="X483" t="str">
        <f t="shared" si="62"/>
        <v>Mist/Cloudy</v>
      </c>
    </row>
    <row r="484" spans="1:24">
      <c r="A484">
        <v>483</v>
      </c>
      <c r="B484" s="2">
        <v>40565</v>
      </c>
      <c r="C484">
        <v>1</v>
      </c>
      <c r="D484">
        <v>0</v>
      </c>
      <c r="E484">
        <v>1</v>
      </c>
      <c r="F484">
        <v>3</v>
      </c>
      <c r="G484" t="b">
        <v>0</v>
      </c>
      <c r="H484">
        <v>6</v>
      </c>
      <c r="I484">
        <v>2</v>
      </c>
      <c r="J484">
        <v>0.04</v>
      </c>
      <c r="K484">
        <v>3.0300000000000001E-2</v>
      </c>
      <c r="L484">
        <v>0.41</v>
      </c>
      <c r="M484">
        <v>0.28360000000000002</v>
      </c>
      <c r="N484">
        <v>1</v>
      </c>
      <c r="O484">
        <v>6</v>
      </c>
      <c r="P484">
        <v>7</v>
      </c>
      <c r="Q484" t="str">
        <f t="shared" si="56"/>
        <v>Complete</v>
      </c>
      <c r="R484">
        <f t="shared" si="63"/>
        <v>3.0300000000000001E-2</v>
      </c>
      <c r="S484">
        <f t="shared" si="57"/>
        <v>2011</v>
      </c>
      <c r="T484" t="str">
        <f t="shared" si="58"/>
        <v>January</v>
      </c>
      <c r="U484" t="str">
        <f t="shared" si="59"/>
        <v>Saturday</v>
      </c>
      <c r="V484" t="str">
        <f t="shared" si="60"/>
        <v>Night</v>
      </c>
      <c r="W484" t="str">
        <f t="shared" si="61"/>
        <v>Spring</v>
      </c>
      <c r="X484" t="str">
        <f t="shared" si="62"/>
        <v>Mist/Cloudy</v>
      </c>
    </row>
    <row r="485" spans="1:24">
      <c r="A485">
        <v>484</v>
      </c>
      <c r="B485" s="2">
        <v>40565</v>
      </c>
      <c r="C485">
        <v>1</v>
      </c>
      <c r="D485">
        <v>0</v>
      </c>
      <c r="E485">
        <v>1</v>
      </c>
      <c r="F485">
        <v>4</v>
      </c>
      <c r="G485" t="b">
        <v>0</v>
      </c>
      <c r="H485">
        <v>6</v>
      </c>
      <c r="I485">
        <v>2</v>
      </c>
      <c r="J485">
        <v>0.02</v>
      </c>
      <c r="K485">
        <v>1.52E-2</v>
      </c>
      <c r="L485">
        <v>0.48</v>
      </c>
      <c r="M485">
        <v>0.29849999999999999</v>
      </c>
      <c r="N485">
        <v>0</v>
      </c>
      <c r="O485">
        <v>3</v>
      </c>
      <c r="P485">
        <v>3</v>
      </c>
      <c r="Q485" t="str">
        <f t="shared" si="56"/>
        <v>Complete</v>
      </c>
      <c r="R485">
        <f t="shared" si="63"/>
        <v>1.52E-2</v>
      </c>
      <c r="S485">
        <f t="shared" si="57"/>
        <v>2011</v>
      </c>
      <c r="T485" t="str">
        <f t="shared" si="58"/>
        <v>January</v>
      </c>
      <c r="U485" t="str">
        <f t="shared" si="59"/>
        <v>Saturday</v>
      </c>
      <c r="V485" t="str">
        <f t="shared" si="60"/>
        <v>Night</v>
      </c>
      <c r="W485" t="str">
        <f t="shared" si="61"/>
        <v>Spring</v>
      </c>
      <c r="X485" t="str">
        <f t="shared" si="62"/>
        <v>Mist/Cloudy</v>
      </c>
    </row>
    <row r="486" spans="1:24">
      <c r="A486">
        <v>485</v>
      </c>
      <c r="B486" s="2">
        <v>40565</v>
      </c>
      <c r="C486">
        <v>1</v>
      </c>
      <c r="D486">
        <v>0</v>
      </c>
      <c r="E486">
        <v>1</v>
      </c>
      <c r="F486">
        <v>6</v>
      </c>
      <c r="G486" t="b">
        <v>0</v>
      </c>
      <c r="H486">
        <v>6</v>
      </c>
      <c r="I486">
        <v>2</v>
      </c>
      <c r="J486">
        <v>0.02</v>
      </c>
      <c r="K486">
        <v>3.0300000000000001E-2</v>
      </c>
      <c r="L486">
        <v>0.44</v>
      </c>
      <c r="M486">
        <v>0.22389999999999999</v>
      </c>
      <c r="N486">
        <v>0</v>
      </c>
      <c r="O486">
        <v>2</v>
      </c>
      <c r="P486">
        <v>2</v>
      </c>
      <c r="Q486" t="str">
        <f t="shared" si="56"/>
        <v>Complete</v>
      </c>
      <c r="R486">
        <f t="shared" si="63"/>
        <v>3.0300000000000001E-2</v>
      </c>
      <c r="S486">
        <f t="shared" si="57"/>
        <v>2011</v>
      </c>
      <c r="T486" t="str">
        <f t="shared" si="58"/>
        <v>January</v>
      </c>
      <c r="U486" t="str">
        <f t="shared" si="59"/>
        <v>Saturday</v>
      </c>
      <c r="V486" t="str">
        <f t="shared" si="60"/>
        <v>Morning</v>
      </c>
      <c r="W486" t="str">
        <f t="shared" si="61"/>
        <v>Spring</v>
      </c>
      <c r="X486" t="str">
        <f t="shared" si="62"/>
        <v>Mist/Cloudy</v>
      </c>
    </row>
    <row r="487" spans="1:24">
      <c r="A487">
        <v>486</v>
      </c>
      <c r="B487" s="2">
        <v>40565</v>
      </c>
      <c r="C487">
        <v>1</v>
      </c>
      <c r="D487">
        <v>0</v>
      </c>
      <c r="E487">
        <v>1</v>
      </c>
      <c r="F487">
        <v>7</v>
      </c>
      <c r="G487" t="b">
        <v>0</v>
      </c>
      <c r="H487">
        <v>6</v>
      </c>
      <c r="I487">
        <v>1</v>
      </c>
      <c r="J487">
        <v>0.02</v>
      </c>
      <c r="K487">
        <v>1.52E-2</v>
      </c>
      <c r="L487">
        <v>0.44</v>
      </c>
      <c r="M487">
        <v>0.28360000000000002</v>
      </c>
      <c r="N487">
        <v>0</v>
      </c>
      <c r="O487">
        <v>8</v>
      </c>
      <c r="P487">
        <v>8</v>
      </c>
      <c r="Q487" t="str">
        <f t="shared" si="56"/>
        <v>Complete</v>
      </c>
      <c r="R487">
        <f t="shared" si="63"/>
        <v>1.52E-2</v>
      </c>
      <c r="S487">
        <f t="shared" si="57"/>
        <v>2011</v>
      </c>
      <c r="T487" t="str">
        <f t="shared" si="58"/>
        <v>January</v>
      </c>
      <c r="U487" t="str">
        <f t="shared" si="59"/>
        <v>Saturday</v>
      </c>
      <c r="V487" t="str">
        <f t="shared" si="60"/>
        <v>Morning</v>
      </c>
      <c r="W487" t="str">
        <f t="shared" si="61"/>
        <v>Spring</v>
      </c>
      <c r="X487" t="str">
        <f t="shared" si="62"/>
        <v>Clear</v>
      </c>
    </row>
    <row r="488" spans="1:24">
      <c r="A488">
        <v>487</v>
      </c>
      <c r="B488" s="2">
        <v>40565</v>
      </c>
      <c r="C488">
        <v>1</v>
      </c>
      <c r="D488">
        <v>0</v>
      </c>
      <c r="E488">
        <v>1</v>
      </c>
      <c r="F488">
        <v>8</v>
      </c>
      <c r="G488" t="b">
        <v>0</v>
      </c>
      <c r="H488">
        <v>6</v>
      </c>
      <c r="I488">
        <v>1</v>
      </c>
      <c r="J488">
        <v>0.02</v>
      </c>
      <c r="K488">
        <v>0</v>
      </c>
      <c r="L488">
        <v>0.44</v>
      </c>
      <c r="M488">
        <v>0.32840000000000003</v>
      </c>
      <c r="N488">
        <v>1</v>
      </c>
      <c r="O488">
        <v>26</v>
      </c>
      <c r="P488">
        <v>27</v>
      </c>
      <c r="Q488" t="str">
        <f t="shared" si="56"/>
        <v>Complete</v>
      </c>
      <c r="R488">
        <f t="shared" si="63"/>
        <v>0</v>
      </c>
      <c r="S488">
        <f t="shared" si="57"/>
        <v>2011</v>
      </c>
      <c r="T488" t="str">
        <f t="shared" si="58"/>
        <v>January</v>
      </c>
      <c r="U488" t="str">
        <f t="shared" si="59"/>
        <v>Saturday</v>
      </c>
      <c r="V488" t="str">
        <f t="shared" si="60"/>
        <v>Morning</v>
      </c>
      <c r="W488" t="str">
        <f t="shared" si="61"/>
        <v>Spring</v>
      </c>
      <c r="X488" t="str">
        <f t="shared" si="62"/>
        <v>Clear</v>
      </c>
    </row>
    <row r="489" spans="1:24">
      <c r="A489">
        <v>488</v>
      </c>
      <c r="B489" s="2">
        <v>40565</v>
      </c>
      <c r="C489">
        <v>1</v>
      </c>
      <c r="D489">
        <v>0</v>
      </c>
      <c r="E489">
        <v>1</v>
      </c>
      <c r="F489">
        <v>9</v>
      </c>
      <c r="G489" t="b">
        <v>0</v>
      </c>
      <c r="H489">
        <v>6</v>
      </c>
      <c r="I489">
        <v>1</v>
      </c>
      <c r="J489">
        <v>0.04</v>
      </c>
      <c r="K489">
        <v>3.0300000000000001E-2</v>
      </c>
      <c r="L489">
        <v>0.41</v>
      </c>
      <c r="M489">
        <v>0.25369999999999998</v>
      </c>
      <c r="N489">
        <v>3</v>
      </c>
      <c r="O489">
        <v>37</v>
      </c>
      <c r="P489">
        <v>40</v>
      </c>
      <c r="Q489" t="str">
        <f t="shared" si="56"/>
        <v>Complete</v>
      </c>
      <c r="R489">
        <f t="shared" si="63"/>
        <v>3.0300000000000001E-2</v>
      </c>
      <c r="S489">
        <f t="shared" si="57"/>
        <v>2011</v>
      </c>
      <c r="T489" t="str">
        <f t="shared" si="58"/>
        <v>January</v>
      </c>
      <c r="U489" t="str">
        <f t="shared" si="59"/>
        <v>Saturday</v>
      </c>
      <c r="V489" t="str">
        <f t="shared" si="60"/>
        <v>Morning</v>
      </c>
      <c r="W489" t="str">
        <f t="shared" si="61"/>
        <v>Spring</v>
      </c>
      <c r="X489" t="str">
        <f t="shared" si="62"/>
        <v>Clear</v>
      </c>
    </row>
    <row r="490" spans="1:24">
      <c r="A490">
        <v>489</v>
      </c>
      <c r="B490" s="2">
        <v>40565</v>
      </c>
      <c r="C490">
        <v>1</v>
      </c>
      <c r="D490">
        <v>0</v>
      </c>
      <c r="E490">
        <v>1</v>
      </c>
      <c r="F490">
        <v>10</v>
      </c>
      <c r="G490" t="b">
        <v>0</v>
      </c>
      <c r="H490">
        <v>6</v>
      </c>
      <c r="I490">
        <v>2</v>
      </c>
      <c r="J490">
        <v>0.04</v>
      </c>
      <c r="K490">
        <v>6.0600000000000001E-2</v>
      </c>
      <c r="L490">
        <v>0.41</v>
      </c>
      <c r="M490">
        <v>0.16420000000000001</v>
      </c>
      <c r="N490">
        <v>3</v>
      </c>
      <c r="O490">
        <v>50</v>
      </c>
      <c r="P490">
        <v>53</v>
      </c>
      <c r="Q490" t="str">
        <f t="shared" si="56"/>
        <v>Complete</v>
      </c>
      <c r="R490">
        <f t="shared" si="63"/>
        <v>6.0600000000000001E-2</v>
      </c>
      <c r="S490">
        <f t="shared" si="57"/>
        <v>2011</v>
      </c>
      <c r="T490" t="str">
        <f t="shared" si="58"/>
        <v>January</v>
      </c>
      <c r="U490" t="str">
        <f t="shared" si="59"/>
        <v>Saturday</v>
      </c>
      <c r="V490" t="str">
        <f t="shared" si="60"/>
        <v>Morning</v>
      </c>
      <c r="W490" t="str">
        <f t="shared" si="61"/>
        <v>Spring</v>
      </c>
      <c r="X490" t="str">
        <f t="shared" si="62"/>
        <v>Mist/Cloudy</v>
      </c>
    </row>
    <row r="491" spans="1:24">
      <c r="A491">
        <v>490</v>
      </c>
      <c r="B491" s="2">
        <v>40565</v>
      </c>
      <c r="C491">
        <v>1</v>
      </c>
      <c r="D491">
        <v>0</v>
      </c>
      <c r="E491">
        <v>1</v>
      </c>
      <c r="F491">
        <v>11</v>
      </c>
      <c r="G491" t="b">
        <v>0</v>
      </c>
      <c r="H491">
        <v>6</v>
      </c>
      <c r="I491">
        <v>2</v>
      </c>
      <c r="J491">
        <v>0.06</v>
      </c>
      <c r="K491">
        <v>7.5800000000000006E-2</v>
      </c>
      <c r="L491">
        <v>0.38</v>
      </c>
      <c r="M491">
        <v>0.1343</v>
      </c>
      <c r="N491">
        <v>4</v>
      </c>
      <c r="O491">
        <v>59</v>
      </c>
      <c r="P491">
        <v>63</v>
      </c>
      <c r="Q491" t="str">
        <f t="shared" si="56"/>
        <v>Complete</v>
      </c>
      <c r="R491">
        <f t="shared" si="63"/>
        <v>7.5800000000000006E-2</v>
      </c>
      <c r="S491">
        <f t="shared" si="57"/>
        <v>2011</v>
      </c>
      <c r="T491" t="str">
        <f t="shared" si="58"/>
        <v>January</v>
      </c>
      <c r="U491" t="str">
        <f t="shared" si="59"/>
        <v>Saturday</v>
      </c>
      <c r="V491" t="str">
        <f t="shared" si="60"/>
        <v>Morning</v>
      </c>
      <c r="W491" t="str">
        <f t="shared" si="61"/>
        <v>Spring</v>
      </c>
      <c r="X491" t="str">
        <f t="shared" si="62"/>
        <v>Mist/Cloudy</v>
      </c>
    </row>
    <row r="492" spans="1:24">
      <c r="A492">
        <v>491</v>
      </c>
      <c r="B492" s="2">
        <v>40565</v>
      </c>
      <c r="C492">
        <v>1</v>
      </c>
      <c r="D492">
        <v>0</v>
      </c>
      <c r="E492">
        <v>1</v>
      </c>
      <c r="F492">
        <v>12</v>
      </c>
      <c r="G492" t="b">
        <v>0</v>
      </c>
      <c r="H492">
        <v>6</v>
      </c>
      <c r="I492">
        <v>2</v>
      </c>
      <c r="J492">
        <v>0.06</v>
      </c>
      <c r="K492">
        <v>0.1061</v>
      </c>
      <c r="L492">
        <v>0.38</v>
      </c>
      <c r="M492">
        <v>0.1045</v>
      </c>
      <c r="N492">
        <v>10</v>
      </c>
      <c r="O492">
        <v>60</v>
      </c>
      <c r="P492">
        <v>70</v>
      </c>
      <c r="Q492" t="str">
        <f t="shared" si="56"/>
        <v>Complete</v>
      </c>
      <c r="R492">
        <f t="shared" si="63"/>
        <v>0.1061</v>
      </c>
      <c r="S492">
        <f t="shared" si="57"/>
        <v>2011</v>
      </c>
      <c r="T492" t="str">
        <f t="shared" si="58"/>
        <v>January</v>
      </c>
      <c r="U492" t="str">
        <f t="shared" si="59"/>
        <v>Saturday</v>
      </c>
      <c r="V492" t="str">
        <f t="shared" si="60"/>
        <v>Afternoon</v>
      </c>
      <c r="W492" t="str">
        <f t="shared" si="61"/>
        <v>Spring</v>
      </c>
      <c r="X492" t="str">
        <f t="shared" si="62"/>
        <v>Mist/Cloudy</v>
      </c>
    </row>
    <row r="493" spans="1:24">
      <c r="A493">
        <v>492</v>
      </c>
      <c r="B493" s="2">
        <v>40565</v>
      </c>
      <c r="C493">
        <v>1</v>
      </c>
      <c r="D493">
        <v>0</v>
      </c>
      <c r="E493">
        <v>1</v>
      </c>
      <c r="F493">
        <v>13</v>
      </c>
      <c r="G493" t="b">
        <v>0</v>
      </c>
      <c r="H493">
        <v>6</v>
      </c>
      <c r="I493">
        <v>1</v>
      </c>
      <c r="J493">
        <v>0.08</v>
      </c>
      <c r="K493">
        <v>0.16669999999999999</v>
      </c>
      <c r="L493">
        <v>0.35</v>
      </c>
      <c r="M493">
        <v>0</v>
      </c>
      <c r="N493">
        <v>12</v>
      </c>
      <c r="O493">
        <v>72</v>
      </c>
      <c r="P493">
        <v>84</v>
      </c>
      <c r="Q493" t="str">
        <f t="shared" si="56"/>
        <v>Complete</v>
      </c>
      <c r="R493">
        <f t="shared" si="63"/>
        <v>0.16669999999999999</v>
      </c>
      <c r="S493">
        <f t="shared" si="57"/>
        <v>2011</v>
      </c>
      <c r="T493" t="str">
        <f t="shared" si="58"/>
        <v>January</v>
      </c>
      <c r="U493" t="str">
        <f t="shared" si="59"/>
        <v>Saturday</v>
      </c>
      <c r="V493" t="str">
        <f t="shared" si="60"/>
        <v>Afternoon</v>
      </c>
      <c r="W493" t="str">
        <f t="shared" si="61"/>
        <v>Spring</v>
      </c>
      <c r="X493" t="str">
        <f t="shared" si="62"/>
        <v>Clear</v>
      </c>
    </row>
    <row r="494" spans="1:24">
      <c r="A494">
        <v>493</v>
      </c>
      <c r="B494" s="2">
        <v>40565</v>
      </c>
      <c r="C494">
        <v>1</v>
      </c>
      <c r="D494">
        <v>0</v>
      </c>
      <c r="E494">
        <v>1</v>
      </c>
      <c r="F494">
        <v>14</v>
      </c>
      <c r="G494" t="b">
        <v>0</v>
      </c>
      <c r="H494">
        <v>6</v>
      </c>
      <c r="I494">
        <v>1</v>
      </c>
      <c r="J494">
        <v>0.1</v>
      </c>
      <c r="K494">
        <v>0.13639999999999999</v>
      </c>
      <c r="L494">
        <v>0.33</v>
      </c>
      <c r="M494">
        <v>0.1045</v>
      </c>
      <c r="N494">
        <v>11</v>
      </c>
      <c r="O494">
        <v>64</v>
      </c>
      <c r="P494">
        <v>75</v>
      </c>
      <c r="Q494" t="str">
        <f t="shared" si="56"/>
        <v>Complete</v>
      </c>
      <c r="R494">
        <f t="shared" si="63"/>
        <v>0.13639999999999999</v>
      </c>
      <c r="S494">
        <f t="shared" si="57"/>
        <v>2011</v>
      </c>
      <c r="T494" t="str">
        <f t="shared" si="58"/>
        <v>January</v>
      </c>
      <c r="U494" t="str">
        <f t="shared" si="59"/>
        <v>Saturday</v>
      </c>
      <c r="V494" t="str">
        <f t="shared" si="60"/>
        <v>Afternoon</v>
      </c>
      <c r="W494" t="str">
        <f t="shared" si="61"/>
        <v>Spring</v>
      </c>
      <c r="X494" t="str">
        <f t="shared" si="62"/>
        <v>Clear</v>
      </c>
    </row>
    <row r="495" spans="1:24">
      <c r="A495">
        <v>494</v>
      </c>
      <c r="B495" s="2">
        <v>40565</v>
      </c>
      <c r="C495">
        <v>1</v>
      </c>
      <c r="D495">
        <v>0</v>
      </c>
      <c r="E495">
        <v>1</v>
      </c>
      <c r="F495">
        <v>15</v>
      </c>
      <c r="G495" t="b">
        <v>0</v>
      </c>
      <c r="H495">
        <v>6</v>
      </c>
      <c r="I495">
        <v>1</v>
      </c>
      <c r="J495">
        <v>0.12</v>
      </c>
      <c r="K495">
        <v>0.1515</v>
      </c>
      <c r="L495">
        <v>0.28000000000000003</v>
      </c>
      <c r="M495">
        <v>0</v>
      </c>
      <c r="N495">
        <v>10</v>
      </c>
      <c r="O495">
        <v>93</v>
      </c>
      <c r="P495">
        <v>103</v>
      </c>
      <c r="Q495" t="str">
        <f t="shared" si="56"/>
        <v>Complete</v>
      </c>
      <c r="R495">
        <f t="shared" si="63"/>
        <v>0.1515</v>
      </c>
      <c r="S495">
        <f t="shared" si="57"/>
        <v>2011</v>
      </c>
      <c r="T495" t="str">
        <f t="shared" si="58"/>
        <v>January</v>
      </c>
      <c r="U495" t="str">
        <f t="shared" si="59"/>
        <v>Saturday</v>
      </c>
      <c r="V495" t="str">
        <f t="shared" si="60"/>
        <v>Afternoon</v>
      </c>
      <c r="W495" t="str">
        <f t="shared" si="61"/>
        <v>Spring</v>
      </c>
      <c r="X495" t="str">
        <f t="shared" si="62"/>
        <v>Clear</v>
      </c>
    </row>
    <row r="496" spans="1:24">
      <c r="A496">
        <v>495</v>
      </c>
      <c r="B496" s="2">
        <v>40565</v>
      </c>
      <c r="C496">
        <v>1</v>
      </c>
      <c r="D496">
        <v>0</v>
      </c>
      <c r="E496">
        <v>1</v>
      </c>
      <c r="F496">
        <v>16</v>
      </c>
      <c r="G496" t="b">
        <v>0</v>
      </c>
      <c r="H496">
        <v>6</v>
      </c>
      <c r="I496">
        <v>1</v>
      </c>
      <c r="J496">
        <v>0.12</v>
      </c>
      <c r="K496">
        <v>0.13639999999999999</v>
      </c>
      <c r="L496">
        <v>0.28000000000000003</v>
      </c>
      <c r="M496">
        <v>0.19400000000000001</v>
      </c>
      <c r="N496">
        <v>11</v>
      </c>
      <c r="O496">
        <v>72</v>
      </c>
      <c r="P496">
        <v>83</v>
      </c>
      <c r="Q496" t="str">
        <f t="shared" si="56"/>
        <v>Complete</v>
      </c>
      <c r="R496">
        <f t="shared" si="63"/>
        <v>0.13639999999999999</v>
      </c>
      <c r="S496">
        <f t="shared" si="57"/>
        <v>2011</v>
      </c>
      <c r="T496" t="str">
        <f t="shared" si="58"/>
        <v>January</v>
      </c>
      <c r="U496" t="str">
        <f t="shared" si="59"/>
        <v>Saturday</v>
      </c>
      <c r="V496" t="str">
        <f t="shared" si="60"/>
        <v>Afternoon</v>
      </c>
      <c r="W496" t="str">
        <f t="shared" si="61"/>
        <v>Spring</v>
      </c>
      <c r="X496" t="str">
        <f t="shared" si="62"/>
        <v>Clear</v>
      </c>
    </row>
    <row r="497" spans="1:24">
      <c r="A497">
        <v>496</v>
      </c>
      <c r="B497" s="2">
        <v>40565</v>
      </c>
      <c r="C497">
        <v>1</v>
      </c>
      <c r="D497">
        <v>0</v>
      </c>
      <c r="E497">
        <v>1</v>
      </c>
      <c r="F497">
        <v>17</v>
      </c>
      <c r="G497" t="b">
        <v>0</v>
      </c>
      <c r="H497">
        <v>6</v>
      </c>
      <c r="I497">
        <v>1</v>
      </c>
      <c r="J497">
        <v>0.12</v>
      </c>
      <c r="K497">
        <v>0.19700000000000001</v>
      </c>
      <c r="L497">
        <v>0.28000000000000003</v>
      </c>
      <c r="M497">
        <v>0</v>
      </c>
      <c r="N497">
        <v>8</v>
      </c>
      <c r="O497">
        <v>59</v>
      </c>
      <c r="P497">
        <v>67</v>
      </c>
      <c r="Q497" t="str">
        <f t="shared" si="56"/>
        <v>Complete</v>
      </c>
      <c r="R497">
        <f t="shared" si="63"/>
        <v>0.19700000000000001</v>
      </c>
      <c r="S497">
        <f t="shared" si="57"/>
        <v>2011</v>
      </c>
      <c r="T497" t="str">
        <f t="shared" si="58"/>
        <v>January</v>
      </c>
      <c r="U497" t="str">
        <f t="shared" si="59"/>
        <v>Saturday</v>
      </c>
      <c r="V497" t="str">
        <f t="shared" si="60"/>
        <v>Afternoon</v>
      </c>
      <c r="W497" t="str">
        <f t="shared" si="61"/>
        <v>Spring</v>
      </c>
      <c r="X497" t="str">
        <f t="shared" si="62"/>
        <v>Clear</v>
      </c>
    </row>
    <row r="498" spans="1:24">
      <c r="A498">
        <v>497</v>
      </c>
      <c r="B498" s="2">
        <v>40565</v>
      </c>
      <c r="C498">
        <v>1</v>
      </c>
      <c r="D498">
        <v>0</v>
      </c>
      <c r="E498">
        <v>1</v>
      </c>
      <c r="F498">
        <v>18</v>
      </c>
      <c r="G498" t="b">
        <v>0</v>
      </c>
      <c r="H498">
        <v>6</v>
      </c>
      <c r="I498">
        <v>1</v>
      </c>
      <c r="J498">
        <v>0.08</v>
      </c>
      <c r="K498">
        <v>9.0899999999999995E-2</v>
      </c>
      <c r="L498">
        <v>0.35</v>
      </c>
      <c r="M498">
        <v>0.19400000000000001</v>
      </c>
      <c r="N498">
        <v>0</v>
      </c>
      <c r="O498">
        <v>54</v>
      </c>
      <c r="P498">
        <v>54</v>
      </c>
      <c r="Q498" t="str">
        <f t="shared" si="56"/>
        <v>Complete</v>
      </c>
      <c r="R498">
        <f t="shared" si="63"/>
        <v>9.0899999999999995E-2</v>
      </c>
      <c r="S498">
        <f t="shared" si="57"/>
        <v>2011</v>
      </c>
      <c r="T498" t="str">
        <f t="shared" si="58"/>
        <v>January</v>
      </c>
      <c r="U498" t="str">
        <f t="shared" si="59"/>
        <v>Saturday</v>
      </c>
      <c r="V498" t="str">
        <f t="shared" si="60"/>
        <v>Evening</v>
      </c>
      <c r="W498" t="str">
        <f t="shared" si="61"/>
        <v>Spring</v>
      </c>
      <c r="X498" t="str">
        <f t="shared" si="62"/>
        <v>Clear</v>
      </c>
    </row>
    <row r="499" spans="1:24">
      <c r="A499">
        <v>498</v>
      </c>
      <c r="B499" s="2">
        <v>40565</v>
      </c>
      <c r="C499">
        <v>1</v>
      </c>
      <c r="D499">
        <v>0</v>
      </c>
      <c r="E499">
        <v>1</v>
      </c>
      <c r="F499">
        <v>19</v>
      </c>
      <c r="G499" t="b">
        <v>0</v>
      </c>
      <c r="H499">
        <v>6</v>
      </c>
      <c r="I499">
        <v>1</v>
      </c>
      <c r="J499">
        <v>0.08</v>
      </c>
      <c r="K499">
        <v>0.1061</v>
      </c>
      <c r="L499">
        <v>0.35</v>
      </c>
      <c r="M499">
        <v>0.1343</v>
      </c>
      <c r="N499">
        <v>6</v>
      </c>
      <c r="O499">
        <v>53</v>
      </c>
      <c r="P499">
        <v>59</v>
      </c>
      <c r="Q499" t="str">
        <f t="shared" si="56"/>
        <v>Complete</v>
      </c>
      <c r="R499">
        <f t="shared" si="63"/>
        <v>0.1061</v>
      </c>
      <c r="S499">
        <f t="shared" si="57"/>
        <v>2011</v>
      </c>
      <c r="T499" t="str">
        <f t="shared" si="58"/>
        <v>January</v>
      </c>
      <c r="U499" t="str">
        <f t="shared" si="59"/>
        <v>Saturday</v>
      </c>
      <c r="V499" t="str">
        <f t="shared" si="60"/>
        <v>Evening</v>
      </c>
      <c r="W499" t="str">
        <f t="shared" si="61"/>
        <v>Spring</v>
      </c>
      <c r="X499" t="str">
        <f t="shared" si="62"/>
        <v>Clear</v>
      </c>
    </row>
    <row r="500" spans="1:24">
      <c r="A500">
        <v>499</v>
      </c>
      <c r="B500" s="2">
        <v>40565</v>
      </c>
      <c r="C500">
        <v>1</v>
      </c>
      <c r="D500">
        <v>0</v>
      </c>
      <c r="E500">
        <v>1</v>
      </c>
      <c r="F500">
        <v>20</v>
      </c>
      <c r="G500" t="b">
        <v>0</v>
      </c>
      <c r="H500">
        <v>6</v>
      </c>
      <c r="I500">
        <v>1</v>
      </c>
      <c r="J500">
        <v>0.06</v>
      </c>
      <c r="K500">
        <v>7.5800000000000006E-2</v>
      </c>
      <c r="L500">
        <v>0.45</v>
      </c>
      <c r="M500">
        <v>0.16420000000000001</v>
      </c>
      <c r="N500">
        <v>1</v>
      </c>
      <c r="O500">
        <v>44</v>
      </c>
      <c r="P500">
        <v>45</v>
      </c>
      <c r="Q500" t="str">
        <f t="shared" si="56"/>
        <v>Complete</v>
      </c>
      <c r="R500">
        <f t="shared" si="63"/>
        <v>7.5800000000000006E-2</v>
      </c>
      <c r="S500">
        <f t="shared" si="57"/>
        <v>2011</v>
      </c>
      <c r="T500" t="str">
        <f t="shared" si="58"/>
        <v>January</v>
      </c>
      <c r="U500" t="str">
        <f t="shared" si="59"/>
        <v>Saturday</v>
      </c>
      <c r="V500" t="str">
        <f t="shared" si="60"/>
        <v>Evening</v>
      </c>
      <c r="W500" t="str">
        <f t="shared" si="61"/>
        <v>Spring</v>
      </c>
      <c r="X500" t="str">
        <f t="shared" si="62"/>
        <v>Clear</v>
      </c>
    </row>
    <row r="501" spans="1:24">
      <c r="A501">
        <v>500</v>
      </c>
      <c r="B501" s="2">
        <v>40565</v>
      </c>
      <c r="C501">
        <v>1</v>
      </c>
      <c r="D501">
        <v>0</v>
      </c>
      <c r="E501">
        <v>1</v>
      </c>
      <c r="F501">
        <v>21</v>
      </c>
      <c r="G501" t="b">
        <v>0</v>
      </c>
      <c r="H501">
        <v>6</v>
      </c>
      <c r="I501">
        <v>1</v>
      </c>
      <c r="J501">
        <v>0.06</v>
      </c>
      <c r="K501">
        <v>0.1061</v>
      </c>
      <c r="L501">
        <v>0.41</v>
      </c>
      <c r="M501">
        <v>8.9599999999999999E-2</v>
      </c>
      <c r="N501">
        <v>0</v>
      </c>
      <c r="O501">
        <v>39</v>
      </c>
      <c r="P501">
        <v>39</v>
      </c>
      <c r="Q501" t="str">
        <f t="shared" si="56"/>
        <v>Complete</v>
      </c>
      <c r="R501">
        <f t="shared" si="63"/>
        <v>0.1061</v>
      </c>
      <c r="S501">
        <f t="shared" si="57"/>
        <v>2011</v>
      </c>
      <c r="T501" t="str">
        <f t="shared" si="58"/>
        <v>January</v>
      </c>
      <c r="U501" t="str">
        <f t="shared" si="59"/>
        <v>Saturday</v>
      </c>
      <c r="V501" t="str">
        <f t="shared" si="60"/>
        <v>Evening</v>
      </c>
      <c r="W501" t="str">
        <f t="shared" si="61"/>
        <v>Spring</v>
      </c>
      <c r="X501" t="str">
        <f t="shared" si="62"/>
        <v>Clear</v>
      </c>
    </row>
    <row r="502" spans="1:24">
      <c r="A502">
        <v>501</v>
      </c>
      <c r="B502" s="2">
        <v>40565</v>
      </c>
      <c r="C502">
        <v>1</v>
      </c>
      <c r="D502">
        <v>0</v>
      </c>
      <c r="E502">
        <v>1</v>
      </c>
      <c r="F502">
        <v>22</v>
      </c>
      <c r="G502" t="b">
        <v>0</v>
      </c>
      <c r="H502">
        <v>6</v>
      </c>
      <c r="I502">
        <v>1</v>
      </c>
      <c r="J502">
        <v>0.06</v>
      </c>
      <c r="K502">
        <v>0.1515</v>
      </c>
      <c r="L502">
        <v>0.49</v>
      </c>
      <c r="M502">
        <v>0</v>
      </c>
      <c r="N502">
        <v>7</v>
      </c>
      <c r="O502">
        <v>23</v>
      </c>
      <c r="P502">
        <v>30</v>
      </c>
      <c r="Q502" t="str">
        <f t="shared" si="56"/>
        <v>Complete</v>
      </c>
      <c r="R502">
        <f t="shared" si="63"/>
        <v>0.1515</v>
      </c>
      <c r="S502">
        <f t="shared" si="57"/>
        <v>2011</v>
      </c>
      <c r="T502" t="str">
        <f t="shared" si="58"/>
        <v>January</v>
      </c>
      <c r="U502" t="str">
        <f t="shared" si="59"/>
        <v>Saturday</v>
      </c>
      <c r="V502" t="str">
        <f t="shared" si="60"/>
        <v>Evening</v>
      </c>
      <c r="W502" t="str">
        <f t="shared" si="61"/>
        <v>Spring</v>
      </c>
      <c r="X502" t="str">
        <f t="shared" si="62"/>
        <v>Clear</v>
      </c>
    </row>
    <row r="503" spans="1:24">
      <c r="A503">
        <v>502</v>
      </c>
      <c r="B503" s="2">
        <v>40565</v>
      </c>
      <c r="C503">
        <v>1</v>
      </c>
      <c r="D503">
        <v>0</v>
      </c>
      <c r="E503">
        <v>1</v>
      </c>
      <c r="F503">
        <v>23</v>
      </c>
      <c r="G503" t="b">
        <v>0</v>
      </c>
      <c r="H503">
        <v>6</v>
      </c>
      <c r="I503">
        <v>1</v>
      </c>
      <c r="J503">
        <v>0.04</v>
      </c>
      <c r="K503">
        <v>7.5800000000000006E-2</v>
      </c>
      <c r="L503">
        <v>0.56999999999999995</v>
      </c>
      <c r="M503">
        <v>0.1045</v>
      </c>
      <c r="N503">
        <v>2</v>
      </c>
      <c r="O503">
        <v>31</v>
      </c>
      <c r="P503">
        <v>33</v>
      </c>
      <c r="Q503" t="str">
        <f t="shared" si="56"/>
        <v>Complete</v>
      </c>
      <c r="R503">
        <f t="shared" si="63"/>
        <v>7.5800000000000006E-2</v>
      </c>
      <c r="S503">
        <f t="shared" si="57"/>
        <v>2011</v>
      </c>
      <c r="T503" t="str">
        <f t="shared" si="58"/>
        <v>January</v>
      </c>
      <c r="U503" t="str">
        <f t="shared" si="59"/>
        <v>Saturday</v>
      </c>
      <c r="V503" t="str">
        <f t="shared" si="60"/>
        <v>Evening</v>
      </c>
      <c r="W503" t="str">
        <f t="shared" si="61"/>
        <v>Spring</v>
      </c>
      <c r="X503" t="str">
        <f t="shared" si="62"/>
        <v>Clear</v>
      </c>
    </row>
    <row r="504" spans="1:24">
      <c r="A504">
        <v>503</v>
      </c>
      <c r="B504" s="2">
        <v>40566</v>
      </c>
      <c r="C504">
        <v>1</v>
      </c>
      <c r="D504">
        <v>0</v>
      </c>
      <c r="E504">
        <v>1</v>
      </c>
      <c r="F504">
        <v>0</v>
      </c>
      <c r="G504" t="b">
        <v>0</v>
      </c>
      <c r="H504">
        <v>0</v>
      </c>
      <c r="I504">
        <v>1</v>
      </c>
      <c r="J504">
        <v>0.04</v>
      </c>
      <c r="K504">
        <v>7.5800000000000006E-2</v>
      </c>
      <c r="L504">
        <v>0.56999999999999995</v>
      </c>
      <c r="M504">
        <v>0.1045</v>
      </c>
      <c r="N504">
        <v>2</v>
      </c>
      <c r="O504">
        <v>20</v>
      </c>
      <c r="P504">
        <v>22</v>
      </c>
      <c r="Q504" t="str">
        <f t="shared" si="56"/>
        <v>Complete</v>
      </c>
      <c r="R504">
        <f t="shared" si="63"/>
        <v>7.5800000000000006E-2</v>
      </c>
      <c r="S504">
        <f t="shared" si="57"/>
        <v>2011</v>
      </c>
      <c r="T504" t="str">
        <f t="shared" si="58"/>
        <v>January</v>
      </c>
      <c r="U504" t="str">
        <f t="shared" si="59"/>
        <v>Sunday</v>
      </c>
      <c r="V504" t="str">
        <f t="shared" si="60"/>
        <v>Night</v>
      </c>
      <c r="W504" t="str">
        <f t="shared" si="61"/>
        <v>Spring</v>
      </c>
      <c r="X504" t="str">
        <f t="shared" si="62"/>
        <v>Clear</v>
      </c>
    </row>
    <row r="505" spans="1:24">
      <c r="A505">
        <v>504</v>
      </c>
      <c r="B505" s="2">
        <v>40566</v>
      </c>
      <c r="C505">
        <v>1</v>
      </c>
      <c r="D505">
        <v>0</v>
      </c>
      <c r="E505">
        <v>1</v>
      </c>
      <c r="F505">
        <v>1</v>
      </c>
      <c r="G505" t="b">
        <v>0</v>
      </c>
      <c r="H505">
        <v>0</v>
      </c>
      <c r="I505">
        <v>1</v>
      </c>
      <c r="J505">
        <v>0.04</v>
      </c>
      <c r="K505">
        <v>7.5800000000000006E-2</v>
      </c>
      <c r="L505">
        <v>0.56999999999999995</v>
      </c>
      <c r="M505">
        <v>0.1045</v>
      </c>
      <c r="N505">
        <v>1</v>
      </c>
      <c r="O505">
        <v>12</v>
      </c>
      <c r="P505">
        <v>13</v>
      </c>
      <c r="Q505" t="str">
        <f t="shared" si="56"/>
        <v>Complete</v>
      </c>
      <c r="R505">
        <f t="shared" si="63"/>
        <v>7.5800000000000006E-2</v>
      </c>
      <c r="S505">
        <f t="shared" si="57"/>
        <v>2011</v>
      </c>
      <c r="T505" t="str">
        <f t="shared" si="58"/>
        <v>January</v>
      </c>
      <c r="U505" t="str">
        <f t="shared" si="59"/>
        <v>Sunday</v>
      </c>
      <c r="V505" t="str">
        <f t="shared" si="60"/>
        <v>Night</v>
      </c>
      <c r="W505" t="str">
        <f t="shared" si="61"/>
        <v>Spring</v>
      </c>
      <c r="X505" t="str">
        <f t="shared" si="62"/>
        <v>Clear</v>
      </c>
    </row>
    <row r="506" spans="1:24">
      <c r="A506">
        <v>505</v>
      </c>
      <c r="B506" s="2">
        <v>40566</v>
      </c>
      <c r="C506">
        <v>1</v>
      </c>
      <c r="D506">
        <v>0</v>
      </c>
      <c r="E506">
        <v>1</v>
      </c>
      <c r="F506">
        <v>2</v>
      </c>
      <c r="G506" t="b">
        <v>0</v>
      </c>
      <c r="H506">
        <v>0</v>
      </c>
      <c r="I506">
        <v>1</v>
      </c>
      <c r="J506">
        <v>0.02</v>
      </c>
      <c r="K506">
        <v>6.0600000000000001E-2</v>
      </c>
      <c r="L506">
        <v>0.62</v>
      </c>
      <c r="M506">
        <v>0.1343</v>
      </c>
      <c r="N506">
        <v>3</v>
      </c>
      <c r="O506">
        <v>15</v>
      </c>
      <c r="P506">
        <v>18</v>
      </c>
      <c r="Q506" t="str">
        <f t="shared" si="56"/>
        <v>Complete</v>
      </c>
      <c r="R506">
        <f t="shared" si="63"/>
        <v>6.0600000000000001E-2</v>
      </c>
      <c r="S506">
        <f t="shared" si="57"/>
        <v>2011</v>
      </c>
      <c r="T506" t="str">
        <f t="shared" si="58"/>
        <v>January</v>
      </c>
      <c r="U506" t="str">
        <f t="shared" si="59"/>
        <v>Sunday</v>
      </c>
      <c r="V506" t="str">
        <f t="shared" si="60"/>
        <v>Night</v>
      </c>
      <c r="W506" t="str">
        <f t="shared" si="61"/>
        <v>Spring</v>
      </c>
      <c r="X506" t="str">
        <f t="shared" si="62"/>
        <v>Clear</v>
      </c>
    </row>
    <row r="507" spans="1:24">
      <c r="A507">
        <v>506</v>
      </c>
      <c r="B507" s="2">
        <v>40566</v>
      </c>
      <c r="C507">
        <v>1</v>
      </c>
      <c r="D507">
        <v>0</v>
      </c>
      <c r="E507">
        <v>1</v>
      </c>
      <c r="F507">
        <v>3</v>
      </c>
      <c r="G507" t="b">
        <v>0</v>
      </c>
      <c r="H507">
        <v>0</v>
      </c>
      <c r="I507">
        <v>1</v>
      </c>
      <c r="J507">
        <v>0.02</v>
      </c>
      <c r="K507">
        <v>6.0600000000000001E-2</v>
      </c>
      <c r="L507">
        <v>0.62</v>
      </c>
      <c r="M507">
        <v>0.1343</v>
      </c>
      <c r="N507">
        <v>1</v>
      </c>
      <c r="O507">
        <v>4</v>
      </c>
      <c r="P507">
        <v>5</v>
      </c>
      <c r="Q507" t="str">
        <f t="shared" si="56"/>
        <v>Complete</v>
      </c>
      <c r="R507">
        <f t="shared" si="63"/>
        <v>6.0600000000000001E-2</v>
      </c>
      <c r="S507">
        <f t="shared" si="57"/>
        <v>2011</v>
      </c>
      <c r="T507" t="str">
        <f t="shared" si="58"/>
        <v>January</v>
      </c>
      <c r="U507" t="str">
        <f t="shared" si="59"/>
        <v>Sunday</v>
      </c>
      <c r="V507" t="str">
        <f t="shared" si="60"/>
        <v>Night</v>
      </c>
      <c r="W507" t="str">
        <f t="shared" si="61"/>
        <v>Spring</v>
      </c>
      <c r="X507" t="str">
        <f t="shared" si="62"/>
        <v>Clear</v>
      </c>
    </row>
    <row r="508" spans="1:24">
      <c r="A508">
        <v>507</v>
      </c>
      <c r="B508" s="2">
        <v>40566</v>
      </c>
      <c r="C508">
        <v>1</v>
      </c>
      <c r="D508">
        <v>0</v>
      </c>
      <c r="E508">
        <v>1</v>
      </c>
      <c r="F508">
        <v>5</v>
      </c>
      <c r="G508" t="b">
        <v>0</v>
      </c>
      <c r="H508">
        <v>0</v>
      </c>
      <c r="I508">
        <v>2</v>
      </c>
      <c r="J508">
        <v>0.04</v>
      </c>
      <c r="K508">
        <v>7.5800000000000006E-2</v>
      </c>
      <c r="L508">
        <v>0.56999999999999995</v>
      </c>
      <c r="M508">
        <v>0.1045</v>
      </c>
      <c r="N508">
        <v>0</v>
      </c>
      <c r="O508">
        <v>3</v>
      </c>
      <c r="P508">
        <v>3</v>
      </c>
      <c r="Q508" t="str">
        <f t="shared" si="56"/>
        <v>Complete</v>
      </c>
      <c r="R508">
        <f t="shared" si="63"/>
        <v>7.5800000000000006E-2</v>
      </c>
      <c r="S508">
        <f t="shared" si="57"/>
        <v>2011</v>
      </c>
      <c r="T508" t="str">
        <f t="shared" si="58"/>
        <v>January</v>
      </c>
      <c r="U508" t="str">
        <f t="shared" si="59"/>
        <v>Sunday</v>
      </c>
      <c r="V508" t="str">
        <f t="shared" si="60"/>
        <v>Night</v>
      </c>
      <c r="W508" t="str">
        <f t="shared" si="61"/>
        <v>Spring</v>
      </c>
      <c r="X508" t="str">
        <f t="shared" si="62"/>
        <v>Mist/Cloudy</v>
      </c>
    </row>
    <row r="509" spans="1:24">
      <c r="A509">
        <v>508</v>
      </c>
      <c r="B509" s="2">
        <v>40566</v>
      </c>
      <c r="C509">
        <v>1</v>
      </c>
      <c r="D509">
        <v>0</v>
      </c>
      <c r="E509">
        <v>1</v>
      </c>
      <c r="F509">
        <v>6</v>
      </c>
      <c r="G509" t="b">
        <v>0</v>
      </c>
      <c r="H509">
        <v>0</v>
      </c>
      <c r="I509">
        <v>2</v>
      </c>
      <c r="J509">
        <v>0.04</v>
      </c>
      <c r="K509">
        <v>7.5800000000000006E-2</v>
      </c>
      <c r="L509">
        <v>0.56999999999999995</v>
      </c>
      <c r="M509">
        <v>0.1045</v>
      </c>
      <c r="N509">
        <v>0</v>
      </c>
      <c r="O509">
        <v>1</v>
      </c>
      <c r="P509">
        <v>1</v>
      </c>
      <c r="Q509" t="str">
        <f t="shared" si="56"/>
        <v>Complete</v>
      </c>
      <c r="R509">
        <f t="shared" si="63"/>
        <v>7.5800000000000006E-2</v>
      </c>
      <c r="S509">
        <f t="shared" si="57"/>
        <v>2011</v>
      </c>
      <c r="T509" t="str">
        <f t="shared" si="58"/>
        <v>January</v>
      </c>
      <c r="U509" t="str">
        <f t="shared" si="59"/>
        <v>Sunday</v>
      </c>
      <c r="V509" t="str">
        <f t="shared" si="60"/>
        <v>Morning</v>
      </c>
      <c r="W509" t="str">
        <f t="shared" si="61"/>
        <v>Spring</v>
      </c>
      <c r="X509" t="str">
        <f t="shared" si="62"/>
        <v>Mist/Cloudy</v>
      </c>
    </row>
    <row r="510" spans="1:24">
      <c r="A510">
        <v>509</v>
      </c>
      <c r="B510" s="2">
        <v>40566</v>
      </c>
      <c r="C510">
        <v>1</v>
      </c>
      <c r="D510">
        <v>0</v>
      </c>
      <c r="E510">
        <v>1</v>
      </c>
      <c r="F510">
        <v>7</v>
      </c>
      <c r="G510" t="b">
        <v>0</v>
      </c>
      <c r="H510">
        <v>0</v>
      </c>
      <c r="I510">
        <v>1</v>
      </c>
      <c r="J510">
        <v>0.08</v>
      </c>
      <c r="K510">
        <v>0.1061</v>
      </c>
      <c r="L510">
        <v>0.57999999999999996</v>
      </c>
      <c r="M510">
        <v>0.16420000000000001</v>
      </c>
      <c r="N510">
        <v>1</v>
      </c>
      <c r="O510">
        <v>1</v>
      </c>
      <c r="P510">
        <v>2</v>
      </c>
      <c r="Q510" t="str">
        <f t="shared" si="56"/>
        <v>Complete</v>
      </c>
      <c r="R510">
        <f t="shared" si="63"/>
        <v>0.1061</v>
      </c>
      <c r="S510">
        <f t="shared" si="57"/>
        <v>2011</v>
      </c>
      <c r="T510" t="str">
        <f t="shared" si="58"/>
        <v>January</v>
      </c>
      <c r="U510" t="str">
        <f t="shared" si="59"/>
        <v>Sunday</v>
      </c>
      <c r="V510" t="str">
        <f t="shared" si="60"/>
        <v>Morning</v>
      </c>
      <c r="W510" t="str">
        <f t="shared" si="61"/>
        <v>Spring</v>
      </c>
      <c r="X510" t="str">
        <f t="shared" si="62"/>
        <v>Clear</v>
      </c>
    </row>
    <row r="511" spans="1:24">
      <c r="A511">
        <v>510</v>
      </c>
      <c r="B511" s="2">
        <v>40566</v>
      </c>
      <c r="C511">
        <v>1</v>
      </c>
      <c r="D511">
        <v>0</v>
      </c>
      <c r="E511">
        <v>1</v>
      </c>
      <c r="F511">
        <v>8</v>
      </c>
      <c r="G511" t="b">
        <v>0</v>
      </c>
      <c r="H511">
        <v>0</v>
      </c>
      <c r="I511">
        <v>1</v>
      </c>
      <c r="J511">
        <v>0.06</v>
      </c>
      <c r="K511">
        <v>7.5800000000000006E-2</v>
      </c>
      <c r="L511">
        <v>0.62</v>
      </c>
      <c r="M511">
        <v>0.16420000000000001</v>
      </c>
      <c r="N511">
        <v>2</v>
      </c>
      <c r="O511">
        <v>17</v>
      </c>
      <c r="P511">
        <v>19</v>
      </c>
      <c r="Q511" t="str">
        <f t="shared" si="56"/>
        <v>Complete</v>
      </c>
      <c r="R511">
        <f t="shared" si="63"/>
        <v>7.5800000000000006E-2</v>
      </c>
      <c r="S511">
        <f t="shared" si="57"/>
        <v>2011</v>
      </c>
      <c r="T511" t="str">
        <f t="shared" si="58"/>
        <v>January</v>
      </c>
      <c r="U511" t="str">
        <f t="shared" si="59"/>
        <v>Sunday</v>
      </c>
      <c r="V511" t="str">
        <f t="shared" si="60"/>
        <v>Morning</v>
      </c>
      <c r="W511" t="str">
        <f t="shared" si="61"/>
        <v>Spring</v>
      </c>
      <c r="X511" t="str">
        <f t="shared" si="62"/>
        <v>Clear</v>
      </c>
    </row>
    <row r="512" spans="1:24">
      <c r="A512">
        <v>511</v>
      </c>
      <c r="B512" s="2">
        <v>40566</v>
      </c>
      <c r="C512">
        <v>1</v>
      </c>
      <c r="D512">
        <v>0</v>
      </c>
      <c r="E512">
        <v>1</v>
      </c>
      <c r="F512">
        <v>9</v>
      </c>
      <c r="G512" t="b">
        <v>0</v>
      </c>
      <c r="H512">
        <v>0</v>
      </c>
      <c r="I512">
        <v>1</v>
      </c>
      <c r="J512">
        <v>0.1</v>
      </c>
      <c r="K512">
        <v>7.5800000000000006E-2</v>
      </c>
      <c r="L512">
        <v>0.54</v>
      </c>
      <c r="M512">
        <v>0.35820000000000002</v>
      </c>
      <c r="N512">
        <v>3</v>
      </c>
      <c r="O512">
        <v>25</v>
      </c>
      <c r="P512">
        <v>28</v>
      </c>
      <c r="Q512" t="str">
        <f t="shared" si="56"/>
        <v>Complete</v>
      </c>
      <c r="R512">
        <f t="shared" si="63"/>
        <v>7.5800000000000006E-2</v>
      </c>
      <c r="S512">
        <f t="shared" si="57"/>
        <v>2011</v>
      </c>
      <c r="T512" t="str">
        <f t="shared" si="58"/>
        <v>January</v>
      </c>
      <c r="U512" t="str">
        <f t="shared" si="59"/>
        <v>Sunday</v>
      </c>
      <c r="V512" t="str">
        <f t="shared" si="60"/>
        <v>Morning</v>
      </c>
      <c r="W512" t="str">
        <f t="shared" si="61"/>
        <v>Spring</v>
      </c>
      <c r="X512" t="str">
        <f t="shared" si="62"/>
        <v>Clear</v>
      </c>
    </row>
    <row r="513" spans="1:24">
      <c r="A513">
        <v>512</v>
      </c>
      <c r="B513" s="2">
        <v>40566</v>
      </c>
      <c r="C513">
        <v>1</v>
      </c>
      <c r="D513">
        <v>0</v>
      </c>
      <c r="E513">
        <v>1</v>
      </c>
      <c r="F513">
        <v>10</v>
      </c>
      <c r="G513" t="b">
        <v>0</v>
      </c>
      <c r="H513">
        <v>0</v>
      </c>
      <c r="I513">
        <v>1</v>
      </c>
      <c r="J513">
        <v>0.14000000000000001</v>
      </c>
      <c r="K513">
        <v>0.1061</v>
      </c>
      <c r="L513">
        <v>0.46</v>
      </c>
      <c r="M513">
        <v>0.3881</v>
      </c>
      <c r="N513">
        <v>7</v>
      </c>
      <c r="O513">
        <v>51</v>
      </c>
      <c r="P513">
        <v>58</v>
      </c>
      <c r="Q513" t="str">
        <f t="shared" si="56"/>
        <v>Complete</v>
      </c>
      <c r="R513">
        <f t="shared" si="63"/>
        <v>0.1061</v>
      </c>
      <c r="S513">
        <f t="shared" si="57"/>
        <v>2011</v>
      </c>
      <c r="T513" t="str">
        <f t="shared" si="58"/>
        <v>January</v>
      </c>
      <c r="U513" t="str">
        <f t="shared" si="59"/>
        <v>Sunday</v>
      </c>
      <c r="V513" t="str">
        <f t="shared" si="60"/>
        <v>Morning</v>
      </c>
      <c r="W513" t="str">
        <f t="shared" si="61"/>
        <v>Spring</v>
      </c>
      <c r="X513" t="str">
        <f t="shared" si="62"/>
        <v>Clear</v>
      </c>
    </row>
    <row r="514" spans="1:24">
      <c r="A514">
        <v>513</v>
      </c>
      <c r="B514" s="2">
        <v>40566</v>
      </c>
      <c r="C514">
        <v>1</v>
      </c>
      <c r="D514">
        <v>0</v>
      </c>
      <c r="E514">
        <v>1</v>
      </c>
      <c r="F514">
        <v>11</v>
      </c>
      <c r="G514" t="b">
        <v>0</v>
      </c>
      <c r="H514">
        <v>0</v>
      </c>
      <c r="I514">
        <v>1</v>
      </c>
      <c r="J514">
        <v>0.14000000000000001</v>
      </c>
      <c r="K514">
        <v>0.13639999999999999</v>
      </c>
      <c r="L514">
        <v>0.43</v>
      </c>
      <c r="M514">
        <v>0.22389999999999999</v>
      </c>
      <c r="N514">
        <v>22</v>
      </c>
      <c r="O514">
        <v>77</v>
      </c>
      <c r="P514">
        <v>99</v>
      </c>
      <c r="Q514" t="str">
        <f t="shared" ref="Q514:Q577" si="64">IF(K514="","Missing atemp","Complete")</f>
        <v>Complete</v>
      </c>
      <c r="R514">
        <f t="shared" si="63"/>
        <v>0.13639999999999999</v>
      </c>
      <c r="S514">
        <f t="shared" ref="S514:S577" si="65">IF(D514=0,2011,"")</f>
        <v>2011</v>
      </c>
      <c r="T514" t="str">
        <f t="shared" ref="T514:T577" si="66">IF(E514=1,"January","")</f>
        <v>January</v>
      </c>
      <c r="U514" t="str">
        <f t="shared" ref="U514:U577" si="67">IF(G514=TRUE,"Holiday",IF(H514=0,"Sunday",IF(H514=6,"Saturday","Weekday")))</f>
        <v>Sunday</v>
      </c>
      <c r="V514" t="str">
        <f t="shared" ref="V514:V577" si="68">IF(F514&lt;6,"Night",IF(F514&lt;12,"Morning",IF(F514&lt;18,"Afternoon","Evening")))</f>
        <v>Morning</v>
      </c>
      <c r="W514" t="str">
        <f t="shared" ref="W514:W577" si="69">IF(C514=1,"Spring","")</f>
        <v>Spring</v>
      </c>
      <c r="X514" t="str">
        <f t="shared" ref="X514:X577" si="70">IF(I514=1,"Clear",IF(I514=2,"Mist/Cloudy",IF(I514=3,"Light Rain/Snow",IF(I514=4,"Heavy Rain/Snow","Unknown"))))</f>
        <v>Clear</v>
      </c>
    </row>
    <row r="515" spans="1:24">
      <c r="A515">
        <v>514</v>
      </c>
      <c r="B515" s="2">
        <v>40566</v>
      </c>
      <c r="C515">
        <v>1</v>
      </c>
      <c r="D515">
        <v>0</v>
      </c>
      <c r="E515">
        <v>1</v>
      </c>
      <c r="F515">
        <v>12</v>
      </c>
      <c r="G515" t="b">
        <v>0</v>
      </c>
      <c r="H515">
        <v>0</v>
      </c>
      <c r="I515">
        <v>1</v>
      </c>
      <c r="J515">
        <v>0.16</v>
      </c>
      <c r="K515">
        <v>0.1212</v>
      </c>
      <c r="L515">
        <v>0.37</v>
      </c>
      <c r="M515">
        <v>0.4627</v>
      </c>
      <c r="N515">
        <v>24</v>
      </c>
      <c r="O515">
        <v>92</v>
      </c>
      <c r="P515">
        <v>116</v>
      </c>
      <c r="Q515" t="str">
        <f t="shared" si="64"/>
        <v>Complete</v>
      </c>
      <c r="R515">
        <f t="shared" ref="R515:R578" si="71">IF(K515="",J515,K515)</f>
        <v>0.1212</v>
      </c>
      <c r="S515">
        <f t="shared" si="65"/>
        <v>2011</v>
      </c>
      <c r="T515" t="str">
        <f t="shared" si="66"/>
        <v>January</v>
      </c>
      <c r="U515" t="str">
        <f t="shared" si="67"/>
        <v>Sunday</v>
      </c>
      <c r="V515" t="str">
        <f t="shared" si="68"/>
        <v>Afternoon</v>
      </c>
      <c r="W515" t="str">
        <f t="shared" si="69"/>
        <v>Spring</v>
      </c>
      <c r="X515" t="str">
        <f t="shared" si="70"/>
        <v>Clear</v>
      </c>
    </row>
    <row r="516" spans="1:24">
      <c r="A516">
        <v>515</v>
      </c>
      <c r="B516" s="2">
        <v>40566</v>
      </c>
      <c r="C516">
        <v>1</v>
      </c>
      <c r="D516">
        <v>0</v>
      </c>
      <c r="E516">
        <v>1</v>
      </c>
      <c r="F516">
        <v>13</v>
      </c>
      <c r="G516" t="b">
        <v>0</v>
      </c>
      <c r="H516">
        <v>0</v>
      </c>
      <c r="I516">
        <v>1</v>
      </c>
      <c r="J516">
        <v>0.14000000000000001</v>
      </c>
      <c r="K516">
        <v>0.1061</v>
      </c>
      <c r="L516">
        <v>0.33</v>
      </c>
      <c r="M516">
        <v>0.3881</v>
      </c>
      <c r="N516">
        <v>12</v>
      </c>
      <c r="O516">
        <v>75</v>
      </c>
      <c r="P516">
        <v>87</v>
      </c>
      <c r="Q516" t="str">
        <f t="shared" si="64"/>
        <v>Complete</v>
      </c>
      <c r="R516">
        <f t="shared" si="71"/>
        <v>0.1061</v>
      </c>
      <c r="S516">
        <f t="shared" si="65"/>
        <v>2011</v>
      </c>
      <c r="T516" t="str">
        <f t="shared" si="66"/>
        <v>January</v>
      </c>
      <c r="U516" t="str">
        <f t="shared" si="67"/>
        <v>Sunday</v>
      </c>
      <c r="V516" t="str">
        <f t="shared" si="68"/>
        <v>Afternoon</v>
      </c>
      <c r="W516" t="str">
        <f t="shared" si="69"/>
        <v>Spring</v>
      </c>
      <c r="X516" t="str">
        <f t="shared" si="70"/>
        <v>Clear</v>
      </c>
    </row>
    <row r="517" spans="1:24">
      <c r="A517">
        <v>516</v>
      </c>
      <c r="B517" s="2">
        <v>40566</v>
      </c>
      <c r="C517">
        <v>1</v>
      </c>
      <c r="D517">
        <v>0</v>
      </c>
      <c r="E517">
        <v>1</v>
      </c>
      <c r="F517">
        <v>14</v>
      </c>
      <c r="G517" t="b">
        <v>0</v>
      </c>
      <c r="H517">
        <v>0</v>
      </c>
      <c r="I517">
        <v>1</v>
      </c>
      <c r="J517">
        <v>0.16</v>
      </c>
      <c r="K517">
        <v>0.13639999999999999</v>
      </c>
      <c r="L517">
        <v>0.28000000000000003</v>
      </c>
      <c r="M517">
        <v>0.35820000000000002</v>
      </c>
      <c r="N517">
        <v>17</v>
      </c>
      <c r="O517">
        <v>93</v>
      </c>
      <c r="P517">
        <v>110</v>
      </c>
      <c r="Q517" t="str">
        <f t="shared" si="64"/>
        <v>Complete</v>
      </c>
      <c r="R517">
        <f t="shared" si="71"/>
        <v>0.13639999999999999</v>
      </c>
      <c r="S517">
        <f t="shared" si="65"/>
        <v>2011</v>
      </c>
      <c r="T517" t="str">
        <f t="shared" si="66"/>
        <v>January</v>
      </c>
      <c r="U517" t="str">
        <f t="shared" si="67"/>
        <v>Sunday</v>
      </c>
      <c r="V517" t="str">
        <f t="shared" si="68"/>
        <v>Afternoon</v>
      </c>
      <c r="W517" t="str">
        <f t="shared" si="69"/>
        <v>Spring</v>
      </c>
      <c r="X517" t="str">
        <f t="shared" si="70"/>
        <v>Clear</v>
      </c>
    </row>
    <row r="518" spans="1:24">
      <c r="A518">
        <v>517</v>
      </c>
      <c r="B518" s="2">
        <v>40566</v>
      </c>
      <c r="C518">
        <v>1</v>
      </c>
      <c r="D518">
        <v>0</v>
      </c>
      <c r="E518">
        <v>1</v>
      </c>
      <c r="F518">
        <v>15</v>
      </c>
      <c r="G518" t="b">
        <v>0</v>
      </c>
      <c r="H518">
        <v>0</v>
      </c>
      <c r="I518">
        <v>1</v>
      </c>
      <c r="J518">
        <v>0.16</v>
      </c>
      <c r="K518">
        <v>0.13639999999999999</v>
      </c>
      <c r="L518">
        <v>0.28000000000000003</v>
      </c>
      <c r="M518">
        <v>0.35820000000000002</v>
      </c>
      <c r="N518">
        <v>13</v>
      </c>
      <c r="O518">
        <v>64</v>
      </c>
      <c r="P518">
        <v>77</v>
      </c>
      <c r="Q518" t="str">
        <f t="shared" si="64"/>
        <v>Complete</v>
      </c>
      <c r="R518">
        <f t="shared" si="71"/>
        <v>0.13639999999999999</v>
      </c>
      <c r="S518">
        <f t="shared" si="65"/>
        <v>2011</v>
      </c>
      <c r="T518" t="str">
        <f t="shared" si="66"/>
        <v>January</v>
      </c>
      <c r="U518" t="str">
        <f t="shared" si="67"/>
        <v>Sunday</v>
      </c>
      <c r="V518" t="str">
        <f t="shared" si="68"/>
        <v>Afternoon</v>
      </c>
      <c r="W518" t="str">
        <f t="shared" si="69"/>
        <v>Spring</v>
      </c>
      <c r="X518" t="str">
        <f t="shared" si="70"/>
        <v>Clear</v>
      </c>
    </row>
    <row r="519" spans="1:24">
      <c r="A519">
        <v>518</v>
      </c>
      <c r="B519" s="2">
        <v>40566</v>
      </c>
      <c r="C519">
        <v>1</v>
      </c>
      <c r="D519">
        <v>0</v>
      </c>
      <c r="E519">
        <v>1</v>
      </c>
      <c r="F519">
        <v>16</v>
      </c>
      <c r="G519" t="b">
        <v>0</v>
      </c>
      <c r="H519">
        <v>0</v>
      </c>
      <c r="I519">
        <v>1</v>
      </c>
      <c r="J519">
        <v>0.16</v>
      </c>
      <c r="K519">
        <v>0.13639999999999999</v>
      </c>
      <c r="L519">
        <v>0.26</v>
      </c>
      <c r="M519">
        <v>0.32840000000000003</v>
      </c>
      <c r="N519">
        <v>9</v>
      </c>
      <c r="O519">
        <v>56</v>
      </c>
      <c r="P519">
        <v>65</v>
      </c>
      <c r="Q519" t="str">
        <f t="shared" si="64"/>
        <v>Complete</v>
      </c>
      <c r="R519">
        <f t="shared" si="71"/>
        <v>0.13639999999999999</v>
      </c>
      <c r="S519">
        <f t="shared" si="65"/>
        <v>2011</v>
      </c>
      <c r="T519" t="str">
        <f t="shared" si="66"/>
        <v>January</v>
      </c>
      <c r="U519" t="str">
        <f t="shared" si="67"/>
        <v>Sunday</v>
      </c>
      <c r="V519" t="str">
        <f t="shared" si="68"/>
        <v>Afternoon</v>
      </c>
      <c r="W519" t="str">
        <f t="shared" si="69"/>
        <v>Spring</v>
      </c>
      <c r="X519" t="str">
        <f t="shared" si="70"/>
        <v>Clear</v>
      </c>
    </row>
    <row r="520" spans="1:24">
      <c r="A520">
        <v>519</v>
      </c>
      <c r="B520" s="2">
        <v>40566</v>
      </c>
      <c r="C520">
        <v>1</v>
      </c>
      <c r="D520">
        <v>0</v>
      </c>
      <c r="E520">
        <v>1</v>
      </c>
      <c r="F520">
        <v>17</v>
      </c>
      <c r="G520" t="b">
        <v>0</v>
      </c>
      <c r="H520">
        <v>0</v>
      </c>
      <c r="I520">
        <v>1</v>
      </c>
      <c r="J520">
        <v>0.14000000000000001</v>
      </c>
      <c r="K520">
        <v>0.1061</v>
      </c>
      <c r="L520">
        <v>0.26</v>
      </c>
      <c r="M520">
        <v>0.3881</v>
      </c>
      <c r="N520">
        <v>5</v>
      </c>
      <c r="O520">
        <v>50</v>
      </c>
      <c r="P520">
        <v>55</v>
      </c>
      <c r="Q520" t="str">
        <f t="shared" si="64"/>
        <v>Complete</v>
      </c>
      <c r="R520">
        <f t="shared" si="71"/>
        <v>0.1061</v>
      </c>
      <c r="S520">
        <f t="shared" si="65"/>
        <v>2011</v>
      </c>
      <c r="T520" t="str">
        <f t="shared" si="66"/>
        <v>January</v>
      </c>
      <c r="U520" t="str">
        <f t="shared" si="67"/>
        <v>Sunday</v>
      </c>
      <c r="V520" t="str">
        <f t="shared" si="68"/>
        <v>Afternoon</v>
      </c>
      <c r="W520" t="str">
        <f t="shared" si="69"/>
        <v>Spring</v>
      </c>
      <c r="X520" t="str">
        <f t="shared" si="70"/>
        <v>Clear</v>
      </c>
    </row>
    <row r="521" spans="1:24">
      <c r="A521">
        <v>520</v>
      </c>
      <c r="B521" s="2">
        <v>40566</v>
      </c>
      <c r="C521">
        <v>1</v>
      </c>
      <c r="D521">
        <v>0</v>
      </c>
      <c r="E521">
        <v>1</v>
      </c>
      <c r="F521">
        <v>18</v>
      </c>
      <c r="G521" t="b">
        <v>0</v>
      </c>
      <c r="H521">
        <v>0</v>
      </c>
      <c r="I521">
        <v>1</v>
      </c>
      <c r="J521">
        <v>0.12</v>
      </c>
      <c r="K521">
        <v>0.1212</v>
      </c>
      <c r="L521">
        <v>0.3</v>
      </c>
      <c r="M521">
        <v>0.25369999999999998</v>
      </c>
      <c r="N521">
        <v>5</v>
      </c>
      <c r="O521">
        <v>44</v>
      </c>
      <c r="P521">
        <v>49</v>
      </c>
      <c r="Q521" t="str">
        <f t="shared" si="64"/>
        <v>Complete</v>
      </c>
      <c r="R521">
        <f t="shared" si="71"/>
        <v>0.1212</v>
      </c>
      <c r="S521">
        <f t="shared" si="65"/>
        <v>2011</v>
      </c>
      <c r="T521" t="str">
        <f t="shared" si="66"/>
        <v>January</v>
      </c>
      <c r="U521" t="str">
        <f t="shared" si="67"/>
        <v>Sunday</v>
      </c>
      <c r="V521" t="str">
        <f t="shared" si="68"/>
        <v>Evening</v>
      </c>
      <c r="W521" t="str">
        <f t="shared" si="69"/>
        <v>Spring</v>
      </c>
      <c r="X521" t="str">
        <f t="shared" si="70"/>
        <v>Clear</v>
      </c>
    </row>
    <row r="522" spans="1:24">
      <c r="A522">
        <v>521</v>
      </c>
      <c r="B522" s="2">
        <v>40566</v>
      </c>
      <c r="C522">
        <v>1</v>
      </c>
      <c r="D522">
        <v>0</v>
      </c>
      <c r="E522">
        <v>1</v>
      </c>
      <c r="F522">
        <v>19</v>
      </c>
      <c r="G522" t="b">
        <v>0</v>
      </c>
      <c r="H522">
        <v>0</v>
      </c>
      <c r="I522">
        <v>1</v>
      </c>
      <c r="J522">
        <v>0.12</v>
      </c>
      <c r="K522">
        <v>0.1212</v>
      </c>
      <c r="L522">
        <v>0.3</v>
      </c>
      <c r="M522">
        <v>0.28360000000000002</v>
      </c>
      <c r="N522">
        <v>5</v>
      </c>
      <c r="O522">
        <v>45</v>
      </c>
      <c r="P522">
        <v>50</v>
      </c>
      <c r="Q522" t="str">
        <f t="shared" si="64"/>
        <v>Complete</v>
      </c>
      <c r="R522">
        <f t="shared" si="71"/>
        <v>0.1212</v>
      </c>
      <c r="S522">
        <f t="shared" si="65"/>
        <v>2011</v>
      </c>
      <c r="T522" t="str">
        <f t="shared" si="66"/>
        <v>January</v>
      </c>
      <c r="U522" t="str">
        <f t="shared" si="67"/>
        <v>Sunday</v>
      </c>
      <c r="V522" t="str">
        <f t="shared" si="68"/>
        <v>Evening</v>
      </c>
      <c r="W522" t="str">
        <f t="shared" si="69"/>
        <v>Spring</v>
      </c>
      <c r="X522" t="str">
        <f t="shared" si="70"/>
        <v>Clear</v>
      </c>
    </row>
    <row r="523" spans="1:24">
      <c r="A523">
        <v>522</v>
      </c>
      <c r="B523" s="2">
        <v>40566</v>
      </c>
      <c r="C523">
        <v>1</v>
      </c>
      <c r="D523">
        <v>0</v>
      </c>
      <c r="E523">
        <v>1</v>
      </c>
      <c r="F523">
        <v>20</v>
      </c>
      <c r="G523" t="b">
        <v>0</v>
      </c>
      <c r="H523">
        <v>0</v>
      </c>
      <c r="I523">
        <v>1</v>
      </c>
      <c r="J523">
        <v>0.1</v>
      </c>
      <c r="K523">
        <v>0.1061</v>
      </c>
      <c r="L523">
        <v>0.36</v>
      </c>
      <c r="M523">
        <v>0.25369999999999998</v>
      </c>
      <c r="N523">
        <v>4</v>
      </c>
      <c r="O523">
        <v>31</v>
      </c>
      <c r="P523">
        <v>35</v>
      </c>
      <c r="Q523" t="str">
        <f t="shared" si="64"/>
        <v>Complete</v>
      </c>
      <c r="R523">
        <f t="shared" si="71"/>
        <v>0.1061</v>
      </c>
      <c r="S523">
        <f t="shared" si="65"/>
        <v>2011</v>
      </c>
      <c r="T523" t="str">
        <f t="shared" si="66"/>
        <v>January</v>
      </c>
      <c r="U523" t="str">
        <f t="shared" si="67"/>
        <v>Sunday</v>
      </c>
      <c r="V523" t="str">
        <f t="shared" si="68"/>
        <v>Evening</v>
      </c>
      <c r="W523" t="str">
        <f t="shared" si="69"/>
        <v>Spring</v>
      </c>
      <c r="X523" t="str">
        <f t="shared" si="70"/>
        <v>Clear</v>
      </c>
    </row>
    <row r="524" spans="1:24">
      <c r="A524">
        <v>523</v>
      </c>
      <c r="B524" s="2">
        <v>40566</v>
      </c>
      <c r="C524">
        <v>1</v>
      </c>
      <c r="D524">
        <v>0</v>
      </c>
      <c r="E524">
        <v>1</v>
      </c>
      <c r="F524">
        <v>21</v>
      </c>
      <c r="G524" t="b">
        <v>0</v>
      </c>
      <c r="H524">
        <v>0</v>
      </c>
      <c r="I524">
        <v>1</v>
      </c>
      <c r="J524">
        <v>0.1</v>
      </c>
      <c r="K524">
        <v>0.1061</v>
      </c>
      <c r="L524">
        <v>0.36</v>
      </c>
      <c r="M524">
        <v>0.19400000000000001</v>
      </c>
      <c r="N524">
        <v>5</v>
      </c>
      <c r="O524">
        <v>20</v>
      </c>
      <c r="P524">
        <v>25</v>
      </c>
      <c r="Q524" t="str">
        <f t="shared" si="64"/>
        <v>Complete</v>
      </c>
      <c r="R524">
        <f t="shared" si="71"/>
        <v>0.1061</v>
      </c>
      <c r="S524">
        <f t="shared" si="65"/>
        <v>2011</v>
      </c>
      <c r="T524" t="str">
        <f t="shared" si="66"/>
        <v>January</v>
      </c>
      <c r="U524" t="str">
        <f t="shared" si="67"/>
        <v>Sunday</v>
      </c>
      <c r="V524" t="str">
        <f t="shared" si="68"/>
        <v>Evening</v>
      </c>
      <c r="W524" t="str">
        <f t="shared" si="69"/>
        <v>Spring</v>
      </c>
      <c r="X524" t="str">
        <f t="shared" si="70"/>
        <v>Clear</v>
      </c>
    </row>
    <row r="525" spans="1:24">
      <c r="A525">
        <v>524</v>
      </c>
      <c r="B525" s="2">
        <v>40566</v>
      </c>
      <c r="C525">
        <v>1</v>
      </c>
      <c r="D525">
        <v>0</v>
      </c>
      <c r="E525">
        <v>1</v>
      </c>
      <c r="F525">
        <v>22</v>
      </c>
      <c r="G525" t="b">
        <v>0</v>
      </c>
      <c r="H525">
        <v>0</v>
      </c>
      <c r="I525">
        <v>1</v>
      </c>
      <c r="J525">
        <v>0.08</v>
      </c>
      <c r="K525">
        <v>9.0899999999999995E-2</v>
      </c>
      <c r="L525">
        <v>0.38</v>
      </c>
      <c r="M525">
        <v>0.19400000000000001</v>
      </c>
      <c r="N525">
        <v>5</v>
      </c>
      <c r="O525">
        <v>23</v>
      </c>
      <c r="P525">
        <v>28</v>
      </c>
      <c r="Q525" t="str">
        <f t="shared" si="64"/>
        <v>Complete</v>
      </c>
      <c r="R525">
        <f t="shared" si="71"/>
        <v>9.0899999999999995E-2</v>
      </c>
      <c r="S525">
        <f t="shared" si="65"/>
        <v>2011</v>
      </c>
      <c r="T525" t="str">
        <f t="shared" si="66"/>
        <v>January</v>
      </c>
      <c r="U525" t="str">
        <f t="shared" si="67"/>
        <v>Sunday</v>
      </c>
      <c r="V525" t="str">
        <f t="shared" si="68"/>
        <v>Evening</v>
      </c>
      <c r="W525" t="str">
        <f t="shared" si="69"/>
        <v>Spring</v>
      </c>
      <c r="X525" t="str">
        <f t="shared" si="70"/>
        <v>Clear</v>
      </c>
    </row>
    <row r="526" spans="1:24">
      <c r="A526">
        <v>525</v>
      </c>
      <c r="B526" s="2">
        <v>40566</v>
      </c>
      <c r="C526">
        <v>1</v>
      </c>
      <c r="D526">
        <v>0</v>
      </c>
      <c r="E526">
        <v>1</v>
      </c>
      <c r="F526">
        <v>23</v>
      </c>
      <c r="G526" t="b">
        <v>0</v>
      </c>
      <c r="H526">
        <v>0</v>
      </c>
      <c r="I526">
        <v>1</v>
      </c>
      <c r="J526">
        <v>0.06</v>
      </c>
      <c r="K526">
        <v>6.0600000000000001E-2</v>
      </c>
      <c r="L526">
        <v>0.41</v>
      </c>
      <c r="M526">
        <v>0.22389999999999999</v>
      </c>
      <c r="N526">
        <v>4</v>
      </c>
      <c r="O526">
        <v>17</v>
      </c>
      <c r="P526">
        <v>21</v>
      </c>
      <c r="Q526" t="str">
        <f t="shared" si="64"/>
        <v>Complete</v>
      </c>
      <c r="R526">
        <f t="shared" si="71"/>
        <v>6.0600000000000001E-2</v>
      </c>
      <c r="S526">
        <f t="shared" si="65"/>
        <v>2011</v>
      </c>
      <c r="T526" t="str">
        <f t="shared" si="66"/>
        <v>January</v>
      </c>
      <c r="U526" t="str">
        <f t="shared" si="67"/>
        <v>Sunday</v>
      </c>
      <c r="V526" t="str">
        <f t="shared" si="68"/>
        <v>Evening</v>
      </c>
      <c r="W526" t="str">
        <f t="shared" si="69"/>
        <v>Spring</v>
      </c>
      <c r="X526" t="str">
        <f t="shared" si="70"/>
        <v>Clear</v>
      </c>
    </row>
    <row r="527" spans="1:24">
      <c r="A527">
        <v>526</v>
      </c>
      <c r="B527" s="2">
        <v>40567</v>
      </c>
      <c r="C527">
        <v>1</v>
      </c>
      <c r="D527">
        <v>0</v>
      </c>
      <c r="E527">
        <v>1</v>
      </c>
      <c r="F527">
        <v>0</v>
      </c>
      <c r="G527" t="b">
        <v>0</v>
      </c>
      <c r="H527">
        <v>1</v>
      </c>
      <c r="I527">
        <v>1</v>
      </c>
      <c r="J527">
        <v>0.06</v>
      </c>
      <c r="K527">
        <v>6.0600000000000001E-2</v>
      </c>
      <c r="L527">
        <v>0.41</v>
      </c>
      <c r="M527">
        <v>0.19400000000000001</v>
      </c>
      <c r="N527">
        <v>0</v>
      </c>
      <c r="O527">
        <v>7</v>
      </c>
      <c r="P527">
        <v>7</v>
      </c>
      <c r="Q527" t="str">
        <f t="shared" si="64"/>
        <v>Complete</v>
      </c>
      <c r="R527">
        <f t="shared" si="71"/>
        <v>6.0600000000000001E-2</v>
      </c>
      <c r="S527">
        <f t="shared" si="65"/>
        <v>2011</v>
      </c>
      <c r="T527" t="str">
        <f t="shared" si="66"/>
        <v>January</v>
      </c>
      <c r="U527" t="str">
        <f t="shared" si="67"/>
        <v>Weekday</v>
      </c>
      <c r="V527" t="str">
        <f t="shared" si="68"/>
        <v>Night</v>
      </c>
      <c r="W527" t="str">
        <f t="shared" si="69"/>
        <v>Spring</v>
      </c>
      <c r="X527" t="str">
        <f t="shared" si="70"/>
        <v>Clear</v>
      </c>
    </row>
    <row r="528" spans="1:24">
      <c r="A528">
        <v>527</v>
      </c>
      <c r="B528" s="2">
        <v>40567</v>
      </c>
      <c r="C528">
        <v>1</v>
      </c>
      <c r="D528">
        <v>0</v>
      </c>
      <c r="E528">
        <v>1</v>
      </c>
      <c r="F528">
        <v>1</v>
      </c>
      <c r="G528" t="b">
        <v>0</v>
      </c>
      <c r="H528">
        <v>1</v>
      </c>
      <c r="I528">
        <v>1</v>
      </c>
      <c r="J528">
        <v>0.04</v>
      </c>
      <c r="K528">
        <v>4.5499999999999999E-2</v>
      </c>
      <c r="L528">
        <v>0.45</v>
      </c>
      <c r="M528">
        <v>0.19400000000000001</v>
      </c>
      <c r="N528">
        <v>0</v>
      </c>
      <c r="O528">
        <v>1</v>
      </c>
      <c r="P528">
        <v>1</v>
      </c>
      <c r="Q528" t="str">
        <f t="shared" si="64"/>
        <v>Complete</v>
      </c>
      <c r="R528">
        <f t="shared" si="71"/>
        <v>4.5499999999999999E-2</v>
      </c>
      <c r="S528">
        <f t="shared" si="65"/>
        <v>2011</v>
      </c>
      <c r="T528" t="str">
        <f t="shared" si="66"/>
        <v>January</v>
      </c>
      <c r="U528" t="str">
        <f t="shared" si="67"/>
        <v>Weekday</v>
      </c>
      <c r="V528" t="str">
        <f t="shared" si="68"/>
        <v>Night</v>
      </c>
      <c r="W528" t="str">
        <f t="shared" si="69"/>
        <v>Spring</v>
      </c>
      <c r="X528" t="str">
        <f t="shared" si="70"/>
        <v>Clear</v>
      </c>
    </row>
    <row r="529" spans="1:24">
      <c r="A529">
        <v>528</v>
      </c>
      <c r="B529" s="2">
        <v>40567</v>
      </c>
      <c r="C529">
        <v>1</v>
      </c>
      <c r="D529">
        <v>0</v>
      </c>
      <c r="E529">
        <v>1</v>
      </c>
      <c r="F529">
        <v>3</v>
      </c>
      <c r="G529" t="b">
        <v>0</v>
      </c>
      <c r="H529">
        <v>1</v>
      </c>
      <c r="I529">
        <v>1</v>
      </c>
      <c r="J529">
        <v>0.04</v>
      </c>
      <c r="K529">
        <v>3.0300000000000001E-2</v>
      </c>
      <c r="L529">
        <v>0.45</v>
      </c>
      <c r="M529">
        <v>0.25369999999999998</v>
      </c>
      <c r="N529">
        <v>0</v>
      </c>
      <c r="O529">
        <v>1</v>
      </c>
      <c r="P529">
        <v>1</v>
      </c>
      <c r="Q529" t="str">
        <f t="shared" si="64"/>
        <v>Complete</v>
      </c>
      <c r="R529">
        <f t="shared" si="71"/>
        <v>3.0300000000000001E-2</v>
      </c>
      <c r="S529">
        <f t="shared" si="65"/>
        <v>2011</v>
      </c>
      <c r="T529" t="str">
        <f t="shared" si="66"/>
        <v>January</v>
      </c>
      <c r="U529" t="str">
        <f t="shared" si="67"/>
        <v>Weekday</v>
      </c>
      <c r="V529" t="str">
        <f t="shared" si="68"/>
        <v>Night</v>
      </c>
      <c r="W529" t="str">
        <f t="shared" si="69"/>
        <v>Spring</v>
      </c>
      <c r="X529" t="str">
        <f t="shared" si="70"/>
        <v>Clear</v>
      </c>
    </row>
    <row r="530" spans="1:24">
      <c r="A530">
        <v>529</v>
      </c>
      <c r="B530" s="2">
        <v>40567</v>
      </c>
      <c r="C530">
        <v>1</v>
      </c>
      <c r="D530">
        <v>0</v>
      </c>
      <c r="E530">
        <v>1</v>
      </c>
      <c r="F530">
        <v>4</v>
      </c>
      <c r="G530" t="b">
        <v>0</v>
      </c>
      <c r="H530">
        <v>1</v>
      </c>
      <c r="I530">
        <v>1</v>
      </c>
      <c r="J530">
        <v>0.02</v>
      </c>
      <c r="K530">
        <v>6.0600000000000001E-2</v>
      </c>
      <c r="L530">
        <v>0.48</v>
      </c>
      <c r="M530">
        <v>0.1343</v>
      </c>
      <c r="N530">
        <v>0</v>
      </c>
      <c r="O530">
        <v>1</v>
      </c>
      <c r="P530">
        <v>1</v>
      </c>
      <c r="Q530" t="str">
        <f t="shared" si="64"/>
        <v>Complete</v>
      </c>
      <c r="R530">
        <f t="shared" si="71"/>
        <v>6.0600000000000001E-2</v>
      </c>
      <c r="S530">
        <f t="shared" si="65"/>
        <v>2011</v>
      </c>
      <c r="T530" t="str">
        <f t="shared" si="66"/>
        <v>January</v>
      </c>
      <c r="U530" t="str">
        <f t="shared" si="67"/>
        <v>Weekday</v>
      </c>
      <c r="V530" t="str">
        <f t="shared" si="68"/>
        <v>Night</v>
      </c>
      <c r="W530" t="str">
        <f t="shared" si="69"/>
        <v>Spring</v>
      </c>
      <c r="X530" t="str">
        <f t="shared" si="70"/>
        <v>Clear</v>
      </c>
    </row>
    <row r="531" spans="1:24">
      <c r="A531">
        <v>530</v>
      </c>
      <c r="B531" s="2">
        <v>40567</v>
      </c>
      <c r="C531">
        <v>1</v>
      </c>
      <c r="D531">
        <v>0</v>
      </c>
      <c r="E531">
        <v>1</v>
      </c>
      <c r="F531">
        <v>5</v>
      </c>
      <c r="G531" t="b">
        <v>0</v>
      </c>
      <c r="H531">
        <v>1</v>
      </c>
      <c r="I531">
        <v>1</v>
      </c>
      <c r="J531">
        <v>0.02</v>
      </c>
      <c r="K531">
        <v>6.0600000000000001E-2</v>
      </c>
      <c r="L531">
        <v>0.48</v>
      </c>
      <c r="M531">
        <v>0.1343</v>
      </c>
      <c r="N531">
        <v>0</v>
      </c>
      <c r="O531">
        <v>5</v>
      </c>
      <c r="P531">
        <v>5</v>
      </c>
      <c r="Q531" t="str">
        <f t="shared" si="64"/>
        <v>Complete</v>
      </c>
      <c r="R531">
        <f t="shared" si="71"/>
        <v>6.0600000000000001E-2</v>
      </c>
      <c r="S531">
        <f t="shared" si="65"/>
        <v>2011</v>
      </c>
      <c r="T531" t="str">
        <f t="shared" si="66"/>
        <v>January</v>
      </c>
      <c r="U531" t="str">
        <f t="shared" si="67"/>
        <v>Weekday</v>
      </c>
      <c r="V531" t="str">
        <f t="shared" si="68"/>
        <v>Night</v>
      </c>
      <c r="W531" t="str">
        <f t="shared" si="69"/>
        <v>Spring</v>
      </c>
      <c r="X531" t="str">
        <f t="shared" si="70"/>
        <v>Clear</v>
      </c>
    </row>
    <row r="532" spans="1:24">
      <c r="A532">
        <v>531</v>
      </c>
      <c r="B532" s="2">
        <v>40567</v>
      </c>
      <c r="C532">
        <v>1</v>
      </c>
      <c r="D532">
        <v>0</v>
      </c>
      <c r="E532">
        <v>1</v>
      </c>
      <c r="F532">
        <v>6</v>
      </c>
      <c r="G532" t="b">
        <v>0</v>
      </c>
      <c r="H532">
        <v>1</v>
      </c>
      <c r="I532">
        <v>1</v>
      </c>
      <c r="J532">
        <v>0.02</v>
      </c>
      <c r="K532">
        <v>7.5800000000000006E-2</v>
      </c>
      <c r="L532">
        <v>0.48</v>
      </c>
      <c r="M532">
        <v>8.9599999999999999E-2</v>
      </c>
      <c r="N532">
        <v>0</v>
      </c>
      <c r="O532">
        <v>15</v>
      </c>
      <c r="P532">
        <v>15</v>
      </c>
      <c r="Q532" t="str">
        <f t="shared" si="64"/>
        <v>Complete</v>
      </c>
      <c r="R532">
        <f t="shared" si="71"/>
        <v>7.5800000000000006E-2</v>
      </c>
      <c r="S532">
        <f t="shared" si="65"/>
        <v>2011</v>
      </c>
      <c r="T532" t="str">
        <f t="shared" si="66"/>
        <v>January</v>
      </c>
      <c r="U532" t="str">
        <f t="shared" si="67"/>
        <v>Weekday</v>
      </c>
      <c r="V532" t="str">
        <f t="shared" si="68"/>
        <v>Morning</v>
      </c>
      <c r="W532" t="str">
        <f t="shared" si="69"/>
        <v>Spring</v>
      </c>
      <c r="X532" t="str">
        <f t="shared" si="70"/>
        <v>Clear</v>
      </c>
    </row>
    <row r="533" spans="1:24">
      <c r="A533">
        <v>532</v>
      </c>
      <c r="B533" s="2">
        <v>40567</v>
      </c>
      <c r="C533">
        <v>1</v>
      </c>
      <c r="D533">
        <v>0</v>
      </c>
      <c r="E533">
        <v>1</v>
      </c>
      <c r="F533">
        <v>7</v>
      </c>
      <c r="G533" t="b">
        <v>0</v>
      </c>
      <c r="H533">
        <v>1</v>
      </c>
      <c r="I533">
        <v>1</v>
      </c>
      <c r="J533">
        <v>0.02</v>
      </c>
      <c r="K533">
        <v>0.1212</v>
      </c>
      <c r="L533">
        <v>0.48</v>
      </c>
      <c r="M533">
        <v>0</v>
      </c>
      <c r="N533">
        <v>5</v>
      </c>
      <c r="O533">
        <v>79</v>
      </c>
      <c r="P533">
        <v>84</v>
      </c>
      <c r="Q533" t="str">
        <f t="shared" si="64"/>
        <v>Complete</v>
      </c>
      <c r="R533">
        <f t="shared" si="71"/>
        <v>0.1212</v>
      </c>
      <c r="S533">
        <f t="shared" si="65"/>
        <v>2011</v>
      </c>
      <c r="T533" t="str">
        <f t="shared" si="66"/>
        <v>January</v>
      </c>
      <c r="U533" t="str">
        <f t="shared" si="67"/>
        <v>Weekday</v>
      </c>
      <c r="V533" t="str">
        <f t="shared" si="68"/>
        <v>Morning</v>
      </c>
      <c r="W533" t="str">
        <f t="shared" si="69"/>
        <v>Spring</v>
      </c>
      <c r="X533" t="str">
        <f t="shared" si="70"/>
        <v>Clear</v>
      </c>
    </row>
    <row r="534" spans="1:24">
      <c r="A534">
        <v>533</v>
      </c>
      <c r="B534" s="2">
        <v>40567</v>
      </c>
      <c r="C534">
        <v>1</v>
      </c>
      <c r="D534">
        <v>0</v>
      </c>
      <c r="E534">
        <v>1</v>
      </c>
      <c r="F534">
        <v>8</v>
      </c>
      <c r="G534" t="b">
        <v>0</v>
      </c>
      <c r="H534">
        <v>1</v>
      </c>
      <c r="I534">
        <v>1</v>
      </c>
      <c r="J534">
        <v>0.04</v>
      </c>
      <c r="K534">
        <v>0.13639999999999999</v>
      </c>
      <c r="L534">
        <v>0.49</v>
      </c>
      <c r="M534">
        <v>0</v>
      </c>
      <c r="N534">
        <v>6</v>
      </c>
      <c r="O534">
        <v>171</v>
      </c>
      <c r="P534">
        <v>177</v>
      </c>
      <c r="Q534" t="str">
        <f t="shared" si="64"/>
        <v>Complete</v>
      </c>
      <c r="R534">
        <f t="shared" si="71"/>
        <v>0.13639999999999999</v>
      </c>
      <c r="S534">
        <f t="shared" si="65"/>
        <v>2011</v>
      </c>
      <c r="T534" t="str">
        <f t="shared" si="66"/>
        <v>January</v>
      </c>
      <c r="U534" t="str">
        <f t="shared" si="67"/>
        <v>Weekday</v>
      </c>
      <c r="V534" t="str">
        <f t="shared" si="68"/>
        <v>Morning</v>
      </c>
      <c r="W534" t="str">
        <f t="shared" si="69"/>
        <v>Spring</v>
      </c>
      <c r="X534" t="str">
        <f t="shared" si="70"/>
        <v>Clear</v>
      </c>
    </row>
    <row r="535" spans="1:24">
      <c r="A535">
        <v>534</v>
      </c>
      <c r="B535" s="2">
        <v>40567</v>
      </c>
      <c r="C535">
        <v>1</v>
      </c>
      <c r="D535">
        <v>0</v>
      </c>
      <c r="E535">
        <v>1</v>
      </c>
      <c r="F535">
        <v>9</v>
      </c>
      <c r="G535" t="b">
        <v>0</v>
      </c>
      <c r="H535">
        <v>1</v>
      </c>
      <c r="I535">
        <v>1</v>
      </c>
      <c r="J535">
        <v>0.06</v>
      </c>
      <c r="K535">
        <v>0.1515</v>
      </c>
      <c r="L535">
        <v>0.41</v>
      </c>
      <c r="M535">
        <v>0</v>
      </c>
      <c r="N535">
        <v>4</v>
      </c>
      <c r="O535">
        <v>98</v>
      </c>
      <c r="P535">
        <v>102</v>
      </c>
      <c r="Q535" t="str">
        <f t="shared" si="64"/>
        <v>Complete</v>
      </c>
      <c r="R535">
        <f t="shared" si="71"/>
        <v>0.1515</v>
      </c>
      <c r="S535">
        <f t="shared" si="65"/>
        <v>2011</v>
      </c>
      <c r="T535" t="str">
        <f t="shared" si="66"/>
        <v>January</v>
      </c>
      <c r="U535" t="str">
        <f t="shared" si="67"/>
        <v>Weekday</v>
      </c>
      <c r="V535" t="str">
        <f t="shared" si="68"/>
        <v>Morning</v>
      </c>
      <c r="W535" t="str">
        <f t="shared" si="69"/>
        <v>Spring</v>
      </c>
      <c r="X535" t="str">
        <f t="shared" si="70"/>
        <v>Clear</v>
      </c>
    </row>
    <row r="536" spans="1:24">
      <c r="A536">
        <v>535</v>
      </c>
      <c r="B536" s="2">
        <v>40567</v>
      </c>
      <c r="C536">
        <v>1</v>
      </c>
      <c r="D536">
        <v>0</v>
      </c>
      <c r="E536">
        <v>1</v>
      </c>
      <c r="F536">
        <v>10</v>
      </c>
      <c r="G536" t="b">
        <v>0</v>
      </c>
      <c r="H536">
        <v>1</v>
      </c>
      <c r="I536">
        <v>1</v>
      </c>
      <c r="J536">
        <v>0.1</v>
      </c>
      <c r="K536">
        <v>0.13639999999999999</v>
      </c>
      <c r="L536">
        <v>0.42</v>
      </c>
      <c r="M536">
        <v>0</v>
      </c>
      <c r="N536">
        <v>6</v>
      </c>
      <c r="O536">
        <v>34</v>
      </c>
      <c r="P536">
        <v>40</v>
      </c>
      <c r="Q536" t="str">
        <f t="shared" si="64"/>
        <v>Complete</v>
      </c>
      <c r="R536">
        <f t="shared" si="71"/>
        <v>0.13639999999999999</v>
      </c>
      <c r="S536">
        <f t="shared" si="65"/>
        <v>2011</v>
      </c>
      <c r="T536" t="str">
        <f t="shared" si="66"/>
        <v>January</v>
      </c>
      <c r="U536" t="str">
        <f t="shared" si="67"/>
        <v>Weekday</v>
      </c>
      <c r="V536" t="str">
        <f t="shared" si="68"/>
        <v>Morning</v>
      </c>
      <c r="W536" t="str">
        <f t="shared" si="69"/>
        <v>Spring</v>
      </c>
      <c r="X536" t="str">
        <f t="shared" si="70"/>
        <v>Clear</v>
      </c>
    </row>
    <row r="537" spans="1:24">
      <c r="A537">
        <v>536</v>
      </c>
      <c r="B537" s="2">
        <v>40567</v>
      </c>
      <c r="C537">
        <v>1</v>
      </c>
      <c r="D537">
        <v>0</v>
      </c>
      <c r="E537">
        <v>1</v>
      </c>
      <c r="F537">
        <v>11</v>
      </c>
      <c r="G537" t="b">
        <v>0</v>
      </c>
      <c r="H537">
        <v>1</v>
      </c>
      <c r="I537">
        <v>1</v>
      </c>
      <c r="J537">
        <v>0.1</v>
      </c>
      <c r="K537">
        <v>0.1212</v>
      </c>
      <c r="L537">
        <v>0.46</v>
      </c>
      <c r="M537">
        <v>0.1343</v>
      </c>
      <c r="N537">
        <v>3</v>
      </c>
      <c r="O537">
        <v>43</v>
      </c>
      <c r="P537">
        <v>46</v>
      </c>
      <c r="Q537" t="str">
        <f t="shared" si="64"/>
        <v>Complete</v>
      </c>
      <c r="R537">
        <f t="shared" si="71"/>
        <v>0.1212</v>
      </c>
      <c r="S537">
        <f t="shared" si="65"/>
        <v>2011</v>
      </c>
      <c r="T537" t="str">
        <f t="shared" si="66"/>
        <v>January</v>
      </c>
      <c r="U537" t="str">
        <f t="shared" si="67"/>
        <v>Weekday</v>
      </c>
      <c r="V537" t="str">
        <f t="shared" si="68"/>
        <v>Morning</v>
      </c>
      <c r="W537" t="str">
        <f t="shared" si="69"/>
        <v>Spring</v>
      </c>
      <c r="X537" t="str">
        <f t="shared" si="70"/>
        <v>Clear</v>
      </c>
    </row>
    <row r="538" spans="1:24">
      <c r="A538">
        <v>537</v>
      </c>
      <c r="B538" s="2">
        <v>40567</v>
      </c>
      <c r="C538">
        <v>1</v>
      </c>
      <c r="D538">
        <v>0</v>
      </c>
      <c r="E538">
        <v>1</v>
      </c>
      <c r="F538">
        <v>12</v>
      </c>
      <c r="G538" t="b">
        <v>0</v>
      </c>
      <c r="H538">
        <v>1</v>
      </c>
      <c r="I538">
        <v>2</v>
      </c>
      <c r="J538">
        <v>0.12</v>
      </c>
      <c r="K538">
        <v>0.13639999999999999</v>
      </c>
      <c r="L538">
        <v>0.42</v>
      </c>
      <c r="M538">
        <v>0.19400000000000001</v>
      </c>
      <c r="N538">
        <v>11</v>
      </c>
      <c r="O538">
        <v>52</v>
      </c>
      <c r="P538">
        <v>63</v>
      </c>
      <c r="Q538" t="str">
        <f t="shared" si="64"/>
        <v>Complete</v>
      </c>
      <c r="R538">
        <f t="shared" si="71"/>
        <v>0.13639999999999999</v>
      </c>
      <c r="S538">
        <f t="shared" si="65"/>
        <v>2011</v>
      </c>
      <c r="T538" t="str">
        <f t="shared" si="66"/>
        <v>January</v>
      </c>
      <c r="U538" t="str">
        <f t="shared" si="67"/>
        <v>Weekday</v>
      </c>
      <c r="V538" t="str">
        <f t="shared" si="68"/>
        <v>Afternoon</v>
      </c>
      <c r="W538" t="str">
        <f t="shared" si="69"/>
        <v>Spring</v>
      </c>
      <c r="X538" t="str">
        <f t="shared" si="70"/>
        <v>Mist/Cloudy</v>
      </c>
    </row>
    <row r="539" spans="1:24">
      <c r="A539">
        <v>538</v>
      </c>
      <c r="B539" s="2">
        <v>40567</v>
      </c>
      <c r="C539">
        <v>1</v>
      </c>
      <c r="D539">
        <v>0</v>
      </c>
      <c r="E539">
        <v>1</v>
      </c>
      <c r="F539">
        <v>13</v>
      </c>
      <c r="G539" t="b">
        <v>0</v>
      </c>
      <c r="H539">
        <v>1</v>
      </c>
      <c r="I539">
        <v>2</v>
      </c>
      <c r="J539">
        <v>0.14000000000000001</v>
      </c>
      <c r="K539">
        <v>0.13639999999999999</v>
      </c>
      <c r="L539">
        <v>0.43</v>
      </c>
      <c r="M539">
        <v>0.22389999999999999</v>
      </c>
      <c r="N539">
        <v>6</v>
      </c>
      <c r="O539">
        <v>54</v>
      </c>
      <c r="P539">
        <v>60</v>
      </c>
      <c r="Q539" t="str">
        <f t="shared" si="64"/>
        <v>Complete</v>
      </c>
      <c r="R539">
        <f t="shared" si="71"/>
        <v>0.13639999999999999</v>
      </c>
      <c r="S539">
        <f t="shared" si="65"/>
        <v>2011</v>
      </c>
      <c r="T539" t="str">
        <f t="shared" si="66"/>
        <v>January</v>
      </c>
      <c r="U539" t="str">
        <f t="shared" si="67"/>
        <v>Weekday</v>
      </c>
      <c r="V539" t="str">
        <f t="shared" si="68"/>
        <v>Afternoon</v>
      </c>
      <c r="W539" t="str">
        <f t="shared" si="69"/>
        <v>Spring</v>
      </c>
      <c r="X539" t="str">
        <f t="shared" si="70"/>
        <v>Mist/Cloudy</v>
      </c>
    </row>
    <row r="540" spans="1:24">
      <c r="A540">
        <v>539</v>
      </c>
      <c r="B540" s="2">
        <v>40567</v>
      </c>
      <c r="C540">
        <v>1</v>
      </c>
      <c r="D540">
        <v>0</v>
      </c>
      <c r="E540">
        <v>1</v>
      </c>
      <c r="F540">
        <v>14</v>
      </c>
      <c r="G540" t="b">
        <v>0</v>
      </c>
      <c r="H540">
        <v>1</v>
      </c>
      <c r="I540">
        <v>2</v>
      </c>
      <c r="J540">
        <v>0.14000000000000001</v>
      </c>
      <c r="K540">
        <v>0.13639999999999999</v>
      </c>
      <c r="L540">
        <v>0.46</v>
      </c>
      <c r="M540">
        <v>0.22389999999999999</v>
      </c>
      <c r="N540">
        <v>2</v>
      </c>
      <c r="O540">
        <v>43</v>
      </c>
      <c r="P540">
        <v>45</v>
      </c>
      <c r="Q540" t="str">
        <f t="shared" si="64"/>
        <v>Complete</v>
      </c>
      <c r="R540">
        <f t="shared" si="71"/>
        <v>0.13639999999999999</v>
      </c>
      <c r="S540">
        <f t="shared" si="65"/>
        <v>2011</v>
      </c>
      <c r="T540" t="str">
        <f t="shared" si="66"/>
        <v>January</v>
      </c>
      <c r="U540" t="str">
        <f t="shared" si="67"/>
        <v>Weekday</v>
      </c>
      <c r="V540" t="str">
        <f t="shared" si="68"/>
        <v>Afternoon</v>
      </c>
      <c r="W540" t="str">
        <f t="shared" si="69"/>
        <v>Spring</v>
      </c>
      <c r="X540" t="str">
        <f t="shared" si="70"/>
        <v>Mist/Cloudy</v>
      </c>
    </row>
    <row r="541" spans="1:24">
      <c r="A541">
        <v>540</v>
      </c>
      <c r="B541" s="2">
        <v>40567</v>
      </c>
      <c r="C541">
        <v>1</v>
      </c>
      <c r="D541">
        <v>0</v>
      </c>
      <c r="E541">
        <v>1</v>
      </c>
      <c r="F541">
        <v>15</v>
      </c>
      <c r="G541" t="b">
        <v>0</v>
      </c>
      <c r="H541">
        <v>1</v>
      </c>
      <c r="I541">
        <v>1</v>
      </c>
      <c r="J541">
        <v>0.16</v>
      </c>
      <c r="K541">
        <v>0.16669999999999999</v>
      </c>
      <c r="L541">
        <v>0.4</v>
      </c>
      <c r="M541">
        <v>0.16420000000000001</v>
      </c>
      <c r="N541">
        <v>7</v>
      </c>
      <c r="O541">
        <v>50</v>
      </c>
      <c r="P541">
        <v>57</v>
      </c>
      <c r="Q541" t="str">
        <f t="shared" si="64"/>
        <v>Complete</v>
      </c>
      <c r="R541">
        <f t="shared" si="71"/>
        <v>0.16669999999999999</v>
      </c>
      <c r="S541">
        <f t="shared" si="65"/>
        <v>2011</v>
      </c>
      <c r="T541" t="str">
        <f t="shared" si="66"/>
        <v>January</v>
      </c>
      <c r="U541" t="str">
        <f t="shared" si="67"/>
        <v>Weekday</v>
      </c>
      <c r="V541" t="str">
        <f t="shared" si="68"/>
        <v>Afternoon</v>
      </c>
      <c r="W541" t="str">
        <f t="shared" si="69"/>
        <v>Spring</v>
      </c>
      <c r="X541" t="str">
        <f t="shared" si="70"/>
        <v>Clear</v>
      </c>
    </row>
    <row r="542" spans="1:24">
      <c r="A542">
        <v>541</v>
      </c>
      <c r="B542" s="2">
        <v>40567</v>
      </c>
      <c r="C542">
        <v>1</v>
      </c>
      <c r="D542">
        <v>0</v>
      </c>
      <c r="E542">
        <v>1</v>
      </c>
      <c r="F542">
        <v>16</v>
      </c>
      <c r="G542" t="b">
        <v>0</v>
      </c>
      <c r="H542">
        <v>1</v>
      </c>
      <c r="I542">
        <v>1</v>
      </c>
      <c r="J542">
        <v>0.16</v>
      </c>
      <c r="K542">
        <v>0.1515</v>
      </c>
      <c r="L542">
        <v>0.47</v>
      </c>
      <c r="M542">
        <v>0.25369999999999998</v>
      </c>
      <c r="N542">
        <v>4</v>
      </c>
      <c r="O542">
        <v>66</v>
      </c>
      <c r="P542">
        <v>70</v>
      </c>
      <c r="Q542" t="str">
        <f t="shared" si="64"/>
        <v>Complete</v>
      </c>
      <c r="R542">
        <f t="shared" si="71"/>
        <v>0.1515</v>
      </c>
      <c r="S542">
        <f t="shared" si="65"/>
        <v>2011</v>
      </c>
      <c r="T542" t="str">
        <f t="shared" si="66"/>
        <v>January</v>
      </c>
      <c r="U542" t="str">
        <f t="shared" si="67"/>
        <v>Weekday</v>
      </c>
      <c r="V542" t="str">
        <f t="shared" si="68"/>
        <v>Afternoon</v>
      </c>
      <c r="W542" t="str">
        <f t="shared" si="69"/>
        <v>Spring</v>
      </c>
      <c r="X542" t="str">
        <f t="shared" si="70"/>
        <v>Clear</v>
      </c>
    </row>
    <row r="543" spans="1:24">
      <c r="A543">
        <v>542</v>
      </c>
      <c r="B543" s="2">
        <v>40567</v>
      </c>
      <c r="C543">
        <v>1</v>
      </c>
      <c r="D543">
        <v>0</v>
      </c>
      <c r="E543">
        <v>1</v>
      </c>
      <c r="F543">
        <v>17</v>
      </c>
      <c r="G543" t="b">
        <v>0</v>
      </c>
      <c r="H543">
        <v>1</v>
      </c>
      <c r="I543">
        <v>1</v>
      </c>
      <c r="J543">
        <v>0.14000000000000001</v>
      </c>
      <c r="K543">
        <v>0.1212</v>
      </c>
      <c r="L543">
        <v>0.5</v>
      </c>
      <c r="M543">
        <v>0.25369999999999998</v>
      </c>
      <c r="N543">
        <v>6</v>
      </c>
      <c r="O543">
        <v>178</v>
      </c>
      <c r="P543">
        <v>184</v>
      </c>
      <c r="Q543" t="str">
        <f t="shared" si="64"/>
        <v>Complete</v>
      </c>
      <c r="R543">
        <f t="shared" si="71"/>
        <v>0.1212</v>
      </c>
      <c r="S543">
        <f t="shared" si="65"/>
        <v>2011</v>
      </c>
      <c r="T543" t="str">
        <f t="shared" si="66"/>
        <v>January</v>
      </c>
      <c r="U543" t="str">
        <f t="shared" si="67"/>
        <v>Weekday</v>
      </c>
      <c r="V543" t="str">
        <f t="shared" si="68"/>
        <v>Afternoon</v>
      </c>
      <c r="W543" t="str">
        <f t="shared" si="69"/>
        <v>Spring</v>
      </c>
      <c r="X543" t="str">
        <f t="shared" si="70"/>
        <v>Clear</v>
      </c>
    </row>
    <row r="544" spans="1:24">
      <c r="A544">
        <v>543</v>
      </c>
      <c r="B544" s="2">
        <v>40567</v>
      </c>
      <c r="C544">
        <v>1</v>
      </c>
      <c r="D544">
        <v>0</v>
      </c>
      <c r="E544">
        <v>1</v>
      </c>
      <c r="F544">
        <v>18</v>
      </c>
      <c r="G544" t="b">
        <v>0</v>
      </c>
      <c r="H544">
        <v>1</v>
      </c>
      <c r="I544">
        <v>1</v>
      </c>
      <c r="J544">
        <v>0.14000000000000001</v>
      </c>
      <c r="K544">
        <v>0.13639999999999999</v>
      </c>
      <c r="L544">
        <v>0.59</v>
      </c>
      <c r="M544">
        <v>0.19400000000000001</v>
      </c>
      <c r="N544">
        <v>8</v>
      </c>
      <c r="O544">
        <v>145</v>
      </c>
      <c r="P544">
        <v>153</v>
      </c>
      <c r="Q544" t="str">
        <f t="shared" si="64"/>
        <v>Complete</v>
      </c>
      <c r="R544">
        <f t="shared" si="71"/>
        <v>0.13639999999999999</v>
      </c>
      <c r="S544">
        <f t="shared" si="65"/>
        <v>2011</v>
      </c>
      <c r="T544" t="str">
        <f t="shared" si="66"/>
        <v>January</v>
      </c>
      <c r="U544" t="str">
        <f t="shared" si="67"/>
        <v>Weekday</v>
      </c>
      <c r="V544" t="str">
        <f t="shared" si="68"/>
        <v>Evening</v>
      </c>
      <c r="W544" t="str">
        <f t="shared" si="69"/>
        <v>Spring</v>
      </c>
      <c r="X544" t="str">
        <f t="shared" si="70"/>
        <v>Clear</v>
      </c>
    </row>
    <row r="545" spans="1:24">
      <c r="A545">
        <v>544</v>
      </c>
      <c r="B545" s="2">
        <v>40567</v>
      </c>
      <c r="C545">
        <v>1</v>
      </c>
      <c r="D545">
        <v>0</v>
      </c>
      <c r="E545">
        <v>1</v>
      </c>
      <c r="F545">
        <v>19</v>
      </c>
      <c r="G545" t="b">
        <v>0</v>
      </c>
      <c r="H545">
        <v>1</v>
      </c>
      <c r="I545">
        <v>1</v>
      </c>
      <c r="J545">
        <v>0.14000000000000001</v>
      </c>
      <c r="K545">
        <v>0.1515</v>
      </c>
      <c r="L545">
        <v>0.54</v>
      </c>
      <c r="M545">
        <v>0.16420000000000001</v>
      </c>
      <c r="N545">
        <v>5</v>
      </c>
      <c r="O545">
        <v>101</v>
      </c>
      <c r="P545">
        <v>106</v>
      </c>
      <c r="Q545" t="str">
        <f t="shared" si="64"/>
        <v>Complete</v>
      </c>
      <c r="R545">
        <f t="shared" si="71"/>
        <v>0.1515</v>
      </c>
      <c r="S545">
        <f t="shared" si="65"/>
        <v>2011</v>
      </c>
      <c r="T545" t="str">
        <f t="shared" si="66"/>
        <v>January</v>
      </c>
      <c r="U545" t="str">
        <f t="shared" si="67"/>
        <v>Weekday</v>
      </c>
      <c r="V545" t="str">
        <f t="shared" si="68"/>
        <v>Evening</v>
      </c>
      <c r="W545" t="str">
        <f t="shared" si="69"/>
        <v>Spring</v>
      </c>
      <c r="X545" t="str">
        <f t="shared" si="70"/>
        <v>Clear</v>
      </c>
    </row>
    <row r="546" spans="1:24">
      <c r="A546">
        <v>545</v>
      </c>
      <c r="B546" s="2">
        <v>40567</v>
      </c>
      <c r="C546">
        <v>1</v>
      </c>
      <c r="D546">
        <v>0</v>
      </c>
      <c r="E546">
        <v>1</v>
      </c>
      <c r="F546">
        <v>20</v>
      </c>
      <c r="G546" t="b">
        <v>0</v>
      </c>
      <c r="H546">
        <v>1</v>
      </c>
      <c r="I546">
        <v>1</v>
      </c>
      <c r="J546">
        <v>0.14000000000000001</v>
      </c>
      <c r="K546">
        <v>0.13639999999999999</v>
      </c>
      <c r="L546">
        <v>0.59</v>
      </c>
      <c r="M546">
        <v>0.19400000000000001</v>
      </c>
      <c r="N546">
        <v>1</v>
      </c>
      <c r="O546">
        <v>80</v>
      </c>
      <c r="P546">
        <v>81</v>
      </c>
      <c r="Q546" t="str">
        <f t="shared" si="64"/>
        <v>Complete</v>
      </c>
      <c r="R546">
        <f t="shared" si="71"/>
        <v>0.13639999999999999</v>
      </c>
      <c r="S546">
        <f t="shared" si="65"/>
        <v>2011</v>
      </c>
      <c r="T546" t="str">
        <f t="shared" si="66"/>
        <v>January</v>
      </c>
      <c r="U546" t="str">
        <f t="shared" si="67"/>
        <v>Weekday</v>
      </c>
      <c r="V546" t="str">
        <f t="shared" si="68"/>
        <v>Evening</v>
      </c>
      <c r="W546" t="str">
        <f t="shared" si="69"/>
        <v>Spring</v>
      </c>
      <c r="X546" t="str">
        <f t="shared" si="70"/>
        <v>Clear</v>
      </c>
    </row>
    <row r="547" spans="1:24">
      <c r="A547">
        <v>546</v>
      </c>
      <c r="B547" s="2">
        <v>40567</v>
      </c>
      <c r="C547">
        <v>1</v>
      </c>
      <c r="D547">
        <v>0</v>
      </c>
      <c r="E547">
        <v>1</v>
      </c>
      <c r="F547">
        <v>21</v>
      </c>
      <c r="G547" t="b">
        <v>0</v>
      </c>
      <c r="H547">
        <v>1</v>
      </c>
      <c r="I547">
        <v>1</v>
      </c>
      <c r="J547">
        <v>0.14000000000000001</v>
      </c>
      <c r="K547">
        <v>0.1515</v>
      </c>
      <c r="L547">
        <v>0.63</v>
      </c>
      <c r="M547">
        <v>0.16420000000000001</v>
      </c>
      <c r="N547">
        <v>6</v>
      </c>
      <c r="O547">
        <v>53</v>
      </c>
      <c r="P547">
        <v>59</v>
      </c>
      <c r="Q547" t="str">
        <f t="shared" si="64"/>
        <v>Complete</v>
      </c>
      <c r="R547">
        <f t="shared" si="71"/>
        <v>0.1515</v>
      </c>
      <c r="S547">
        <f t="shared" si="65"/>
        <v>2011</v>
      </c>
      <c r="T547" t="str">
        <f t="shared" si="66"/>
        <v>January</v>
      </c>
      <c r="U547" t="str">
        <f t="shared" si="67"/>
        <v>Weekday</v>
      </c>
      <c r="V547" t="str">
        <f t="shared" si="68"/>
        <v>Evening</v>
      </c>
      <c r="W547" t="str">
        <f t="shared" si="69"/>
        <v>Spring</v>
      </c>
      <c r="X547" t="str">
        <f t="shared" si="70"/>
        <v>Clear</v>
      </c>
    </row>
    <row r="548" spans="1:24">
      <c r="A548">
        <v>547</v>
      </c>
      <c r="B548" s="2">
        <v>40567</v>
      </c>
      <c r="C548">
        <v>1</v>
      </c>
      <c r="D548">
        <v>0</v>
      </c>
      <c r="E548">
        <v>1</v>
      </c>
      <c r="F548">
        <v>22</v>
      </c>
      <c r="G548" t="b">
        <v>0</v>
      </c>
      <c r="H548">
        <v>1</v>
      </c>
      <c r="I548">
        <v>2</v>
      </c>
      <c r="J548">
        <v>0.14000000000000001</v>
      </c>
      <c r="K548">
        <v>0.13639999999999999</v>
      </c>
      <c r="L548">
        <v>0.63</v>
      </c>
      <c r="M548">
        <v>0.22389999999999999</v>
      </c>
      <c r="N548">
        <v>3</v>
      </c>
      <c r="O548">
        <v>32</v>
      </c>
      <c r="P548">
        <v>35</v>
      </c>
      <c r="Q548" t="str">
        <f t="shared" si="64"/>
        <v>Complete</v>
      </c>
      <c r="R548">
        <f t="shared" si="71"/>
        <v>0.13639999999999999</v>
      </c>
      <c r="S548">
        <f t="shared" si="65"/>
        <v>2011</v>
      </c>
      <c r="T548" t="str">
        <f t="shared" si="66"/>
        <v>January</v>
      </c>
      <c r="U548" t="str">
        <f t="shared" si="67"/>
        <v>Weekday</v>
      </c>
      <c r="V548" t="str">
        <f t="shared" si="68"/>
        <v>Evening</v>
      </c>
      <c r="W548" t="str">
        <f t="shared" si="69"/>
        <v>Spring</v>
      </c>
      <c r="X548" t="str">
        <f t="shared" si="70"/>
        <v>Mist/Cloudy</v>
      </c>
    </row>
    <row r="549" spans="1:24">
      <c r="A549">
        <v>548</v>
      </c>
      <c r="B549" s="2">
        <v>40567</v>
      </c>
      <c r="C549">
        <v>1</v>
      </c>
      <c r="D549">
        <v>0</v>
      </c>
      <c r="E549">
        <v>1</v>
      </c>
      <c r="F549">
        <v>23</v>
      </c>
      <c r="G549" t="b">
        <v>0</v>
      </c>
      <c r="H549">
        <v>1</v>
      </c>
      <c r="I549">
        <v>2</v>
      </c>
      <c r="J549">
        <v>0.16</v>
      </c>
      <c r="K549">
        <v>0.1515</v>
      </c>
      <c r="L549">
        <v>0.64</v>
      </c>
      <c r="M549">
        <v>0.25369999999999998</v>
      </c>
      <c r="N549">
        <v>3</v>
      </c>
      <c r="O549">
        <v>21</v>
      </c>
      <c r="P549">
        <v>24</v>
      </c>
      <c r="Q549" t="str">
        <f t="shared" si="64"/>
        <v>Complete</v>
      </c>
      <c r="R549">
        <f t="shared" si="71"/>
        <v>0.1515</v>
      </c>
      <c r="S549">
        <f t="shared" si="65"/>
        <v>2011</v>
      </c>
      <c r="T549" t="str">
        <f t="shared" si="66"/>
        <v>January</v>
      </c>
      <c r="U549" t="str">
        <f t="shared" si="67"/>
        <v>Weekday</v>
      </c>
      <c r="V549" t="str">
        <f t="shared" si="68"/>
        <v>Evening</v>
      </c>
      <c r="W549" t="str">
        <f t="shared" si="69"/>
        <v>Spring</v>
      </c>
      <c r="X549" t="str">
        <f t="shared" si="70"/>
        <v>Mist/Cloudy</v>
      </c>
    </row>
    <row r="550" spans="1:24">
      <c r="A550">
        <v>549</v>
      </c>
      <c r="B550" s="2">
        <v>40568</v>
      </c>
      <c r="C550">
        <v>1</v>
      </c>
      <c r="D550">
        <v>0</v>
      </c>
      <c r="E550">
        <v>1</v>
      </c>
      <c r="F550">
        <v>0</v>
      </c>
      <c r="G550" t="b">
        <v>0</v>
      </c>
      <c r="H550">
        <v>2</v>
      </c>
      <c r="I550">
        <v>2</v>
      </c>
      <c r="J550">
        <v>0.16</v>
      </c>
      <c r="K550">
        <v>0.13639999999999999</v>
      </c>
      <c r="L550">
        <v>0.69</v>
      </c>
      <c r="M550">
        <v>0.28360000000000002</v>
      </c>
      <c r="N550">
        <v>3</v>
      </c>
      <c r="O550">
        <v>6</v>
      </c>
      <c r="P550">
        <v>9</v>
      </c>
      <c r="Q550" t="str">
        <f t="shared" si="64"/>
        <v>Complete</v>
      </c>
      <c r="R550">
        <f t="shared" si="71"/>
        <v>0.13639999999999999</v>
      </c>
      <c r="S550">
        <f t="shared" si="65"/>
        <v>2011</v>
      </c>
      <c r="T550" t="str">
        <f t="shared" si="66"/>
        <v>January</v>
      </c>
      <c r="U550" t="str">
        <f t="shared" si="67"/>
        <v>Weekday</v>
      </c>
      <c r="V550" t="str">
        <f t="shared" si="68"/>
        <v>Night</v>
      </c>
      <c r="W550" t="str">
        <f t="shared" si="69"/>
        <v>Spring</v>
      </c>
      <c r="X550" t="str">
        <f t="shared" si="70"/>
        <v>Mist/Cloudy</v>
      </c>
    </row>
    <row r="551" spans="1:24">
      <c r="A551">
        <v>550</v>
      </c>
      <c r="B551" s="2">
        <v>40568</v>
      </c>
      <c r="C551">
        <v>1</v>
      </c>
      <c r="D551">
        <v>0</v>
      </c>
      <c r="E551">
        <v>1</v>
      </c>
      <c r="F551">
        <v>1</v>
      </c>
      <c r="G551" t="b">
        <v>0</v>
      </c>
      <c r="H551">
        <v>2</v>
      </c>
      <c r="I551">
        <v>2</v>
      </c>
      <c r="J551">
        <v>0.16</v>
      </c>
      <c r="K551">
        <v>0.16669999999999999</v>
      </c>
      <c r="L551">
        <v>0.69</v>
      </c>
      <c r="M551">
        <v>0.16420000000000001</v>
      </c>
      <c r="N551">
        <v>0</v>
      </c>
      <c r="O551">
        <v>5</v>
      </c>
      <c r="P551">
        <v>5</v>
      </c>
      <c r="Q551" t="str">
        <f t="shared" si="64"/>
        <v>Complete</v>
      </c>
      <c r="R551">
        <f t="shared" si="71"/>
        <v>0.16669999999999999</v>
      </c>
      <c r="S551">
        <f t="shared" si="65"/>
        <v>2011</v>
      </c>
      <c r="T551" t="str">
        <f t="shared" si="66"/>
        <v>January</v>
      </c>
      <c r="U551" t="str">
        <f t="shared" si="67"/>
        <v>Weekday</v>
      </c>
      <c r="V551" t="str">
        <f t="shared" si="68"/>
        <v>Night</v>
      </c>
      <c r="W551" t="str">
        <f t="shared" si="69"/>
        <v>Spring</v>
      </c>
      <c r="X551" t="str">
        <f t="shared" si="70"/>
        <v>Mist/Cloudy</v>
      </c>
    </row>
    <row r="552" spans="1:24">
      <c r="A552">
        <v>551</v>
      </c>
      <c r="B552" s="2">
        <v>40568</v>
      </c>
      <c r="C552">
        <v>1</v>
      </c>
      <c r="D552">
        <v>0</v>
      </c>
      <c r="E552">
        <v>1</v>
      </c>
      <c r="F552">
        <v>2</v>
      </c>
      <c r="G552" t="b">
        <v>0</v>
      </c>
      <c r="H552">
        <v>2</v>
      </c>
      <c r="I552">
        <v>1</v>
      </c>
      <c r="J552">
        <v>0.16</v>
      </c>
      <c r="K552">
        <v>0.1515</v>
      </c>
      <c r="L552">
        <v>0.69</v>
      </c>
      <c r="M552">
        <v>0.22389999999999999</v>
      </c>
      <c r="N552">
        <v>0</v>
      </c>
      <c r="O552">
        <v>2</v>
      </c>
      <c r="P552">
        <v>2</v>
      </c>
      <c r="Q552" t="str">
        <f t="shared" si="64"/>
        <v>Complete</v>
      </c>
      <c r="R552">
        <f t="shared" si="71"/>
        <v>0.1515</v>
      </c>
      <c r="S552">
        <f t="shared" si="65"/>
        <v>2011</v>
      </c>
      <c r="T552" t="str">
        <f t="shared" si="66"/>
        <v>January</v>
      </c>
      <c r="U552" t="str">
        <f t="shared" si="67"/>
        <v>Weekday</v>
      </c>
      <c r="V552" t="str">
        <f t="shared" si="68"/>
        <v>Night</v>
      </c>
      <c r="W552" t="str">
        <f t="shared" si="69"/>
        <v>Spring</v>
      </c>
      <c r="X552" t="str">
        <f t="shared" si="70"/>
        <v>Clear</v>
      </c>
    </row>
    <row r="553" spans="1:24">
      <c r="A553">
        <v>552</v>
      </c>
      <c r="B553" s="2">
        <v>40568</v>
      </c>
      <c r="C553">
        <v>1</v>
      </c>
      <c r="D553">
        <v>0</v>
      </c>
      <c r="E553">
        <v>1</v>
      </c>
      <c r="F553">
        <v>4</v>
      </c>
      <c r="G553" t="b">
        <v>0</v>
      </c>
      <c r="H553">
        <v>2</v>
      </c>
      <c r="I553">
        <v>1</v>
      </c>
      <c r="J553">
        <v>0.14000000000000001</v>
      </c>
      <c r="K553">
        <v>0.16669999999999999</v>
      </c>
      <c r="L553">
        <v>0.74</v>
      </c>
      <c r="M553">
        <v>0.1045</v>
      </c>
      <c r="N553">
        <v>0</v>
      </c>
      <c r="O553">
        <v>1</v>
      </c>
      <c r="P553">
        <v>1</v>
      </c>
      <c r="Q553" t="str">
        <f t="shared" si="64"/>
        <v>Complete</v>
      </c>
      <c r="R553">
        <f t="shared" si="71"/>
        <v>0.16669999999999999</v>
      </c>
      <c r="S553">
        <f t="shared" si="65"/>
        <v>2011</v>
      </c>
      <c r="T553" t="str">
        <f t="shared" si="66"/>
        <v>January</v>
      </c>
      <c r="U553" t="str">
        <f t="shared" si="67"/>
        <v>Weekday</v>
      </c>
      <c r="V553" t="str">
        <f t="shared" si="68"/>
        <v>Night</v>
      </c>
      <c r="W553" t="str">
        <f t="shared" si="69"/>
        <v>Spring</v>
      </c>
      <c r="X553" t="str">
        <f t="shared" si="70"/>
        <v>Clear</v>
      </c>
    </row>
    <row r="554" spans="1:24">
      <c r="A554">
        <v>553</v>
      </c>
      <c r="B554" s="2">
        <v>40568</v>
      </c>
      <c r="C554">
        <v>1</v>
      </c>
      <c r="D554">
        <v>0</v>
      </c>
      <c r="E554">
        <v>1</v>
      </c>
      <c r="F554">
        <v>5</v>
      </c>
      <c r="G554" t="b">
        <v>0</v>
      </c>
      <c r="H554">
        <v>2</v>
      </c>
      <c r="I554">
        <v>1</v>
      </c>
      <c r="J554">
        <v>0.14000000000000001</v>
      </c>
      <c r="K554">
        <v>0.13639999999999999</v>
      </c>
      <c r="L554">
        <v>0.74</v>
      </c>
      <c r="M554">
        <v>0.22389999999999999</v>
      </c>
      <c r="N554">
        <v>0</v>
      </c>
      <c r="O554">
        <v>9</v>
      </c>
      <c r="P554">
        <v>9</v>
      </c>
      <c r="Q554" t="str">
        <f t="shared" si="64"/>
        <v>Complete</v>
      </c>
      <c r="R554">
        <f t="shared" si="71"/>
        <v>0.13639999999999999</v>
      </c>
      <c r="S554">
        <f t="shared" si="65"/>
        <v>2011</v>
      </c>
      <c r="T554" t="str">
        <f t="shared" si="66"/>
        <v>January</v>
      </c>
      <c r="U554" t="str">
        <f t="shared" si="67"/>
        <v>Weekday</v>
      </c>
      <c r="V554" t="str">
        <f t="shared" si="68"/>
        <v>Night</v>
      </c>
      <c r="W554" t="str">
        <f t="shared" si="69"/>
        <v>Spring</v>
      </c>
      <c r="X554" t="str">
        <f t="shared" si="70"/>
        <v>Clear</v>
      </c>
    </row>
    <row r="555" spans="1:24">
      <c r="A555">
        <v>554</v>
      </c>
      <c r="B555" s="2">
        <v>40568</v>
      </c>
      <c r="C555">
        <v>1</v>
      </c>
      <c r="D555">
        <v>0</v>
      </c>
      <c r="E555">
        <v>1</v>
      </c>
      <c r="F555">
        <v>6</v>
      </c>
      <c r="G555" t="b">
        <v>0</v>
      </c>
      <c r="H555">
        <v>2</v>
      </c>
      <c r="I555">
        <v>1</v>
      </c>
      <c r="J555">
        <v>0.16</v>
      </c>
      <c r="K555">
        <v>0.18179999999999999</v>
      </c>
      <c r="L555">
        <v>0.74</v>
      </c>
      <c r="M555">
        <v>0.1045</v>
      </c>
      <c r="N555">
        <v>1</v>
      </c>
      <c r="O555">
        <v>35</v>
      </c>
      <c r="P555">
        <v>36</v>
      </c>
      <c r="Q555" t="str">
        <f t="shared" si="64"/>
        <v>Complete</v>
      </c>
      <c r="R555">
        <f t="shared" si="71"/>
        <v>0.18179999999999999</v>
      </c>
      <c r="S555">
        <f t="shared" si="65"/>
        <v>2011</v>
      </c>
      <c r="T555" t="str">
        <f t="shared" si="66"/>
        <v>January</v>
      </c>
      <c r="U555" t="str">
        <f t="shared" si="67"/>
        <v>Weekday</v>
      </c>
      <c r="V555" t="str">
        <f t="shared" si="68"/>
        <v>Morning</v>
      </c>
      <c r="W555" t="str">
        <f t="shared" si="69"/>
        <v>Spring</v>
      </c>
      <c r="X555" t="str">
        <f t="shared" si="70"/>
        <v>Clear</v>
      </c>
    </row>
    <row r="556" spans="1:24">
      <c r="A556">
        <v>555</v>
      </c>
      <c r="B556" s="2">
        <v>40568</v>
      </c>
      <c r="C556">
        <v>1</v>
      </c>
      <c r="D556">
        <v>0</v>
      </c>
      <c r="E556">
        <v>1</v>
      </c>
      <c r="F556">
        <v>7</v>
      </c>
      <c r="G556" t="b">
        <v>0</v>
      </c>
      <c r="H556">
        <v>2</v>
      </c>
      <c r="I556">
        <v>1</v>
      </c>
      <c r="J556">
        <v>0.16</v>
      </c>
      <c r="K556">
        <v>0.1515</v>
      </c>
      <c r="L556">
        <v>0.74</v>
      </c>
      <c r="M556">
        <v>0.22389999999999999</v>
      </c>
      <c r="N556">
        <v>5</v>
      </c>
      <c r="O556">
        <v>103</v>
      </c>
      <c r="P556">
        <v>108</v>
      </c>
      <c r="Q556" t="str">
        <f t="shared" si="64"/>
        <v>Complete</v>
      </c>
      <c r="R556">
        <f t="shared" si="71"/>
        <v>0.1515</v>
      </c>
      <c r="S556">
        <f t="shared" si="65"/>
        <v>2011</v>
      </c>
      <c r="T556" t="str">
        <f t="shared" si="66"/>
        <v>January</v>
      </c>
      <c r="U556" t="str">
        <f t="shared" si="67"/>
        <v>Weekday</v>
      </c>
      <c r="V556" t="str">
        <f t="shared" si="68"/>
        <v>Morning</v>
      </c>
      <c r="W556" t="str">
        <f t="shared" si="69"/>
        <v>Spring</v>
      </c>
      <c r="X556" t="str">
        <f t="shared" si="70"/>
        <v>Clear</v>
      </c>
    </row>
    <row r="557" spans="1:24">
      <c r="A557">
        <v>556</v>
      </c>
      <c r="B557" s="2">
        <v>40568</v>
      </c>
      <c r="C557">
        <v>1</v>
      </c>
      <c r="D557">
        <v>0</v>
      </c>
      <c r="E557">
        <v>1</v>
      </c>
      <c r="F557">
        <v>8</v>
      </c>
      <c r="G557" t="b">
        <v>0</v>
      </c>
      <c r="H557">
        <v>2</v>
      </c>
      <c r="I557">
        <v>2</v>
      </c>
      <c r="J557">
        <v>0.16</v>
      </c>
      <c r="K557">
        <v>0.18179999999999999</v>
      </c>
      <c r="L557">
        <v>0.74</v>
      </c>
      <c r="M557">
        <v>0.1343</v>
      </c>
      <c r="N557">
        <v>5</v>
      </c>
      <c r="O557">
        <v>233</v>
      </c>
      <c r="P557">
        <v>238</v>
      </c>
      <c r="Q557" t="str">
        <f t="shared" si="64"/>
        <v>Complete</v>
      </c>
      <c r="R557">
        <f t="shared" si="71"/>
        <v>0.18179999999999999</v>
      </c>
      <c r="S557">
        <f t="shared" si="65"/>
        <v>2011</v>
      </c>
      <c r="T557" t="str">
        <f t="shared" si="66"/>
        <v>January</v>
      </c>
      <c r="U557" t="str">
        <f t="shared" si="67"/>
        <v>Weekday</v>
      </c>
      <c r="V557" t="str">
        <f t="shared" si="68"/>
        <v>Morning</v>
      </c>
      <c r="W557" t="str">
        <f t="shared" si="69"/>
        <v>Spring</v>
      </c>
      <c r="X557" t="str">
        <f t="shared" si="70"/>
        <v>Mist/Cloudy</v>
      </c>
    </row>
    <row r="558" spans="1:24">
      <c r="A558">
        <v>557</v>
      </c>
      <c r="B558" s="2">
        <v>40568</v>
      </c>
      <c r="C558">
        <v>1</v>
      </c>
      <c r="D558">
        <v>0</v>
      </c>
      <c r="E558">
        <v>1</v>
      </c>
      <c r="F558">
        <v>9</v>
      </c>
      <c r="G558" t="b">
        <v>0</v>
      </c>
      <c r="H558">
        <v>2</v>
      </c>
      <c r="I558">
        <v>2</v>
      </c>
      <c r="J558">
        <v>0.2</v>
      </c>
      <c r="K558">
        <v>0.2273</v>
      </c>
      <c r="L558">
        <v>0.64</v>
      </c>
      <c r="M558">
        <v>8.9599999999999999E-2</v>
      </c>
      <c r="N558">
        <v>10</v>
      </c>
      <c r="O558">
        <v>134</v>
      </c>
      <c r="P558">
        <v>144</v>
      </c>
      <c r="Q558" t="str">
        <f t="shared" si="64"/>
        <v>Complete</v>
      </c>
      <c r="R558">
        <f t="shared" si="71"/>
        <v>0.2273</v>
      </c>
      <c r="S558">
        <f t="shared" si="65"/>
        <v>2011</v>
      </c>
      <c r="T558" t="str">
        <f t="shared" si="66"/>
        <v>January</v>
      </c>
      <c r="U558" t="str">
        <f t="shared" si="67"/>
        <v>Weekday</v>
      </c>
      <c r="V558" t="str">
        <f t="shared" si="68"/>
        <v>Morning</v>
      </c>
      <c r="W558" t="str">
        <f t="shared" si="69"/>
        <v>Spring</v>
      </c>
      <c r="X558" t="str">
        <f t="shared" si="70"/>
        <v>Mist/Cloudy</v>
      </c>
    </row>
    <row r="559" spans="1:24">
      <c r="A559">
        <v>558</v>
      </c>
      <c r="B559" s="2">
        <v>40568</v>
      </c>
      <c r="C559">
        <v>1</v>
      </c>
      <c r="D559">
        <v>0</v>
      </c>
      <c r="E559">
        <v>1</v>
      </c>
      <c r="F559">
        <v>10</v>
      </c>
      <c r="G559" t="b">
        <v>0</v>
      </c>
      <c r="H559">
        <v>2</v>
      </c>
      <c r="I559">
        <v>2</v>
      </c>
      <c r="J559">
        <v>0.22</v>
      </c>
      <c r="K559">
        <v>0.2424</v>
      </c>
      <c r="L559">
        <v>0.6</v>
      </c>
      <c r="M559">
        <v>0.1045</v>
      </c>
      <c r="N559">
        <v>6</v>
      </c>
      <c r="O559">
        <v>49</v>
      </c>
      <c r="P559">
        <v>55</v>
      </c>
      <c r="Q559" t="str">
        <f t="shared" si="64"/>
        <v>Complete</v>
      </c>
      <c r="R559">
        <f t="shared" si="71"/>
        <v>0.2424</v>
      </c>
      <c r="S559">
        <f t="shared" si="65"/>
        <v>2011</v>
      </c>
      <c r="T559" t="str">
        <f t="shared" si="66"/>
        <v>January</v>
      </c>
      <c r="U559" t="str">
        <f t="shared" si="67"/>
        <v>Weekday</v>
      </c>
      <c r="V559" t="str">
        <f t="shared" si="68"/>
        <v>Morning</v>
      </c>
      <c r="W559" t="str">
        <f t="shared" si="69"/>
        <v>Spring</v>
      </c>
      <c r="X559" t="str">
        <f t="shared" si="70"/>
        <v>Mist/Cloudy</v>
      </c>
    </row>
    <row r="560" spans="1:24">
      <c r="A560">
        <v>559</v>
      </c>
      <c r="B560" s="2">
        <v>40568</v>
      </c>
      <c r="C560">
        <v>1</v>
      </c>
      <c r="D560">
        <v>0</v>
      </c>
      <c r="E560">
        <v>1</v>
      </c>
      <c r="F560">
        <v>11</v>
      </c>
      <c r="G560" t="b">
        <v>0</v>
      </c>
      <c r="H560">
        <v>2</v>
      </c>
      <c r="I560">
        <v>2</v>
      </c>
      <c r="J560">
        <v>0.24</v>
      </c>
      <c r="K560">
        <v>0.2424</v>
      </c>
      <c r="L560">
        <v>0.6</v>
      </c>
      <c r="M560">
        <v>0.1343</v>
      </c>
      <c r="N560">
        <v>6</v>
      </c>
      <c r="O560">
        <v>55</v>
      </c>
      <c r="P560">
        <v>61</v>
      </c>
      <c r="Q560" t="str">
        <f t="shared" si="64"/>
        <v>Complete</v>
      </c>
      <c r="R560">
        <f t="shared" si="71"/>
        <v>0.2424</v>
      </c>
      <c r="S560">
        <f t="shared" si="65"/>
        <v>2011</v>
      </c>
      <c r="T560" t="str">
        <f t="shared" si="66"/>
        <v>January</v>
      </c>
      <c r="U560" t="str">
        <f t="shared" si="67"/>
        <v>Weekday</v>
      </c>
      <c r="V560" t="str">
        <f t="shared" si="68"/>
        <v>Morning</v>
      </c>
      <c r="W560" t="str">
        <f t="shared" si="69"/>
        <v>Spring</v>
      </c>
      <c r="X560" t="str">
        <f t="shared" si="70"/>
        <v>Mist/Cloudy</v>
      </c>
    </row>
    <row r="561" spans="1:24">
      <c r="A561">
        <v>560</v>
      </c>
      <c r="B561" s="2">
        <v>40568</v>
      </c>
      <c r="C561">
        <v>1</v>
      </c>
      <c r="D561">
        <v>0</v>
      </c>
      <c r="E561">
        <v>1</v>
      </c>
      <c r="F561">
        <v>12</v>
      </c>
      <c r="G561" t="b">
        <v>0</v>
      </c>
      <c r="H561">
        <v>2</v>
      </c>
      <c r="I561">
        <v>2</v>
      </c>
      <c r="J561">
        <v>0.26</v>
      </c>
      <c r="K561">
        <v>0.28789999999999999</v>
      </c>
      <c r="L561">
        <v>0.56000000000000005</v>
      </c>
      <c r="M561">
        <v>8.9599999999999999E-2</v>
      </c>
      <c r="N561">
        <v>21</v>
      </c>
      <c r="O561">
        <v>85</v>
      </c>
      <c r="P561">
        <v>106</v>
      </c>
      <c r="Q561" t="str">
        <f t="shared" si="64"/>
        <v>Complete</v>
      </c>
      <c r="R561">
        <f t="shared" si="71"/>
        <v>0.28789999999999999</v>
      </c>
      <c r="S561">
        <f t="shared" si="65"/>
        <v>2011</v>
      </c>
      <c r="T561" t="str">
        <f t="shared" si="66"/>
        <v>January</v>
      </c>
      <c r="U561" t="str">
        <f t="shared" si="67"/>
        <v>Weekday</v>
      </c>
      <c r="V561" t="str">
        <f t="shared" si="68"/>
        <v>Afternoon</v>
      </c>
      <c r="W561" t="str">
        <f t="shared" si="69"/>
        <v>Spring</v>
      </c>
      <c r="X561" t="str">
        <f t="shared" si="70"/>
        <v>Mist/Cloudy</v>
      </c>
    </row>
    <row r="562" spans="1:24">
      <c r="A562">
        <v>561</v>
      </c>
      <c r="B562" s="2">
        <v>40568</v>
      </c>
      <c r="C562">
        <v>1</v>
      </c>
      <c r="D562">
        <v>0</v>
      </c>
      <c r="E562">
        <v>1</v>
      </c>
      <c r="F562">
        <v>13</v>
      </c>
      <c r="G562" t="b">
        <v>0</v>
      </c>
      <c r="H562">
        <v>2</v>
      </c>
      <c r="I562">
        <v>2</v>
      </c>
      <c r="J562">
        <v>0.26</v>
      </c>
      <c r="K562">
        <v>0.2727</v>
      </c>
      <c r="L562">
        <v>0.56000000000000005</v>
      </c>
      <c r="M562">
        <v>0.1343</v>
      </c>
      <c r="N562">
        <v>21</v>
      </c>
      <c r="O562">
        <v>72</v>
      </c>
      <c r="P562">
        <v>93</v>
      </c>
      <c r="Q562" t="str">
        <f t="shared" si="64"/>
        <v>Complete</v>
      </c>
      <c r="R562">
        <f t="shared" si="71"/>
        <v>0.2727</v>
      </c>
      <c r="S562">
        <f t="shared" si="65"/>
        <v>2011</v>
      </c>
      <c r="T562" t="str">
        <f t="shared" si="66"/>
        <v>January</v>
      </c>
      <c r="U562" t="str">
        <f t="shared" si="67"/>
        <v>Weekday</v>
      </c>
      <c r="V562" t="str">
        <f t="shared" si="68"/>
        <v>Afternoon</v>
      </c>
      <c r="W562" t="str">
        <f t="shared" si="69"/>
        <v>Spring</v>
      </c>
      <c r="X562" t="str">
        <f t="shared" si="70"/>
        <v>Mist/Cloudy</v>
      </c>
    </row>
    <row r="563" spans="1:24">
      <c r="A563">
        <v>562</v>
      </c>
      <c r="B563" s="2">
        <v>40568</v>
      </c>
      <c r="C563">
        <v>1</v>
      </c>
      <c r="D563">
        <v>0</v>
      </c>
      <c r="E563">
        <v>1</v>
      </c>
      <c r="F563">
        <v>14</v>
      </c>
      <c r="G563" t="b">
        <v>0</v>
      </c>
      <c r="H563">
        <v>2</v>
      </c>
      <c r="I563">
        <v>2</v>
      </c>
      <c r="J563">
        <v>0.3</v>
      </c>
      <c r="K563">
        <v>0.33329999999999999</v>
      </c>
      <c r="L563">
        <v>0.45</v>
      </c>
      <c r="M563">
        <v>0</v>
      </c>
      <c r="N563">
        <v>11</v>
      </c>
      <c r="O563">
        <v>57</v>
      </c>
      <c r="P563">
        <v>68</v>
      </c>
      <c r="Q563" t="str">
        <f t="shared" si="64"/>
        <v>Complete</v>
      </c>
      <c r="R563">
        <f t="shared" si="71"/>
        <v>0.33329999999999999</v>
      </c>
      <c r="S563">
        <f t="shared" si="65"/>
        <v>2011</v>
      </c>
      <c r="T563" t="str">
        <f t="shared" si="66"/>
        <v>January</v>
      </c>
      <c r="U563" t="str">
        <f t="shared" si="67"/>
        <v>Weekday</v>
      </c>
      <c r="V563" t="str">
        <f t="shared" si="68"/>
        <v>Afternoon</v>
      </c>
      <c r="W563" t="str">
        <f t="shared" si="69"/>
        <v>Spring</v>
      </c>
      <c r="X563" t="str">
        <f t="shared" si="70"/>
        <v>Mist/Cloudy</v>
      </c>
    </row>
    <row r="564" spans="1:24">
      <c r="A564">
        <v>563</v>
      </c>
      <c r="B564" s="2">
        <v>40568</v>
      </c>
      <c r="C564">
        <v>1</v>
      </c>
      <c r="D564">
        <v>0</v>
      </c>
      <c r="E564">
        <v>1</v>
      </c>
      <c r="F564">
        <v>15</v>
      </c>
      <c r="G564" t="b">
        <v>0</v>
      </c>
      <c r="H564">
        <v>2</v>
      </c>
      <c r="I564">
        <v>2</v>
      </c>
      <c r="J564">
        <v>0.32</v>
      </c>
      <c r="K564">
        <v>0.34849999999999998</v>
      </c>
      <c r="L564">
        <v>0.42</v>
      </c>
      <c r="M564">
        <v>0</v>
      </c>
      <c r="N564">
        <v>21</v>
      </c>
      <c r="O564">
        <v>63</v>
      </c>
      <c r="P564">
        <v>84</v>
      </c>
      <c r="Q564" t="str">
        <f t="shared" si="64"/>
        <v>Complete</v>
      </c>
      <c r="R564">
        <f t="shared" si="71"/>
        <v>0.34849999999999998</v>
      </c>
      <c r="S564">
        <f t="shared" si="65"/>
        <v>2011</v>
      </c>
      <c r="T564" t="str">
        <f t="shared" si="66"/>
        <v>January</v>
      </c>
      <c r="U564" t="str">
        <f t="shared" si="67"/>
        <v>Weekday</v>
      </c>
      <c r="V564" t="str">
        <f t="shared" si="68"/>
        <v>Afternoon</v>
      </c>
      <c r="W564" t="str">
        <f t="shared" si="69"/>
        <v>Spring</v>
      </c>
      <c r="X564" t="str">
        <f t="shared" si="70"/>
        <v>Mist/Cloudy</v>
      </c>
    </row>
    <row r="565" spans="1:24">
      <c r="A565">
        <v>564</v>
      </c>
      <c r="B565" s="2">
        <v>40568</v>
      </c>
      <c r="C565">
        <v>1</v>
      </c>
      <c r="D565">
        <v>0</v>
      </c>
      <c r="E565">
        <v>1</v>
      </c>
      <c r="F565">
        <v>16</v>
      </c>
      <c r="G565" t="b">
        <v>0</v>
      </c>
      <c r="H565">
        <v>2</v>
      </c>
      <c r="I565">
        <v>2</v>
      </c>
      <c r="J565">
        <v>0.32</v>
      </c>
      <c r="K565">
        <v>0.34849999999999998</v>
      </c>
      <c r="L565">
        <v>0.42</v>
      </c>
      <c r="M565">
        <v>0</v>
      </c>
      <c r="N565">
        <v>14</v>
      </c>
      <c r="O565">
        <v>102</v>
      </c>
      <c r="P565">
        <v>116</v>
      </c>
      <c r="Q565" t="str">
        <f t="shared" si="64"/>
        <v>Complete</v>
      </c>
      <c r="R565">
        <f t="shared" si="71"/>
        <v>0.34849999999999998</v>
      </c>
      <c r="S565">
        <f t="shared" si="65"/>
        <v>2011</v>
      </c>
      <c r="T565" t="str">
        <f t="shared" si="66"/>
        <v>January</v>
      </c>
      <c r="U565" t="str">
        <f t="shared" si="67"/>
        <v>Weekday</v>
      </c>
      <c r="V565" t="str">
        <f t="shared" si="68"/>
        <v>Afternoon</v>
      </c>
      <c r="W565" t="str">
        <f t="shared" si="69"/>
        <v>Spring</v>
      </c>
      <c r="X565" t="str">
        <f t="shared" si="70"/>
        <v>Mist/Cloudy</v>
      </c>
    </row>
    <row r="566" spans="1:24">
      <c r="A566">
        <v>565</v>
      </c>
      <c r="B566" s="2">
        <v>40568</v>
      </c>
      <c r="C566">
        <v>1</v>
      </c>
      <c r="D566">
        <v>0</v>
      </c>
      <c r="E566">
        <v>1</v>
      </c>
      <c r="F566">
        <v>17</v>
      </c>
      <c r="G566" t="b">
        <v>0</v>
      </c>
      <c r="H566">
        <v>2</v>
      </c>
      <c r="I566">
        <v>1</v>
      </c>
      <c r="J566">
        <v>0.3</v>
      </c>
      <c r="K566">
        <v>0.33329999999999999</v>
      </c>
      <c r="L566">
        <v>0.45</v>
      </c>
      <c r="M566">
        <v>0</v>
      </c>
      <c r="N566">
        <v>14</v>
      </c>
      <c r="O566">
        <v>208</v>
      </c>
      <c r="P566">
        <v>222</v>
      </c>
      <c r="Q566" t="str">
        <f t="shared" si="64"/>
        <v>Complete</v>
      </c>
      <c r="R566">
        <f t="shared" si="71"/>
        <v>0.33329999999999999</v>
      </c>
      <c r="S566">
        <f t="shared" si="65"/>
        <v>2011</v>
      </c>
      <c r="T566" t="str">
        <f t="shared" si="66"/>
        <v>January</v>
      </c>
      <c r="U566" t="str">
        <f t="shared" si="67"/>
        <v>Weekday</v>
      </c>
      <c r="V566" t="str">
        <f t="shared" si="68"/>
        <v>Afternoon</v>
      </c>
      <c r="W566" t="str">
        <f t="shared" si="69"/>
        <v>Spring</v>
      </c>
      <c r="X566" t="str">
        <f t="shared" si="70"/>
        <v>Clear</v>
      </c>
    </row>
    <row r="567" spans="1:24">
      <c r="A567">
        <v>566</v>
      </c>
      <c r="B567" s="2">
        <v>40568</v>
      </c>
      <c r="C567">
        <v>1</v>
      </c>
      <c r="D567">
        <v>0</v>
      </c>
      <c r="E567">
        <v>1</v>
      </c>
      <c r="F567">
        <v>18</v>
      </c>
      <c r="G567" t="b">
        <v>0</v>
      </c>
      <c r="H567">
        <v>2</v>
      </c>
      <c r="I567">
        <v>2</v>
      </c>
      <c r="J567">
        <v>0.3</v>
      </c>
      <c r="K567">
        <v>0.31819999999999998</v>
      </c>
      <c r="L567">
        <v>0.49</v>
      </c>
      <c r="M567">
        <v>8.9599999999999999E-2</v>
      </c>
      <c r="N567">
        <v>7</v>
      </c>
      <c r="O567">
        <v>218</v>
      </c>
      <c r="P567">
        <v>225</v>
      </c>
      <c r="Q567" t="str">
        <f t="shared" si="64"/>
        <v>Complete</v>
      </c>
      <c r="R567">
        <f t="shared" si="71"/>
        <v>0.31819999999999998</v>
      </c>
      <c r="S567">
        <f t="shared" si="65"/>
        <v>2011</v>
      </c>
      <c r="T567" t="str">
        <f t="shared" si="66"/>
        <v>January</v>
      </c>
      <c r="U567" t="str">
        <f t="shared" si="67"/>
        <v>Weekday</v>
      </c>
      <c r="V567" t="str">
        <f t="shared" si="68"/>
        <v>Evening</v>
      </c>
      <c r="W567" t="str">
        <f t="shared" si="69"/>
        <v>Spring</v>
      </c>
      <c r="X567" t="str">
        <f t="shared" si="70"/>
        <v>Mist/Cloudy</v>
      </c>
    </row>
    <row r="568" spans="1:24">
      <c r="A568">
        <v>567</v>
      </c>
      <c r="B568" s="2">
        <v>40568</v>
      </c>
      <c r="C568">
        <v>1</v>
      </c>
      <c r="D568">
        <v>0</v>
      </c>
      <c r="E568">
        <v>1</v>
      </c>
      <c r="F568">
        <v>19</v>
      </c>
      <c r="G568" t="b">
        <v>0</v>
      </c>
      <c r="H568">
        <v>2</v>
      </c>
      <c r="I568">
        <v>2</v>
      </c>
      <c r="J568">
        <v>0.26</v>
      </c>
      <c r="K568">
        <v>0.2576</v>
      </c>
      <c r="L568">
        <v>0.65</v>
      </c>
      <c r="M568">
        <v>0.16420000000000001</v>
      </c>
      <c r="N568">
        <v>13</v>
      </c>
      <c r="O568">
        <v>133</v>
      </c>
      <c r="P568">
        <v>146</v>
      </c>
      <c r="Q568" t="str">
        <f t="shared" si="64"/>
        <v>Complete</v>
      </c>
      <c r="R568">
        <f t="shared" si="71"/>
        <v>0.2576</v>
      </c>
      <c r="S568">
        <f t="shared" si="65"/>
        <v>2011</v>
      </c>
      <c r="T568" t="str">
        <f t="shared" si="66"/>
        <v>January</v>
      </c>
      <c r="U568" t="str">
        <f t="shared" si="67"/>
        <v>Weekday</v>
      </c>
      <c r="V568" t="str">
        <f t="shared" si="68"/>
        <v>Evening</v>
      </c>
      <c r="W568" t="str">
        <f t="shared" si="69"/>
        <v>Spring</v>
      </c>
      <c r="X568" t="str">
        <f t="shared" si="70"/>
        <v>Mist/Cloudy</v>
      </c>
    </row>
    <row r="569" spans="1:24">
      <c r="A569">
        <v>568</v>
      </c>
      <c r="B569" s="2">
        <v>40568</v>
      </c>
      <c r="C569">
        <v>1</v>
      </c>
      <c r="D569">
        <v>0</v>
      </c>
      <c r="E569">
        <v>1</v>
      </c>
      <c r="F569">
        <v>20</v>
      </c>
      <c r="G569" t="b">
        <v>0</v>
      </c>
      <c r="H569">
        <v>2</v>
      </c>
      <c r="I569">
        <v>1</v>
      </c>
      <c r="J569">
        <v>0.24</v>
      </c>
      <c r="K569">
        <v>0.2273</v>
      </c>
      <c r="L569">
        <v>0.65</v>
      </c>
      <c r="M569">
        <v>0.19400000000000001</v>
      </c>
      <c r="N569">
        <v>16</v>
      </c>
      <c r="O569">
        <v>103</v>
      </c>
      <c r="P569">
        <v>119</v>
      </c>
      <c r="Q569" t="str">
        <f t="shared" si="64"/>
        <v>Complete</v>
      </c>
      <c r="R569">
        <f t="shared" si="71"/>
        <v>0.2273</v>
      </c>
      <c r="S569">
        <f t="shared" si="65"/>
        <v>2011</v>
      </c>
      <c r="T569" t="str">
        <f t="shared" si="66"/>
        <v>January</v>
      </c>
      <c r="U569" t="str">
        <f t="shared" si="67"/>
        <v>Weekday</v>
      </c>
      <c r="V569" t="str">
        <f t="shared" si="68"/>
        <v>Evening</v>
      </c>
      <c r="W569" t="str">
        <f t="shared" si="69"/>
        <v>Spring</v>
      </c>
      <c r="X569" t="str">
        <f t="shared" si="70"/>
        <v>Clear</v>
      </c>
    </row>
    <row r="570" spans="1:24">
      <c r="A570">
        <v>569</v>
      </c>
      <c r="B570" s="2">
        <v>40568</v>
      </c>
      <c r="C570">
        <v>1</v>
      </c>
      <c r="D570">
        <v>0</v>
      </c>
      <c r="E570">
        <v>1</v>
      </c>
      <c r="F570">
        <v>21</v>
      </c>
      <c r="G570" t="b">
        <v>0</v>
      </c>
      <c r="H570">
        <v>2</v>
      </c>
      <c r="I570">
        <v>1</v>
      </c>
      <c r="J570">
        <v>0.24</v>
      </c>
      <c r="K570">
        <v>0.2273</v>
      </c>
      <c r="L570">
        <v>0.65</v>
      </c>
      <c r="M570">
        <v>0.19400000000000001</v>
      </c>
      <c r="N570">
        <v>5</v>
      </c>
      <c r="O570">
        <v>40</v>
      </c>
      <c r="P570">
        <v>45</v>
      </c>
      <c r="Q570" t="str">
        <f t="shared" si="64"/>
        <v>Complete</v>
      </c>
      <c r="R570">
        <f t="shared" si="71"/>
        <v>0.2273</v>
      </c>
      <c r="S570">
        <f t="shared" si="65"/>
        <v>2011</v>
      </c>
      <c r="T570" t="str">
        <f t="shared" si="66"/>
        <v>January</v>
      </c>
      <c r="U570" t="str">
        <f t="shared" si="67"/>
        <v>Weekday</v>
      </c>
      <c r="V570" t="str">
        <f t="shared" si="68"/>
        <v>Evening</v>
      </c>
      <c r="W570" t="str">
        <f t="shared" si="69"/>
        <v>Spring</v>
      </c>
      <c r="X570" t="str">
        <f t="shared" si="70"/>
        <v>Clear</v>
      </c>
    </row>
    <row r="571" spans="1:24">
      <c r="A571">
        <v>570</v>
      </c>
      <c r="B571" s="2">
        <v>40568</v>
      </c>
      <c r="C571">
        <v>1</v>
      </c>
      <c r="D571">
        <v>0</v>
      </c>
      <c r="E571">
        <v>1</v>
      </c>
      <c r="F571">
        <v>22</v>
      </c>
      <c r="G571" t="b">
        <v>0</v>
      </c>
      <c r="H571">
        <v>2</v>
      </c>
      <c r="I571">
        <v>1</v>
      </c>
      <c r="J571">
        <v>0.22</v>
      </c>
      <c r="K571">
        <v>0.2273</v>
      </c>
      <c r="L571">
        <v>0.64</v>
      </c>
      <c r="M571">
        <v>0.16420000000000001</v>
      </c>
      <c r="N571">
        <v>4</v>
      </c>
      <c r="O571">
        <v>49</v>
      </c>
      <c r="P571">
        <v>53</v>
      </c>
      <c r="Q571" t="str">
        <f t="shared" si="64"/>
        <v>Complete</v>
      </c>
      <c r="R571">
        <f t="shared" si="71"/>
        <v>0.2273</v>
      </c>
      <c r="S571">
        <f t="shared" si="65"/>
        <v>2011</v>
      </c>
      <c r="T571" t="str">
        <f t="shared" si="66"/>
        <v>January</v>
      </c>
      <c r="U571" t="str">
        <f t="shared" si="67"/>
        <v>Weekday</v>
      </c>
      <c r="V571" t="str">
        <f t="shared" si="68"/>
        <v>Evening</v>
      </c>
      <c r="W571" t="str">
        <f t="shared" si="69"/>
        <v>Spring</v>
      </c>
      <c r="X571" t="str">
        <f t="shared" si="70"/>
        <v>Clear</v>
      </c>
    </row>
    <row r="572" spans="1:24">
      <c r="A572">
        <v>571</v>
      </c>
      <c r="B572" s="2">
        <v>40568</v>
      </c>
      <c r="C572">
        <v>1</v>
      </c>
      <c r="D572">
        <v>0</v>
      </c>
      <c r="E572">
        <v>1</v>
      </c>
      <c r="F572">
        <v>23</v>
      </c>
      <c r="G572" t="b">
        <v>0</v>
      </c>
      <c r="H572">
        <v>2</v>
      </c>
      <c r="I572">
        <v>2</v>
      </c>
      <c r="J572">
        <v>0.22</v>
      </c>
      <c r="K572">
        <v>0.2273</v>
      </c>
      <c r="L572">
        <v>0.64</v>
      </c>
      <c r="M572">
        <v>0.16420000000000001</v>
      </c>
      <c r="N572">
        <v>3</v>
      </c>
      <c r="O572">
        <v>37</v>
      </c>
      <c r="P572">
        <v>40</v>
      </c>
      <c r="Q572" t="str">
        <f t="shared" si="64"/>
        <v>Complete</v>
      </c>
      <c r="R572">
        <f t="shared" si="71"/>
        <v>0.2273</v>
      </c>
      <c r="S572">
        <f t="shared" si="65"/>
        <v>2011</v>
      </c>
      <c r="T572" t="str">
        <f t="shared" si="66"/>
        <v>January</v>
      </c>
      <c r="U572" t="str">
        <f t="shared" si="67"/>
        <v>Weekday</v>
      </c>
      <c r="V572" t="str">
        <f t="shared" si="68"/>
        <v>Evening</v>
      </c>
      <c r="W572" t="str">
        <f t="shared" si="69"/>
        <v>Spring</v>
      </c>
      <c r="X572" t="str">
        <f t="shared" si="70"/>
        <v>Mist/Cloudy</v>
      </c>
    </row>
    <row r="573" spans="1:24">
      <c r="A573">
        <v>572</v>
      </c>
      <c r="B573" s="2">
        <v>40569</v>
      </c>
      <c r="C573">
        <v>1</v>
      </c>
      <c r="D573">
        <v>0</v>
      </c>
      <c r="E573">
        <v>1</v>
      </c>
      <c r="F573">
        <v>0</v>
      </c>
      <c r="G573" t="b">
        <v>0</v>
      </c>
      <c r="H573">
        <v>3</v>
      </c>
      <c r="I573">
        <v>2</v>
      </c>
      <c r="J573">
        <v>0.22</v>
      </c>
      <c r="K573">
        <v>0.2273</v>
      </c>
      <c r="L573">
        <v>0.69</v>
      </c>
      <c r="M573">
        <v>0.1343</v>
      </c>
      <c r="N573">
        <v>3</v>
      </c>
      <c r="O573">
        <v>14</v>
      </c>
      <c r="P573">
        <v>17</v>
      </c>
      <c r="Q573" t="str">
        <f t="shared" si="64"/>
        <v>Complete</v>
      </c>
      <c r="R573">
        <f t="shared" si="71"/>
        <v>0.2273</v>
      </c>
      <c r="S573">
        <f t="shared" si="65"/>
        <v>2011</v>
      </c>
      <c r="T573" t="str">
        <f t="shared" si="66"/>
        <v>January</v>
      </c>
      <c r="U573" t="str">
        <f t="shared" si="67"/>
        <v>Weekday</v>
      </c>
      <c r="V573" t="str">
        <f t="shared" si="68"/>
        <v>Night</v>
      </c>
      <c r="W573" t="str">
        <f t="shared" si="69"/>
        <v>Spring</v>
      </c>
      <c r="X573" t="str">
        <f t="shared" si="70"/>
        <v>Mist/Cloudy</v>
      </c>
    </row>
    <row r="574" spans="1:24">
      <c r="A574">
        <v>573</v>
      </c>
      <c r="B574" s="2">
        <v>40569</v>
      </c>
      <c r="C574">
        <v>1</v>
      </c>
      <c r="D574">
        <v>0</v>
      </c>
      <c r="E574">
        <v>1</v>
      </c>
      <c r="F574">
        <v>1</v>
      </c>
      <c r="G574" t="b">
        <v>0</v>
      </c>
      <c r="H574">
        <v>3</v>
      </c>
      <c r="I574">
        <v>2</v>
      </c>
      <c r="J574">
        <v>0.24</v>
      </c>
      <c r="K574">
        <v>0.2424</v>
      </c>
      <c r="L574">
        <v>0.65</v>
      </c>
      <c r="M574">
        <v>0.1343</v>
      </c>
      <c r="N574">
        <v>0</v>
      </c>
      <c r="O574">
        <v>5</v>
      </c>
      <c r="P574">
        <v>5</v>
      </c>
      <c r="Q574" t="str">
        <f t="shared" si="64"/>
        <v>Complete</v>
      </c>
      <c r="R574">
        <f t="shared" si="71"/>
        <v>0.2424</v>
      </c>
      <c r="S574">
        <f t="shared" si="65"/>
        <v>2011</v>
      </c>
      <c r="T574" t="str">
        <f t="shared" si="66"/>
        <v>January</v>
      </c>
      <c r="U574" t="str">
        <f t="shared" si="67"/>
        <v>Weekday</v>
      </c>
      <c r="V574" t="str">
        <f t="shared" si="68"/>
        <v>Night</v>
      </c>
      <c r="W574" t="str">
        <f t="shared" si="69"/>
        <v>Spring</v>
      </c>
      <c r="X574" t="str">
        <f t="shared" si="70"/>
        <v>Mist/Cloudy</v>
      </c>
    </row>
    <row r="575" spans="1:24">
      <c r="A575">
        <v>574</v>
      </c>
      <c r="B575" s="2">
        <v>40569</v>
      </c>
      <c r="C575">
        <v>1</v>
      </c>
      <c r="D575">
        <v>0</v>
      </c>
      <c r="E575">
        <v>1</v>
      </c>
      <c r="F575">
        <v>2</v>
      </c>
      <c r="G575" t="b">
        <v>0</v>
      </c>
      <c r="H575">
        <v>3</v>
      </c>
      <c r="I575">
        <v>3</v>
      </c>
      <c r="J575">
        <v>0.22</v>
      </c>
      <c r="K575">
        <v>0.2273</v>
      </c>
      <c r="L575">
        <v>0.69</v>
      </c>
      <c r="M575">
        <v>0.19400000000000001</v>
      </c>
      <c r="N575">
        <v>3</v>
      </c>
      <c r="O575">
        <v>7</v>
      </c>
      <c r="P575">
        <v>10</v>
      </c>
      <c r="Q575" t="str">
        <f t="shared" si="64"/>
        <v>Complete</v>
      </c>
      <c r="R575">
        <f t="shared" si="71"/>
        <v>0.2273</v>
      </c>
      <c r="S575">
        <f t="shared" si="65"/>
        <v>2011</v>
      </c>
      <c r="T575" t="str">
        <f t="shared" si="66"/>
        <v>January</v>
      </c>
      <c r="U575" t="str">
        <f t="shared" si="67"/>
        <v>Weekday</v>
      </c>
      <c r="V575" t="str">
        <f t="shared" si="68"/>
        <v>Night</v>
      </c>
      <c r="W575" t="str">
        <f t="shared" si="69"/>
        <v>Spring</v>
      </c>
      <c r="X575" t="str">
        <f t="shared" si="70"/>
        <v>Light Rain/Snow</v>
      </c>
    </row>
    <row r="576" spans="1:24">
      <c r="A576">
        <v>575</v>
      </c>
      <c r="B576" s="2">
        <v>40569</v>
      </c>
      <c r="C576">
        <v>1</v>
      </c>
      <c r="D576">
        <v>0</v>
      </c>
      <c r="E576">
        <v>1</v>
      </c>
      <c r="F576">
        <v>5</v>
      </c>
      <c r="G576" t="b">
        <v>0</v>
      </c>
      <c r="H576">
        <v>3</v>
      </c>
      <c r="I576">
        <v>3</v>
      </c>
      <c r="J576">
        <v>0.2</v>
      </c>
      <c r="K576">
        <v>0.18179999999999999</v>
      </c>
      <c r="L576">
        <v>0.86</v>
      </c>
      <c r="M576">
        <v>0.28360000000000002</v>
      </c>
      <c r="N576">
        <v>0</v>
      </c>
      <c r="O576">
        <v>1</v>
      </c>
      <c r="P576">
        <v>1</v>
      </c>
      <c r="Q576" t="str">
        <f t="shared" si="64"/>
        <v>Complete</v>
      </c>
      <c r="R576">
        <f t="shared" si="71"/>
        <v>0.18179999999999999</v>
      </c>
      <c r="S576">
        <f t="shared" si="65"/>
        <v>2011</v>
      </c>
      <c r="T576" t="str">
        <f t="shared" si="66"/>
        <v>January</v>
      </c>
      <c r="U576" t="str">
        <f t="shared" si="67"/>
        <v>Weekday</v>
      </c>
      <c r="V576" t="str">
        <f t="shared" si="68"/>
        <v>Night</v>
      </c>
      <c r="W576" t="str">
        <f t="shared" si="69"/>
        <v>Spring</v>
      </c>
      <c r="X576" t="str">
        <f t="shared" si="70"/>
        <v>Light Rain/Snow</v>
      </c>
    </row>
    <row r="577" spans="1:24">
      <c r="A577">
        <v>576</v>
      </c>
      <c r="B577" s="2">
        <v>40569</v>
      </c>
      <c r="C577">
        <v>1</v>
      </c>
      <c r="D577">
        <v>0</v>
      </c>
      <c r="E577">
        <v>1</v>
      </c>
      <c r="F577">
        <v>6</v>
      </c>
      <c r="G577" t="b">
        <v>0</v>
      </c>
      <c r="H577">
        <v>3</v>
      </c>
      <c r="I577">
        <v>3</v>
      </c>
      <c r="J577">
        <v>0.2</v>
      </c>
      <c r="K577">
        <v>0.18179999999999999</v>
      </c>
      <c r="L577">
        <v>0.86</v>
      </c>
      <c r="M577">
        <v>0.28360000000000002</v>
      </c>
      <c r="N577">
        <v>0</v>
      </c>
      <c r="O577">
        <v>8</v>
      </c>
      <c r="P577">
        <v>8</v>
      </c>
      <c r="Q577" t="str">
        <f t="shared" si="64"/>
        <v>Complete</v>
      </c>
      <c r="R577">
        <f t="shared" si="71"/>
        <v>0.18179999999999999</v>
      </c>
      <c r="S577">
        <f t="shared" si="65"/>
        <v>2011</v>
      </c>
      <c r="T577" t="str">
        <f t="shared" si="66"/>
        <v>January</v>
      </c>
      <c r="U577" t="str">
        <f t="shared" si="67"/>
        <v>Weekday</v>
      </c>
      <c r="V577" t="str">
        <f t="shared" si="68"/>
        <v>Morning</v>
      </c>
      <c r="W577" t="str">
        <f t="shared" si="69"/>
        <v>Spring</v>
      </c>
      <c r="X577" t="str">
        <f t="shared" si="70"/>
        <v>Light Rain/Snow</v>
      </c>
    </row>
    <row r="578" spans="1:24">
      <c r="A578">
        <v>577</v>
      </c>
      <c r="B578" s="2">
        <v>40569</v>
      </c>
      <c r="C578">
        <v>1</v>
      </c>
      <c r="D578">
        <v>0</v>
      </c>
      <c r="E578">
        <v>1</v>
      </c>
      <c r="F578">
        <v>7</v>
      </c>
      <c r="G578" t="b">
        <v>0</v>
      </c>
      <c r="H578">
        <v>3</v>
      </c>
      <c r="I578">
        <v>3</v>
      </c>
      <c r="J578">
        <v>0.22</v>
      </c>
      <c r="K578">
        <v>0.21210000000000001</v>
      </c>
      <c r="L578">
        <v>0.87</v>
      </c>
      <c r="M578">
        <v>0.29849999999999999</v>
      </c>
      <c r="N578">
        <v>1</v>
      </c>
      <c r="O578">
        <v>29</v>
      </c>
      <c r="P578">
        <v>30</v>
      </c>
      <c r="Q578" t="str">
        <f t="shared" ref="Q578:Q641" si="72">IF(K578="","Missing atemp","Complete")</f>
        <v>Complete</v>
      </c>
      <c r="R578">
        <f t="shared" si="71"/>
        <v>0.21210000000000001</v>
      </c>
      <c r="S578">
        <f t="shared" ref="S578:S641" si="73">IF(D578=0,2011,"")</f>
        <v>2011</v>
      </c>
      <c r="T578" t="str">
        <f t="shared" ref="T578:T641" si="74">IF(E578=1,"January","")</f>
        <v>January</v>
      </c>
      <c r="U578" t="str">
        <f t="shared" ref="U578:U641" si="75">IF(G578=TRUE,"Holiday",IF(H578=0,"Sunday",IF(H578=6,"Saturday","Weekday")))</f>
        <v>Weekday</v>
      </c>
      <c r="V578" t="str">
        <f t="shared" ref="V578:V641" si="76">IF(F578&lt;6,"Night",IF(F578&lt;12,"Morning",IF(F578&lt;18,"Afternoon","Evening")))</f>
        <v>Morning</v>
      </c>
      <c r="W578" t="str">
        <f t="shared" ref="W578:W641" si="77">IF(C578=1,"Spring","")</f>
        <v>Spring</v>
      </c>
      <c r="X578" t="str">
        <f t="shared" ref="X578:X641" si="78">IF(I578=1,"Clear",IF(I578=2,"Mist/Cloudy",IF(I578=3,"Light Rain/Snow",IF(I578=4,"Heavy Rain/Snow","Unknown"))))</f>
        <v>Light Rain/Snow</v>
      </c>
    </row>
    <row r="579" spans="1:24">
      <c r="A579">
        <v>578</v>
      </c>
      <c r="B579" s="2">
        <v>40569</v>
      </c>
      <c r="C579">
        <v>1</v>
      </c>
      <c r="D579">
        <v>0</v>
      </c>
      <c r="E579">
        <v>1</v>
      </c>
      <c r="F579">
        <v>8</v>
      </c>
      <c r="G579" t="b">
        <v>0</v>
      </c>
      <c r="H579">
        <v>3</v>
      </c>
      <c r="I579">
        <v>3</v>
      </c>
      <c r="J579">
        <v>0.22</v>
      </c>
      <c r="K579">
        <v>0.21210000000000001</v>
      </c>
      <c r="L579">
        <v>0.87</v>
      </c>
      <c r="M579">
        <v>0.29849999999999999</v>
      </c>
      <c r="N579">
        <v>3</v>
      </c>
      <c r="O579">
        <v>69</v>
      </c>
      <c r="P579">
        <v>72</v>
      </c>
      <c r="Q579" t="str">
        <f t="shared" si="72"/>
        <v>Complete</v>
      </c>
      <c r="R579">
        <f t="shared" ref="R579:R642" si="79">IF(K579="",J579,K579)</f>
        <v>0.21210000000000001</v>
      </c>
      <c r="S579">
        <f t="shared" si="73"/>
        <v>2011</v>
      </c>
      <c r="T579" t="str">
        <f t="shared" si="74"/>
        <v>January</v>
      </c>
      <c r="U579" t="str">
        <f t="shared" si="75"/>
        <v>Weekday</v>
      </c>
      <c r="V579" t="str">
        <f t="shared" si="76"/>
        <v>Morning</v>
      </c>
      <c r="W579" t="str">
        <f t="shared" si="77"/>
        <v>Spring</v>
      </c>
      <c r="X579" t="str">
        <f t="shared" si="78"/>
        <v>Light Rain/Snow</v>
      </c>
    </row>
    <row r="580" spans="1:24">
      <c r="A580">
        <v>579</v>
      </c>
      <c r="B580" s="2">
        <v>40569</v>
      </c>
      <c r="C580">
        <v>1</v>
      </c>
      <c r="D580">
        <v>0</v>
      </c>
      <c r="E580">
        <v>1</v>
      </c>
      <c r="F580">
        <v>9</v>
      </c>
      <c r="G580" t="b">
        <v>0</v>
      </c>
      <c r="H580">
        <v>3</v>
      </c>
      <c r="I580">
        <v>3</v>
      </c>
      <c r="J580">
        <v>0.22</v>
      </c>
      <c r="K580">
        <v>0.21210000000000001</v>
      </c>
      <c r="L580">
        <v>0.87</v>
      </c>
      <c r="M580">
        <v>0.29849999999999999</v>
      </c>
      <c r="N580">
        <v>3</v>
      </c>
      <c r="O580">
        <v>55</v>
      </c>
      <c r="P580">
        <v>58</v>
      </c>
      <c r="Q580" t="str">
        <f t="shared" si="72"/>
        <v>Complete</v>
      </c>
      <c r="R580">
        <f t="shared" si="79"/>
        <v>0.21210000000000001</v>
      </c>
      <c r="S580">
        <f t="shared" si="73"/>
        <v>2011</v>
      </c>
      <c r="T580" t="str">
        <f t="shared" si="74"/>
        <v>January</v>
      </c>
      <c r="U580" t="str">
        <f t="shared" si="75"/>
        <v>Weekday</v>
      </c>
      <c r="V580" t="str">
        <f t="shared" si="76"/>
        <v>Morning</v>
      </c>
      <c r="W580" t="str">
        <f t="shared" si="77"/>
        <v>Spring</v>
      </c>
      <c r="X580" t="str">
        <f t="shared" si="78"/>
        <v>Light Rain/Snow</v>
      </c>
    </row>
    <row r="581" spans="1:24">
      <c r="A581">
        <v>580</v>
      </c>
      <c r="B581" s="2">
        <v>40569</v>
      </c>
      <c r="C581">
        <v>1</v>
      </c>
      <c r="D581">
        <v>0</v>
      </c>
      <c r="E581">
        <v>1</v>
      </c>
      <c r="F581">
        <v>10</v>
      </c>
      <c r="G581" t="b">
        <v>0</v>
      </c>
      <c r="H581">
        <v>3</v>
      </c>
      <c r="I581">
        <v>3</v>
      </c>
      <c r="J581">
        <v>0.22</v>
      </c>
      <c r="K581">
        <v>0.21210000000000001</v>
      </c>
      <c r="L581">
        <v>0.93</v>
      </c>
      <c r="M581">
        <v>0.28360000000000002</v>
      </c>
      <c r="N581">
        <v>2</v>
      </c>
      <c r="O581">
        <v>26</v>
      </c>
      <c r="P581">
        <v>28</v>
      </c>
      <c r="Q581" t="str">
        <f t="shared" si="72"/>
        <v>Complete</v>
      </c>
      <c r="R581">
        <f t="shared" si="79"/>
        <v>0.21210000000000001</v>
      </c>
      <c r="S581">
        <f t="shared" si="73"/>
        <v>2011</v>
      </c>
      <c r="T581" t="str">
        <f t="shared" si="74"/>
        <v>January</v>
      </c>
      <c r="U581" t="str">
        <f t="shared" si="75"/>
        <v>Weekday</v>
      </c>
      <c r="V581" t="str">
        <f t="shared" si="76"/>
        <v>Morning</v>
      </c>
      <c r="W581" t="str">
        <f t="shared" si="77"/>
        <v>Spring</v>
      </c>
      <c r="X581" t="str">
        <f t="shared" si="78"/>
        <v>Light Rain/Snow</v>
      </c>
    </row>
    <row r="582" spans="1:24">
      <c r="A582">
        <v>581</v>
      </c>
      <c r="B582" s="2">
        <v>40569</v>
      </c>
      <c r="C582">
        <v>1</v>
      </c>
      <c r="D582">
        <v>0</v>
      </c>
      <c r="E582">
        <v>1</v>
      </c>
      <c r="F582">
        <v>11</v>
      </c>
      <c r="G582" t="b">
        <v>0</v>
      </c>
      <c r="H582">
        <v>3</v>
      </c>
      <c r="I582">
        <v>3</v>
      </c>
      <c r="J582">
        <v>0.22</v>
      </c>
      <c r="K582">
        <v>0.19700000000000001</v>
      </c>
      <c r="L582">
        <v>0.93</v>
      </c>
      <c r="M582">
        <v>0.32840000000000003</v>
      </c>
      <c r="N582">
        <v>6</v>
      </c>
      <c r="O582">
        <v>35</v>
      </c>
      <c r="P582">
        <v>41</v>
      </c>
      <c r="Q582" t="str">
        <f t="shared" si="72"/>
        <v>Complete</v>
      </c>
      <c r="R582">
        <f t="shared" si="79"/>
        <v>0.19700000000000001</v>
      </c>
      <c r="S582">
        <f t="shared" si="73"/>
        <v>2011</v>
      </c>
      <c r="T582" t="str">
        <f t="shared" si="74"/>
        <v>January</v>
      </c>
      <c r="U582" t="str">
        <f t="shared" si="75"/>
        <v>Weekday</v>
      </c>
      <c r="V582" t="str">
        <f t="shared" si="76"/>
        <v>Morning</v>
      </c>
      <c r="W582" t="str">
        <f t="shared" si="77"/>
        <v>Spring</v>
      </c>
      <c r="X582" t="str">
        <f t="shared" si="78"/>
        <v>Light Rain/Snow</v>
      </c>
    </row>
    <row r="583" spans="1:24">
      <c r="A583">
        <v>582</v>
      </c>
      <c r="B583" s="2">
        <v>40569</v>
      </c>
      <c r="C583">
        <v>1</v>
      </c>
      <c r="D583">
        <v>0</v>
      </c>
      <c r="E583">
        <v>1</v>
      </c>
      <c r="F583">
        <v>12</v>
      </c>
      <c r="G583" t="b">
        <v>0</v>
      </c>
      <c r="H583">
        <v>3</v>
      </c>
      <c r="I583">
        <v>3</v>
      </c>
      <c r="J583">
        <v>0.22</v>
      </c>
      <c r="K583">
        <v>0.19700000000000001</v>
      </c>
      <c r="L583">
        <v>0.93</v>
      </c>
      <c r="M583">
        <v>0.32840000000000003</v>
      </c>
      <c r="N583">
        <v>7</v>
      </c>
      <c r="O583">
        <v>41</v>
      </c>
      <c r="P583">
        <v>48</v>
      </c>
      <c r="Q583" t="str">
        <f t="shared" si="72"/>
        <v>Complete</v>
      </c>
      <c r="R583">
        <f t="shared" si="79"/>
        <v>0.19700000000000001</v>
      </c>
      <c r="S583">
        <f t="shared" si="73"/>
        <v>2011</v>
      </c>
      <c r="T583" t="str">
        <f t="shared" si="74"/>
        <v>January</v>
      </c>
      <c r="U583" t="str">
        <f t="shared" si="75"/>
        <v>Weekday</v>
      </c>
      <c r="V583" t="str">
        <f t="shared" si="76"/>
        <v>Afternoon</v>
      </c>
      <c r="W583" t="str">
        <f t="shared" si="77"/>
        <v>Spring</v>
      </c>
      <c r="X583" t="str">
        <f t="shared" si="78"/>
        <v>Light Rain/Snow</v>
      </c>
    </row>
    <row r="584" spans="1:24">
      <c r="A584">
        <v>583</v>
      </c>
      <c r="B584" s="2">
        <v>40569</v>
      </c>
      <c r="C584">
        <v>1</v>
      </c>
      <c r="D584">
        <v>0</v>
      </c>
      <c r="E584">
        <v>1</v>
      </c>
      <c r="F584">
        <v>13</v>
      </c>
      <c r="G584" t="b">
        <v>0</v>
      </c>
      <c r="H584">
        <v>3</v>
      </c>
      <c r="I584">
        <v>3</v>
      </c>
      <c r="J584">
        <v>0.22</v>
      </c>
      <c r="K584">
        <v>0.19700000000000001</v>
      </c>
      <c r="L584">
        <v>0.93</v>
      </c>
      <c r="M584">
        <v>0.32840000000000003</v>
      </c>
      <c r="N584">
        <v>4</v>
      </c>
      <c r="O584">
        <v>43</v>
      </c>
      <c r="P584">
        <v>47</v>
      </c>
      <c r="Q584" t="str">
        <f t="shared" si="72"/>
        <v>Complete</v>
      </c>
      <c r="R584">
        <f t="shared" si="79"/>
        <v>0.19700000000000001</v>
      </c>
      <c r="S584">
        <f t="shared" si="73"/>
        <v>2011</v>
      </c>
      <c r="T584" t="str">
        <f t="shared" si="74"/>
        <v>January</v>
      </c>
      <c r="U584" t="str">
        <f t="shared" si="75"/>
        <v>Weekday</v>
      </c>
      <c r="V584" t="str">
        <f t="shared" si="76"/>
        <v>Afternoon</v>
      </c>
      <c r="W584" t="str">
        <f t="shared" si="77"/>
        <v>Spring</v>
      </c>
      <c r="X584" t="str">
        <f t="shared" si="78"/>
        <v>Light Rain/Snow</v>
      </c>
    </row>
    <row r="585" spans="1:24">
      <c r="A585">
        <v>584</v>
      </c>
      <c r="B585" s="2">
        <v>40569</v>
      </c>
      <c r="C585">
        <v>1</v>
      </c>
      <c r="D585">
        <v>0</v>
      </c>
      <c r="E585">
        <v>1</v>
      </c>
      <c r="F585">
        <v>14</v>
      </c>
      <c r="G585" t="b">
        <v>0</v>
      </c>
      <c r="H585">
        <v>3</v>
      </c>
      <c r="I585">
        <v>3</v>
      </c>
      <c r="J585">
        <v>0.22</v>
      </c>
      <c r="K585">
        <v>0.19700000000000001</v>
      </c>
      <c r="L585">
        <v>0.93</v>
      </c>
      <c r="M585">
        <v>0.35820000000000002</v>
      </c>
      <c r="N585">
        <v>0</v>
      </c>
      <c r="O585">
        <v>36</v>
      </c>
      <c r="P585">
        <v>36</v>
      </c>
      <c r="Q585" t="str">
        <f t="shared" si="72"/>
        <v>Complete</v>
      </c>
      <c r="R585">
        <f t="shared" si="79"/>
        <v>0.19700000000000001</v>
      </c>
      <c r="S585">
        <f t="shared" si="73"/>
        <v>2011</v>
      </c>
      <c r="T585" t="str">
        <f t="shared" si="74"/>
        <v>January</v>
      </c>
      <c r="U585" t="str">
        <f t="shared" si="75"/>
        <v>Weekday</v>
      </c>
      <c r="V585" t="str">
        <f t="shared" si="76"/>
        <v>Afternoon</v>
      </c>
      <c r="W585" t="str">
        <f t="shared" si="77"/>
        <v>Spring</v>
      </c>
      <c r="X585" t="str">
        <f t="shared" si="78"/>
        <v>Light Rain/Snow</v>
      </c>
    </row>
    <row r="586" spans="1:24">
      <c r="A586">
        <v>585</v>
      </c>
      <c r="B586" s="2">
        <v>40569</v>
      </c>
      <c r="C586">
        <v>1</v>
      </c>
      <c r="D586">
        <v>0</v>
      </c>
      <c r="E586">
        <v>1</v>
      </c>
      <c r="F586">
        <v>15</v>
      </c>
      <c r="G586" t="b">
        <v>0</v>
      </c>
      <c r="H586">
        <v>3</v>
      </c>
      <c r="I586">
        <v>3</v>
      </c>
      <c r="J586">
        <v>0.22</v>
      </c>
      <c r="K586">
        <v>0.18179999999999999</v>
      </c>
      <c r="L586">
        <v>0.93</v>
      </c>
      <c r="M586">
        <v>0.4627</v>
      </c>
      <c r="N586">
        <v>1</v>
      </c>
      <c r="O586">
        <v>42</v>
      </c>
      <c r="P586">
        <v>43</v>
      </c>
      <c r="Q586" t="str">
        <f t="shared" si="72"/>
        <v>Complete</v>
      </c>
      <c r="R586">
        <f t="shared" si="79"/>
        <v>0.18179999999999999</v>
      </c>
      <c r="S586">
        <f t="shared" si="73"/>
        <v>2011</v>
      </c>
      <c r="T586" t="str">
        <f t="shared" si="74"/>
        <v>January</v>
      </c>
      <c r="U586" t="str">
        <f t="shared" si="75"/>
        <v>Weekday</v>
      </c>
      <c r="V586" t="str">
        <f t="shared" si="76"/>
        <v>Afternoon</v>
      </c>
      <c r="W586" t="str">
        <f t="shared" si="77"/>
        <v>Spring</v>
      </c>
      <c r="X586" t="str">
        <f t="shared" si="78"/>
        <v>Light Rain/Snow</v>
      </c>
    </row>
    <row r="587" spans="1:24">
      <c r="A587">
        <v>586</v>
      </c>
      <c r="B587" s="2">
        <v>40569</v>
      </c>
      <c r="C587">
        <v>1</v>
      </c>
      <c r="D587">
        <v>0</v>
      </c>
      <c r="E587">
        <v>1</v>
      </c>
      <c r="F587">
        <v>16</v>
      </c>
      <c r="G587" t="b">
        <v>0</v>
      </c>
      <c r="H587">
        <v>3</v>
      </c>
      <c r="I587">
        <v>4</v>
      </c>
      <c r="J587">
        <v>0.22</v>
      </c>
      <c r="K587">
        <v>0.19700000000000001</v>
      </c>
      <c r="L587">
        <v>0.93</v>
      </c>
      <c r="M587">
        <v>0.32840000000000003</v>
      </c>
      <c r="N587">
        <v>1</v>
      </c>
      <c r="O587">
        <v>35</v>
      </c>
      <c r="P587">
        <v>36</v>
      </c>
      <c r="Q587" t="str">
        <f t="shared" si="72"/>
        <v>Complete</v>
      </c>
      <c r="R587">
        <f t="shared" si="79"/>
        <v>0.19700000000000001</v>
      </c>
      <c r="S587">
        <f t="shared" si="73"/>
        <v>2011</v>
      </c>
      <c r="T587" t="str">
        <f t="shared" si="74"/>
        <v>January</v>
      </c>
      <c r="U587" t="str">
        <f t="shared" si="75"/>
        <v>Weekday</v>
      </c>
      <c r="V587" t="str">
        <f t="shared" si="76"/>
        <v>Afternoon</v>
      </c>
      <c r="W587" t="str">
        <f t="shared" si="77"/>
        <v>Spring</v>
      </c>
      <c r="X587" t="str">
        <f t="shared" si="78"/>
        <v>Heavy Rain/Snow</v>
      </c>
    </row>
    <row r="588" spans="1:24">
      <c r="A588">
        <v>587</v>
      </c>
      <c r="B588" s="2">
        <v>40569</v>
      </c>
      <c r="C588">
        <v>1</v>
      </c>
      <c r="D588">
        <v>0</v>
      </c>
      <c r="E588">
        <v>1</v>
      </c>
      <c r="F588">
        <v>17</v>
      </c>
      <c r="G588" t="b">
        <v>0</v>
      </c>
      <c r="H588">
        <v>3</v>
      </c>
      <c r="I588">
        <v>3</v>
      </c>
      <c r="J588">
        <v>0.2</v>
      </c>
      <c r="K588">
        <v>0.18179999999999999</v>
      </c>
      <c r="L588">
        <v>0.93</v>
      </c>
      <c r="M588">
        <v>0.35820000000000002</v>
      </c>
      <c r="N588">
        <v>0</v>
      </c>
      <c r="O588">
        <v>26</v>
      </c>
      <c r="P588">
        <v>26</v>
      </c>
      <c r="Q588" t="str">
        <f t="shared" si="72"/>
        <v>Complete</v>
      </c>
      <c r="R588">
        <f t="shared" si="79"/>
        <v>0.18179999999999999</v>
      </c>
      <c r="S588">
        <f t="shared" si="73"/>
        <v>2011</v>
      </c>
      <c r="T588" t="str">
        <f t="shared" si="74"/>
        <v>January</v>
      </c>
      <c r="U588" t="str">
        <f t="shared" si="75"/>
        <v>Weekday</v>
      </c>
      <c r="V588" t="str">
        <f t="shared" si="76"/>
        <v>Afternoon</v>
      </c>
      <c r="W588" t="str">
        <f t="shared" si="77"/>
        <v>Spring</v>
      </c>
      <c r="X588" t="str">
        <f t="shared" si="78"/>
        <v>Light Rain/Snow</v>
      </c>
    </row>
    <row r="589" spans="1:24">
      <c r="A589">
        <v>588</v>
      </c>
      <c r="B589" s="2">
        <v>40570</v>
      </c>
      <c r="C589">
        <v>1</v>
      </c>
      <c r="D589">
        <v>0</v>
      </c>
      <c r="E589">
        <v>1</v>
      </c>
      <c r="F589">
        <v>16</v>
      </c>
      <c r="G589" t="b">
        <v>0</v>
      </c>
      <c r="H589">
        <v>4</v>
      </c>
      <c r="I589">
        <v>1</v>
      </c>
      <c r="J589">
        <v>0.22</v>
      </c>
      <c r="K589">
        <v>0.2273</v>
      </c>
      <c r="L589">
        <v>0.55000000000000004</v>
      </c>
      <c r="M589">
        <v>0.19400000000000001</v>
      </c>
      <c r="N589">
        <v>1</v>
      </c>
      <c r="O589">
        <v>23</v>
      </c>
      <c r="P589">
        <v>24</v>
      </c>
      <c r="Q589" t="str">
        <f t="shared" si="72"/>
        <v>Complete</v>
      </c>
      <c r="R589">
        <f t="shared" si="79"/>
        <v>0.2273</v>
      </c>
      <c r="S589">
        <f t="shared" si="73"/>
        <v>2011</v>
      </c>
      <c r="T589" t="str">
        <f t="shared" si="74"/>
        <v>January</v>
      </c>
      <c r="U589" t="str">
        <f t="shared" si="75"/>
        <v>Weekday</v>
      </c>
      <c r="V589" t="str">
        <f t="shared" si="76"/>
        <v>Afternoon</v>
      </c>
      <c r="W589" t="str">
        <f t="shared" si="77"/>
        <v>Spring</v>
      </c>
      <c r="X589" t="str">
        <f t="shared" si="78"/>
        <v>Clear</v>
      </c>
    </row>
    <row r="590" spans="1:24">
      <c r="A590">
        <v>589</v>
      </c>
      <c r="B590" s="2">
        <v>40570</v>
      </c>
      <c r="C590">
        <v>1</v>
      </c>
      <c r="D590">
        <v>0</v>
      </c>
      <c r="E590">
        <v>1</v>
      </c>
      <c r="F590">
        <v>17</v>
      </c>
      <c r="G590" t="b">
        <v>0</v>
      </c>
      <c r="H590">
        <v>4</v>
      </c>
      <c r="I590">
        <v>1</v>
      </c>
      <c r="J590">
        <v>0.22</v>
      </c>
      <c r="K590">
        <v>0.2424</v>
      </c>
      <c r="L590">
        <v>0.55000000000000004</v>
      </c>
      <c r="M590">
        <v>0.1045</v>
      </c>
      <c r="N590">
        <v>2</v>
      </c>
      <c r="O590">
        <v>82</v>
      </c>
      <c r="P590">
        <v>84</v>
      </c>
      <c r="Q590" t="str">
        <f t="shared" si="72"/>
        <v>Complete</v>
      </c>
      <c r="R590">
        <f t="shared" si="79"/>
        <v>0.2424</v>
      </c>
      <c r="S590">
        <f t="shared" si="73"/>
        <v>2011</v>
      </c>
      <c r="T590" t="str">
        <f t="shared" si="74"/>
        <v>January</v>
      </c>
      <c r="U590" t="str">
        <f t="shared" si="75"/>
        <v>Weekday</v>
      </c>
      <c r="V590" t="str">
        <f t="shared" si="76"/>
        <v>Afternoon</v>
      </c>
      <c r="W590" t="str">
        <f t="shared" si="77"/>
        <v>Spring</v>
      </c>
      <c r="X590" t="str">
        <f t="shared" si="78"/>
        <v>Clear</v>
      </c>
    </row>
    <row r="591" spans="1:24">
      <c r="A591">
        <v>590</v>
      </c>
      <c r="B591" s="2">
        <v>40570</v>
      </c>
      <c r="C591">
        <v>1</v>
      </c>
      <c r="D591">
        <v>0</v>
      </c>
      <c r="E591">
        <v>1</v>
      </c>
      <c r="F591">
        <v>18</v>
      </c>
      <c r="G591" t="b">
        <v>0</v>
      </c>
      <c r="H591">
        <v>4</v>
      </c>
      <c r="I591">
        <v>1</v>
      </c>
      <c r="J591">
        <v>0.2</v>
      </c>
      <c r="K591">
        <v>0.2273</v>
      </c>
      <c r="L591">
        <v>0.69</v>
      </c>
      <c r="M591">
        <v>8.9599999999999999E-2</v>
      </c>
      <c r="N591">
        <v>3</v>
      </c>
      <c r="O591">
        <v>101</v>
      </c>
      <c r="P591">
        <v>104</v>
      </c>
      <c r="Q591" t="str">
        <f t="shared" si="72"/>
        <v>Complete</v>
      </c>
      <c r="R591">
        <f t="shared" si="79"/>
        <v>0.2273</v>
      </c>
      <c r="S591">
        <f t="shared" si="73"/>
        <v>2011</v>
      </c>
      <c r="T591" t="str">
        <f t="shared" si="74"/>
        <v>January</v>
      </c>
      <c r="U591" t="str">
        <f t="shared" si="75"/>
        <v>Weekday</v>
      </c>
      <c r="V591" t="str">
        <f t="shared" si="76"/>
        <v>Evening</v>
      </c>
      <c r="W591" t="str">
        <f t="shared" si="77"/>
        <v>Spring</v>
      </c>
      <c r="X591" t="str">
        <f t="shared" si="78"/>
        <v>Clear</v>
      </c>
    </row>
    <row r="592" spans="1:24">
      <c r="A592">
        <v>591</v>
      </c>
      <c r="B592" s="2">
        <v>40570</v>
      </c>
      <c r="C592">
        <v>1</v>
      </c>
      <c r="D592">
        <v>0</v>
      </c>
      <c r="E592">
        <v>1</v>
      </c>
      <c r="F592">
        <v>19</v>
      </c>
      <c r="G592" t="b">
        <v>0</v>
      </c>
      <c r="H592">
        <v>4</v>
      </c>
      <c r="I592">
        <v>1</v>
      </c>
      <c r="J592">
        <v>0.2</v>
      </c>
      <c r="K592">
        <v>0.2273</v>
      </c>
      <c r="L592">
        <v>0.69</v>
      </c>
      <c r="M592">
        <v>8.9599999999999999E-2</v>
      </c>
      <c r="N592">
        <v>3</v>
      </c>
      <c r="O592">
        <v>76</v>
      </c>
      <c r="P592">
        <v>79</v>
      </c>
      <c r="Q592" t="str">
        <f t="shared" si="72"/>
        <v>Complete</v>
      </c>
      <c r="R592">
        <f t="shared" si="79"/>
        <v>0.2273</v>
      </c>
      <c r="S592">
        <f t="shared" si="73"/>
        <v>2011</v>
      </c>
      <c r="T592" t="str">
        <f t="shared" si="74"/>
        <v>January</v>
      </c>
      <c r="U592" t="str">
        <f t="shared" si="75"/>
        <v>Weekday</v>
      </c>
      <c r="V592" t="str">
        <f t="shared" si="76"/>
        <v>Evening</v>
      </c>
      <c r="W592" t="str">
        <f t="shared" si="77"/>
        <v>Spring</v>
      </c>
      <c r="X592" t="str">
        <f t="shared" si="78"/>
        <v>Clear</v>
      </c>
    </row>
    <row r="593" spans="1:24">
      <c r="A593">
        <v>592</v>
      </c>
      <c r="B593" s="2">
        <v>40570</v>
      </c>
      <c r="C593">
        <v>1</v>
      </c>
      <c r="D593">
        <v>0</v>
      </c>
      <c r="E593">
        <v>1</v>
      </c>
      <c r="F593">
        <v>20</v>
      </c>
      <c r="G593" t="b">
        <v>0</v>
      </c>
      <c r="H593">
        <v>4</v>
      </c>
      <c r="I593">
        <v>1</v>
      </c>
      <c r="J593">
        <v>0.18</v>
      </c>
      <c r="K593">
        <v>0.21210000000000001</v>
      </c>
      <c r="L593">
        <v>0.74</v>
      </c>
      <c r="M593">
        <v>8.9599999999999999E-2</v>
      </c>
      <c r="N593">
        <v>4</v>
      </c>
      <c r="O593">
        <v>55</v>
      </c>
      <c r="P593">
        <v>59</v>
      </c>
      <c r="Q593" t="str">
        <f t="shared" si="72"/>
        <v>Complete</v>
      </c>
      <c r="R593">
        <f t="shared" si="79"/>
        <v>0.21210000000000001</v>
      </c>
      <c r="S593">
        <f t="shared" si="73"/>
        <v>2011</v>
      </c>
      <c r="T593" t="str">
        <f t="shared" si="74"/>
        <v>January</v>
      </c>
      <c r="U593" t="str">
        <f t="shared" si="75"/>
        <v>Weekday</v>
      </c>
      <c r="V593" t="str">
        <f t="shared" si="76"/>
        <v>Evening</v>
      </c>
      <c r="W593" t="str">
        <f t="shared" si="77"/>
        <v>Spring</v>
      </c>
      <c r="X593" t="str">
        <f t="shared" si="78"/>
        <v>Clear</v>
      </c>
    </row>
    <row r="594" spans="1:24">
      <c r="A594">
        <v>593</v>
      </c>
      <c r="B594" s="2">
        <v>40570</v>
      </c>
      <c r="C594">
        <v>1</v>
      </c>
      <c r="D594">
        <v>0</v>
      </c>
      <c r="E594">
        <v>1</v>
      </c>
      <c r="F594">
        <v>21</v>
      </c>
      <c r="G594" t="b">
        <v>0</v>
      </c>
      <c r="H594">
        <v>4</v>
      </c>
      <c r="I594">
        <v>1</v>
      </c>
      <c r="J594">
        <v>0.18</v>
      </c>
      <c r="K594">
        <v>0.21210000000000001</v>
      </c>
      <c r="L594">
        <v>0.74</v>
      </c>
      <c r="M594">
        <v>8.9599999999999999E-2</v>
      </c>
      <c r="N594">
        <v>2</v>
      </c>
      <c r="O594">
        <v>36</v>
      </c>
      <c r="P594">
        <v>38</v>
      </c>
      <c r="Q594" t="str">
        <f t="shared" si="72"/>
        <v>Complete</v>
      </c>
      <c r="R594">
        <f t="shared" si="79"/>
        <v>0.21210000000000001</v>
      </c>
      <c r="S594">
        <f t="shared" si="73"/>
        <v>2011</v>
      </c>
      <c r="T594" t="str">
        <f t="shared" si="74"/>
        <v>January</v>
      </c>
      <c r="U594" t="str">
        <f t="shared" si="75"/>
        <v>Weekday</v>
      </c>
      <c r="V594" t="str">
        <f t="shared" si="76"/>
        <v>Evening</v>
      </c>
      <c r="W594" t="str">
        <f t="shared" si="77"/>
        <v>Spring</v>
      </c>
      <c r="X594" t="str">
        <f t="shared" si="78"/>
        <v>Clear</v>
      </c>
    </row>
    <row r="595" spans="1:24">
      <c r="A595">
        <v>594</v>
      </c>
      <c r="B595" s="2">
        <v>40570</v>
      </c>
      <c r="C595">
        <v>1</v>
      </c>
      <c r="D595">
        <v>0</v>
      </c>
      <c r="E595">
        <v>1</v>
      </c>
      <c r="F595">
        <v>22</v>
      </c>
      <c r="G595" t="b">
        <v>0</v>
      </c>
      <c r="H595">
        <v>4</v>
      </c>
      <c r="I595">
        <v>1</v>
      </c>
      <c r="J595">
        <v>0.18</v>
      </c>
      <c r="K595">
        <v>0.21210000000000001</v>
      </c>
      <c r="L595">
        <v>0.74</v>
      </c>
      <c r="M595">
        <v>8.9599999999999999E-2</v>
      </c>
      <c r="N595">
        <v>0</v>
      </c>
      <c r="O595">
        <v>27</v>
      </c>
      <c r="P595">
        <v>27</v>
      </c>
      <c r="Q595" t="str">
        <f t="shared" si="72"/>
        <v>Complete</v>
      </c>
      <c r="R595">
        <f t="shared" si="79"/>
        <v>0.21210000000000001</v>
      </c>
      <c r="S595">
        <f t="shared" si="73"/>
        <v>2011</v>
      </c>
      <c r="T595" t="str">
        <f t="shared" si="74"/>
        <v>January</v>
      </c>
      <c r="U595" t="str">
        <f t="shared" si="75"/>
        <v>Weekday</v>
      </c>
      <c r="V595" t="str">
        <f t="shared" si="76"/>
        <v>Evening</v>
      </c>
      <c r="W595" t="str">
        <f t="shared" si="77"/>
        <v>Spring</v>
      </c>
      <c r="X595" t="str">
        <f t="shared" si="78"/>
        <v>Clear</v>
      </c>
    </row>
    <row r="596" spans="1:24">
      <c r="A596">
        <v>595</v>
      </c>
      <c r="B596" s="2">
        <v>40570</v>
      </c>
      <c r="C596">
        <v>1</v>
      </c>
      <c r="D596">
        <v>0</v>
      </c>
      <c r="E596">
        <v>1</v>
      </c>
      <c r="F596">
        <v>23</v>
      </c>
      <c r="G596" t="b">
        <v>0</v>
      </c>
      <c r="H596">
        <v>4</v>
      </c>
      <c r="I596">
        <v>1</v>
      </c>
      <c r="J596">
        <v>0.18</v>
      </c>
      <c r="K596">
        <v>0.19700000000000001</v>
      </c>
      <c r="L596">
        <v>0.8</v>
      </c>
      <c r="M596">
        <v>0.16420000000000001</v>
      </c>
      <c r="N596">
        <v>0</v>
      </c>
      <c r="O596">
        <v>16</v>
      </c>
      <c r="P596">
        <v>16</v>
      </c>
      <c r="Q596" t="str">
        <f t="shared" si="72"/>
        <v>Complete</v>
      </c>
      <c r="R596">
        <f t="shared" si="79"/>
        <v>0.19700000000000001</v>
      </c>
      <c r="S596">
        <f t="shared" si="73"/>
        <v>2011</v>
      </c>
      <c r="T596" t="str">
        <f t="shared" si="74"/>
        <v>January</v>
      </c>
      <c r="U596" t="str">
        <f t="shared" si="75"/>
        <v>Weekday</v>
      </c>
      <c r="V596" t="str">
        <f t="shared" si="76"/>
        <v>Evening</v>
      </c>
      <c r="W596" t="str">
        <f t="shared" si="77"/>
        <v>Spring</v>
      </c>
      <c r="X596" t="str">
        <f t="shared" si="78"/>
        <v>Clear</v>
      </c>
    </row>
    <row r="597" spans="1:24">
      <c r="A597">
        <v>596</v>
      </c>
      <c r="B597" s="2">
        <v>40571</v>
      </c>
      <c r="C597">
        <v>1</v>
      </c>
      <c r="D597">
        <v>0</v>
      </c>
      <c r="E597">
        <v>1</v>
      </c>
      <c r="F597">
        <v>0</v>
      </c>
      <c r="G597" t="b">
        <v>0</v>
      </c>
      <c r="H597">
        <v>5</v>
      </c>
      <c r="I597">
        <v>2</v>
      </c>
      <c r="J597">
        <v>0.2</v>
      </c>
      <c r="K597">
        <v>0.21210000000000001</v>
      </c>
      <c r="L597">
        <v>0.75</v>
      </c>
      <c r="M597">
        <v>0.1343</v>
      </c>
      <c r="N597">
        <v>0</v>
      </c>
      <c r="O597">
        <v>9</v>
      </c>
      <c r="P597">
        <v>9</v>
      </c>
      <c r="Q597" t="str">
        <f t="shared" si="72"/>
        <v>Complete</v>
      </c>
      <c r="R597">
        <f t="shared" si="79"/>
        <v>0.21210000000000001</v>
      </c>
      <c r="S597">
        <f t="shared" si="73"/>
        <v>2011</v>
      </c>
      <c r="T597" t="str">
        <f t="shared" si="74"/>
        <v>January</v>
      </c>
      <c r="U597" t="str">
        <f t="shared" si="75"/>
        <v>Weekday</v>
      </c>
      <c r="V597" t="str">
        <f t="shared" si="76"/>
        <v>Night</v>
      </c>
      <c r="W597" t="str">
        <f t="shared" si="77"/>
        <v>Spring</v>
      </c>
      <c r="X597" t="str">
        <f t="shared" si="78"/>
        <v>Mist/Cloudy</v>
      </c>
    </row>
    <row r="598" spans="1:24">
      <c r="A598">
        <v>597</v>
      </c>
      <c r="B598" s="2">
        <v>40571</v>
      </c>
      <c r="C598">
        <v>1</v>
      </c>
      <c r="D598">
        <v>0</v>
      </c>
      <c r="E598">
        <v>1</v>
      </c>
      <c r="F598">
        <v>1</v>
      </c>
      <c r="G598" t="b">
        <v>0</v>
      </c>
      <c r="H598">
        <v>5</v>
      </c>
      <c r="I598">
        <v>2</v>
      </c>
      <c r="J598">
        <v>0.2</v>
      </c>
      <c r="K598">
        <v>0.21210000000000001</v>
      </c>
      <c r="L598">
        <v>0.75</v>
      </c>
      <c r="M598">
        <v>0.1343</v>
      </c>
      <c r="N598">
        <v>1</v>
      </c>
      <c r="O598">
        <v>2</v>
      </c>
      <c r="P598">
        <v>3</v>
      </c>
      <c r="Q598" t="str">
        <f t="shared" si="72"/>
        <v>Complete</v>
      </c>
      <c r="R598">
        <f t="shared" si="79"/>
        <v>0.21210000000000001</v>
      </c>
      <c r="S598">
        <f t="shared" si="73"/>
        <v>2011</v>
      </c>
      <c r="T598" t="str">
        <f t="shared" si="74"/>
        <v>January</v>
      </c>
      <c r="U598" t="str">
        <f t="shared" si="75"/>
        <v>Weekday</v>
      </c>
      <c r="V598" t="str">
        <f t="shared" si="76"/>
        <v>Night</v>
      </c>
      <c r="W598" t="str">
        <f t="shared" si="77"/>
        <v>Spring</v>
      </c>
      <c r="X598" t="str">
        <f t="shared" si="78"/>
        <v>Mist/Cloudy</v>
      </c>
    </row>
    <row r="599" spans="1:24">
      <c r="A599">
        <v>598</v>
      </c>
      <c r="B599" s="2">
        <v>40571</v>
      </c>
      <c r="C599">
        <v>1</v>
      </c>
      <c r="D599">
        <v>0</v>
      </c>
      <c r="E599">
        <v>1</v>
      </c>
      <c r="F599">
        <v>2</v>
      </c>
      <c r="G599" t="b">
        <v>0</v>
      </c>
      <c r="H599">
        <v>5</v>
      </c>
      <c r="I599">
        <v>2</v>
      </c>
      <c r="J599">
        <v>0.2</v>
      </c>
      <c r="K599">
        <v>0.21210000000000001</v>
      </c>
      <c r="L599">
        <v>0.75</v>
      </c>
      <c r="M599">
        <v>0.16420000000000001</v>
      </c>
      <c r="N599">
        <v>0</v>
      </c>
      <c r="O599">
        <v>2</v>
      </c>
      <c r="P599">
        <v>2</v>
      </c>
      <c r="Q599" t="str">
        <f t="shared" si="72"/>
        <v>Complete</v>
      </c>
      <c r="R599">
        <f t="shared" si="79"/>
        <v>0.21210000000000001</v>
      </c>
      <c r="S599">
        <f t="shared" si="73"/>
        <v>2011</v>
      </c>
      <c r="T599" t="str">
        <f t="shared" si="74"/>
        <v>January</v>
      </c>
      <c r="U599" t="str">
        <f t="shared" si="75"/>
        <v>Weekday</v>
      </c>
      <c r="V599" t="str">
        <f t="shared" si="76"/>
        <v>Night</v>
      </c>
      <c r="W599" t="str">
        <f t="shared" si="77"/>
        <v>Spring</v>
      </c>
      <c r="X599" t="str">
        <f t="shared" si="78"/>
        <v>Mist/Cloudy</v>
      </c>
    </row>
    <row r="600" spans="1:24">
      <c r="A600">
        <v>599</v>
      </c>
      <c r="B600" s="2">
        <v>40571</v>
      </c>
      <c r="C600">
        <v>1</v>
      </c>
      <c r="D600">
        <v>0</v>
      </c>
      <c r="E600">
        <v>1</v>
      </c>
      <c r="F600">
        <v>3</v>
      </c>
      <c r="G600" t="b">
        <v>0</v>
      </c>
      <c r="H600">
        <v>5</v>
      </c>
      <c r="I600">
        <v>2</v>
      </c>
      <c r="J600">
        <v>0.2</v>
      </c>
      <c r="K600">
        <v>0.2273</v>
      </c>
      <c r="L600">
        <v>0.75</v>
      </c>
      <c r="M600">
        <v>0.1045</v>
      </c>
      <c r="N600">
        <v>1</v>
      </c>
      <c r="O600">
        <v>0</v>
      </c>
      <c r="P600">
        <v>1</v>
      </c>
      <c r="Q600" t="str">
        <f t="shared" si="72"/>
        <v>Complete</v>
      </c>
      <c r="R600">
        <f t="shared" si="79"/>
        <v>0.2273</v>
      </c>
      <c r="S600">
        <f t="shared" si="73"/>
        <v>2011</v>
      </c>
      <c r="T600" t="str">
        <f t="shared" si="74"/>
        <v>January</v>
      </c>
      <c r="U600" t="str">
        <f t="shared" si="75"/>
        <v>Weekday</v>
      </c>
      <c r="V600" t="str">
        <f t="shared" si="76"/>
        <v>Night</v>
      </c>
      <c r="W600" t="str">
        <f t="shared" si="77"/>
        <v>Spring</v>
      </c>
      <c r="X600" t="str">
        <f t="shared" si="78"/>
        <v>Mist/Cloudy</v>
      </c>
    </row>
    <row r="601" spans="1:24">
      <c r="A601">
        <v>600</v>
      </c>
      <c r="B601" s="2">
        <v>40571</v>
      </c>
      <c r="C601">
        <v>1</v>
      </c>
      <c r="D601">
        <v>0</v>
      </c>
      <c r="E601">
        <v>1</v>
      </c>
      <c r="F601">
        <v>5</v>
      </c>
      <c r="G601" t="b">
        <v>0</v>
      </c>
      <c r="H601">
        <v>5</v>
      </c>
      <c r="I601">
        <v>2</v>
      </c>
      <c r="J601">
        <v>0.18</v>
      </c>
      <c r="K601">
        <v>0.21210000000000001</v>
      </c>
      <c r="L601">
        <v>0.8</v>
      </c>
      <c r="M601">
        <v>0.1045</v>
      </c>
      <c r="N601">
        <v>0</v>
      </c>
      <c r="O601">
        <v>4</v>
      </c>
      <c r="P601">
        <v>4</v>
      </c>
      <c r="Q601" t="str">
        <f t="shared" si="72"/>
        <v>Complete</v>
      </c>
      <c r="R601">
        <f t="shared" si="79"/>
        <v>0.21210000000000001</v>
      </c>
      <c r="S601">
        <f t="shared" si="73"/>
        <v>2011</v>
      </c>
      <c r="T601" t="str">
        <f t="shared" si="74"/>
        <v>January</v>
      </c>
      <c r="U601" t="str">
        <f t="shared" si="75"/>
        <v>Weekday</v>
      </c>
      <c r="V601" t="str">
        <f t="shared" si="76"/>
        <v>Night</v>
      </c>
      <c r="W601" t="str">
        <f t="shared" si="77"/>
        <v>Spring</v>
      </c>
      <c r="X601" t="str">
        <f t="shared" si="78"/>
        <v>Mist/Cloudy</v>
      </c>
    </row>
    <row r="602" spans="1:24">
      <c r="A602">
        <v>601</v>
      </c>
      <c r="B602" s="2">
        <v>40571</v>
      </c>
      <c r="C602">
        <v>1</v>
      </c>
      <c r="D602">
        <v>0</v>
      </c>
      <c r="E602">
        <v>1</v>
      </c>
      <c r="F602">
        <v>6</v>
      </c>
      <c r="G602" t="b">
        <v>0</v>
      </c>
      <c r="H602">
        <v>5</v>
      </c>
      <c r="I602">
        <v>2</v>
      </c>
      <c r="J602">
        <v>0.18</v>
      </c>
      <c r="K602">
        <v>0.19700000000000001</v>
      </c>
      <c r="L602">
        <v>0.8</v>
      </c>
      <c r="M602">
        <v>0.1343</v>
      </c>
      <c r="N602">
        <v>0</v>
      </c>
      <c r="O602">
        <v>16</v>
      </c>
      <c r="P602">
        <v>16</v>
      </c>
      <c r="Q602" t="str">
        <f t="shared" si="72"/>
        <v>Complete</v>
      </c>
      <c r="R602">
        <f t="shared" si="79"/>
        <v>0.19700000000000001</v>
      </c>
      <c r="S602">
        <f t="shared" si="73"/>
        <v>2011</v>
      </c>
      <c r="T602" t="str">
        <f t="shared" si="74"/>
        <v>January</v>
      </c>
      <c r="U602" t="str">
        <f t="shared" si="75"/>
        <v>Weekday</v>
      </c>
      <c r="V602" t="str">
        <f t="shared" si="76"/>
        <v>Morning</v>
      </c>
      <c r="W602" t="str">
        <f t="shared" si="77"/>
        <v>Spring</v>
      </c>
      <c r="X602" t="str">
        <f t="shared" si="78"/>
        <v>Mist/Cloudy</v>
      </c>
    </row>
    <row r="603" spans="1:24">
      <c r="A603">
        <v>602</v>
      </c>
      <c r="B603" s="2">
        <v>40571</v>
      </c>
      <c r="C603">
        <v>1</v>
      </c>
      <c r="D603">
        <v>0</v>
      </c>
      <c r="E603">
        <v>1</v>
      </c>
      <c r="F603">
        <v>7</v>
      </c>
      <c r="G603" t="b">
        <v>0</v>
      </c>
      <c r="H603">
        <v>5</v>
      </c>
      <c r="I603">
        <v>2</v>
      </c>
      <c r="J603">
        <v>0.16</v>
      </c>
      <c r="K603">
        <v>0.19700000000000001</v>
      </c>
      <c r="L603">
        <v>0.86</v>
      </c>
      <c r="M603">
        <v>8.9599999999999999E-2</v>
      </c>
      <c r="N603">
        <v>2</v>
      </c>
      <c r="O603">
        <v>58</v>
      </c>
      <c r="P603">
        <v>60</v>
      </c>
      <c r="Q603" t="str">
        <f t="shared" si="72"/>
        <v>Complete</v>
      </c>
      <c r="R603">
        <f t="shared" si="79"/>
        <v>0.19700000000000001</v>
      </c>
      <c r="S603">
        <f t="shared" si="73"/>
        <v>2011</v>
      </c>
      <c r="T603" t="str">
        <f t="shared" si="74"/>
        <v>January</v>
      </c>
      <c r="U603" t="str">
        <f t="shared" si="75"/>
        <v>Weekday</v>
      </c>
      <c r="V603" t="str">
        <f t="shared" si="76"/>
        <v>Morning</v>
      </c>
      <c r="W603" t="str">
        <f t="shared" si="77"/>
        <v>Spring</v>
      </c>
      <c r="X603" t="str">
        <f t="shared" si="78"/>
        <v>Mist/Cloudy</v>
      </c>
    </row>
    <row r="604" spans="1:24">
      <c r="A604">
        <v>603</v>
      </c>
      <c r="B604" s="2">
        <v>40571</v>
      </c>
      <c r="C604">
        <v>1</v>
      </c>
      <c r="D604">
        <v>0</v>
      </c>
      <c r="E604">
        <v>1</v>
      </c>
      <c r="F604">
        <v>8</v>
      </c>
      <c r="G604" t="b">
        <v>0</v>
      </c>
      <c r="H604">
        <v>5</v>
      </c>
      <c r="I604">
        <v>2</v>
      </c>
      <c r="J604">
        <v>0.16</v>
      </c>
      <c r="K604">
        <v>0.19700000000000001</v>
      </c>
      <c r="L604">
        <v>0.86</v>
      </c>
      <c r="M604">
        <v>8.9599999999999999E-2</v>
      </c>
      <c r="N604">
        <v>2</v>
      </c>
      <c r="O604">
        <v>155</v>
      </c>
      <c r="P604">
        <v>157</v>
      </c>
      <c r="Q604" t="str">
        <f t="shared" si="72"/>
        <v>Complete</v>
      </c>
      <c r="R604">
        <f t="shared" si="79"/>
        <v>0.19700000000000001</v>
      </c>
      <c r="S604">
        <f t="shared" si="73"/>
        <v>2011</v>
      </c>
      <c r="T604" t="str">
        <f t="shared" si="74"/>
        <v>January</v>
      </c>
      <c r="U604" t="str">
        <f t="shared" si="75"/>
        <v>Weekday</v>
      </c>
      <c r="V604" t="str">
        <f t="shared" si="76"/>
        <v>Morning</v>
      </c>
      <c r="W604" t="str">
        <f t="shared" si="77"/>
        <v>Spring</v>
      </c>
      <c r="X604" t="str">
        <f t="shared" si="78"/>
        <v>Mist/Cloudy</v>
      </c>
    </row>
    <row r="605" spans="1:24">
      <c r="A605">
        <v>604</v>
      </c>
      <c r="B605" s="2">
        <v>40571</v>
      </c>
      <c r="C605">
        <v>1</v>
      </c>
      <c r="D605">
        <v>0</v>
      </c>
      <c r="E605">
        <v>1</v>
      </c>
      <c r="F605">
        <v>9</v>
      </c>
      <c r="G605" t="b">
        <v>0</v>
      </c>
      <c r="H605">
        <v>5</v>
      </c>
      <c r="I605">
        <v>3</v>
      </c>
      <c r="J605">
        <v>0.18</v>
      </c>
      <c r="K605">
        <v>0.21210000000000001</v>
      </c>
      <c r="L605">
        <v>0.86</v>
      </c>
      <c r="M605">
        <v>8.9599999999999999E-2</v>
      </c>
      <c r="N605">
        <v>6</v>
      </c>
      <c r="O605">
        <v>95</v>
      </c>
      <c r="P605">
        <v>101</v>
      </c>
      <c r="Q605" t="str">
        <f t="shared" si="72"/>
        <v>Complete</v>
      </c>
      <c r="R605">
        <f t="shared" si="79"/>
        <v>0.21210000000000001</v>
      </c>
      <c r="S605">
        <f t="shared" si="73"/>
        <v>2011</v>
      </c>
      <c r="T605" t="str">
        <f t="shared" si="74"/>
        <v>January</v>
      </c>
      <c r="U605" t="str">
        <f t="shared" si="75"/>
        <v>Weekday</v>
      </c>
      <c r="V605" t="str">
        <f t="shared" si="76"/>
        <v>Morning</v>
      </c>
      <c r="W605" t="str">
        <f t="shared" si="77"/>
        <v>Spring</v>
      </c>
      <c r="X605" t="str">
        <f t="shared" si="78"/>
        <v>Light Rain/Snow</v>
      </c>
    </row>
    <row r="606" spans="1:24">
      <c r="A606">
        <v>605</v>
      </c>
      <c r="B606" s="2">
        <v>40571</v>
      </c>
      <c r="C606">
        <v>1</v>
      </c>
      <c r="D606">
        <v>0</v>
      </c>
      <c r="E606">
        <v>1</v>
      </c>
      <c r="F606">
        <v>10</v>
      </c>
      <c r="G606" t="b">
        <v>0</v>
      </c>
      <c r="H606">
        <v>5</v>
      </c>
      <c r="I606">
        <v>3</v>
      </c>
      <c r="J606">
        <v>0.18</v>
      </c>
      <c r="K606">
        <v>0.21210000000000001</v>
      </c>
      <c r="L606">
        <v>0.86</v>
      </c>
      <c r="M606">
        <v>0.1045</v>
      </c>
      <c r="N606">
        <v>0</v>
      </c>
      <c r="O606">
        <v>49</v>
      </c>
      <c r="P606">
        <v>49</v>
      </c>
      <c r="Q606" t="str">
        <f t="shared" si="72"/>
        <v>Complete</v>
      </c>
      <c r="R606">
        <f t="shared" si="79"/>
        <v>0.21210000000000001</v>
      </c>
      <c r="S606">
        <f t="shared" si="73"/>
        <v>2011</v>
      </c>
      <c r="T606" t="str">
        <f t="shared" si="74"/>
        <v>January</v>
      </c>
      <c r="U606" t="str">
        <f t="shared" si="75"/>
        <v>Weekday</v>
      </c>
      <c r="V606" t="str">
        <f t="shared" si="76"/>
        <v>Morning</v>
      </c>
      <c r="W606" t="str">
        <f t="shared" si="77"/>
        <v>Spring</v>
      </c>
      <c r="X606" t="str">
        <f t="shared" si="78"/>
        <v>Light Rain/Snow</v>
      </c>
    </row>
    <row r="607" spans="1:24">
      <c r="A607">
        <v>606</v>
      </c>
      <c r="B607" s="2">
        <v>40571</v>
      </c>
      <c r="C607">
        <v>1</v>
      </c>
      <c r="D607">
        <v>0</v>
      </c>
      <c r="E607">
        <v>1</v>
      </c>
      <c r="F607">
        <v>11</v>
      </c>
      <c r="G607" t="b">
        <v>0</v>
      </c>
      <c r="H607">
        <v>5</v>
      </c>
      <c r="I607">
        <v>3</v>
      </c>
      <c r="J607">
        <v>0.18</v>
      </c>
      <c r="K607">
        <v>0.21210000000000001</v>
      </c>
      <c r="L607">
        <v>0.93</v>
      </c>
      <c r="M607">
        <v>0.1045</v>
      </c>
      <c r="N607">
        <v>0</v>
      </c>
      <c r="O607">
        <v>30</v>
      </c>
      <c r="P607">
        <v>30</v>
      </c>
      <c r="Q607" t="str">
        <f t="shared" si="72"/>
        <v>Complete</v>
      </c>
      <c r="R607">
        <f t="shared" si="79"/>
        <v>0.21210000000000001</v>
      </c>
      <c r="S607">
        <f t="shared" si="73"/>
        <v>2011</v>
      </c>
      <c r="T607" t="str">
        <f t="shared" si="74"/>
        <v>January</v>
      </c>
      <c r="U607" t="str">
        <f t="shared" si="75"/>
        <v>Weekday</v>
      </c>
      <c r="V607" t="str">
        <f t="shared" si="76"/>
        <v>Morning</v>
      </c>
      <c r="W607" t="str">
        <f t="shared" si="77"/>
        <v>Spring</v>
      </c>
      <c r="X607" t="str">
        <f t="shared" si="78"/>
        <v>Light Rain/Snow</v>
      </c>
    </row>
    <row r="608" spans="1:24">
      <c r="A608">
        <v>607</v>
      </c>
      <c r="B608" s="2">
        <v>40571</v>
      </c>
      <c r="C608">
        <v>1</v>
      </c>
      <c r="D608">
        <v>0</v>
      </c>
      <c r="E608">
        <v>1</v>
      </c>
      <c r="F608">
        <v>12</v>
      </c>
      <c r="G608" t="b">
        <v>0</v>
      </c>
      <c r="H608">
        <v>5</v>
      </c>
      <c r="I608">
        <v>3</v>
      </c>
      <c r="J608">
        <v>0.18</v>
      </c>
      <c r="K608">
        <v>0.21210000000000001</v>
      </c>
      <c r="L608">
        <v>0.93</v>
      </c>
      <c r="M608">
        <v>0.1045</v>
      </c>
      <c r="N608">
        <v>1</v>
      </c>
      <c r="O608">
        <v>28</v>
      </c>
      <c r="P608">
        <v>29</v>
      </c>
      <c r="Q608" t="str">
        <f t="shared" si="72"/>
        <v>Complete</v>
      </c>
      <c r="R608">
        <f t="shared" si="79"/>
        <v>0.21210000000000001</v>
      </c>
      <c r="S608">
        <f t="shared" si="73"/>
        <v>2011</v>
      </c>
      <c r="T608" t="str">
        <f t="shared" si="74"/>
        <v>January</v>
      </c>
      <c r="U608" t="str">
        <f t="shared" si="75"/>
        <v>Weekday</v>
      </c>
      <c r="V608" t="str">
        <f t="shared" si="76"/>
        <v>Afternoon</v>
      </c>
      <c r="W608" t="str">
        <f t="shared" si="77"/>
        <v>Spring</v>
      </c>
      <c r="X608" t="str">
        <f t="shared" si="78"/>
        <v>Light Rain/Snow</v>
      </c>
    </row>
    <row r="609" spans="1:24">
      <c r="A609">
        <v>608</v>
      </c>
      <c r="B609" s="2">
        <v>40571</v>
      </c>
      <c r="C609">
        <v>1</v>
      </c>
      <c r="D609">
        <v>0</v>
      </c>
      <c r="E609">
        <v>1</v>
      </c>
      <c r="F609">
        <v>13</v>
      </c>
      <c r="G609" t="b">
        <v>0</v>
      </c>
      <c r="H609">
        <v>5</v>
      </c>
      <c r="I609">
        <v>3</v>
      </c>
      <c r="J609">
        <v>0.18</v>
      </c>
      <c r="K609">
        <v>0.21210000000000001</v>
      </c>
      <c r="L609">
        <v>0.93</v>
      </c>
      <c r="M609">
        <v>0.1045</v>
      </c>
      <c r="N609">
        <v>0</v>
      </c>
      <c r="O609">
        <v>31</v>
      </c>
      <c r="P609">
        <v>31</v>
      </c>
      <c r="Q609" t="str">
        <f t="shared" si="72"/>
        <v>Complete</v>
      </c>
      <c r="R609">
        <f t="shared" si="79"/>
        <v>0.21210000000000001</v>
      </c>
      <c r="S609">
        <f t="shared" si="73"/>
        <v>2011</v>
      </c>
      <c r="T609" t="str">
        <f t="shared" si="74"/>
        <v>January</v>
      </c>
      <c r="U609" t="str">
        <f t="shared" si="75"/>
        <v>Weekday</v>
      </c>
      <c r="V609" t="str">
        <f t="shared" si="76"/>
        <v>Afternoon</v>
      </c>
      <c r="W609" t="str">
        <f t="shared" si="77"/>
        <v>Spring</v>
      </c>
      <c r="X609" t="str">
        <f t="shared" si="78"/>
        <v>Light Rain/Snow</v>
      </c>
    </row>
    <row r="610" spans="1:24">
      <c r="A610">
        <v>609</v>
      </c>
      <c r="B610" s="2">
        <v>40571</v>
      </c>
      <c r="C610">
        <v>1</v>
      </c>
      <c r="D610">
        <v>0</v>
      </c>
      <c r="E610">
        <v>1</v>
      </c>
      <c r="F610">
        <v>14</v>
      </c>
      <c r="G610" t="b">
        <v>0</v>
      </c>
      <c r="H610">
        <v>5</v>
      </c>
      <c r="I610">
        <v>3</v>
      </c>
      <c r="J610">
        <v>0.22</v>
      </c>
      <c r="K610">
        <v>0.2727</v>
      </c>
      <c r="L610">
        <v>0.8</v>
      </c>
      <c r="M610">
        <v>0</v>
      </c>
      <c r="N610">
        <v>2</v>
      </c>
      <c r="O610">
        <v>36</v>
      </c>
      <c r="P610">
        <v>38</v>
      </c>
      <c r="Q610" t="str">
        <f t="shared" si="72"/>
        <v>Complete</v>
      </c>
      <c r="R610">
        <f t="shared" si="79"/>
        <v>0.2727</v>
      </c>
      <c r="S610">
        <f t="shared" si="73"/>
        <v>2011</v>
      </c>
      <c r="T610" t="str">
        <f t="shared" si="74"/>
        <v>January</v>
      </c>
      <c r="U610" t="str">
        <f t="shared" si="75"/>
        <v>Weekday</v>
      </c>
      <c r="V610" t="str">
        <f t="shared" si="76"/>
        <v>Afternoon</v>
      </c>
      <c r="W610" t="str">
        <f t="shared" si="77"/>
        <v>Spring</v>
      </c>
      <c r="X610" t="str">
        <f t="shared" si="78"/>
        <v>Light Rain/Snow</v>
      </c>
    </row>
    <row r="611" spans="1:24">
      <c r="A611">
        <v>610</v>
      </c>
      <c r="B611" s="2">
        <v>40571</v>
      </c>
      <c r="C611">
        <v>1</v>
      </c>
      <c r="D611">
        <v>0</v>
      </c>
      <c r="E611">
        <v>1</v>
      </c>
      <c r="F611">
        <v>15</v>
      </c>
      <c r="G611" t="b">
        <v>0</v>
      </c>
      <c r="H611">
        <v>5</v>
      </c>
      <c r="I611">
        <v>2</v>
      </c>
      <c r="J611">
        <v>0.2</v>
      </c>
      <c r="K611">
        <v>0.2576</v>
      </c>
      <c r="L611">
        <v>0.86</v>
      </c>
      <c r="M611">
        <v>0</v>
      </c>
      <c r="N611">
        <v>1</v>
      </c>
      <c r="O611">
        <v>40</v>
      </c>
      <c r="P611">
        <v>41</v>
      </c>
      <c r="Q611" t="str">
        <f t="shared" si="72"/>
        <v>Complete</v>
      </c>
      <c r="R611">
        <f t="shared" si="79"/>
        <v>0.2576</v>
      </c>
      <c r="S611">
        <f t="shared" si="73"/>
        <v>2011</v>
      </c>
      <c r="T611" t="str">
        <f t="shared" si="74"/>
        <v>January</v>
      </c>
      <c r="U611" t="str">
        <f t="shared" si="75"/>
        <v>Weekday</v>
      </c>
      <c r="V611" t="str">
        <f t="shared" si="76"/>
        <v>Afternoon</v>
      </c>
      <c r="W611" t="str">
        <f t="shared" si="77"/>
        <v>Spring</v>
      </c>
      <c r="X611" t="str">
        <f t="shared" si="78"/>
        <v>Mist/Cloudy</v>
      </c>
    </row>
    <row r="612" spans="1:24">
      <c r="A612">
        <v>620</v>
      </c>
      <c r="B612" s="2">
        <v>40572</v>
      </c>
      <c r="C612">
        <v>1</v>
      </c>
      <c r="D612">
        <v>0</v>
      </c>
      <c r="E612">
        <v>1</v>
      </c>
      <c r="F612">
        <v>1</v>
      </c>
      <c r="G612" t="b">
        <v>0</v>
      </c>
      <c r="H612">
        <v>6</v>
      </c>
      <c r="I612">
        <v>1</v>
      </c>
      <c r="J612">
        <v>0.22</v>
      </c>
      <c r="K612">
        <v>0.2273</v>
      </c>
      <c r="L612">
        <v>0.64</v>
      </c>
      <c r="M612">
        <v>0.19400000000000001</v>
      </c>
      <c r="N612">
        <v>0</v>
      </c>
      <c r="O612">
        <v>20</v>
      </c>
      <c r="P612">
        <v>20</v>
      </c>
      <c r="Q612" t="str">
        <f t="shared" si="72"/>
        <v>Complete</v>
      </c>
      <c r="R612">
        <f t="shared" si="79"/>
        <v>0.2273</v>
      </c>
      <c r="S612">
        <f t="shared" si="73"/>
        <v>2011</v>
      </c>
      <c r="T612" t="str">
        <f t="shared" si="74"/>
        <v>January</v>
      </c>
      <c r="U612" t="str">
        <f t="shared" si="75"/>
        <v>Saturday</v>
      </c>
      <c r="V612" t="str">
        <f t="shared" si="76"/>
        <v>Night</v>
      </c>
      <c r="W612" t="str">
        <f t="shared" si="77"/>
        <v>Spring</v>
      </c>
      <c r="X612" t="str">
        <f t="shared" si="78"/>
        <v>Clear</v>
      </c>
    </row>
    <row r="613" spans="1:24">
      <c r="A613">
        <v>621</v>
      </c>
      <c r="B613" s="2">
        <v>40572</v>
      </c>
      <c r="C613">
        <v>1</v>
      </c>
      <c r="D613">
        <v>0</v>
      </c>
      <c r="E613">
        <v>1</v>
      </c>
      <c r="F613">
        <v>2</v>
      </c>
      <c r="G613" t="b">
        <v>0</v>
      </c>
      <c r="H613">
        <v>6</v>
      </c>
      <c r="I613">
        <v>1</v>
      </c>
      <c r="J613">
        <v>0.22</v>
      </c>
      <c r="K613">
        <v>0.2273</v>
      </c>
      <c r="L613">
        <v>0.64</v>
      </c>
      <c r="M613">
        <v>0.16420000000000001</v>
      </c>
      <c r="N613">
        <v>0</v>
      </c>
      <c r="O613">
        <v>15</v>
      </c>
      <c r="P613">
        <v>15</v>
      </c>
      <c r="Q613" t="str">
        <f t="shared" si="72"/>
        <v>Complete</v>
      </c>
      <c r="R613">
        <f t="shared" si="79"/>
        <v>0.2273</v>
      </c>
      <c r="S613">
        <f t="shared" si="73"/>
        <v>2011</v>
      </c>
      <c r="T613" t="str">
        <f t="shared" si="74"/>
        <v>January</v>
      </c>
      <c r="U613" t="str">
        <f t="shared" si="75"/>
        <v>Saturday</v>
      </c>
      <c r="V613" t="str">
        <f t="shared" si="76"/>
        <v>Night</v>
      </c>
      <c r="W613" t="str">
        <f t="shared" si="77"/>
        <v>Spring</v>
      </c>
      <c r="X613" t="str">
        <f t="shared" si="78"/>
        <v>Clear</v>
      </c>
    </row>
    <row r="614" spans="1:24">
      <c r="A614">
        <v>622</v>
      </c>
      <c r="B614" s="2">
        <v>40572</v>
      </c>
      <c r="C614">
        <v>1</v>
      </c>
      <c r="D614">
        <v>0</v>
      </c>
      <c r="E614">
        <v>1</v>
      </c>
      <c r="F614">
        <v>3</v>
      </c>
      <c r="G614" t="b">
        <v>0</v>
      </c>
      <c r="H614">
        <v>6</v>
      </c>
      <c r="I614">
        <v>1</v>
      </c>
      <c r="J614">
        <v>0.2</v>
      </c>
      <c r="K614">
        <v>0.21210000000000001</v>
      </c>
      <c r="L614">
        <v>0.64</v>
      </c>
      <c r="M614">
        <v>0.1343</v>
      </c>
      <c r="N614">
        <v>3</v>
      </c>
      <c r="O614">
        <v>5</v>
      </c>
      <c r="P614">
        <v>8</v>
      </c>
      <c r="Q614" t="str">
        <f t="shared" si="72"/>
        <v>Complete</v>
      </c>
      <c r="R614">
        <f t="shared" si="79"/>
        <v>0.21210000000000001</v>
      </c>
      <c r="S614">
        <f t="shared" si="73"/>
        <v>2011</v>
      </c>
      <c r="T614" t="str">
        <f t="shared" si="74"/>
        <v>January</v>
      </c>
      <c r="U614" t="str">
        <f t="shared" si="75"/>
        <v>Saturday</v>
      </c>
      <c r="V614" t="str">
        <f t="shared" si="76"/>
        <v>Night</v>
      </c>
      <c r="W614" t="str">
        <f t="shared" si="77"/>
        <v>Spring</v>
      </c>
      <c r="X614" t="str">
        <f t="shared" si="78"/>
        <v>Clear</v>
      </c>
    </row>
    <row r="615" spans="1:24">
      <c r="A615">
        <v>623</v>
      </c>
      <c r="B615" s="2">
        <v>40572</v>
      </c>
      <c r="C615">
        <v>1</v>
      </c>
      <c r="D615">
        <v>0</v>
      </c>
      <c r="E615">
        <v>1</v>
      </c>
      <c r="F615">
        <v>4</v>
      </c>
      <c r="G615" t="b">
        <v>0</v>
      </c>
      <c r="H615">
        <v>6</v>
      </c>
      <c r="I615">
        <v>1</v>
      </c>
      <c r="J615">
        <v>0.16</v>
      </c>
      <c r="K615">
        <v>0.18179999999999999</v>
      </c>
      <c r="L615">
        <v>0.69</v>
      </c>
      <c r="M615">
        <v>0.1045</v>
      </c>
      <c r="N615">
        <v>1</v>
      </c>
      <c r="O615">
        <v>2</v>
      </c>
      <c r="P615">
        <v>3</v>
      </c>
      <c r="Q615" t="str">
        <f t="shared" si="72"/>
        <v>Complete</v>
      </c>
      <c r="R615">
        <f t="shared" si="79"/>
        <v>0.18179999999999999</v>
      </c>
      <c r="S615">
        <f t="shared" si="73"/>
        <v>2011</v>
      </c>
      <c r="T615" t="str">
        <f t="shared" si="74"/>
        <v>January</v>
      </c>
      <c r="U615" t="str">
        <f t="shared" si="75"/>
        <v>Saturday</v>
      </c>
      <c r="V615" t="str">
        <f t="shared" si="76"/>
        <v>Night</v>
      </c>
      <c r="W615" t="str">
        <f t="shared" si="77"/>
        <v>Spring</v>
      </c>
      <c r="X615" t="str">
        <f t="shared" si="78"/>
        <v>Clear</v>
      </c>
    </row>
    <row r="616" spans="1:24">
      <c r="A616">
        <v>624</v>
      </c>
      <c r="B616" s="2">
        <v>40572</v>
      </c>
      <c r="C616">
        <v>1</v>
      </c>
      <c r="D616">
        <v>0</v>
      </c>
      <c r="E616">
        <v>1</v>
      </c>
      <c r="F616">
        <v>6</v>
      </c>
      <c r="G616" t="b">
        <v>0</v>
      </c>
      <c r="H616">
        <v>6</v>
      </c>
      <c r="I616">
        <v>1</v>
      </c>
      <c r="J616">
        <v>0.16</v>
      </c>
      <c r="K616">
        <v>0.18179999999999999</v>
      </c>
      <c r="L616">
        <v>0.64</v>
      </c>
      <c r="M616">
        <v>0.1343</v>
      </c>
      <c r="N616">
        <v>0</v>
      </c>
      <c r="O616">
        <v>2</v>
      </c>
      <c r="P616">
        <v>2</v>
      </c>
      <c r="Q616" t="str">
        <f t="shared" si="72"/>
        <v>Complete</v>
      </c>
      <c r="R616">
        <f t="shared" si="79"/>
        <v>0.18179999999999999</v>
      </c>
      <c r="S616">
        <f t="shared" si="73"/>
        <v>2011</v>
      </c>
      <c r="T616" t="str">
        <f t="shared" si="74"/>
        <v>January</v>
      </c>
      <c r="U616" t="str">
        <f t="shared" si="75"/>
        <v>Saturday</v>
      </c>
      <c r="V616" t="str">
        <f t="shared" si="76"/>
        <v>Morning</v>
      </c>
      <c r="W616" t="str">
        <f t="shared" si="77"/>
        <v>Spring</v>
      </c>
      <c r="X616" t="str">
        <f t="shared" si="78"/>
        <v>Clear</v>
      </c>
    </row>
    <row r="617" spans="1:24">
      <c r="A617">
        <v>625</v>
      </c>
      <c r="B617" s="2">
        <v>40572</v>
      </c>
      <c r="C617">
        <v>1</v>
      </c>
      <c r="D617">
        <v>0</v>
      </c>
      <c r="E617">
        <v>1</v>
      </c>
      <c r="F617">
        <v>7</v>
      </c>
      <c r="G617" t="b">
        <v>0</v>
      </c>
      <c r="H617">
        <v>6</v>
      </c>
      <c r="I617">
        <v>1</v>
      </c>
      <c r="J617">
        <v>0.16</v>
      </c>
      <c r="K617">
        <v>0.18179999999999999</v>
      </c>
      <c r="L617">
        <v>0.59</v>
      </c>
      <c r="M617">
        <v>0.1045</v>
      </c>
      <c r="N617">
        <v>1</v>
      </c>
      <c r="O617">
        <v>4</v>
      </c>
      <c r="P617">
        <v>5</v>
      </c>
      <c r="Q617" t="str">
        <f t="shared" si="72"/>
        <v>Complete</v>
      </c>
      <c r="R617">
        <f t="shared" si="79"/>
        <v>0.18179999999999999</v>
      </c>
      <c r="S617">
        <f t="shared" si="73"/>
        <v>2011</v>
      </c>
      <c r="T617" t="str">
        <f t="shared" si="74"/>
        <v>January</v>
      </c>
      <c r="U617" t="str">
        <f t="shared" si="75"/>
        <v>Saturday</v>
      </c>
      <c r="V617" t="str">
        <f t="shared" si="76"/>
        <v>Morning</v>
      </c>
      <c r="W617" t="str">
        <f t="shared" si="77"/>
        <v>Spring</v>
      </c>
      <c r="X617" t="str">
        <f t="shared" si="78"/>
        <v>Clear</v>
      </c>
    </row>
    <row r="618" spans="1:24">
      <c r="A618">
        <v>626</v>
      </c>
      <c r="B618" s="2">
        <v>40572</v>
      </c>
      <c r="C618">
        <v>1</v>
      </c>
      <c r="D618">
        <v>0</v>
      </c>
      <c r="E618">
        <v>1</v>
      </c>
      <c r="F618">
        <v>8</v>
      </c>
      <c r="G618" t="b">
        <v>0</v>
      </c>
      <c r="H618">
        <v>6</v>
      </c>
      <c r="I618">
        <v>1</v>
      </c>
      <c r="J618">
        <v>0.18</v>
      </c>
      <c r="K618">
        <v>0.19700000000000001</v>
      </c>
      <c r="L618">
        <v>0.55000000000000004</v>
      </c>
      <c r="M618">
        <v>0.16420000000000001</v>
      </c>
      <c r="N618">
        <v>3</v>
      </c>
      <c r="O618">
        <v>31</v>
      </c>
      <c r="P618">
        <v>34</v>
      </c>
      <c r="Q618" t="str">
        <f t="shared" si="72"/>
        <v>Complete</v>
      </c>
      <c r="R618">
        <f t="shared" si="79"/>
        <v>0.19700000000000001</v>
      </c>
      <c r="S618">
        <f t="shared" si="73"/>
        <v>2011</v>
      </c>
      <c r="T618" t="str">
        <f t="shared" si="74"/>
        <v>January</v>
      </c>
      <c r="U618" t="str">
        <f t="shared" si="75"/>
        <v>Saturday</v>
      </c>
      <c r="V618" t="str">
        <f t="shared" si="76"/>
        <v>Morning</v>
      </c>
      <c r="W618" t="str">
        <f t="shared" si="77"/>
        <v>Spring</v>
      </c>
      <c r="X618" t="str">
        <f t="shared" si="78"/>
        <v>Clear</v>
      </c>
    </row>
    <row r="619" spans="1:24">
      <c r="A619">
        <v>627</v>
      </c>
      <c r="B619" s="2">
        <v>40572</v>
      </c>
      <c r="C619">
        <v>1</v>
      </c>
      <c r="D619">
        <v>0</v>
      </c>
      <c r="E619">
        <v>1</v>
      </c>
      <c r="F619">
        <v>9</v>
      </c>
      <c r="G619" t="b">
        <v>0</v>
      </c>
      <c r="H619">
        <v>6</v>
      </c>
      <c r="I619">
        <v>1</v>
      </c>
      <c r="J619">
        <v>0.18</v>
      </c>
      <c r="K619">
        <v>0.21210000000000001</v>
      </c>
      <c r="L619">
        <v>0.59</v>
      </c>
      <c r="M619">
        <v>8.9599999999999999E-2</v>
      </c>
      <c r="N619">
        <v>0</v>
      </c>
      <c r="O619">
        <v>34</v>
      </c>
      <c r="P619">
        <v>34</v>
      </c>
      <c r="Q619" t="str">
        <f t="shared" si="72"/>
        <v>Complete</v>
      </c>
      <c r="R619">
        <f t="shared" si="79"/>
        <v>0.21210000000000001</v>
      </c>
      <c r="S619">
        <f t="shared" si="73"/>
        <v>2011</v>
      </c>
      <c r="T619" t="str">
        <f t="shared" si="74"/>
        <v>January</v>
      </c>
      <c r="U619" t="str">
        <f t="shared" si="75"/>
        <v>Saturday</v>
      </c>
      <c r="V619" t="str">
        <f t="shared" si="76"/>
        <v>Morning</v>
      </c>
      <c r="W619" t="str">
        <f t="shared" si="77"/>
        <v>Spring</v>
      </c>
      <c r="X619" t="str">
        <f t="shared" si="78"/>
        <v>Clear</v>
      </c>
    </row>
    <row r="620" spans="1:24">
      <c r="A620">
        <v>628</v>
      </c>
      <c r="B620" s="2">
        <v>40572</v>
      </c>
      <c r="C620">
        <v>1</v>
      </c>
      <c r="D620">
        <v>0</v>
      </c>
      <c r="E620">
        <v>1</v>
      </c>
      <c r="F620">
        <v>10</v>
      </c>
      <c r="G620" t="b">
        <v>0</v>
      </c>
      <c r="H620">
        <v>6</v>
      </c>
      <c r="I620">
        <v>2</v>
      </c>
      <c r="J620">
        <v>0.18</v>
      </c>
      <c r="K620">
        <v>0.21210000000000001</v>
      </c>
      <c r="L620">
        <v>0.64</v>
      </c>
      <c r="M620">
        <v>0.1045</v>
      </c>
      <c r="N620">
        <v>4</v>
      </c>
      <c r="O620">
        <v>51</v>
      </c>
      <c r="P620">
        <v>55</v>
      </c>
      <c r="Q620" t="str">
        <f t="shared" si="72"/>
        <v>Complete</v>
      </c>
      <c r="R620">
        <f t="shared" si="79"/>
        <v>0.21210000000000001</v>
      </c>
      <c r="S620">
        <f t="shared" si="73"/>
        <v>2011</v>
      </c>
      <c r="T620" t="str">
        <f t="shared" si="74"/>
        <v>January</v>
      </c>
      <c r="U620" t="str">
        <f t="shared" si="75"/>
        <v>Saturday</v>
      </c>
      <c r="V620" t="str">
        <f t="shared" si="76"/>
        <v>Morning</v>
      </c>
      <c r="W620" t="str">
        <f t="shared" si="77"/>
        <v>Spring</v>
      </c>
      <c r="X620" t="str">
        <f t="shared" si="78"/>
        <v>Mist/Cloudy</v>
      </c>
    </row>
    <row r="621" spans="1:24">
      <c r="A621">
        <v>629</v>
      </c>
      <c r="B621" s="2">
        <v>40572</v>
      </c>
      <c r="C621">
        <v>1</v>
      </c>
      <c r="D621">
        <v>0</v>
      </c>
      <c r="E621">
        <v>1</v>
      </c>
      <c r="F621">
        <v>11</v>
      </c>
      <c r="G621" t="b">
        <v>0</v>
      </c>
      <c r="H621">
        <v>6</v>
      </c>
      <c r="I621">
        <v>2</v>
      </c>
      <c r="J621">
        <v>0.18</v>
      </c>
      <c r="K621">
        <v>0.19700000000000001</v>
      </c>
      <c r="L621">
        <v>0.64</v>
      </c>
      <c r="M621">
        <v>0.1343</v>
      </c>
      <c r="N621">
        <v>4</v>
      </c>
      <c r="O621">
        <v>60</v>
      </c>
      <c r="P621">
        <v>64</v>
      </c>
      <c r="Q621" t="str">
        <f t="shared" si="72"/>
        <v>Complete</v>
      </c>
      <c r="R621">
        <f t="shared" si="79"/>
        <v>0.19700000000000001</v>
      </c>
      <c r="S621">
        <f t="shared" si="73"/>
        <v>2011</v>
      </c>
      <c r="T621" t="str">
        <f t="shared" si="74"/>
        <v>January</v>
      </c>
      <c r="U621" t="str">
        <f t="shared" si="75"/>
        <v>Saturday</v>
      </c>
      <c r="V621" t="str">
        <f t="shared" si="76"/>
        <v>Morning</v>
      </c>
      <c r="W621" t="str">
        <f t="shared" si="77"/>
        <v>Spring</v>
      </c>
      <c r="X621" t="str">
        <f t="shared" si="78"/>
        <v>Mist/Cloudy</v>
      </c>
    </row>
    <row r="622" spans="1:24">
      <c r="A622">
        <v>630</v>
      </c>
      <c r="B622" s="2">
        <v>40572</v>
      </c>
      <c r="C622">
        <v>1</v>
      </c>
      <c r="D622">
        <v>0</v>
      </c>
      <c r="E622">
        <v>1</v>
      </c>
      <c r="F622">
        <v>12</v>
      </c>
      <c r="G622" t="b">
        <v>0</v>
      </c>
      <c r="H622">
        <v>6</v>
      </c>
      <c r="I622">
        <v>2</v>
      </c>
      <c r="J622">
        <v>0.2</v>
      </c>
      <c r="K622">
        <v>0.19700000000000001</v>
      </c>
      <c r="L622">
        <v>0.59</v>
      </c>
      <c r="M622">
        <v>0.19400000000000001</v>
      </c>
      <c r="N622">
        <v>12</v>
      </c>
      <c r="O622">
        <v>66</v>
      </c>
      <c r="P622">
        <v>78</v>
      </c>
      <c r="Q622" t="str">
        <f t="shared" si="72"/>
        <v>Complete</v>
      </c>
      <c r="R622">
        <f t="shared" si="79"/>
        <v>0.19700000000000001</v>
      </c>
      <c r="S622">
        <f t="shared" si="73"/>
        <v>2011</v>
      </c>
      <c r="T622" t="str">
        <f t="shared" si="74"/>
        <v>January</v>
      </c>
      <c r="U622" t="str">
        <f t="shared" si="75"/>
        <v>Saturday</v>
      </c>
      <c r="V622" t="str">
        <f t="shared" si="76"/>
        <v>Afternoon</v>
      </c>
      <c r="W622" t="str">
        <f t="shared" si="77"/>
        <v>Spring</v>
      </c>
      <c r="X622" t="str">
        <f t="shared" si="78"/>
        <v>Mist/Cloudy</v>
      </c>
    </row>
    <row r="623" spans="1:24">
      <c r="A623">
        <v>631</v>
      </c>
      <c r="B623" s="2">
        <v>40572</v>
      </c>
      <c r="C623">
        <v>1</v>
      </c>
      <c r="D623">
        <v>0</v>
      </c>
      <c r="E623">
        <v>1</v>
      </c>
      <c r="F623">
        <v>13</v>
      </c>
      <c r="G623" t="b">
        <v>0</v>
      </c>
      <c r="H623">
        <v>6</v>
      </c>
      <c r="I623">
        <v>2</v>
      </c>
      <c r="J623">
        <v>0.22</v>
      </c>
      <c r="K623">
        <v>0.2273</v>
      </c>
      <c r="L623">
        <v>0.55000000000000004</v>
      </c>
      <c r="M623">
        <v>0.16420000000000001</v>
      </c>
      <c r="N623">
        <v>9</v>
      </c>
      <c r="O623">
        <v>56</v>
      </c>
      <c r="P623">
        <v>65</v>
      </c>
      <c r="Q623" t="str">
        <f t="shared" si="72"/>
        <v>Complete</v>
      </c>
      <c r="R623">
        <f t="shared" si="79"/>
        <v>0.2273</v>
      </c>
      <c r="S623">
        <f t="shared" si="73"/>
        <v>2011</v>
      </c>
      <c r="T623" t="str">
        <f t="shared" si="74"/>
        <v>January</v>
      </c>
      <c r="U623" t="str">
        <f t="shared" si="75"/>
        <v>Saturday</v>
      </c>
      <c r="V623" t="str">
        <f t="shared" si="76"/>
        <v>Afternoon</v>
      </c>
      <c r="W623" t="str">
        <f t="shared" si="77"/>
        <v>Spring</v>
      </c>
      <c r="X623" t="str">
        <f t="shared" si="78"/>
        <v>Mist/Cloudy</v>
      </c>
    </row>
    <row r="624" spans="1:24">
      <c r="A624">
        <v>632</v>
      </c>
      <c r="B624" s="2">
        <v>40572</v>
      </c>
      <c r="C624">
        <v>1</v>
      </c>
      <c r="D624">
        <v>0</v>
      </c>
      <c r="E624">
        <v>1</v>
      </c>
      <c r="F624">
        <v>14</v>
      </c>
      <c r="G624" t="b">
        <v>0</v>
      </c>
      <c r="H624">
        <v>6</v>
      </c>
      <c r="I624">
        <v>2</v>
      </c>
      <c r="J624">
        <v>0.22</v>
      </c>
      <c r="K624">
        <v>0.2273</v>
      </c>
      <c r="L624">
        <v>0.6</v>
      </c>
      <c r="M624">
        <v>0.1343</v>
      </c>
      <c r="N624">
        <v>10</v>
      </c>
      <c r="O624">
        <v>89</v>
      </c>
      <c r="P624">
        <v>99</v>
      </c>
      <c r="Q624" t="str">
        <f t="shared" si="72"/>
        <v>Complete</v>
      </c>
      <c r="R624">
        <f t="shared" si="79"/>
        <v>0.2273</v>
      </c>
      <c r="S624">
        <f t="shared" si="73"/>
        <v>2011</v>
      </c>
      <c r="T624" t="str">
        <f t="shared" si="74"/>
        <v>January</v>
      </c>
      <c r="U624" t="str">
        <f t="shared" si="75"/>
        <v>Saturday</v>
      </c>
      <c r="V624" t="str">
        <f t="shared" si="76"/>
        <v>Afternoon</v>
      </c>
      <c r="W624" t="str">
        <f t="shared" si="77"/>
        <v>Spring</v>
      </c>
      <c r="X624" t="str">
        <f t="shared" si="78"/>
        <v>Mist/Cloudy</v>
      </c>
    </row>
    <row r="625" spans="1:24">
      <c r="A625">
        <v>633</v>
      </c>
      <c r="B625" s="2">
        <v>40572</v>
      </c>
      <c r="C625">
        <v>1</v>
      </c>
      <c r="D625">
        <v>0</v>
      </c>
      <c r="E625">
        <v>1</v>
      </c>
      <c r="F625">
        <v>15</v>
      </c>
      <c r="G625" t="b">
        <v>0</v>
      </c>
      <c r="H625">
        <v>6</v>
      </c>
      <c r="I625">
        <v>1</v>
      </c>
      <c r="J625">
        <v>0.22</v>
      </c>
      <c r="K625">
        <v>0.21210000000000001</v>
      </c>
      <c r="L625">
        <v>0.69</v>
      </c>
      <c r="M625">
        <v>0.25369999999999998</v>
      </c>
      <c r="N625">
        <v>22</v>
      </c>
      <c r="O625">
        <v>98</v>
      </c>
      <c r="P625">
        <v>120</v>
      </c>
      <c r="Q625" t="str">
        <f t="shared" si="72"/>
        <v>Complete</v>
      </c>
      <c r="R625">
        <f t="shared" si="79"/>
        <v>0.21210000000000001</v>
      </c>
      <c r="S625">
        <f t="shared" si="73"/>
        <v>2011</v>
      </c>
      <c r="T625" t="str">
        <f t="shared" si="74"/>
        <v>January</v>
      </c>
      <c r="U625" t="str">
        <f t="shared" si="75"/>
        <v>Saturday</v>
      </c>
      <c r="V625" t="str">
        <f t="shared" si="76"/>
        <v>Afternoon</v>
      </c>
      <c r="W625" t="str">
        <f t="shared" si="77"/>
        <v>Spring</v>
      </c>
      <c r="X625" t="str">
        <f t="shared" si="78"/>
        <v>Clear</v>
      </c>
    </row>
    <row r="626" spans="1:24">
      <c r="A626">
        <v>634</v>
      </c>
      <c r="B626" s="2">
        <v>40572</v>
      </c>
      <c r="C626">
        <v>1</v>
      </c>
      <c r="D626">
        <v>0</v>
      </c>
      <c r="E626">
        <v>1</v>
      </c>
      <c r="F626">
        <v>16</v>
      </c>
      <c r="G626" t="b">
        <v>0</v>
      </c>
      <c r="H626">
        <v>6</v>
      </c>
      <c r="I626">
        <v>1</v>
      </c>
      <c r="J626">
        <v>0.24</v>
      </c>
      <c r="K626">
        <v>0.2424</v>
      </c>
      <c r="L626">
        <v>0.6</v>
      </c>
      <c r="M626">
        <v>0.16420000000000001</v>
      </c>
      <c r="N626">
        <v>19</v>
      </c>
      <c r="O626">
        <v>88</v>
      </c>
      <c r="P626">
        <v>107</v>
      </c>
      <c r="Q626" t="str">
        <f t="shared" si="72"/>
        <v>Complete</v>
      </c>
      <c r="R626">
        <f t="shared" si="79"/>
        <v>0.2424</v>
      </c>
      <c r="S626">
        <f t="shared" si="73"/>
        <v>2011</v>
      </c>
      <c r="T626" t="str">
        <f t="shared" si="74"/>
        <v>January</v>
      </c>
      <c r="U626" t="str">
        <f t="shared" si="75"/>
        <v>Saturday</v>
      </c>
      <c r="V626" t="str">
        <f t="shared" si="76"/>
        <v>Afternoon</v>
      </c>
      <c r="W626" t="str">
        <f t="shared" si="77"/>
        <v>Spring</v>
      </c>
      <c r="X626" t="str">
        <f t="shared" si="78"/>
        <v>Clear</v>
      </c>
    </row>
    <row r="627" spans="1:24">
      <c r="A627">
        <v>635</v>
      </c>
      <c r="B627" s="2">
        <v>40572</v>
      </c>
      <c r="C627">
        <v>1</v>
      </c>
      <c r="D627">
        <v>0</v>
      </c>
      <c r="E627">
        <v>1</v>
      </c>
      <c r="F627">
        <v>17</v>
      </c>
      <c r="G627" t="b">
        <v>0</v>
      </c>
      <c r="H627">
        <v>6</v>
      </c>
      <c r="I627">
        <v>1</v>
      </c>
      <c r="J627">
        <v>0.24</v>
      </c>
      <c r="K627">
        <v>0.28789999999999999</v>
      </c>
      <c r="L627">
        <v>0.6</v>
      </c>
      <c r="M627">
        <v>0</v>
      </c>
      <c r="N627">
        <v>9</v>
      </c>
      <c r="O627">
        <v>82</v>
      </c>
      <c r="P627">
        <v>91</v>
      </c>
      <c r="Q627" t="str">
        <f t="shared" si="72"/>
        <v>Complete</v>
      </c>
      <c r="R627">
        <f t="shared" si="79"/>
        <v>0.28789999999999999</v>
      </c>
      <c r="S627">
        <f t="shared" si="73"/>
        <v>2011</v>
      </c>
      <c r="T627" t="str">
        <f t="shared" si="74"/>
        <v>January</v>
      </c>
      <c r="U627" t="str">
        <f t="shared" si="75"/>
        <v>Saturday</v>
      </c>
      <c r="V627" t="str">
        <f t="shared" si="76"/>
        <v>Afternoon</v>
      </c>
      <c r="W627" t="str">
        <f t="shared" si="77"/>
        <v>Spring</v>
      </c>
      <c r="X627" t="str">
        <f t="shared" si="78"/>
        <v>Clear</v>
      </c>
    </row>
    <row r="628" spans="1:24">
      <c r="A628">
        <v>636</v>
      </c>
      <c r="B628" s="2">
        <v>40572</v>
      </c>
      <c r="C628">
        <v>1</v>
      </c>
      <c r="D628">
        <v>0</v>
      </c>
      <c r="E628">
        <v>1</v>
      </c>
      <c r="F628">
        <v>18</v>
      </c>
      <c r="G628" t="b">
        <v>0</v>
      </c>
      <c r="H628">
        <v>6</v>
      </c>
      <c r="I628">
        <v>1</v>
      </c>
      <c r="J628">
        <v>0.22</v>
      </c>
      <c r="K628">
        <v>0.2273</v>
      </c>
      <c r="L628">
        <v>0.69</v>
      </c>
      <c r="M628">
        <v>0.1343</v>
      </c>
      <c r="N628">
        <v>9</v>
      </c>
      <c r="O628">
        <v>59</v>
      </c>
      <c r="P628">
        <v>68</v>
      </c>
      <c r="Q628" t="str">
        <f t="shared" si="72"/>
        <v>Complete</v>
      </c>
      <c r="R628">
        <f t="shared" si="79"/>
        <v>0.2273</v>
      </c>
      <c r="S628">
        <f t="shared" si="73"/>
        <v>2011</v>
      </c>
      <c r="T628" t="str">
        <f t="shared" si="74"/>
        <v>January</v>
      </c>
      <c r="U628" t="str">
        <f t="shared" si="75"/>
        <v>Saturday</v>
      </c>
      <c r="V628" t="str">
        <f t="shared" si="76"/>
        <v>Evening</v>
      </c>
      <c r="W628" t="str">
        <f t="shared" si="77"/>
        <v>Spring</v>
      </c>
      <c r="X628" t="str">
        <f t="shared" si="78"/>
        <v>Clear</v>
      </c>
    </row>
    <row r="629" spans="1:24">
      <c r="A629">
        <v>637</v>
      </c>
      <c r="B629" s="2">
        <v>40572</v>
      </c>
      <c r="C629">
        <v>1</v>
      </c>
      <c r="D629">
        <v>0</v>
      </c>
      <c r="E629">
        <v>1</v>
      </c>
      <c r="F629">
        <v>19</v>
      </c>
      <c r="G629" t="b">
        <v>0</v>
      </c>
      <c r="H629">
        <v>6</v>
      </c>
      <c r="I629">
        <v>2</v>
      </c>
      <c r="J629">
        <v>0.22</v>
      </c>
      <c r="K629">
        <v>0.21210000000000001</v>
      </c>
      <c r="L629">
        <v>0.69</v>
      </c>
      <c r="M629">
        <v>0.25369999999999998</v>
      </c>
      <c r="N629">
        <v>6</v>
      </c>
      <c r="O629">
        <v>52</v>
      </c>
      <c r="P629">
        <v>58</v>
      </c>
      <c r="Q629" t="str">
        <f t="shared" si="72"/>
        <v>Complete</v>
      </c>
      <c r="R629">
        <f t="shared" si="79"/>
        <v>0.21210000000000001</v>
      </c>
      <c r="S629">
        <f t="shared" si="73"/>
        <v>2011</v>
      </c>
      <c r="T629" t="str">
        <f t="shared" si="74"/>
        <v>January</v>
      </c>
      <c r="U629" t="str">
        <f t="shared" si="75"/>
        <v>Saturday</v>
      </c>
      <c r="V629" t="str">
        <f t="shared" si="76"/>
        <v>Evening</v>
      </c>
      <c r="W629" t="str">
        <f t="shared" si="77"/>
        <v>Spring</v>
      </c>
      <c r="X629" t="str">
        <f t="shared" si="78"/>
        <v>Mist/Cloudy</v>
      </c>
    </row>
    <row r="630" spans="1:24">
      <c r="A630">
        <v>638</v>
      </c>
      <c r="B630" s="2">
        <v>40572</v>
      </c>
      <c r="C630">
        <v>1</v>
      </c>
      <c r="D630">
        <v>0</v>
      </c>
      <c r="E630">
        <v>1</v>
      </c>
      <c r="F630">
        <v>20</v>
      </c>
      <c r="G630" t="b">
        <v>0</v>
      </c>
      <c r="H630">
        <v>6</v>
      </c>
      <c r="I630">
        <v>1</v>
      </c>
      <c r="J630">
        <v>0.18</v>
      </c>
      <c r="K630">
        <v>0.21210000000000001</v>
      </c>
      <c r="L630">
        <v>0.74</v>
      </c>
      <c r="M630">
        <v>8.9599999999999999E-2</v>
      </c>
      <c r="N630">
        <v>1</v>
      </c>
      <c r="O630">
        <v>42</v>
      </c>
      <c r="P630">
        <v>43</v>
      </c>
      <c r="Q630" t="str">
        <f t="shared" si="72"/>
        <v>Complete</v>
      </c>
      <c r="R630">
        <f t="shared" si="79"/>
        <v>0.21210000000000001</v>
      </c>
      <c r="S630">
        <f t="shared" si="73"/>
        <v>2011</v>
      </c>
      <c r="T630" t="str">
        <f t="shared" si="74"/>
        <v>January</v>
      </c>
      <c r="U630" t="str">
        <f t="shared" si="75"/>
        <v>Saturday</v>
      </c>
      <c r="V630" t="str">
        <f t="shared" si="76"/>
        <v>Evening</v>
      </c>
      <c r="W630" t="str">
        <f t="shared" si="77"/>
        <v>Spring</v>
      </c>
      <c r="X630" t="str">
        <f t="shared" si="78"/>
        <v>Clear</v>
      </c>
    </row>
    <row r="631" spans="1:24">
      <c r="A631">
        <v>639</v>
      </c>
      <c r="B631" s="2">
        <v>40572</v>
      </c>
      <c r="C631">
        <v>1</v>
      </c>
      <c r="D631">
        <v>0</v>
      </c>
      <c r="E631">
        <v>1</v>
      </c>
      <c r="F631">
        <v>21</v>
      </c>
      <c r="G631" t="b">
        <v>0</v>
      </c>
      <c r="H631">
        <v>6</v>
      </c>
      <c r="I631">
        <v>1</v>
      </c>
      <c r="J631">
        <v>0.18</v>
      </c>
      <c r="K631">
        <v>0.21210000000000001</v>
      </c>
      <c r="L631">
        <v>0.74</v>
      </c>
      <c r="M631">
        <v>8.9599999999999999E-2</v>
      </c>
      <c r="N631">
        <v>1</v>
      </c>
      <c r="O631">
        <v>35</v>
      </c>
      <c r="P631">
        <v>36</v>
      </c>
      <c r="Q631" t="str">
        <f t="shared" si="72"/>
        <v>Complete</v>
      </c>
      <c r="R631">
        <f t="shared" si="79"/>
        <v>0.21210000000000001</v>
      </c>
      <c r="S631">
        <f t="shared" si="73"/>
        <v>2011</v>
      </c>
      <c r="T631" t="str">
        <f t="shared" si="74"/>
        <v>January</v>
      </c>
      <c r="U631" t="str">
        <f t="shared" si="75"/>
        <v>Saturday</v>
      </c>
      <c r="V631" t="str">
        <f t="shared" si="76"/>
        <v>Evening</v>
      </c>
      <c r="W631" t="str">
        <f t="shared" si="77"/>
        <v>Spring</v>
      </c>
      <c r="X631" t="str">
        <f t="shared" si="78"/>
        <v>Clear</v>
      </c>
    </row>
    <row r="632" spans="1:24">
      <c r="A632">
        <v>640</v>
      </c>
      <c r="B632" s="2">
        <v>40572</v>
      </c>
      <c r="C632">
        <v>1</v>
      </c>
      <c r="D632">
        <v>0</v>
      </c>
      <c r="E632">
        <v>1</v>
      </c>
      <c r="F632">
        <v>22</v>
      </c>
      <c r="G632" t="b">
        <v>0</v>
      </c>
      <c r="H632">
        <v>6</v>
      </c>
      <c r="I632">
        <v>1</v>
      </c>
      <c r="J632">
        <v>0.16</v>
      </c>
      <c r="K632">
        <v>0.19700000000000001</v>
      </c>
      <c r="L632">
        <v>0.8</v>
      </c>
      <c r="M632">
        <v>8.9599999999999999E-2</v>
      </c>
      <c r="N632">
        <v>4</v>
      </c>
      <c r="O632">
        <v>28</v>
      </c>
      <c r="P632">
        <v>32</v>
      </c>
      <c r="Q632" t="str">
        <f t="shared" si="72"/>
        <v>Complete</v>
      </c>
      <c r="R632">
        <f t="shared" si="79"/>
        <v>0.19700000000000001</v>
      </c>
      <c r="S632">
        <f t="shared" si="73"/>
        <v>2011</v>
      </c>
      <c r="T632" t="str">
        <f t="shared" si="74"/>
        <v>January</v>
      </c>
      <c r="U632" t="str">
        <f t="shared" si="75"/>
        <v>Saturday</v>
      </c>
      <c r="V632" t="str">
        <f t="shared" si="76"/>
        <v>Evening</v>
      </c>
      <c r="W632" t="str">
        <f t="shared" si="77"/>
        <v>Spring</v>
      </c>
      <c r="X632" t="str">
        <f t="shared" si="78"/>
        <v>Clear</v>
      </c>
    </row>
    <row r="633" spans="1:24">
      <c r="A633">
        <v>641</v>
      </c>
      <c r="B633" s="2">
        <v>40572</v>
      </c>
      <c r="C633">
        <v>1</v>
      </c>
      <c r="D633">
        <v>0</v>
      </c>
      <c r="E633">
        <v>1</v>
      </c>
      <c r="F633">
        <v>23</v>
      </c>
      <c r="G633" t="b">
        <v>0</v>
      </c>
      <c r="H633">
        <v>6</v>
      </c>
      <c r="I633">
        <v>1</v>
      </c>
      <c r="J633">
        <v>0.16</v>
      </c>
      <c r="K633">
        <v>0.19700000000000001</v>
      </c>
      <c r="L633">
        <v>0.8</v>
      </c>
      <c r="M633">
        <v>8.9599999999999999E-2</v>
      </c>
      <c r="N633">
        <v>3</v>
      </c>
      <c r="O633">
        <v>30</v>
      </c>
      <c r="P633">
        <v>33</v>
      </c>
      <c r="Q633" t="str">
        <f t="shared" si="72"/>
        <v>Complete</v>
      </c>
      <c r="R633">
        <f t="shared" si="79"/>
        <v>0.19700000000000001</v>
      </c>
      <c r="S633">
        <f t="shared" si="73"/>
        <v>2011</v>
      </c>
      <c r="T633" t="str">
        <f t="shared" si="74"/>
        <v>January</v>
      </c>
      <c r="U633" t="str">
        <f t="shared" si="75"/>
        <v>Saturday</v>
      </c>
      <c r="V633" t="str">
        <f t="shared" si="76"/>
        <v>Evening</v>
      </c>
      <c r="W633" t="str">
        <f t="shared" si="77"/>
        <v>Spring</v>
      </c>
      <c r="X633" t="str">
        <f t="shared" si="78"/>
        <v>Clear</v>
      </c>
    </row>
    <row r="634" spans="1:24">
      <c r="A634">
        <v>642</v>
      </c>
      <c r="B634" s="2">
        <v>40573</v>
      </c>
      <c r="C634">
        <v>1</v>
      </c>
      <c r="D634">
        <v>0</v>
      </c>
      <c r="E634">
        <v>1</v>
      </c>
      <c r="F634">
        <v>0</v>
      </c>
      <c r="G634" t="b">
        <v>0</v>
      </c>
      <c r="H634">
        <v>0</v>
      </c>
      <c r="I634">
        <v>1</v>
      </c>
      <c r="J634">
        <v>0.16</v>
      </c>
      <c r="K634">
        <v>0.18179999999999999</v>
      </c>
      <c r="L634">
        <v>0.8</v>
      </c>
      <c r="M634">
        <v>0.1045</v>
      </c>
      <c r="N634">
        <v>0</v>
      </c>
      <c r="O634">
        <v>33</v>
      </c>
      <c r="P634">
        <v>33</v>
      </c>
      <c r="Q634" t="str">
        <f t="shared" si="72"/>
        <v>Complete</v>
      </c>
      <c r="R634">
        <f t="shared" si="79"/>
        <v>0.18179999999999999</v>
      </c>
      <c r="S634">
        <f t="shared" si="73"/>
        <v>2011</v>
      </c>
      <c r="T634" t="str">
        <f t="shared" si="74"/>
        <v>January</v>
      </c>
      <c r="U634" t="str">
        <f t="shared" si="75"/>
        <v>Sunday</v>
      </c>
      <c r="V634" t="str">
        <f t="shared" si="76"/>
        <v>Night</v>
      </c>
      <c r="W634" t="str">
        <f t="shared" si="77"/>
        <v>Spring</v>
      </c>
      <c r="X634" t="str">
        <f t="shared" si="78"/>
        <v>Clear</v>
      </c>
    </row>
    <row r="635" spans="1:24">
      <c r="A635">
        <v>643</v>
      </c>
      <c r="B635" s="2">
        <v>40573</v>
      </c>
      <c r="C635">
        <v>1</v>
      </c>
      <c r="D635">
        <v>0</v>
      </c>
      <c r="E635">
        <v>1</v>
      </c>
      <c r="F635">
        <v>1</v>
      </c>
      <c r="G635" t="b">
        <v>0</v>
      </c>
      <c r="H635">
        <v>0</v>
      </c>
      <c r="I635">
        <v>1</v>
      </c>
      <c r="J635">
        <v>0.14000000000000001</v>
      </c>
      <c r="K635">
        <v>0.21210000000000001</v>
      </c>
      <c r="L635">
        <v>0.8</v>
      </c>
      <c r="M635">
        <v>0</v>
      </c>
      <c r="N635">
        <v>7</v>
      </c>
      <c r="O635">
        <v>22</v>
      </c>
      <c r="P635">
        <v>29</v>
      </c>
      <c r="Q635" t="str">
        <f t="shared" si="72"/>
        <v>Complete</v>
      </c>
      <c r="R635">
        <f t="shared" si="79"/>
        <v>0.21210000000000001</v>
      </c>
      <c r="S635">
        <f t="shared" si="73"/>
        <v>2011</v>
      </c>
      <c r="T635" t="str">
        <f t="shared" si="74"/>
        <v>January</v>
      </c>
      <c r="U635" t="str">
        <f t="shared" si="75"/>
        <v>Sunday</v>
      </c>
      <c r="V635" t="str">
        <f t="shared" si="76"/>
        <v>Night</v>
      </c>
      <c r="W635" t="str">
        <f t="shared" si="77"/>
        <v>Spring</v>
      </c>
      <c r="X635" t="str">
        <f t="shared" si="78"/>
        <v>Clear</v>
      </c>
    </row>
    <row r="636" spans="1:24">
      <c r="A636">
        <v>644</v>
      </c>
      <c r="B636" s="2">
        <v>40573</v>
      </c>
      <c r="C636">
        <v>1</v>
      </c>
      <c r="D636">
        <v>0</v>
      </c>
      <c r="E636">
        <v>1</v>
      </c>
      <c r="F636">
        <v>2</v>
      </c>
      <c r="G636" t="b">
        <v>0</v>
      </c>
      <c r="H636">
        <v>0</v>
      </c>
      <c r="I636">
        <v>1</v>
      </c>
      <c r="J636">
        <v>0.16</v>
      </c>
      <c r="K636">
        <v>0.2273</v>
      </c>
      <c r="L636">
        <v>0.8</v>
      </c>
      <c r="M636">
        <v>0</v>
      </c>
      <c r="N636">
        <v>1</v>
      </c>
      <c r="O636">
        <v>10</v>
      </c>
      <c r="P636">
        <v>11</v>
      </c>
      <c r="Q636" t="str">
        <f t="shared" si="72"/>
        <v>Complete</v>
      </c>
      <c r="R636">
        <f t="shared" si="79"/>
        <v>0.2273</v>
      </c>
      <c r="S636">
        <f t="shared" si="73"/>
        <v>2011</v>
      </c>
      <c r="T636" t="str">
        <f t="shared" si="74"/>
        <v>January</v>
      </c>
      <c r="U636" t="str">
        <f t="shared" si="75"/>
        <v>Sunday</v>
      </c>
      <c r="V636" t="str">
        <f t="shared" si="76"/>
        <v>Night</v>
      </c>
      <c r="W636" t="str">
        <f t="shared" si="77"/>
        <v>Spring</v>
      </c>
      <c r="X636" t="str">
        <f t="shared" si="78"/>
        <v>Clear</v>
      </c>
    </row>
    <row r="637" spans="1:24">
      <c r="A637">
        <v>645</v>
      </c>
      <c r="B637" s="2">
        <v>40573</v>
      </c>
      <c r="C637">
        <v>1</v>
      </c>
      <c r="D637">
        <v>0</v>
      </c>
      <c r="E637">
        <v>1</v>
      </c>
      <c r="F637">
        <v>3</v>
      </c>
      <c r="G637" t="b">
        <v>0</v>
      </c>
      <c r="H637">
        <v>0</v>
      </c>
      <c r="I637">
        <v>1</v>
      </c>
      <c r="J637">
        <v>0.14000000000000001</v>
      </c>
      <c r="K637">
        <v>0.21210000000000001</v>
      </c>
      <c r="L637">
        <v>0.93</v>
      </c>
      <c r="M637">
        <v>0</v>
      </c>
      <c r="N637">
        <v>1</v>
      </c>
      <c r="O637">
        <v>7</v>
      </c>
      <c r="P637">
        <v>8</v>
      </c>
      <c r="Q637" t="str">
        <f t="shared" si="72"/>
        <v>Complete</v>
      </c>
      <c r="R637">
        <f t="shared" si="79"/>
        <v>0.21210000000000001</v>
      </c>
      <c r="S637">
        <f t="shared" si="73"/>
        <v>2011</v>
      </c>
      <c r="T637" t="str">
        <f t="shared" si="74"/>
        <v>January</v>
      </c>
      <c r="U637" t="str">
        <f t="shared" si="75"/>
        <v>Sunday</v>
      </c>
      <c r="V637" t="str">
        <f t="shared" si="76"/>
        <v>Night</v>
      </c>
      <c r="W637" t="str">
        <f t="shared" si="77"/>
        <v>Spring</v>
      </c>
      <c r="X637" t="str">
        <f t="shared" si="78"/>
        <v>Clear</v>
      </c>
    </row>
    <row r="638" spans="1:24">
      <c r="A638">
        <v>646</v>
      </c>
      <c r="B638" s="2">
        <v>40573</v>
      </c>
      <c r="C638">
        <v>1</v>
      </c>
      <c r="D638">
        <v>0</v>
      </c>
      <c r="E638">
        <v>1</v>
      </c>
      <c r="F638">
        <v>4</v>
      </c>
      <c r="G638" t="b">
        <v>0</v>
      </c>
      <c r="H638">
        <v>0</v>
      </c>
      <c r="I638">
        <v>1</v>
      </c>
      <c r="J638">
        <v>0.14000000000000001</v>
      </c>
      <c r="K638">
        <v>0.21210000000000001</v>
      </c>
      <c r="L638">
        <v>0.93</v>
      </c>
      <c r="M638">
        <v>0</v>
      </c>
      <c r="N638">
        <v>0</v>
      </c>
      <c r="O638">
        <v>1</v>
      </c>
      <c r="P638">
        <v>1</v>
      </c>
      <c r="Q638" t="str">
        <f t="shared" si="72"/>
        <v>Complete</v>
      </c>
      <c r="R638">
        <f t="shared" si="79"/>
        <v>0.21210000000000001</v>
      </c>
      <c r="S638">
        <f t="shared" si="73"/>
        <v>2011</v>
      </c>
      <c r="T638" t="str">
        <f t="shared" si="74"/>
        <v>January</v>
      </c>
      <c r="U638" t="str">
        <f t="shared" si="75"/>
        <v>Sunday</v>
      </c>
      <c r="V638" t="str">
        <f t="shared" si="76"/>
        <v>Night</v>
      </c>
      <c r="W638" t="str">
        <f t="shared" si="77"/>
        <v>Spring</v>
      </c>
      <c r="X638" t="str">
        <f t="shared" si="78"/>
        <v>Clear</v>
      </c>
    </row>
    <row r="639" spans="1:24">
      <c r="A639">
        <v>647</v>
      </c>
      <c r="B639" s="2">
        <v>40573</v>
      </c>
      <c r="C639">
        <v>1</v>
      </c>
      <c r="D639">
        <v>0</v>
      </c>
      <c r="E639">
        <v>1</v>
      </c>
      <c r="F639">
        <v>5</v>
      </c>
      <c r="G639" t="b">
        <v>0</v>
      </c>
      <c r="H639">
        <v>0</v>
      </c>
      <c r="I639">
        <v>1</v>
      </c>
      <c r="J639">
        <v>0.14000000000000001</v>
      </c>
      <c r="K639">
        <v>0.21210000000000001</v>
      </c>
      <c r="L639">
        <v>0.86</v>
      </c>
      <c r="M639">
        <v>0</v>
      </c>
      <c r="N639">
        <v>0</v>
      </c>
      <c r="O639">
        <v>3</v>
      </c>
      <c r="P639">
        <v>3</v>
      </c>
      <c r="Q639" t="str">
        <f t="shared" si="72"/>
        <v>Complete</v>
      </c>
      <c r="R639">
        <f t="shared" si="79"/>
        <v>0.21210000000000001</v>
      </c>
      <c r="S639">
        <f t="shared" si="73"/>
        <v>2011</v>
      </c>
      <c r="T639" t="str">
        <f t="shared" si="74"/>
        <v>January</v>
      </c>
      <c r="U639" t="str">
        <f t="shared" si="75"/>
        <v>Sunday</v>
      </c>
      <c r="V639" t="str">
        <f t="shared" si="76"/>
        <v>Night</v>
      </c>
      <c r="W639" t="str">
        <f t="shared" si="77"/>
        <v>Spring</v>
      </c>
      <c r="X639" t="str">
        <f t="shared" si="78"/>
        <v>Clear</v>
      </c>
    </row>
    <row r="640" spans="1:24">
      <c r="A640">
        <v>648</v>
      </c>
      <c r="B640" s="2">
        <v>40573</v>
      </c>
      <c r="C640">
        <v>1</v>
      </c>
      <c r="D640">
        <v>0</v>
      </c>
      <c r="E640">
        <v>1</v>
      </c>
      <c r="F640">
        <v>7</v>
      </c>
      <c r="G640" t="b">
        <v>0</v>
      </c>
      <c r="H640">
        <v>0</v>
      </c>
      <c r="I640">
        <v>1</v>
      </c>
      <c r="J640">
        <v>0.14000000000000001</v>
      </c>
      <c r="K640">
        <v>0.21210000000000001</v>
      </c>
      <c r="L640">
        <v>0.86</v>
      </c>
      <c r="M640">
        <v>0</v>
      </c>
      <c r="N640">
        <v>0</v>
      </c>
      <c r="O640">
        <v>3</v>
      </c>
      <c r="P640">
        <v>3</v>
      </c>
      <c r="Q640" t="str">
        <f t="shared" si="72"/>
        <v>Complete</v>
      </c>
      <c r="R640">
        <f t="shared" si="79"/>
        <v>0.21210000000000001</v>
      </c>
      <c r="S640">
        <f t="shared" si="73"/>
        <v>2011</v>
      </c>
      <c r="T640" t="str">
        <f t="shared" si="74"/>
        <v>January</v>
      </c>
      <c r="U640" t="str">
        <f t="shared" si="75"/>
        <v>Sunday</v>
      </c>
      <c r="V640" t="str">
        <f t="shared" si="76"/>
        <v>Morning</v>
      </c>
      <c r="W640" t="str">
        <f t="shared" si="77"/>
        <v>Spring</v>
      </c>
      <c r="X640" t="str">
        <f t="shared" si="78"/>
        <v>Clear</v>
      </c>
    </row>
    <row r="641" spans="1:24">
      <c r="A641">
        <v>649</v>
      </c>
      <c r="B641" s="2">
        <v>40573</v>
      </c>
      <c r="C641">
        <v>1</v>
      </c>
      <c r="D641">
        <v>0</v>
      </c>
      <c r="E641">
        <v>1</v>
      </c>
      <c r="F641">
        <v>8</v>
      </c>
      <c r="G641" t="b">
        <v>0</v>
      </c>
      <c r="H641">
        <v>0</v>
      </c>
      <c r="I641">
        <v>2</v>
      </c>
      <c r="J641">
        <v>0.14000000000000001</v>
      </c>
      <c r="K641">
        <v>0.21210000000000001</v>
      </c>
      <c r="L641">
        <v>0.86</v>
      </c>
      <c r="M641">
        <v>0</v>
      </c>
      <c r="N641">
        <v>1</v>
      </c>
      <c r="O641">
        <v>11</v>
      </c>
      <c r="P641">
        <v>12</v>
      </c>
      <c r="Q641" t="str">
        <f t="shared" si="72"/>
        <v>Complete</v>
      </c>
      <c r="R641">
        <f t="shared" si="79"/>
        <v>0.21210000000000001</v>
      </c>
      <c r="S641">
        <f t="shared" si="73"/>
        <v>2011</v>
      </c>
      <c r="T641" t="str">
        <f t="shared" si="74"/>
        <v>January</v>
      </c>
      <c r="U641" t="str">
        <f t="shared" si="75"/>
        <v>Sunday</v>
      </c>
      <c r="V641" t="str">
        <f t="shared" si="76"/>
        <v>Morning</v>
      </c>
      <c r="W641" t="str">
        <f t="shared" si="77"/>
        <v>Spring</v>
      </c>
      <c r="X641" t="str">
        <f t="shared" si="78"/>
        <v>Mist/Cloudy</v>
      </c>
    </row>
    <row r="642" spans="1:24">
      <c r="A642">
        <v>650</v>
      </c>
      <c r="B642" s="2">
        <v>40573</v>
      </c>
      <c r="C642">
        <v>1</v>
      </c>
      <c r="D642">
        <v>0</v>
      </c>
      <c r="E642">
        <v>1</v>
      </c>
      <c r="F642">
        <v>9</v>
      </c>
      <c r="G642" t="b">
        <v>0</v>
      </c>
      <c r="H642">
        <v>0</v>
      </c>
      <c r="I642">
        <v>2</v>
      </c>
      <c r="J642">
        <v>0.16</v>
      </c>
      <c r="K642">
        <v>0.2273</v>
      </c>
      <c r="L642">
        <v>0.8</v>
      </c>
      <c r="M642">
        <v>0</v>
      </c>
      <c r="N642">
        <v>4</v>
      </c>
      <c r="O642">
        <v>34</v>
      </c>
      <c r="P642">
        <v>38</v>
      </c>
      <c r="Q642" t="str">
        <f t="shared" ref="Q642:Q705" si="80">IF(K642="","Missing atemp","Complete")</f>
        <v>Complete</v>
      </c>
      <c r="R642">
        <f t="shared" si="79"/>
        <v>0.2273</v>
      </c>
      <c r="S642">
        <f t="shared" ref="S642:S705" si="81">IF(D642=0,2011,"")</f>
        <v>2011</v>
      </c>
      <c r="T642" t="str">
        <f t="shared" ref="T642:T705" si="82">IF(E642=1,"January","")</f>
        <v>January</v>
      </c>
      <c r="U642" t="str">
        <f t="shared" ref="U642:U705" si="83">IF(G642=TRUE,"Holiday",IF(H642=0,"Sunday",IF(H642=6,"Saturday","Weekday")))</f>
        <v>Sunday</v>
      </c>
      <c r="V642" t="str">
        <f t="shared" ref="V642:V705" si="84">IF(F642&lt;6,"Night",IF(F642&lt;12,"Morning",IF(F642&lt;18,"Afternoon","Evening")))</f>
        <v>Morning</v>
      </c>
      <c r="W642" t="str">
        <f t="shared" ref="W642:W705" si="85">IF(C642=1,"Spring","")</f>
        <v>Spring</v>
      </c>
      <c r="X642" t="str">
        <f t="shared" ref="X642:X705" si="86">IF(I642=1,"Clear",IF(I642=2,"Mist/Cloudy",IF(I642=3,"Light Rain/Snow",IF(I642=4,"Heavy Rain/Snow","Unknown"))))</f>
        <v>Mist/Cloudy</v>
      </c>
    </row>
    <row r="643" spans="1:24">
      <c r="A643">
        <v>651</v>
      </c>
      <c r="B643" s="2">
        <v>40573</v>
      </c>
      <c r="C643">
        <v>1</v>
      </c>
      <c r="D643">
        <v>0</v>
      </c>
      <c r="E643">
        <v>1</v>
      </c>
      <c r="F643">
        <v>10</v>
      </c>
      <c r="G643" t="b">
        <v>0</v>
      </c>
      <c r="H643">
        <v>0</v>
      </c>
      <c r="I643">
        <v>2</v>
      </c>
      <c r="J643">
        <v>0.18</v>
      </c>
      <c r="K643">
        <v>0.2424</v>
      </c>
      <c r="L643">
        <v>0.8</v>
      </c>
      <c r="M643">
        <v>0</v>
      </c>
      <c r="N643">
        <v>7</v>
      </c>
      <c r="O643">
        <v>57</v>
      </c>
      <c r="P643">
        <v>64</v>
      </c>
      <c r="Q643" t="str">
        <f t="shared" si="80"/>
        <v>Complete</v>
      </c>
      <c r="R643">
        <f t="shared" ref="R643:R706" si="87">IF(K643="",J643,K643)</f>
        <v>0.2424</v>
      </c>
      <c r="S643">
        <f t="shared" si="81"/>
        <v>2011</v>
      </c>
      <c r="T643" t="str">
        <f t="shared" si="82"/>
        <v>January</v>
      </c>
      <c r="U643" t="str">
        <f t="shared" si="83"/>
        <v>Sunday</v>
      </c>
      <c r="V643" t="str">
        <f t="shared" si="84"/>
        <v>Morning</v>
      </c>
      <c r="W643" t="str">
        <f t="shared" si="85"/>
        <v>Spring</v>
      </c>
      <c r="X643" t="str">
        <f t="shared" si="86"/>
        <v>Mist/Cloudy</v>
      </c>
    </row>
    <row r="644" spans="1:24">
      <c r="A644">
        <v>652</v>
      </c>
      <c r="B644" s="2">
        <v>40573</v>
      </c>
      <c r="C644">
        <v>1</v>
      </c>
      <c r="D644">
        <v>0</v>
      </c>
      <c r="E644">
        <v>1</v>
      </c>
      <c r="F644">
        <v>11</v>
      </c>
      <c r="G644" t="b">
        <v>0</v>
      </c>
      <c r="H644">
        <v>0</v>
      </c>
      <c r="I644">
        <v>1</v>
      </c>
      <c r="J644">
        <v>0.22</v>
      </c>
      <c r="K644">
        <v>0.2727</v>
      </c>
      <c r="L644">
        <v>0.75</v>
      </c>
      <c r="M644">
        <v>0</v>
      </c>
      <c r="N644">
        <v>9</v>
      </c>
      <c r="O644">
        <v>50</v>
      </c>
      <c r="P644">
        <v>59</v>
      </c>
      <c r="Q644" t="str">
        <f t="shared" si="80"/>
        <v>Complete</v>
      </c>
      <c r="R644">
        <f t="shared" si="87"/>
        <v>0.2727</v>
      </c>
      <c r="S644">
        <f t="shared" si="81"/>
        <v>2011</v>
      </c>
      <c r="T644" t="str">
        <f t="shared" si="82"/>
        <v>January</v>
      </c>
      <c r="U644" t="str">
        <f t="shared" si="83"/>
        <v>Sunday</v>
      </c>
      <c r="V644" t="str">
        <f t="shared" si="84"/>
        <v>Morning</v>
      </c>
      <c r="W644" t="str">
        <f t="shared" si="85"/>
        <v>Spring</v>
      </c>
      <c r="X644" t="str">
        <f t="shared" si="86"/>
        <v>Clear</v>
      </c>
    </row>
    <row r="645" spans="1:24">
      <c r="A645">
        <v>653</v>
      </c>
      <c r="B645" s="2">
        <v>40573</v>
      </c>
      <c r="C645">
        <v>1</v>
      </c>
      <c r="D645">
        <v>0</v>
      </c>
      <c r="E645">
        <v>1</v>
      </c>
      <c r="F645">
        <v>12</v>
      </c>
      <c r="G645" t="b">
        <v>0</v>
      </c>
      <c r="H645">
        <v>0</v>
      </c>
      <c r="I645">
        <v>1</v>
      </c>
      <c r="J645">
        <v>0.3</v>
      </c>
      <c r="K645">
        <v>0.31819999999999998</v>
      </c>
      <c r="L645">
        <v>0.52</v>
      </c>
      <c r="M645">
        <v>0.1045</v>
      </c>
      <c r="N645">
        <v>10</v>
      </c>
      <c r="O645">
        <v>87</v>
      </c>
      <c r="P645">
        <v>97</v>
      </c>
      <c r="Q645" t="str">
        <f t="shared" si="80"/>
        <v>Complete</v>
      </c>
      <c r="R645">
        <f t="shared" si="87"/>
        <v>0.31819999999999998</v>
      </c>
      <c r="S645">
        <f t="shared" si="81"/>
        <v>2011</v>
      </c>
      <c r="T645" t="str">
        <f t="shared" si="82"/>
        <v>January</v>
      </c>
      <c r="U645" t="str">
        <f t="shared" si="83"/>
        <v>Sunday</v>
      </c>
      <c r="V645" t="str">
        <f t="shared" si="84"/>
        <v>Afternoon</v>
      </c>
      <c r="W645" t="str">
        <f t="shared" si="85"/>
        <v>Spring</v>
      </c>
      <c r="X645" t="str">
        <f t="shared" si="86"/>
        <v>Clear</v>
      </c>
    </row>
    <row r="646" spans="1:24">
      <c r="A646">
        <v>654</v>
      </c>
      <c r="B646" s="2">
        <v>40573</v>
      </c>
      <c r="C646">
        <v>1</v>
      </c>
      <c r="D646">
        <v>0</v>
      </c>
      <c r="E646">
        <v>1</v>
      </c>
      <c r="F646">
        <v>13</v>
      </c>
      <c r="G646" t="b">
        <v>0</v>
      </c>
      <c r="H646">
        <v>0</v>
      </c>
      <c r="I646">
        <v>1</v>
      </c>
      <c r="J646">
        <v>0.28000000000000003</v>
      </c>
      <c r="K646">
        <v>0.28789999999999999</v>
      </c>
      <c r="L646">
        <v>0.61</v>
      </c>
      <c r="M646">
        <v>0.1045</v>
      </c>
      <c r="N646">
        <v>13</v>
      </c>
      <c r="O646">
        <v>71</v>
      </c>
      <c r="P646">
        <v>84</v>
      </c>
      <c r="Q646" t="str">
        <f t="shared" si="80"/>
        <v>Complete</v>
      </c>
      <c r="R646">
        <f t="shared" si="87"/>
        <v>0.28789999999999999</v>
      </c>
      <c r="S646">
        <f t="shared" si="81"/>
        <v>2011</v>
      </c>
      <c r="T646" t="str">
        <f t="shared" si="82"/>
        <v>January</v>
      </c>
      <c r="U646" t="str">
        <f t="shared" si="83"/>
        <v>Sunday</v>
      </c>
      <c r="V646" t="str">
        <f t="shared" si="84"/>
        <v>Afternoon</v>
      </c>
      <c r="W646" t="str">
        <f t="shared" si="85"/>
        <v>Spring</v>
      </c>
      <c r="X646" t="str">
        <f t="shared" si="86"/>
        <v>Clear</v>
      </c>
    </row>
    <row r="647" spans="1:24">
      <c r="A647">
        <v>655</v>
      </c>
      <c r="B647" s="2">
        <v>40573</v>
      </c>
      <c r="C647">
        <v>1</v>
      </c>
      <c r="D647">
        <v>0</v>
      </c>
      <c r="E647">
        <v>1</v>
      </c>
      <c r="F647">
        <v>14</v>
      </c>
      <c r="G647" t="b">
        <v>0</v>
      </c>
      <c r="H647">
        <v>0</v>
      </c>
      <c r="I647">
        <v>1</v>
      </c>
      <c r="J647">
        <v>0.28000000000000003</v>
      </c>
      <c r="K647">
        <v>0.30299999999999999</v>
      </c>
      <c r="L647">
        <v>0.61</v>
      </c>
      <c r="M647">
        <v>8.9599999999999999E-2</v>
      </c>
      <c r="N647">
        <v>18</v>
      </c>
      <c r="O647">
        <v>104</v>
      </c>
      <c r="P647">
        <v>122</v>
      </c>
      <c r="Q647" t="str">
        <f t="shared" si="80"/>
        <v>Complete</v>
      </c>
      <c r="R647">
        <f t="shared" si="87"/>
        <v>0.30299999999999999</v>
      </c>
      <c r="S647">
        <f t="shared" si="81"/>
        <v>2011</v>
      </c>
      <c r="T647" t="str">
        <f t="shared" si="82"/>
        <v>January</v>
      </c>
      <c r="U647" t="str">
        <f t="shared" si="83"/>
        <v>Sunday</v>
      </c>
      <c r="V647" t="str">
        <f t="shared" si="84"/>
        <v>Afternoon</v>
      </c>
      <c r="W647" t="str">
        <f t="shared" si="85"/>
        <v>Spring</v>
      </c>
      <c r="X647" t="str">
        <f t="shared" si="86"/>
        <v>Clear</v>
      </c>
    </row>
    <row r="648" spans="1:24">
      <c r="A648">
        <v>656</v>
      </c>
      <c r="B648" s="2">
        <v>40573</v>
      </c>
      <c r="C648">
        <v>1</v>
      </c>
      <c r="D648">
        <v>0</v>
      </c>
      <c r="E648">
        <v>1</v>
      </c>
      <c r="F648">
        <v>15</v>
      </c>
      <c r="G648" t="b">
        <v>0</v>
      </c>
      <c r="H648">
        <v>0</v>
      </c>
      <c r="I648">
        <v>1</v>
      </c>
      <c r="J648">
        <v>0.3</v>
      </c>
      <c r="K648">
        <v>0.33329999999999999</v>
      </c>
      <c r="L648">
        <v>0.56000000000000005</v>
      </c>
      <c r="M648">
        <v>0</v>
      </c>
      <c r="N648">
        <v>14</v>
      </c>
      <c r="O648">
        <v>95</v>
      </c>
      <c r="P648">
        <v>109</v>
      </c>
      <c r="Q648" t="str">
        <f t="shared" si="80"/>
        <v>Complete</v>
      </c>
      <c r="R648">
        <f t="shared" si="87"/>
        <v>0.33329999999999999</v>
      </c>
      <c r="S648">
        <f t="shared" si="81"/>
        <v>2011</v>
      </c>
      <c r="T648" t="str">
        <f t="shared" si="82"/>
        <v>January</v>
      </c>
      <c r="U648" t="str">
        <f t="shared" si="83"/>
        <v>Sunday</v>
      </c>
      <c r="V648" t="str">
        <f t="shared" si="84"/>
        <v>Afternoon</v>
      </c>
      <c r="W648" t="str">
        <f t="shared" si="85"/>
        <v>Spring</v>
      </c>
      <c r="X648" t="str">
        <f t="shared" si="86"/>
        <v>Clear</v>
      </c>
    </row>
    <row r="649" spans="1:24">
      <c r="A649">
        <v>657</v>
      </c>
      <c r="B649" s="2">
        <v>40573</v>
      </c>
      <c r="C649">
        <v>1</v>
      </c>
      <c r="D649">
        <v>0</v>
      </c>
      <c r="E649">
        <v>1</v>
      </c>
      <c r="F649">
        <v>16</v>
      </c>
      <c r="G649" t="b">
        <v>0</v>
      </c>
      <c r="H649">
        <v>0</v>
      </c>
      <c r="I649">
        <v>1</v>
      </c>
      <c r="J649">
        <v>0.3</v>
      </c>
      <c r="K649">
        <v>0.33329999999999999</v>
      </c>
      <c r="L649">
        <v>0.56000000000000005</v>
      </c>
      <c r="M649">
        <v>0</v>
      </c>
      <c r="N649">
        <v>19</v>
      </c>
      <c r="O649">
        <v>104</v>
      </c>
      <c r="P649">
        <v>123</v>
      </c>
      <c r="Q649" t="str">
        <f t="shared" si="80"/>
        <v>Complete</v>
      </c>
      <c r="R649">
        <f t="shared" si="87"/>
        <v>0.33329999999999999</v>
      </c>
      <c r="S649">
        <f t="shared" si="81"/>
        <v>2011</v>
      </c>
      <c r="T649" t="str">
        <f t="shared" si="82"/>
        <v>January</v>
      </c>
      <c r="U649" t="str">
        <f t="shared" si="83"/>
        <v>Sunday</v>
      </c>
      <c r="V649" t="str">
        <f t="shared" si="84"/>
        <v>Afternoon</v>
      </c>
      <c r="W649" t="str">
        <f t="shared" si="85"/>
        <v>Spring</v>
      </c>
      <c r="X649" t="str">
        <f t="shared" si="86"/>
        <v>Clear</v>
      </c>
    </row>
    <row r="650" spans="1:24">
      <c r="A650">
        <v>658</v>
      </c>
      <c r="B650" s="2">
        <v>40573</v>
      </c>
      <c r="C650">
        <v>1</v>
      </c>
      <c r="D650">
        <v>0</v>
      </c>
      <c r="E650">
        <v>1</v>
      </c>
      <c r="F650">
        <v>17</v>
      </c>
      <c r="G650" t="b">
        <v>0</v>
      </c>
      <c r="H650">
        <v>0</v>
      </c>
      <c r="I650">
        <v>1</v>
      </c>
      <c r="J650">
        <v>0.3</v>
      </c>
      <c r="K650">
        <v>0.28789999999999999</v>
      </c>
      <c r="L650">
        <v>0.56000000000000005</v>
      </c>
      <c r="M650">
        <v>0.19400000000000001</v>
      </c>
      <c r="N650">
        <v>6</v>
      </c>
      <c r="O650">
        <v>71</v>
      </c>
      <c r="P650">
        <v>77</v>
      </c>
      <c r="Q650" t="str">
        <f t="shared" si="80"/>
        <v>Complete</v>
      </c>
      <c r="R650">
        <f t="shared" si="87"/>
        <v>0.28789999999999999</v>
      </c>
      <c r="S650">
        <f t="shared" si="81"/>
        <v>2011</v>
      </c>
      <c r="T650" t="str">
        <f t="shared" si="82"/>
        <v>January</v>
      </c>
      <c r="U650" t="str">
        <f t="shared" si="83"/>
        <v>Sunday</v>
      </c>
      <c r="V650" t="str">
        <f t="shared" si="84"/>
        <v>Afternoon</v>
      </c>
      <c r="W650" t="str">
        <f t="shared" si="85"/>
        <v>Spring</v>
      </c>
      <c r="X650" t="str">
        <f t="shared" si="86"/>
        <v>Clear</v>
      </c>
    </row>
    <row r="651" spans="1:24">
      <c r="A651">
        <v>659</v>
      </c>
      <c r="B651" s="2">
        <v>40573</v>
      </c>
      <c r="C651">
        <v>1</v>
      </c>
      <c r="D651">
        <v>0</v>
      </c>
      <c r="E651">
        <v>1</v>
      </c>
      <c r="F651">
        <v>18</v>
      </c>
      <c r="G651" t="b">
        <v>0</v>
      </c>
      <c r="H651">
        <v>0</v>
      </c>
      <c r="I651">
        <v>1</v>
      </c>
      <c r="J651">
        <v>0.26</v>
      </c>
      <c r="K651">
        <v>0.2576</v>
      </c>
      <c r="L651">
        <v>0.65</v>
      </c>
      <c r="M651">
        <v>0.16420000000000001</v>
      </c>
      <c r="N651">
        <v>8</v>
      </c>
      <c r="O651">
        <v>57</v>
      </c>
      <c r="P651">
        <v>65</v>
      </c>
      <c r="Q651" t="str">
        <f t="shared" si="80"/>
        <v>Complete</v>
      </c>
      <c r="R651">
        <f t="shared" si="87"/>
        <v>0.2576</v>
      </c>
      <c r="S651">
        <f t="shared" si="81"/>
        <v>2011</v>
      </c>
      <c r="T651" t="str">
        <f t="shared" si="82"/>
        <v>January</v>
      </c>
      <c r="U651" t="str">
        <f t="shared" si="83"/>
        <v>Sunday</v>
      </c>
      <c r="V651" t="str">
        <f t="shared" si="84"/>
        <v>Evening</v>
      </c>
      <c r="W651" t="str">
        <f t="shared" si="85"/>
        <v>Spring</v>
      </c>
      <c r="X651" t="str">
        <f t="shared" si="86"/>
        <v>Clear</v>
      </c>
    </row>
    <row r="652" spans="1:24">
      <c r="A652">
        <v>660</v>
      </c>
      <c r="B652" s="2">
        <v>40573</v>
      </c>
      <c r="C652">
        <v>1</v>
      </c>
      <c r="D652">
        <v>0</v>
      </c>
      <c r="E652">
        <v>1</v>
      </c>
      <c r="F652">
        <v>19</v>
      </c>
      <c r="G652" t="b">
        <v>0</v>
      </c>
      <c r="H652">
        <v>0</v>
      </c>
      <c r="I652">
        <v>1</v>
      </c>
      <c r="J652">
        <v>0.26</v>
      </c>
      <c r="K652">
        <v>0.2576</v>
      </c>
      <c r="L652">
        <v>0.65</v>
      </c>
      <c r="M652">
        <v>0.19400000000000001</v>
      </c>
      <c r="N652">
        <v>9</v>
      </c>
      <c r="O652">
        <v>46</v>
      </c>
      <c r="P652">
        <v>55</v>
      </c>
      <c r="Q652" t="str">
        <f t="shared" si="80"/>
        <v>Complete</v>
      </c>
      <c r="R652">
        <f t="shared" si="87"/>
        <v>0.2576</v>
      </c>
      <c r="S652">
        <f t="shared" si="81"/>
        <v>2011</v>
      </c>
      <c r="T652" t="str">
        <f t="shared" si="82"/>
        <v>January</v>
      </c>
      <c r="U652" t="str">
        <f t="shared" si="83"/>
        <v>Sunday</v>
      </c>
      <c r="V652" t="str">
        <f t="shared" si="84"/>
        <v>Evening</v>
      </c>
      <c r="W652" t="str">
        <f t="shared" si="85"/>
        <v>Spring</v>
      </c>
      <c r="X652" t="str">
        <f t="shared" si="86"/>
        <v>Clear</v>
      </c>
    </row>
    <row r="653" spans="1:24">
      <c r="A653">
        <v>661</v>
      </c>
      <c r="B653" s="2">
        <v>40573</v>
      </c>
      <c r="C653">
        <v>1</v>
      </c>
      <c r="D653">
        <v>0</v>
      </c>
      <c r="E653">
        <v>1</v>
      </c>
      <c r="F653">
        <v>20</v>
      </c>
      <c r="G653" t="b">
        <v>0</v>
      </c>
      <c r="H653">
        <v>0</v>
      </c>
      <c r="I653">
        <v>2</v>
      </c>
      <c r="J653">
        <v>0.26</v>
      </c>
      <c r="K653">
        <v>0.2727</v>
      </c>
      <c r="L653">
        <v>0.65</v>
      </c>
      <c r="M653">
        <v>0.1045</v>
      </c>
      <c r="N653">
        <v>3</v>
      </c>
      <c r="O653">
        <v>30</v>
      </c>
      <c r="P653">
        <v>33</v>
      </c>
      <c r="Q653" t="str">
        <f t="shared" si="80"/>
        <v>Complete</v>
      </c>
      <c r="R653">
        <f t="shared" si="87"/>
        <v>0.2727</v>
      </c>
      <c r="S653">
        <f t="shared" si="81"/>
        <v>2011</v>
      </c>
      <c r="T653" t="str">
        <f t="shared" si="82"/>
        <v>January</v>
      </c>
      <c r="U653" t="str">
        <f t="shared" si="83"/>
        <v>Sunday</v>
      </c>
      <c r="V653" t="str">
        <f t="shared" si="84"/>
        <v>Evening</v>
      </c>
      <c r="W653" t="str">
        <f t="shared" si="85"/>
        <v>Spring</v>
      </c>
      <c r="X653" t="str">
        <f t="shared" si="86"/>
        <v>Mist/Cloudy</v>
      </c>
    </row>
    <row r="654" spans="1:24">
      <c r="A654">
        <v>662</v>
      </c>
      <c r="B654" s="2">
        <v>40573</v>
      </c>
      <c r="C654">
        <v>1</v>
      </c>
      <c r="D654">
        <v>0</v>
      </c>
      <c r="E654">
        <v>1</v>
      </c>
      <c r="F654">
        <v>21</v>
      </c>
      <c r="G654" t="b">
        <v>0</v>
      </c>
      <c r="H654">
        <v>0</v>
      </c>
      <c r="I654">
        <v>2</v>
      </c>
      <c r="J654">
        <v>0.24</v>
      </c>
      <c r="K654">
        <v>0.2424</v>
      </c>
      <c r="L654">
        <v>0.7</v>
      </c>
      <c r="M654">
        <v>0.16420000000000001</v>
      </c>
      <c r="N654">
        <v>3</v>
      </c>
      <c r="O654">
        <v>25</v>
      </c>
      <c r="P654">
        <v>28</v>
      </c>
      <c r="Q654" t="str">
        <f t="shared" si="80"/>
        <v>Complete</v>
      </c>
      <c r="R654">
        <f t="shared" si="87"/>
        <v>0.2424</v>
      </c>
      <c r="S654">
        <f t="shared" si="81"/>
        <v>2011</v>
      </c>
      <c r="T654" t="str">
        <f t="shared" si="82"/>
        <v>January</v>
      </c>
      <c r="U654" t="str">
        <f t="shared" si="83"/>
        <v>Sunday</v>
      </c>
      <c r="V654" t="str">
        <f t="shared" si="84"/>
        <v>Evening</v>
      </c>
      <c r="W654" t="str">
        <f t="shared" si="85"/>
        <v>Spring</v>
      </c>
      <c r="X654" t="str">
        <f t="shared" si="86"/>
        <v>Mist/Cloudy</v>
      </c>
    </row>
    <row r="655" spans="1:24">
      <c r="A655">
        <v>663</v>
      </c>
      <c r="B655" s="2">
        <v>40573</v>
      </c>
      <c r="C655">
        <v>1</v>
      </c>
      <c r="D655">
        <v>0</v>
      </c>
      <c r="E655">
        <v>1</v>
      </c>
      <c r="F655">
        <v>22</v>
      </c>
      <c r="G655" t="b">
        <v>0</v>
      </c>
      <c r="H655">
        <v>0</v>
      </c>
      <c r="I655">
        <v>2</v>
      </c>
      <c r="J655">
        <v>0.24</v>
      </c>
      <c r="K655">
        <v>0.2273</v>
      </c>
      <c r="L655">
        <v>0.7</v>
      </c>
      <c r="M655">
        <v>0.19400000000000001</v>
      </c>
      <c r="N655">
        <v>2</v>
      </c>
      <c r="O655">
        <v>19</v>
      </c>
      <c r="P655">
        <v>21</v>
      </c>
      <c r="Q655" t="str">
        <f t="shared" si="80"/>
        <v>Complete</v>
      </c>
      <c r="R655">
        <f t="shared" si="87"/>
        <v>0.2273</v>
      </c>
      <c r="S655">
        <f t="shared" si="81"/>
        <v>2011</v>
      </c>
      <c r="T655" t="str">
        <f t="shared" si="82"/>
        <v>January</v>
      </c>
      <c r="U655" t="str">
        <f t="shared" si="83"/>
        <v>Sunday</v>
      </c>
      <c r="V655" t="str">
        <f t="shared" si="84"/>
        <v>Evening</v>
      </c>
      <c r="W655" t="str">
        <f t="shared" si="85"/>
        <v>Spring</v>
      </c>
      <c r="X655" t="str">
        <f t="shared" si="86"/>
        <v>Mist/Cloudy</v>
      </c>
    </row>
    <row r="656" spans="1:24">
      <c r="A656">
        <v>664</v>
      </c>
      <c r="B656" s="2">
        <v>40573</v>
      </c>
      <c r="C656">
        <v>1</v>
      </c>
      <c r="D656">
        <v>0</v>
      </c>
      <c r="E656">
        <v>1</v>
      </c>
      <c r="F656">
        <v>23</v>
      </c>
      <c r="G656" t="b">
        <v>0</v>
      </c>
      <c r="H656">
        <v>0</v>
      </c>
      <c r="I656">
        <v>2</v>
      </c>
      <c r="J656">
        <v>0.24</v>
      </c>
      <c r="K656">
        <v>0.21210000000000001</v>
      </c>
      <c r="L656">
        <v>0.65</v>
      </c>
      <c r="M656">
        <v>0.28360000000000002</v>
      </c>
      <c r="N656">
        <v>5</v>
      </c>
      <c r="O656">
        <v>16</v>
      </c>
      <c r="P656">
        <v>21</v>
      </c>
      <c r="Q656" t="str">
        <f t="shared" si="80"/>
        <v>Complete</v>
      </c>
      <c r="R656">
        <f t="shared" si="87"/>
        <v>0.21210000000000001</v>
      </c>
      <c r="S656">
        <f t="shared" si="81"/>
        <v>2011</v>
      </c>
      <c r="T656" t="str">
        <f t="shared" si="82"/>
        <v>January</v>
      </c>
      <c r="U656" t="str">
        <f t="shared" si="83"/>
        <v>Sunday</v>
      </c>
      <c r="V656" t="str">
        <f t="shared" si="84"/>
        <v>Evening</v>
      </c>
      <c r="W656" t="str">
        <f t="shared" si="85"/>
        <v>Spring</v>
      </c>
      <c r="X656" t="str">
        <f t="shared" si="86"/>
        <v>Mist/Cloudy</v>
      </c>
    </row>
    <row r="657" spans="1:24">
      <c r="A657">
        <v>665</v>
      </c>
      <c r="B657" s="2">
        <v>40574</v>
      </c>
      <c r="C657">
        <v>1</v>
      </c>
      <c r="D657">
        <v>0</v>
      </c>
      <c r="E657">
        <v>1</v>
      </c>
      <c r="F657">
        <v>0</v>
      </c>
      <c r="G657" t="b">
        <v>0</v>
      </c>
      <c r="H657">
        <v>1</v>
      </c>
      <c r="I657">
        <v>2</v>
      </c>
      <c r="J657">
        <v>0.24</v>
      </c>
      <c r="K657">
        <v>0.2273</v>
      </c>
      <c r="L657">
        <v>0.65</v>
      </c>
      <c r="M657">
        <v>0.22389999999999999</v>
      </c>
      <c r="N657">
        <v>1</v>
      </c>
      <c r="O657">
        <v>6</v>
      </c>
      <c r="P657">
        <v>7</v>
      </c>
      <c r="Q657" t="str">
        <f t="shared" si="80"/>
        <v>Complete</v>
      </c>
      <c r="R657">
        <f t="shared" si="87"/>
        <v>0.2273</v>
      </c>
      <c r="S657">
        <f t="shared" si="81"/>
        <v>2011</v>
      </c>
      <c r="T657" t="str">
        <f t="shared" si="82"/>
        <v>January</v>
      </c>
      <c r="U657" t="str">
        <f t="shared" si="83"/>
        <v>Weekday</v>
      </c>
      <c r="V657" t="str">
        <f t="shared" si="84"/>
        <v>Night</v>
      </c>
      <c r="W657" t="str">
        <f t="shared" si="85"/>
        <v>Spring</v>
      </c>
      <c r="X657" t="str">
        <f t="shared" si="86"/>
        <v>Mist/Cloudy</v>
      </c>
    </row>
    <row r="658" spans="1:24">
      <c r="A658">
        <v>666</v>
      </c>
      <c r="B658" s="2">
        <v>40574</v>
      </c>
      <c r="C658">
        <v>1</v>
      </c>
      <c r="D658">
        <v>0</v>
      </c>
      <c r="E658">
        <v>1</v>
      </c>
      <c r="F658">
        <v>1</v>
      </c>
      <c r="G658" t="b">
        <v>0</v>
      </c>
      <c r="H658">
        <v>1</v>
      </c>
      <c r="I658">
        <v>1</v>
      </c>
      <c r="J658">
        <v>0.22</v>
      </c>
      <c r="K658">
        <v>0.21210000000000001</v>
      </c>
      <c r="L658">
        <v>0.64</v>
      </c>
      <c r="M658">
        <v>0.25369999999999998</v>
      </c>
      <c r="N658">
        <v>2</v>
      </c>
      <c r="O658">
        <v>5</v>
      </c>
      <c r="P658">
        <v>7</v>
      </c>
      <c r="Q658" t="str">
        <f t="shared" si="80"/>
        <v>Complete</v>
      </c>
      <c r="R658">
        <f t="shared" si="87"/>
        <v>0.21210000000000001</v>
      </c>
      <c r="S658">
        <f t="shared" si="81"/>
        <v>2011</v>
      </c>
      <c r="T658" t="str">
        <f t="shared" si="82"/>
        <v>January</v>
      </c>
      <c r="U658" t="str">
        <f t="shared" si="83"/>
        <v>Weekday</v>
      </c>
      <c r="V658" t="str">
        <f t="shared" si="84"/>
        <v>Night</v>
      </c>
      <c r="W658" t="str">
        <f t="shared" si="85"/>
        <v>Spring</v>
      </c>
      <c r="X658" t="str">
        <f t="shared" si="86"/>
        <v>Clear</v>
      </c>
    </row>
    <row r="659" spans="1:24">
      <c r="A659">
        <v>667</v>
      </c>
      <c r="B659" s="2">
        <v>40574</v>
      </c>
      <c r="C659">
        <v>1</v>
      </c>
      <c r="D659">
        <v>0</v>
      </c>
      <c r="E659">
        <v>1</v>
      </c>
      <c r="F659">
        <v>2</v>
      </c>
      <c r="G659" t="b">
        <v>0</v>
      </c>
      <c r="H659">
        <v>1</v>
      </c>
      <c r="I659">
        <v>1</v>
      </c>
      <c r="J659">
        <v>0.22</v>
      </c>
      <c r="K659">
        <v>0.2273</v>
      </c>
      <c r="L659">
        <v>0.64</v>
      </c>
      <c r="M659">
        <v>0.19400000000000001</v>
      </c>
      <c r="N659">
        <v>0</v>
      </c>
      <c r="O659">
        <v>1</v>
      </c>
      <c r="P659">
        <v>1</v>
      </c>
      <c r="Q659" t="str">
        <f t="shared" si="80"/>
        <v>Complete</v>
      </c>
      <c r="R659">
        <f t="shared" si="87"/>
        <v>0.2273</v>
      </c>
      <c r="S659">
        <f t="shared" si="81"/>
        <v>2011</v>
      </c>
      <c r="T659" t="str">
        <f t="shared" si="82"/>
        <v>January</v>
      </c>
      <c r="U659" t="str">
        <f t="shared" si="83"/>
        <v>Weekday</v>
      </c>
      <c r="V659" t="str">
        <f t="shared" si="84"/>
        <v>Night</v>
      </c>
      <c r="W659" t="str">
        <f t="shared" si="85"/>
        <v>Spring</v>
      </c>
      <c r="X659" t="str">
        <f t="shared" si="86"/>
        <v>Clear</v>
      </c>
    </row>
    <row r="660" spans="1:24">
      <c r="A660">
        <v>668</v>
      </c>
      <c r="B660" s="2">
        <v>40574</v>
      </c>
      <c r="C660">
        <v>1</v>
      </c>
      <c r="D660">
        <v>0</v>
      </c>
      <c r="E660">
        <v>1</v>
      </c>
      <c r="F660">
        <v>3</v>
      </c>
      <c r="G660" t="b">
        <v>0</v>
      </c>
      <c r="H660">
        <v>1</v>
      </c>
      <c r="I660">
        <v>1</v>
      </c>
      <c r="J660">
        <v>0.22</v>
      </c>
      <c r="K660">
        <v>0.2273</v>
      </c>
      <c r="L660">
        <v>0.64</v>
      </c>
      <c r="M660">
        <v>0.19400000000000001</v>
      </c>
      <c r="N660">
        <v>0</v>
      </c>
      <c r="O660">
        <v>2</v>
      </c>
      <c r="P660">
        <v>2</v>
      </c>
      <c r="Q660" t="str">
        <f t="shared" si="80"/>
        <v>Complete</v>
      </c>
      <c r="R660">
        <f t="shared" si="87"/>
        <v>0.2273</v>
      </c>
      <c r="S660">
        <f t="shared" si="81"/>
        <v>2011</v>
      </c>
      <c r="T660" t="str">
        <f t="shared" si="82"/>
        <v>January</v>
      </c>
      <c r="U660" t="str">
        <f t="shared" si="83"/>
        <v>Weekday</v>
      </c>
      <c r="V660" t="str">
        <f t="shared" si="84"/>
        <v>Night</v>
      </c>
      <c r="W660" t="str">
        <f t="shared" si="85"/>
        <v>Spring</v>
      </c>
      <c r="X660" t="str">
        <f t="shared" si="86"/>
        <v>Clear</v>
      </c>
    </row>
    <row r="661" spans="1:24">
      <c r="A661">
        <v>669</v>
      </c>
      <c r="B661" s="2">
        <v>40574</v>
      </c>
      <c r="C661">
        <v>1</v>
      </c>
      <c r="D661">
        <v>0</v>
      </c>
      <c r="E661">
        <v>1</v>
      </c>
      <c r="F661">
        <v>4</v>
      </c>
      <c r="G661" t="b">
        <v>0</v>
      </c>
      <c r="H661">
        <v>1</v>
      </c>
      <c r="I661">
        <v>1</v>
      </c>
      <c r="J661">
        <v>0.2</v>
      </c>
      <c r="K661">
        <v>0.19700000000000001</v>
      </c>
      <c r="L661">
        <v>0.59</v>
      </c>
      <c r="M661">
        <v>0.22389999999999999</v>
      </c>
      <c r="N661">
        <v>0</v>
      </c>
      <c r="O661">
        <v>2</v>
      </c>
      <c r="P661">
        <v>2</v>
      </c>
      <c r="Q661" t="str">
        <f t="shared" si="80"/>
        <v>Complete</v>
      </c>
      <c r="R661">
        <f t="shared" si="87"/>
        <v>0.19700000000000001</v>
      </c>
      <c r="S661">
        <f t="shared" si="81"/>
        <v>2011</v>
      </c>
      <c r="T661" t="str">
        <f t="shared" si="82"/>
        <v>January</v>
      </c>
      <c r="U661" t="str">
        <f t="shared" si="83"/>
        <v>Weekday</v>
      </c>
      <c r="V661" t="str">
        <f t="shared" si="84"/>
        <v>Night</v>
      </c>
      <c r="W661" t="str">
        <f t="shared" si="85"/>
        <v>Spring</v>
      </c>
      <c r="X661" t="str">
        <f t="shared" si="86"/>
        <v>Clear</v>
      </c>
    </row>
    <row r="662" spans="1:24">
      <c r="A662">
        <v>670</v>
      </c>
      <c r="B662" s="2">
        <v>40574</v>
      </c>
      <c r="C662">
        <v>1</v>
      </c>
      <c r="D662">
        <v>0</v>
      </c>
      <c r="E662">
        <v>1</v>
      </c>
      <c r="F662">
        <v>5</v>
      </c>
      <c r="G662" t="b">
        <v>0</v>
      </c>
      <c r="H662">
        <v>1</v>
      </c>
      <c r="I662">
        <v>1</v>
      </c>
      <c r="J662">
        <v>0.18</v>
      </c>
      <c r="K662">
        <v>0.16669999999999999</v>
      </c>
      <c r="L662">
        <v>0.64</v>
      </c>
      <c r="M662">
        <v>0.28360000000000002</v>
      </c>
      <c r="N662">
        <v>0</v>
      </c>
      <c r="O662">
        <v>8</v>
      </c>
      <c r="P662">
        <v>8</v>
      </c>
      <c r="Q662" t="str">
        <f t="shared" si="80"/>
        <v>Complete</v>
      </c>
      <c r="R662">
        <f t="shared" si="87"/>
        <v>0.16669999999999999</v>
      </c>
      <c r="S662">
        <f t="shared" si="81"/>
        <v>2011</v>
      </c>
      <c r="T662" t="str">
        <f t="shared" si="82"/>
        <v>January</v>
      </c>
      <c r="U662" t="str">
        <f t="shared" si="83"/>
        <v>Weekday</v>
      </c>
      <c r="V662" t="str">
        <f t="shared" si="84"/>
        <v>Night</v>
      </c>
      <c r="W662" t="str">
        <f t="shared" si="85"/>
        <v>Spring</v>
      </c>
      <c r="X662" t="str">
        <f t="shared" si="86"/>
        <v>Clear</v>
      </c>
    </row>
    <row r="663" spans="1:24">
      <c r="A663">
        <v>671</v>
      </c>
      <c r="B663" s="2">
        <v>40574</v>
      </c>
      <c r="C663">
        <v>1</v>
      </c>
      <c r="D663">
        <v>0</v>
      </c>
      <c r="E663">
        <v>1</v>
      </c>
      <c r="F663">
        <v>6</v>
      </c>
      <c r="G663" t="b">
        <v>0</v>
      </c>
      <c r="H663">
        <v>1</v>
      </c>
      <c r="I663">
        <v>1</v>
      </c>
      <c r="J663">
        <v>0.16</v>
      </c>
      <c r="K663">
        <v>0.13639999999999999</v>
      </c>
      <c r="L663">
        <v>0.69</v>
      </c>
      <c r="M663">
        <v>0.32840000000000003</v>
      </c>
      <c r="N663">
        <v>0</v>
      </c>
      <c r="O663">
        <v>37</v>
      </c>
      <c r="P663">
        <v>37</v>
      </c>
      <c r="Q663" t="str">
        <f t="shared" si="80"/>
        <v>Complete</v>
      </c>
      <c r="R663">
        <f t="shared" si="87"/>
        <v>0.13639999999999999</v>
      </c>
      <c r="S663">
        <f t="shared" si="81"/>
        <v>2011</v>
      </c>
      <c r="T663" t="str">
        <f t="shared" si="82"/>
        <v>January</v>
      </c>
      <c r="U663" t="str">
        <f t="shared" si="83"/>
        <v>Weekday</v>
      </c>
      <c r="V663" t="str">
        <f t="shared" si="84"/>
        <v>Morning</v>
      </c>
      <c r="W663" t="str">
        <f t="shared" si="85"/>
        <v>Spring</v>
      </c>
      <c r="X663" t="str">
        <f t="shared" si="86"/>
        <v>Clear</v>
      </c>
    </row>
    <row r="664" spans="1:24">
      <c r="A664">
        <v>672</v>
      </c>
      <c r="B664" s="2">
        <v>40574</v>
      </c>
      <c r="C664">
        <v>1</v>
      </c>
      <c r="D664">
        <v>0</v>
      </c>
      <c r="E664">
        <v>1</v>
      </c>
      <c r="F664">
        <v>7</v>
      </c>
      <c r="G664" t="b">
        <v>0</v>
      </c>
      <c r="H664">
        <v>1</v>
      </c>
      <c r="I664">
        <v>2</v>
      </c>
      <c r="J664">
        <v>0.16</v>
      </c>
      <c r="K664">
        <v>0.13639999999999999</v>
      </c>
      <c r="L664">
        <v>0.64</v>
      </c>
      <c r="M664">
        <v>0.28360000000000002</v>
      </c>
      <c r="N664">
        <v>1</v>
      </c>
      <c r="O664">
        <v>71</v>
      </c>
      <c r="P664">
        <v>72</v>
      </c>
      <c r="Q664" t="str">
        <f t="shared" si="80"/>
        <v>Complete</v>
      </c>
      <c r="R664">
        <f t="shared" si="87"/>
        <v>0.13639999999999999</v>
      </c>
      <c r="S664">
        <f t="shared" si="81"/>
        <v>2011</v>
      </c>
      <c r="T664" t="str">
        <f t="shared" si="82"/>
        <v>January</v>
      </c>
      <c r="U664" t="str">
        <f t="shared" si="83"/>
        <v>Weekday</v>
      </c>
      <c r="V664" t="str">
        <f t="shared" si="84"/>
        <v>Morning</v>
      </c>
      <c r="W664" t="str">
        <f t="shared" si="85"/>
        <v>Spring</v>
      </c>
      <c r="X664" t="str">
        <f t="shared" si="86"/>
        <v>Mist/Cloudy</v>
      </c>
    </row>
    <row r="665" spans="1:24">
      <c r="A665">
        <v>673</v>
      </c>
      <c r="B665" s="2">
        <v>40574</v>
      </c>
      <c r="C665">
        <v>1</v>
      </c>
      <c r="D665">
        <v>0</v>
      </c>
      <c r="E665">
        <v>1</v>
      </c>
      <c r="F665">
        <v>8</v>
      </c>
      <c r="G665" t="b">
        <v>0</v>
      </c>
      <c r="H665">
        <v>1</v>
      </c>
      <c r="I665">
        <v>2</v>
      </c>
      <c r="J665">
        <v>0.16</v>
      </c>
      <c r="K665">
        <v>0.13639999999999999</v>
      </c>
      <c r="L665">
        <v>0.59</v>
      </c>
      <c r="M665">
        <v>0.28360000000000002</v>
      </c>
      <c r="N665">
        <v>3</v>
      </c>
      <c r="O665">
        <v>182</v>
      </c>
      <c r="P665">
        <v>185</v>
      </c>
      <c r="Q665" t="str">
        <f t="shared" si="80"/>
        <v>Complete</v>
      </c>
      <c r="R665">
        <f t="shared" si="87"/>
        <v>0.13639999999999999</v>
      </c>
      <c r="S665">
        <f t="shared" si="81"/>
        <v>2011</v>
      </c>
      <c r="T665" t="str">
        <f t="shared" si="82"/>
        <v>January</v>
      </c>
      <c r="U665" t="str">
        <f t="shared" si="83"/>
        <v>Weekday</v>
      </c>
      <c r="V665" t="str">
        <f t="shared" si="84"/>
        <v>Morning</v>
      </c>
      <c r="W665" t="str">
        <f t="shared" si="85"/>
        <v>Spring</v>
      </c>
      <c r="X665" t="str">
        <f t="shared" si="86"/>
        <v>Mist/Cloudy</v>
      </c>
    </row>
    <row r="666" spans="1:24">
      <c r="A666">
        <v>674</v>
      </c>
      <c r="B666" s="2">
        <v>40574</v>
      </c>
      <c r="C666">
        <v>1</v>
      </c>
      <c r="D666">
        <v>0</v>
      </c>
      <c r="E666">
        <v>1</v>
      </c>
      <c r="F666">
        <v>9</v>
      </c>
      <c r="G666" t="b">
        <v>0</v>
      </c>
      <c r="H666">
        <v>1</v>
      </c>
      <c r="I666">
        <v>2</v>
      </c>
      <c r="J666">
        <v>0.16</v>
      </c>
      <c r="K666">
        <v>0.13639999999999999</v>
      </c>
      <c r="L666">
        <v>0.59</v>
      </c>
      <c r="M666">
        <v>0.29849999999999999</v>
      </c>
      <c r="N666">
        <v>0</v>
      </c>
      <c r="O666">
        <v>112</v>
      </c>
      <c r="P666">
        <v>112</v>
      </c>
      <c r="Q666" t="str">
        <f t="shared" si="80"/>
        <v>Complete</v>
      </c>
      <c r="R666">
        <f t="shared" si="87"/>
        <v>0.13639999999999999</v>
      </c>
      <c r="S666">
        <f t="shared" si="81"/>
        <v>2011</v>
      </c>
      <c r="T666" t="str">
        <f t="shared" si="82"/>
        <v>January</v>
      </c>
      <c r="U666" t="str">
        <f t="shared" si="83"/>
        <v>Weekday</v>
      </c>
      <c r="V666" t="str">
        <f t="shared" si="84"/>
        <v>Morning</v>
      </c>
      <c r="W666" t="str">
        <f t="shared" si="85"/>
        <v>Spring</v>
      </c>
      <c r="X666" t="str">
        <f t="shared" si="86"/>
        <v>Mist/Cloudy</v>
      </c>
    </row>
    <row r="667" spans="1:24">
      <c r="A667">
        <v>675</v>
      </c>
      <c r="B667" s="2">
        <v>40574</v>
      </c>
      <c r="C667">
        <v>1</v>
      </c>
      <c r="D667">
        <v>0</v>
      </c>
      <c r="E667">
        <v>1</v>
      </c>
      <c r="F667">
        <v>10</v>
      </c>
      <c r="G667" t="b">
        <v>0</v>
      </c>
      <c r="H667">
        <v>1</v>
      </c>
      <c r="I667">
        <v>2</v>
      </c>
      <c r="J667">
        <v>0.16</v>
      </c>
      <c r="K667">
        <v>0.1515</v>
      </c>
      <c r="L667">
        <v>0.59</v>
      </c>
      <c r="M667">
        <v>0.19400000000000001</v>
      </c>
      <c r="N667">
        <v>1</v>
      </c>
      <c r="O667">
        <v>68</v>
      </c>
      <c r="P667">
        <v>69</v>
      </c>
      <c r="Q667" t="str">
        <f t="shared" si="80"/>
        <v>Complete</v>
      </c>
      <c r="R667">
        <f t="shared" si="87"/>
        <v>0.1515</v>
      </c>
      <c r="S667">
        <f t="shared" si="81"/>
        <v>2011</v>
      </c>
      <c r="T667" t="str">
        <f t="shared" si="82"/>
        <v>January</v>
      </c>
      <c r="U667" t="str">
        <f t="shared" si="83"/>
        <v>Weekday</v>
      </c>
      <c r="V667" t="str">
        <f t="shared" si="84"/>
        <v>Morning</v>
      </c>
      <c r="W667" t="str">
        <f t="shared" si="85"/>
        <v>Spring</v>
      </c>
      <c r="X667" t="str">
        <f t="shared" si="86"/>
        <v>Mist/Cloudy</v>
      </c>
    </row>
    <row r="668" spans="1:24">
      <c r="A668">
        <v>676</v>
      </c>
      <c r="B668" s="2">
        <v>40574</v>
      </c>
      <c r="C668">
        <v>1</v>
      </c>
      <c r="D668">
        <v>0</v>
      </c>
      <c r="E668">
        <v>1</v>
      </c>
      <c r="F668">
        <v>11</v>
      </c>
      <c r="G668" t="b">
        <v>0</v>
      </c>
      <c r="H668">
        <v>1</v>
      </c>
      <c r="I668">
        <v>2</v>
      </c>
      <c r="J668">
        <v>0.16</v>
      </c>
      <c r="K668">
        <v>0.1515</v>
      </c>
      <c r="L668">
        <v>0.59</v>
      </c>
      <c r="M668">
        <v>0.19400000000000001</v>
      </c>
      <c r="N668">
        <v>2</v>
      </c>
      <c r="O668">
        <v>46</v>
      </c>
      <c r="P668">
        <v>48</v>
      </c>
      <c r="Q668" t="str">
        <f t="shared" si="80"/>
        <v>Complete</v>
      </c>
      <c r="R668">
        <f t="shared" si="87"/>
        <v>0.1515</v>
      </c>
      <c r="S668">
        <f t="shared" si="81"/>
        <v>2011</v>
      </c>
      <c r="T668" t="str">
        <f t="shared" si="82"/>
        <v>January</v>
      </c>
      <c r="U668" t="str">
        <f t="shared" si="83"/>
        <v>Weekday</v>
      </c>
      <c r="V668" t="str">
        <f t="shared" si="84"/>
        <v>Morning</v>
      </c>
      <c r="W668" t="str">
        <f t="shared" si="85"/>
        <v>Spring</v>
      </c>
      <c r="X668" t="str">
        <f t="shared" si="86"/>
        <v>Mist/Cloudy</v>
      </c>
    </row>
    <row r="669" spans="1:24">
      <c r="A669">
        <v>677</v>
      </c>
      <c r="B669" s="2">
        <v>40574</v>
      </c>
      <c r="C669">
        <v>1</v>
      </c>
      <c r="D669">
        <v>0</v>
      </c>
      <c r="E669">
        <v>1</v>
      </c>
      <c r="F669">
        <v>12</v>
      </c>
      <c r="G669" t="b">
        <v>0</v>
      </c>
      <c r="H669">
        <v>1</v>
      </c>
      <c r="I669">
        <v>2</v>
      </c>
      <c r="J669">
        <v>0.18</v>
      </c>
      <c r="K669">
        <v>0.21210000000000001</v>
      </c>
      <c r="L669">
        <v>0.55000000000000004</v>
      </c>
      <c r="M669">
        <v>0.1045</v>
      </c>
      <c r="N669">
        <v>6</v>
      </c>
      <c r="O669">
        <v>62</v>
      </c>
      <c r="P669">
        <v>68</v>
      </c>
      <c r="Q669" t="str">
        <f t="shared" si="80"/>
        <v>Complete</v>
      </c>
      <c r="R669">
        <f t="shared" si="87"/>
        <v>0.21210000000000001</v>
      </c>
      <c r="S669">
        <f t="shared" si="81"/>
        <v>2011</v>
      </c>
      <c r="T669" t="str">
        <f t="shared" si="82"/>
        <v>January</v>
      </c>
      <c r="U669" t="str">
        <f t="shared" si="83"/>
        <v>Weekday</v>
      </c>
      <c r="V669" t="str">
        <f t="shared" si="84"/>
        <v>Afternoon</v>
      </c>
      <c r="W669" t="str">
        <f t="shared" si="85"/>
        <v>Spring</v>
      </c>
      <c r="X669" t="str">
        <f t="shared" si="86"/>
        <v>Mist/Cloudy</v>
      </c>
    </row>
    <row r="670" spans="1:24">
      <c r="A670">
        <v>678</v>
      </c>
      <c r="B670" s="2">
        <v>40574</v>
      </c>
      <c r="C670">
        <v>1</v>
      </c>
      <c r="D670">
        <v>0</v>
      </c>
      <c r="E670">
        <v>1</v>
      </c>
      <c r="F670">
        <v>13</v>
      </c>
      <c r="G670" t="b">
        <v>0</v>
      </c>
      <c r="H670">
        <v>1</v>
      </c>
      <c r="I670">
        <v>2</v>
      </c>
      <c r="J670">
        <v>0.16</v>
      </c>
      <c r="K670">
        <v>0.2273</v>
      </c>
      <c r="L670">
        <v>0.59</v>
      </c>
      <c r="M670">
        <v>0</v>
      </c>
      <c r="N670">
        <v>2</v>
      </c>
      <c r="O670">
        <v>52</v>
      </c>
      <c r="P670">
        <v>54</v>
      </c>
      <c r="Q670" t="str">
        <f t="shared" si="80"/>
        <v>Complete</v>
      </c>
      <c r="R670">
        <f t="shared" si="87"/>
        <v>0.2273</v>
      </c>
      <c r="S670">
        <f t="shared" si="81"/>
        <v>2011</v>
      </c>
      <c r="T670" t="str">
        <f t="shared" si="82"/>
        <v>January</v>
      </c>
      <c r="U670" t="str">
        <f t="shared" si="83"/>
        <v>Weekday</v>
      </c>
      <c r="V670" t="str">
        <f t="shared" si="84"/>
        <v>Afternoon</v>
      </c>
      <c r="W670" t="str">
        <f t="shared" si="85"/>
        <v>Spring</v>
      </c>
      <c r="X670" t="str">
        <f t="shared" si="86"/>
        <v>Mist/Cloudy</v>
      </c>
    </row>
    <row r="671" spans="1:24">
      <c r="A671">
        <v>679</v>
      </c>
      <c r="B671" s="2">
        <v>40574</v>
      </c>
      <c r="C671">
        <v>1</v>
      </c>
      <c r="D671">
        <v>0</v>
      </c>
      <c r="E671">
        <v>1</v>
      </c>
      <c r="F671">
        <v>14</v>
      </c>
      <c r="G671" t="b">
        <v>0</v>
      </c>
      <c r="H671">
        <v>1</v>
      </c>
      <c r="I671">
        <v>2</v>
      </c>
      <c r="J671">
        <v>0.18</v>
      </c>
      <c r="K671">
        <v>0.19700000000000001</v>
      </c>
      <c r="L671">
        <v>0.55000000000000004</v>
      </c>
      <c r="M671">
        <v>0.1343</v>
      </c>
      <c r="N671">
        <v>1</v>
      </c>
      <c r="O671">
        <v>85</v>
      </c>
      <c r="P671">
        <v>86</v>
      </c>
      <c r="Q671" t="str">
        <f t="shared" si="80"/>
        <v>Complete</v>
      </c>
      <c r="R671">
        <f t="shared" si="87"/>
        <v>0.19700000000000001</v>
      </c>
      <c r="S671">
        <f t="shared" si="81"/>
        <v>2011</v>
      </c>
      <c r="T671" t="str">
        <f t="shared" si="82"/>
        <v>January</v>
      </c>
      <c r="U671" t="str">
        <f t="shared" si="83"/>
        <v>Weekday</v>
      </c>
      <c r="V671" t="str">
        <f t="shared" si="84"/>
        <v>Afternoon</v>
      </c>
      <c r="W671" t="str">
        <f t="shared" si="85"/>
        <v>Spring</v>
      </c>
      <c r="X671" t="str">
        <f t="shared" si="86"/>
        <v>Mist/Cloudy</v>
      </c>
    </row>
    <row r="672" spans="1:24">
      <c r="A672">
        <v>680</v>
      </c>
      <c r="B672" s="2">
        <v>40574</v>
      </c>
      <c r="C672">
        <v>1</v>
      </c>
      <c r="D672">
        <v>0</v>
      </c>
      <c r="E672">
        <v>1</v>
      </c>
      <c r="F672">
        <v>15</v>
      </c>
      <c r="G672" t="b">
        <v>0</v>
      </c>
      <c r="H672">
        <v>1</v>
      </c>
      <c r="I672">
        <v>2</v>
      </c>
      <c r="J672">
        <v>0.16</v>
      </c>
      <c r="K672">
        <v>0.18179999999999999</v>
      </c>
      <c r="L672">
        <v>0.59</v>
      </c>
      <c r="M672">
        <v>0.1343</v>
      </c>
      <c r="N672">
        <v>3</v>
      </c>
      <c r="O672">
        <v>41</v>
      </c>
      <c r="P672">
        <v>44</v>
      </c>
      <c r="Q672" t="str">
        <f t="shared" si="80"/>
        <v>Complete</v>
      </c>
      <c r="R672">
        <f t="shared" si="87"/>
        <v>0.18179999999999999</v>
      </c>
      <c r="S672">
        <f t="shared" si="81"/>
        <v>2011</v>
      </c>
      <c r="T672" t="str">
        <f t="shared" si="82"/>
        <v>January</v>
      </c>
      <c r="U672" t="str">
        <f t="shared" si="83"/>
        <v>Weekday</v>
      </c>
      <c r="V672" t="str">
        <f t="shared" si="84"/>
        <v>Afternoon</v>
      </c>
      <c r="W672" t="str">
        <f t="shared" si="85"/>
        <v>Spring</v>
      </c>
      <c r="X672" t="str">
        <f t="shared" si="86"/>
        <v>Mist/Cloudy</v>
      </c>
    </row>
    <row r="673" spans="1:24">
      <c r="A673">
        <v>681</v>
      </c>
      <c r="B673" s="2">
        <v>40574</v>
      </c>
      <c r="C673">
        <v>1</v>
      </c>
      <c r="D673">
        <v>0</v>
      </c>
      <c r="E673">
        <v>1</v>
      </c>
      <c r="F673">
        <v>16</v>
      </c>
      <c r="G673" t="b">
        <v>0</v>
      </c>
      <c r="H673">
        <v>1</v>
      </c>
      <c r="I673">
        <v>2</v>
      </c>
      <c r="J673">
        <v>0.16</v>
      </c>
      <c r="K673">
        <v>0.18179999999999999</v>
      </c>
      <c r="L673">
        <v>0.56000000000000005</v>
      </c>
      <c r="M673">
        <v>0.19400000000000001</v>
      </c>
      <c r="N673">
        <v>3</v>
      </c>
      <c r="O673">
        <v>83</v>
      </c>
      <c r="P673">
        <v>86</v>
      </c>
      <c r="Q673" t="str">
        <f t="shared" si="80"/>
        <v>Complete</v>
      </c>
      <c r="R673">
        <f t="shared" si="87"/>
        <v>0.18179999999999999</v>
      </c>
      <c r="S673">
        <f t="shared" si="81"/>
        <v>2011</v>
      </c>
      <c r="T673" t="str">
        <f t="shared" si="82"/>
        <v>January</v>
      </c>
      <c r="U673" t="str">
        <f t="shared" si="83"/>
        <v>Weekday</v>
      </c>
      <c r="V673" t="str">
        <f t="shared" si="84"/>
        <v>Afternoon</v>
      </c>
      <c r="W673" t="str">
        <f t="shared" si="85"/>
        <v>Spring</v>
      </c>
      <c r="X673" t="str">
        <f t="shared" si="86"/>
        <v>Mist/Cloudy</v>
      </c>
    </row>
    <row r="674" spans="1:24">
      <c r="A674">
        <v>682</v>
      </c>
      <c r="B674" s="2">
        <v>40574</v>
      </c>
      <c r="C674">
        <v>1</v>
      </c>
      <c r="D674">
        <v>0</v>
      </c>
      <c r="E674">
        <v>1</v>
      </c>
      <c r="F674">
        <v>17</v>
      </c>
      <c r="G674" t="b">
        <v>0</v>
      </c>
      <c r="H674">
        <v>1</v>
      </c>
      <c r="I674">
        <v>2</v>
      </c>
      <c r="J674">
        <v>0.16</v>
      </c>
      <c r="K674">
        <v>0.1515</v>
      </c>
      <c r="L674">
        <v>0.59</v>
      </c>
      <c r="M674">
        <v>0.19400000000000001</v>
      </c>
      <c r="N674">
        <v>6</v>
      </c>
      <c r="O674">
        <v>155</v>
      </c>
      <c r="P674">
        <v>161</v>
      </c>
      <c r="Q674" t="str">
        <f t="shared" si="80"/>
        <v>Complete</v>
      </c>
      <c r="R674">
        <f t="shared" si="87"/>
        <v>0.1515</v>
      </c>
      <c r="S674">
        <f t="shared" si="81"/>
        <v>2011</v>
      </c>
      <c r="T674" t="str">
        <f t="shared" si="82"/>
        <v>January</v>
      </c>
      <c r="U674" t="str">
        <f t="shared" si="83"/>
        <v>Weekday</v>
      </c>
      <c r="V674" t="str">
        <f t="shared" si="84"/>
        <v>Afternoon</v>
      </c>
      <c r="W674" t="str">
        <f t="shared" si="85"/>
        <v>Spring</v>
      </c>
      <c r="X674" t="str">
        <f t="shared" si="86"/>
        <v>Mist/Cloudy</v>
      </c>
    </row>
    <row r="675" spans="1:24">
      <c r="A675">
        <v>683</v>
      </c>
      <c r="B675" s="2">
        <v>40574</v>
      </c>
      <c r="C675">
        <v>1</v>
      </c>
      <c r="D675">
        <v>0</v>
      </c>
      <c r="E675">
        <v>1</v>
      </c>
      <c r="F675">
        <v>18</v>
      </c>
      <c r="G675" t="b">
        <v>0</v>
      </c>
      <c r="H675">
        <v>1</v>
      </c>
      <c r="I675">
        <v>2</v>
      </c>
      <c r="J675">
        <v>0.16</v>
      </c>
      <c r="K675">
        <v>0.1515</v>
      </c>
      <c r="L675">
        <v>0.55000000000000004</v>
      </c>
      <c r="M675">
        <v>0.22389999999999999</v>
      </c>
      <c r="N675">
        <v>3</v>
      </c>
      <c r="O675">
        <v>153</v>
      </c>
      <c r="P675">
        <v>156</v>
      </c>
      <c r="Q675" t="str">
        <f t="shared" si="80"/>
        <v>Complete</v>
      </c>
      <c r="R675">
        <f t="shared" si="87"/>
        <v>0.1515</v>
      </c>
      <c r="S675">
        <f t="shared" si="81"/>
        <v>2011</v>
      </c>
      <c r="T675" t="str">
        <f t="shared" si="82"/>
        <v>January</v>
      </c>
      <c r="U675" t="str">
        <f t="shared" si="83"/>
        <v>Weekday</v>
      </c>
      <c r="V675" t="str">
        <f t="shared" si="84"/>
        <v>Evening</v>
      </c>
      <c r="W675" t="str">
        <f t="shared" si="85"/>
        <v>Spring</v>
      </c>
      <c r="X675" t="str">
        <f t="shared" si="86"/>
        <v>Mist/Cloudy</v>
      </c>
    </row>
    <row r="676" spans="1:24">
      <c r="A676">
        <v>684</v>
      </c>
      <c r="B676" s="2">
        <v>40574</v>
      </c>
      <c r="C676">
        <v>1</v>
      </c>
      <c r="D676">
        <v>0</v>
      </c>
      <c r="E676">
        <v>1</v>
      </c>
      <c r="F676">
        <v>19</v>
      </c>
      <c r="G676" t="b">
        <v>0</v>
      </c>
      <c r="H676">
        <v>1</v>
      </c>
      <c r="I676">
        <v>1</v>
      </c>
      <c r="J676">
        <v>0.3</v>
      </c>
      <c r="K676">
        <v>0.31819999999999998</v>
      </c>
      <c r="L676">
        <v>0.61</v>
      </c>
      <c r="M676">
        <v>0.1045</v>
      </c>
      <c r="N676">
        <v>3</v>
      </c>
      <c r="O676">
        <v>108</v>
      </c>
      <c r="P676">
        <v>111</v>
      </c>
      <c r="Q676" t="str">
        <f t="shared" si="80"/>
        <v>Complete</v>
      </c>
      <c r="R676">
        <f t="shared" si="87"/>
        <v>0.31819999999999998</v>
      </c>
      <c r="S676">
        <f t="shared" si="81"/>
        <v>2011</v>
      </c>
      <c r="T676" t="str">
        <f t="shared" si="82"/>
        <v>January</v>
      </c>
      <c r="U676" t="str">
        <f t="shared" si="83"/>
        <v>Weekday</v>
      </c>
      <c r="V676" t="str">
        <f t="shared" si="84"/>
        <v>Evening</v>
      </c>
      <c r="W676" t="str">
        <f t="shared" si="85"/>
        <v>Spring</v>
      </c>
      <c r="X676" t="str">
        <f t="shared" si="86"/>
        <v>Clear</v>
      </c>
    </row>
    <row r="677" spans="1:24">
      <c r="A677">
        <v>685</v>
      </c>
      <c r="B677" s="2">
        <v>40574</v>
      </c>
      <c r="C677">
        <v>1</v>
      </c>
      <c r="D677">
        <v>0</v>
      </c>
      <c r="E677">
        <v>1</v>
      </c>
      <c r="F677">
        <v>20</v>
      </c>
      <c r="G677" t="b">
        <v>0</v>
      </c>
      <c r="H677">
        <v>1</v>
      </c>
      <c r="I677">
        <v>3</v>
      </c>
      <c r="J677">
        <v>0.16</v>
      </c>
      <c r="K677">
        <v>0.16669999999999999</v>
      </c>
      <c r="L677">
        <v>0.59</v>
      </c>
      <c r="M677">
        <v>0.16420000000000001</v>
      </c>
      <c r="N677">
        <v>0</v>
      </c>
      <c r="O677">
        <v>78</v>
      </c>
      <c r="P677">
        <v>78</v>
      </c>
      <c r="Q677" t="str">
        <f t="shared" si="80"/>
        <v>Complete</v>
      </c>
      <c r="R677">
        <f t="shared" si="87"/>
        <v>0.16669999999999999</v>
      </c>
      <c r="S677">
        <f t="shared" si="81"/>
        <v>2011</v>
      </c>
      <c r="T677" t="str">
        <f t="shared" si="82"/>
        <v>January</v>
      </c>
      <c r="U677" t="str">
        <f t="shared" si="83"/>
        <v>Weekday</v>
      </c>
      <c r="V677" t="str">
        <f t="shared" si="84"/>
        <v>Evening</v>
      </c>
      <c r="W677" t="str">
        <f t="shared" si="85"/>
        <v>Spring</v>
      </c>
      <c r="X677" t="str">
        <f t="shared" si="86"/>
        <v>Light Rain/Snow</v>
      </c>
    </row>
    <row r="678" spans="1:24">
      <c r="A678">
        <v>686</v>
      </c>
      <c r="B678" s="2">
        <v>40574</v>
      </c>
      <c r="C678">
        <v>1</v>
      </c>
      <c r="D678">
        <v>0</v>
      </c>
      <c r="E678">
        <v>1</v>
      </c>
      <c r="F678">
        <v>21</v>
      </c>
      <c r="G678" t="b">
        <v>0</v>
      </c>
      <c r="H678">
        <v>1</v>
      </c>
      <c r="I678">
        <v>3</v>
      </c>
      <c r="J678">
        <v>0.16</v>
      </c>
      <c r="K678">
        <v>0.19700000000000001</v>
      </c>
      <c r="L678">
        <v>0.59</v>
      </c>
      <c r="M678">
        <v>8.9599999999999999E-2</v>
      </c>
      <c r="N678">
        <v>3</v>
      </c>
      <c r="O678">
        <v>53</v>
      </c>
      <c r="P678">
        <v>56</v>
      </c>
      <c r="Q678" t="str">
        <f t="shared" si="80"/>
        <v>Complete</v>
      </c>
      <c r="R678">
        <f t="shared" si="87"/>
        <v>0.19700000000000001</v>
      </c>
      <c r="S678">
        <f t="shared" si="81"/>
        <v>2011</v>
      </c>
      <c r="T678" t="str">
        <f t="shared" si="82"/>
        <v>January</v>
      </c>
      <c r="U678" t="str">
        <f t="shared" si="83"/>
        <v>Weekday</v>
      </c>
      <c r="V678" t="str">
        <f t="shared" si="84"/>
        <v>Evening</v>
      </c>
      <c r="W678" t="str">
        <f t="shared" si="85"/>
        <v>Spring</v>
      </c>
      <c r="X678" t="str">
        <f t="shared" si="86"/>
        <v>Light Rain/Snow</v>
      </c>
    </row>
    <row r="679" spans="1:24">
      <c r="A679">
        <v>687</v>
      </c>
      <c r="B679" s="2">
        <v>40574</v>
      </c>
      <c r="C679">
        <v>1</v>
      </c>
      <c r="D679">
        <v>0</v>
      </c>
      <c r="E679">
        <v>1</v>
      </c>
      <c r="F679">
        <v>22</v>
      </c>
      <c r="G679" t="b">
        <v>0</v>
      </c>
      <c r="H679">
        <v>1</v>
      </c>
      <c r="I679">
        <v>2</v>
      </c>
      <c r="J679">
        <v>0.16</v>
      </c>
      <c r="K679">
        <v>0.18179999999999999</v>
      </c>
      <c r="L679">
        <v>0.59</v>
      </c>
      <c r="M679">
        <v>0.1045</v>
      </c>
      <c r="N679">
        <v>0</v>
      </c>
      <c r="O679">
        <v>34</v>
      </c>
      <c r="P679">
        <v>34</v>
      </c>
      <c r="Q679" t="str">
        <f t="shared" si="80"/>
        <v>Complete</v>
      </c>
      <c r="R679">
        <f t="shared" si="87"/>
        <v>0.18179999999999999</v>
      </c>
      <c r="S679">
        <f t="shared" si="81"/>
        <v>2011</v>
      </c>
      <c r="T679" t="str">
        <f t="shared" si="82"/>
        <v>January</v>
      </c>
      <c r="U679" t="str">
        <f t="shared" si="83"/>
        <v>Weekday</v>
      </c>
      <c r="V679" t="str">
        <f t="shared" si="84"/>
        <v>Evening</v>
      </c>
      <c r="W679" t="str">
        <f t="shared" si="85"/>
        <v>Spring</v>
      </c>
      <c r="X679" t="str">
        <f t="shared" si="86"/>
        <v>Mist/Cloudy</v>
      </c>
    </row>
    <row r="680" spans="1:24">
      <c r="A680">
        <v>688</v>
      </c>
      <c r="B680" s="2">
        <v>40574</v>
      </c>
      <c r="C680">
        <v>1</v>
      </c>
      <c r="D680">
        <v>0</v>
      </c>
      <c r="E680">
        <v>1</v>
      </c>
      <c r="F680">
        <v>23</v>
      </c>
      <c r="G680" t="b">
        <v>0</v>
      </c>
      <c r="H680">
        <v>1</v>
      </c>
      <c r="I680">
        <v>2</v>
      </c>
      <c r="J680">
        <v>0.16</v>
      </c>
      <c r="K680">
        <v>0.19700000000000001</v>
      </c>
      <c r="L680">
        <v>0.64</v>
      </c>
      <c r="M680">
        <v>8.9599999999999999E-2</v>
      </c>
      <c r="N680">
        <v>2</v>
      </c>
      <c r="O680">
        <v>15</v>
      </c>
      <c r="P680">
        <v>17</v>
      </c>
      <c r="Q680" t="str">
        <f t="shared" si="80"/>
        <v>Complete</v>
      </c>
      <c r="R680">
        <f t="shared" si="87"/>
        <v>0.19700000000000001</v>
      </c>
      <c r="S680">
        <f t="shared" si="81"/>
        <v>2011</v>
      </c>
      <c r="T680" t="str">
        <f t="shared" si="82"/>
        <v>January</v>
      </c>
      <c r="U680" t="str">
        <f t="shared" si="83"/>
        <v>Weekday</v>
      </c>
      <c r="V680" t="str">
        <f t="shared" si="84"/>
        <v>Evening</v>
      </c>
      <c r="W680" t="str">
        <f t="shared" si="85"/>
        <v>Spring</v>
      </c>
      <c r="X680" t="str">
        <f t="shared" si="86"/>
        <v>Mist/Cloudy</v>
      </c>
    </row>
    <row r="681" spans="1:24">
      <c r="A681">
        <v>689</v>
      </c>
      <c r="B681" s="2">
        <v>40575</v>
      </c>
      <c r="C681">
        <v>1</v>
      </c>
      <c r="D681">
        <v>0</v>
      </c>
      <c r="E681">
        <v>2</v>
      </c>
      <c r="F681">
        <v>0</v>
      </c>
      <c r="G681" t="b">
        <v>0</v>
      </c>
      <c r="H681">
        <v>2</v>
      </c>
      <c r="I681">
        <v>2</v>
      </c>
      <c r="J681">
        <v>0.16</v>
      </c>
      <c r="K681">
        <v>0.18179999999999999</v>
      </c>
      <c r="L681">
        <v>0.64</v>
      </c>
      <c r="M681">
        <v>0.1045</v>
      </c>
      <c r="N681">
        <v>2</v>
      </c>
      <c r="O681">
        <v>6</v>
      </c>
      <c r="P681">
        <v>8</v>
      </c>
      <c r="Q681" t="str">
        <f t="shared" si="80"/>
        <v>Complete</v>
      </c>
      <c r="R681">
        <f t="shared" si="87"/>
        <v>0.18179999999999999</v>
      </c>
      <c r="S681">
        <f t="shared" si="81"/>
        <v>2011</v>
      </c>
      <c r="T681" t="str">
        <f t="shared" si="82"/>
        <v/>
      </c>
      <c r="U681" t="str">
        <f t="shared" si="83"/>
        <v>Weekday</v>
      </c>
      <c r="V681" t="str">
        <f t="shared" si="84"/>
        <v>Night</v>
      </c>
      <c r="W681" t="str">
        <f t="shared" si="85"/>
        <v>Spring</v>
      </c>
      <c r="X681" t="str">
        <f t="shared" si="86"/>
        <v>Mist/Cloudy</v>
      </c>
    </row>
    <row r="682" spans="1:24">
      <c r="A682">
        <v>690</v>
      </c>
      <c r="B682" s="2">
        <v>40575</v>
      </c>
      <c r="C682">
        <v>1</v>
      </c>
      <c r="D682">
        <v>0</v>
      </c>
      <c r="E682">
        <v>2</v>
      </c>
      <c r="F682">
        <v>1</v>
      </c>
      <c r="G682" t="b">
        <v>0</v>
      </c>
      <c r="H682">
        <v>2</v>
      </c>
      <c r="I682">
        <v>2</v>
      </c>
      <c r="J682">
        <v>0.16</v>
      </c>
      <c r="K682">
        <v>0.18179999999999999</v>
      </c>
      <c r="L682">
        <v>0.69</v>
      </c>
      <c r="M682">
        <v>0.1045</v>
      </c>
      <c r="N682">
        <v>0</v>
      </c>
      <c r="O682">
        <v>3</v>
      </c>
      <c r="P682">
        <v>3</v>
      </c>
      <c r="Q682" t="str">
        <f t="shared" si="80"/>
        <v>Complete</v>
      </c>
      <c r="R682">
        <f t="shared" si="87"/>
        <v>0.18179999999999999</v>
      </c>
      <c r="S682">
        <f t="shared" si="81"/>
        <v>2011</v>
      </c>
      <c r="T682" t="str">
        <f t="shared" si="82"/>
        <v/>
      </c>
      <c r="U682" t="str">
        <f t="shared" si="83"/>
        <v>Weekday</v>
      </c>
      <c r="V682" t="str">
        <f t="shared" si="84"/>
        <v>Night</v>
      </c>
      <c r="W682" t="str">
        <f t="shared" si="85"/>
        <v>Spring</v>
      </c>
      <c r="X682" t="str">
        <f t="shared" si="86"/>
        <v>Mist/Cloudy</v>
      </c>
    </row>
    <row r="683" spans="1:24">
      <c r="A683">
        <v>691</v>
      </c>
      <c r="B683" s="2">
        <v>40575</v>
      </c>
      <c r="C683">
        <v>1</v>
      </c>
      <c r="D683">
        <v>0</v>
      </c>
      <c r="E683">
        <v>2</v>
      </c>
      <c r="F683">
        <v>2</v>
      </c>
      <c r="G683" t="b">
        <v>0</v>
      </c>
      <c r="H683">
        <v>2</v>
      </c>
      <c r="I683">
        <v>2</v>
      </c>
      <c r="J683">
        <v>0.16</v>
      </c>
      <c r="K683">
        <v>0.2273</v>
      </c>
      <c r="L683">
        <v>0.69</v>
      </c>
      <c r="M683">
        <v>0</v>
      </c>
      <c r="N683">
        <v>0</v>
      </c>
      <c r="O683">
        <v>2</v>
      </c>
      <c r="P683">
        <v>2</v>
      </c>
      <c r="Q683" t="str">
        <f t="shared" si="80"/>
        <v>Complete</v>
      </c>
      <c r="R683">
        <f t="shared" si="87"/>
        <v>0.2273</v>
      </c>
      <c r="S683">
        <f t="shared" si="81"/>
        <v>2011</v>
      </c>
      <c r="T683" t="str">
        <f t="shared" si="82"/>
        <v/>
      </c>
      <c r="U683" t="str">
        <f t="shared" si="83"/>
        <v>Weekday</v>
      </c>
      <c r="V683" t="str">
        <f t="shared" si="84"/>
        <v>Night</v>
      </c>
      <c r="W683" t="str">
        <f t="shared" si="85"/>
        <v>Spring</v>
      </c>
      <c r="X683" t="str">
        <f t="shared" si="86"/>
        <v>Mist/Cloudy</v>
      </c>
    </row>
    <row r="684" spans="1:24">
      <c r="A684">
        <v>692</v>
      </c>
      <c r="B684" s="2">
        <v>40575</v>
      </c>
      <c r="C684">
        <v>1</v>
      </c>
      <c r="D684">
        <v>0</v>
      </c>
      <c r="E684">
        <v>2</v>
      </c>
      <c r="F684">
        <v>3</v>
      </c>
      <c r="G684" t="b">
        <v>0</v>
      </c>
      <c r="H684">
        <v>2</v>
      </c>
      <c r="I684">
        <v>2</v>
      </c>
      <c r="J684">
        <v>0.16</v>
      </c>
      <c r="K684">
        <v>0.2273</v>
      </c>
      <c r="L684">
        <v>0.69</v>
      </c>
      <c r="M684">
        <v>0</v>
      </c>
      <c r="N684">
        <v>0</v>
      </c>
      <c r="O684">
        <v>2</v>
      </c>
      <c r="P684">
        <v>2</v>
      </c>
      <c r="Q684" t="str">
        <f t="shared" si="80"/>
        <v>Complete</v>
      </c>
      <c r="R684">
        <f t="shared" si="87"/>
        <v>0.2273</v>
      </c>
      <c r="S684">
        <f t="shared" si="81"/>
        <v>2011</v>
      </c>
      <c r="T684" t="str">
        <f t="shared" si="82"/>
        <v/>
      </c>
      <c r="U684" t="str">
        <f t="shared" si="83"/>
        <v>Weekday</v>
      </c>
      <c r="V684" t="str">
        <f t="shared" si="84"/>
        <v>Night</v>
      </c>
      <c r="W684" t="str">
        <f t="shared" si="85"/>
        <v>Spring</v>
      </c>
      <c r="X684" t="str">
        <f t="shared" si="86"/>
        <v>Mist/Cloudy</v>
      </c>
    </row>
    <row r="685" spans="1:24">
      <c r="A685">
        <v>693</v>
      </c>
      <c r="B685" s="2">
        <v>40575</v>
      </c>
      <c r="C685">
        <v>1</v>
      </c>
      <c r="D685">
        <v>0</v>
      </c>
      <c r="E685">
        <v>2</v>
      </c>
      <c r="F685">
        <v>5</v>
      </c>
      <c r="G685" t="b">
        <v>0</v>
      </c>
      <c r="H685">
        <v>2</v>
      </c>
      <c r="I685">
        <v>3</v>
      </c>
      <c r="J685">
        <v>0.14000000000000001</v>
      </c>
      <c r="K685">
        <v>0.21210000000000001</v>
      </c>
      <c r="L685">
        <v>0.93</v>
      </c>
      <c r="M685">
        <v>0</v>
      </c>
      <c r="N685">
        <v>0</v>
      </c>
      <c r="O685">
        <v>3</v>
      </c>
      <c r="P685">
        <v>3</v>
      </c>
      <c r="Q685" t="str">
        <f t="shared" si="80"/>
        <v>Complete</v>
      </c>
      <c r="R685">
        <f t="shared" si="87"/>
        <v>0.21210000000000001</v>
      </c>
      <c r="S685">
        <f t="shared" si="81"/>
        <v>2011</v>
      </c>
      <c r="T685" t="str">
        <f t="shared" si="82"/>
        <v/>
      </c>
      <c r="U685" t="str">
        <f t="shared" si="83"/>
        <v>Weekday</v>
      </c>
      <c r="V685" t="str">
        <f t="shared" si="84"/>
        <v>Night</v>
      </c>
      <c r="W685" t="str">
        <f t="shared" si="85"/>
        <v>Spring</v>
      </c>
      <c r="X685" t="str">
        <f t="shared" si="86"/>
        <v>Light Rain/Snow</v>
      </c>
    </row>
    <row r="686" spans="1:24">
      <c r="A686">
        <v>694</v>
      </c>
      <c r="B686" s="2">
        <v>40575</v>
      </c>
      <c r="C686">
        <v>1</v>
      </c>
      <c r="D686">
        <v>0</v>
      </c>
      <c r="E686">
        <v>2</v>
      </c>
      <c r="F686">
        <v>6</v>
      </c>
      <c r="G686" t="b">
        <v>0</v>
      </c>
      <c r="H686">
        <v>2</v>
      </c>
      <c r="I686">
        <v>3</v>
      </c>
      <c r="J686">
        <v>0.14000000000000001</v>
      </c>
      <c r="K686">
        <v>0.21210000000000001</v>
      </c>
      <c r="L686">
        <v>0.93</v>
      </c>
      <c r="M686">
        <v>0</v>
      </c>
      <c r="N686">
        <v>0</v>
      </c>
      <c r="O686">
        <v>22</v>
      </c>
      <c r="P686">
        <v>22</v>
      </c>
      <c r="Q686" t="str">
        <f t="shared" si="80"/>
        <v>Complete</v>
      </c>
      <c r="R686">
        <f t="shared" si="87"/>
        <v>0.21210000000000001</v>
      </c>
      <c r="S686">
        <f t="shared" si="81"/>
        <v>2011</v>
      </c>
      <c r="T686" t="str">
        <f t="shared" si="82"/>
        <v/>
      </c>
      <c r="U686" t="str">
        <f t="shared" si="83"/>
        <v>Weekday</v>
      </c>
      <c r="V686" t="str">
        <f t="shared" si="84"/>
        <v>Morning</v>
      </c>
      <c r="W686" t="str">
        <f t="shared" si="85"/>
        <v>Spring</v>
      </c>
      <c r="X686" t="str">
        <f t="shared" si="86"/>
        <v>Light Rain/Snow</v>
      </c>
    </row>
    <row r="687" spans="1:24">
      <c r="A687">
        <v>695</v>
      </c>
      <c r="B687" s="2">
        <v>40575</v>
      </c>
      <c r="C687">
        <v>1</v>
      </c>
      <c r="D687">
        <v>0</v>
      </c>
      <c r="E687">
        <v>2</v>
      </c>
      <c r="F687">
        <v>7</v>
      </c>
      <c r="G687" t="b">
        <v>0</v>
      </c>
      <c r="H687">
        <v>2</v>
      </c>
      <c r="I687">
        <v>3</v>
      </c>
      <c r="J687">
        <v>0.16</v>
      </c>
      <c r="K687">
        <v>0.2273</v>
      </c>
      <c r="L687">
        <v>0.93</v>
      </c>
      <c r="M687">
        <v>0</v>
      </c>
      <c r="N687">
        <v>0</v>
      </c>
      <c r="O687">
        <v>52</v>
      </c>
      <c r="P687">
        <v>52</v>
      </c>
      <c r="Q687" t="str">
        <f t="shared" si="80"/>
        <v>Complete</v>
      </c>
      <c r="R687">
        <f t="shared" si="87"/>
        <v>0.2273</v>
      </c>
      <c r="S687">
        <f t="shared" si="81"/>
        <v>2011</v>
      </c>
      <c r="T687" t="str">
        <f t="shared" si="82"/>
        <v/>
      </c>
      <c r="U687" t="str">
        <f t="shared" si="83"/>
        <v>Weekday</v>
      </c>
      <c r="V687" t="str">
        <f t="shared" si="84"/>
        <v>Morning</v>
      </c>
      <c r="W687" t="str">
        <f t="shared" si="85"/>
        <v>Spring</v>
      </c>
      <c r="X687" t="str">
        <f t="shared" si="86"/>
        <v>Light Rain/Snow</v>
      </c>
    </row>
    <row r="688" spans="1:24">
      <c r="A688">
        <v>696</v>
      </c>
      <c r="B688" s="2">
        <v>40575</v>
      </c>
      <c r="C688">
        <v>1</v>
      </c>
      <c r="D688">
        <v>0</v>
      </c>
      <c r="E688">
        <v>2</v>
      </c>
      <c r="F688">
        <v>8</v>
      </c>
      <c r="G688" t="b">
        <v>0</v>
      </c>
      <c r="H688">
        <v>2</v>
      </c>
      <c r="I688">
        <v>3</v>
      </c>
      <c r="J688">
        <v>0.16</v>
      </c>
      <c r="K688">
        <v>0.2273</v>
      </c>
      <c r="L688">
        <v>0.93</v>
      </c>
      <c r="M688">
        <v>0</v>
      </c>
      <c r="N688">
        <v>3</v>
      </c>
      <c r="O688">
        <v>132</v>
      </c>
      <c r="P688">
        <v>135</v>
      </c>
      <c r="Q688" t="str">
        <f t="shared" si="80"/>
        <v>Complete</v>
      </c>
      <c r="R688">
        <f t="shared" si="87"/>
        <v>0.2273</v>
      </c>
      <c r="S688">
        <f t="shared" si="81"/>
        <v>2011</v>
      </c>
      <c r="T688" t="str">
        <f t="shared" si="82"/>
        <v/>
      </c>
      <c r="U688" t="str">
        <f t="shared" si="83"/>
        <v>Weekday</v>
      </c>
      <c r="V688" t="str">
        <f t="shared" si="84"/>
        <v>Morning</v>
      </c>
      <c r="W688" t="str">
        <f t="shared" si="85"/>
        <v>Spring</v>
      </c>
      <c r="X688" t="str">
        <f t="shared" si="86"/>
        <v>Light Rain/Snow</v>
      </c>
    </row>
    <row r="689" spans="1:24">
      <c r="A689">
        <v>697</v>
      </c>
      <c r="B689" s="2">
        <v>40575</v>
      </c>
      <c r="C689">
        <v>1</v>
      </c>
      <c r="D689">
        <v>0</v>
      </c>
      <c r="E689">
        <v>2</v>
      </c>
      <c r="F689">
        <v>9</v>
      </c>
      <c r="G689" t="b">
        <v>0</v>
      </c>
      <c r="H689">
        <v>2</v>
      </c>
      <c r="I689">
        <v>2</v>
      </c>
      <c r="J689">
        <v>0.16</v>
      </c>
      <c r="K689">
        <v>0.2273</v>
      </c>
      <c r="L689">
        <v>0.93</v>
      </c>
      <c r="M689">
        <v>0</v>
      </c>
      <c r="N689">
        <v>2</v>
      </c>
      <c r="O689">
        <v>114</v>
      </c>
      <c r="P689">
        <v>116</v>
      </c>
      <c r="Q689" t="str">
        <f t="shared" si="80"/>
        <v>Complete</v>
      </c>
      <c r="R689">
        <f t="shared" si="87"/>
        <v>0.2273</v>
      </c>
      <c r="S689">
        <f t="shared" si="81"/>
        <v>2011</v>
      </c>
      <c r="T689" t="str">
        <f t="shared" si="82"/>
        <v/>
      </c>
      <c r="U689" t="str">
        <f t="shared" si="83"/>
        <v>Weekday</v>
      </c>
      <c r="V689" t="str">
        <f t="shared" si="84"/>
        <v>Morning</v>
      </c>
      <c r="W689" t="str">
        <f t="shared" si="85"/>
        <v>Spring</v>
      </c>
      <c r="X689" t="str">
        <f t="shared" si="86"/>
        <v>Mist/Cloudy</v>
      </c>
    </row>
    <row r="690" spans="1:24">
      <c r="A690">
        <v>698</v>
      </c>
      <c r="B690" s="2">
        <v>40575</v>
      </c>
      <c r="C690">
        <v>1</v>
      </c>
      <c r="D690">
        <v>0</v>
      </c>
      <c r="E690">
        <v>2</v>
      </c>
      <c r="F690">
        <v>10</v>
      </c>
      <c r="G690" t="b">
        <v>0</v>
      </c>
      <c r="H690">
        <v>2</v>
      </c>
      <c r="I690">
        <v>2</v>
      </c>
      <c r="J690">
        <v>0.16</v>
      </c>
      <c r="K690">
        <v>0.2273</v>
      </c>
      <c r="L690">
        <v>0.93</v>
      </c>
      <c r="M690">
        <v>0</v>
      </c>
      <c r="N690">
        <v>0</v>
      </c>
      <c r="O690">
        <v>47</v>
      </c>
      <c r="P690">
        <v>47</v>
      </c>
      <c r="Q690" t="str">
        <f t="shared" si="80"/>
        <v>Complete</v>
      </c>
      <c r="R690">
        <f t="shared" si="87"/>
        <v>0.2273</v>
      </c>
      <c r="S690">
        <f t="shared" si="81"/>
        <v>2011</v>
      </c>
      <c r="T690" t="str">
        <f t="shared" si="82"/>
        <v/>
      </c>
      <c r="U690" t="str">
        <f t="shared" si="83"/>
        <v>Weekday</v>
      </c>
      <c r="V690" t="str">
        <f t="shared" si="84"/>
        <v>Morning</v>
      </c>
      <c r="W690" t="str">
        <f t="shared" si="85"/>
        <v>Spring</v>
      </c>
      <c r="X690" t="str">
        <f t="shared" si="86"/>
        <v>Mist/Cloudy</v>
      </c>
    </row>
    <row r="691" spans="1:24">
      <c r="A691">
        <v>699</v>
      </c>
      <c r="B691" s="2">
        <v>40575</v>
      </c>
      <c r="C691">
        <v>1</v>
      </c>
      <c r="D691">
        <v>0</v>
      </c>
      <c r="E691">
        <v>2</v>
      </c>
      <c r="F691">
        <v>11</v>
      </c>
      <c r="G691" t="b">
        <v>0</v>
      </c>
      <c r="H691">
        <v>2</v>
      </c>
      <c r="I691">
        <v>2</v>
      </c>
      <c r="J691">
        <v>0.18</v>
      </c>
      <c r="K691">
        <v>0.2424</v>
      </c>
      <c r="L691">
        <v>0.86</v>
      </c>
      <c r="M691">
        <v>0</v>
      </c>
      <c r="N691">
        <v>2</v>
      </c>
      <c r="O691">
        <v>49</v>
      </c>
      <c r="P691">
        <v>51</v>
      </c>
      <c r="Q691" t="str">
        <f t="shared" si="80"/>
        <v>Complete</v>
      </c>
      <c r="R691">
        <f t="shared" si="87"/>
        <v>0.2424</v>
      </c>
      <c r="S691">
        <f t="shared" si="81"/>
        <v>2011</v>
      </c>
      <c r="T691" t="str">
        <f t="shared" si="82"/>
        <v/>
      </c>
      <c r="U691" t="str">
        <f t="shared" si="83"/>
        <v>Weekday</v>
      </c>
      <c r="V691" t="str">
        <f t="shared" si="84"/>
        <v>Morning</v>
      </c>
      <c r="W691" t="str">
        <f t="shared" si="85"/>
        <v>Spring</v>
      </c>
      <c r="X691" t="str">
        <f t="shared" si="86"/>
        <v>Mist/Cloudy</v>
      </c>
    </row>
    <row r="692" spans="1:24">
      <c r="A692">
        <v>700</v>
      </c>
      <c r="B692" s="2">
        <v>40575</v>
      </c>
      <c r="C692">
        <v>1</v>
      </c>
      <c r="D692">
        <v>0</v>
      </c>
      <c r="E692">
        <v>2</v>
      </c>
      <c r="F692">
        <v>12</v>
      </c>
      <c r="G692" t="b">
        <v>0</v>
      </c>
      <c r="H692">
        <v>2</v>
      </c>
      <c r="I692">
        <v>2</v>
      </c>
      <c r="J692">
        <v>0.2</v>
      </c>
      <c r="K692">
        <v>0.2576</v>
      </c>
      <c r="L692">
        <v>0.86</v>
      </c>
      <c r="M692">
        <v>0</v>
      </c>
      <c r="N692">
        <v>2</v>
      </c>
      <c r="O692">
        <v>53</v>
      </c>
      <c r="P692">
        <v>55</v>
      </c>
      <c r="Q692" t="str">
        <f t="shared" si="80"/>
        <v>Complete</v>
      </c>
      <c r="R692">
        <f t="shared" si="87"/>
        <v>0.2576</v>
      </c>
      <c r="S692">
        <f t="shared" si="81"/>
        <v>2011</v>
      </c>
      <c r="T692" t="str">
        <f t="shared" si="82"/>
        <v/>
      </c>
      <c r="U692" t="str">
        <f t="shared" si="83"/>
        <v>Weekday</v>
      </c>
      <c r="V692" t="str">
        <f t="shared" si="84"/>
        <v>Afternoon</v>
      </c>
      <c r="W692" t="str">
        <f t="shared" si="85"/>
        <v>Spring</v>
      </c>
      <c r="X692" t="str">
        <f t="shared" si="86"/>
        <v>Mist/Cloudy</v>
      </c>
    </row>
    <row r="693" spans="1:24">
      <c r="A693">
        <v>701</v>
      </c>
      <c r="B693" s="2">
        <v>40575</v>
      </c>
      <c r="C693">
        <v>1</v>
      </c>
      <c r="D693">
        <v>0</v>
      </c>
      <c r="E693">
        <v>2</v>
      </c>
      <c r="F693">
        <v>13</v>
      </c>
      <c r="G693" t="b">
        <v>0</v>
      </c>
      <c r="H693">
        <v>2</v>
      </c>
      <c r="I693">
        <v>2</v>
      </c>
      <c r="J693">
        <v>0.2</v>
      </c>
      <c r="K693">
        <v>0.2576</v>
      </c>
      <c r="L693">
        <v>0.86</v>
      </c>
      <c r="M693">
        <v>0</v>
      </c>
      <c r="N693">
        <v>3</v>
      </c>
      <c r="O693">
        <v>49</v>
      </c>
      <c r="P693">
        <v>52</v>
      </c>
      <c r="Q693" t="str">
        <f t="shared" si="80"/>
        <v>Complete</v>
      </c>
      <c r="R693">
        <f t="shared" si="87"/>
        <v>0.2576</v>
      </c>
      <c r="S693">
        <f t="shared" si="81"/>
        <v>2011</v>
      </c>
      <c r="T693" t="str">
        <f t="shared" si="82"/>
        <v/>
      </c>
      <c r="U693" t="str">
        <f t="shared" si="83"/>
        <v>Weekday</v>
      </c>
      <c r="V693" t="str">
        <f t="shared" si="84"/>
        <v>Afternoon</v>
      </c>
      <c r="W693" t="str">
        <f t="shared" si="85"/>
        <v>Spring</v>
      </c>
      <c r="X693" t="str">
        <f t="shared" si="86"/>
        <v>Mist/Cloudy</v>
      </c>
    </row>
    <row r="694" spans="1:24">
      <c r="A694">
        <v>702</v>
      </c>
      <c r="B694" s="2">
        <v>40575</v>
      </c>
      <c r="C694">
        <v>1</v>
      </c>
      <c r="D694">
        <v>0</v>
      </c>
      <c r="E694">
        <v>2</v>
      </c>
      <c r="F694">
        <v>14</v>
      </c>
      <c r="G694" t="b">
        <v>0</v>
      </c>
      <c r="H694">
        <v>2</v>
      </c>
      <c r="I694">
        <v>2</v>
      </c>
      <c r="J694">
        <v>0.22</v>
      </c>
      <c r="K694">
        <v>0.2576</v>
      </c>
      <c r="L694">
        <v>0.8</v>
      </c>
      <c r="M694">
        <v>8.9599999999999999E-2</v>
      </c>
      <c r="N694">
        <v>5</v>
      </c>
      <c r="O694">
        <v>49</v>
      </c>
      <c r="P694">
        <v>54</v>
      </c>
      <c r="Q694" t="str">
        <f t="shared" si="80"/>
        <v>Complete</v>
      </c>
      <c r="R694">
        <f t="shared" si="87"/>
        <v>0.2576</v>
      </c>
      <c r="S694">
        <f t="shared" si="81"/>
        <v>2011</v>
      </c>
      <c r="T694" t="str">
        <f t="shared" si="82"/>
        <v/>
      </c>
      <c r="U694" t="str">
        <f t="shared" si="83"/>
        <v>Weekday</v>
      </c>
      <c r="V694" t="str">
        <f t="shared" si="84"/>
        <v>Afternoon</v>
      </c>
      <c r="W694" t="str">
        <f t="shared" si="85"/>
        <v>Spring</v>
      </c>
      <c r="X694" t="str">
        <f t="shared" si="86"/>
        <v>Mist/Cloudy</v>
      </c>
    </row>
    <row r="695" spans="1:24">
      <c r="A695">
        <v>703</v>
      </c>
      <c r="B695" s="2">
        <v>40575</v>
      </c>
      <c r="C695">
        <v>1</v>
      </c>
      <c r="D695">
        <v>0</v>
      </c>
      <c r="E695">
        <v>2</v>
      </c>
      <c r="F695">
        <v>15</v>
      </c>
      <c r="G695" t="b">
        <v>0</v>
      </c>
      <c r="H695">
        <v>2</v>
      </c>
      <c r="I695">
        <v>2</v>
      </c>
      <c r="J695">
        <v>0.24</v>
      </c>
      <c r="K695">
        <v>0.28789999999999999</v>
      </c>
      <c r="L695">
        <v>0.75</v>
      </c>
      <c r="M695">
        <v>0</v>
      </c>
      <c r="N695">
        <v>7</v>
      </c>
      <c r="O695">
        <v>45</v>
      </c>
      <c r="P695">
        <v>52</v>
      </c>
      <c r="Q695" t="str">
        <f t="shared" si="80"/>
        <v>Complete</v>
      </c>
      <c r="R695">
        <f t="shared" si="87"/>
        <v>0.28789999999999999</v>
      </c>
      <c r="S695">
        <f t="shared" si="81"/>
        <v>2011</v>
      </c>
      <c r="T695" t="str">
        <f t="shared" si="82"/>
        <v/>
      </c>
      <c r="U695" t="str">
        <f t="shared" si="83"/>
        <v>Weekday</v>
      </c>
      <c r="V695" t="str">
        <f t="shared" si="84"/>
        <v>Afternoon</v>
      </c>
      <c r="W695" t="str">
        <f t="shared" si="85"/>
        <v>Spring</v>
      </c>
      <c r="X695" t="str">
        <f t="shared" si="86"/>
        <v>Mist/Cloudy</v>
      </c>
    </row>
    <row r="696" spans="1:24">
      <c r="A696">
        <v>704</v>
      </c>
      <c r="B696" s="2">
        <v>40575</v>
      </c>
      <c r="C696">
        <v>1</v>
      </c>
      <c r="D696">
        <v>0</v>
      </c>
      <c r="E696">
        <v>2</v>
      </c>
      <c r="F696">
        <v>16</v>
      </c>
      <c r="G696" t="b">
        <v>0</v>
      </c>
      <c r="H696">
        <v>2</v>
      </c>
      <c r="I696">
        <v>2</v>
      </c>
      <c r="J696">
        <v>0.24</v>
      </c>
      <c r="K696">
        <v>0.2424</v>
      </c>
      <c r="L696">
        <v>0.75</v>
      </c>
      <c r="M696">
        <v>0.1343</v>
      </c>
      <c r="N696">
        <v>3</v>
      </c>
      <c r="O696">
        <v>61</v>
      </c>
      <c r="P696">
        <v>64</v>
      </c>
      <c r="Q696" t="str">
        <f t="shared" si="80"/>
        <v>Complete</v>
      </c>
      <c r="R696">
        <f t="shared" si="87"/>
        <v>0.2424</v>
      </c>
      <c r="S696">
        <f t="shared" si="81"/>
        <v>2011</v>
      </c>
      <c r="T696" t="str">
        <f t="shared" si="82"/>
        <v/>
      </c>
      <c r="U696" t="str">
        <f t="shared" si="83"/>
        <v>Weekday</v>
      </c>
      <c r="V696" t="str">
        <f t="shared" si="84"/>
        <v>Afternoon</v>
      </c>
      <c r="W696" t="str">
        <f t="shared" si="85"/>
        <v>Spring</v>
      </c>
      <c r="X696" t="str">
        <f t="shared" si="86"/>
        <v>Mist/Cloudy</v>
      </c>
    </row>
    <row r="697" spans="1:24">
      <c r="A697">
        <v>705</v>
      </c>
      <c r="B697" s="2">
        <v>40575</v>
      </c>
      <c r="C697">
        <v>1</v>
      </c>
      <c r="D697">
        <v>0</v>
      </c>
      <c r="E697">
        <v>2</v>
      </c>
      <c r="F697">
        <v>17</v>
      </c>
      <c r="G697" t="b">
        <v>0</v>
      </c>
      <c r="H697">
        <v>2</v>
      </c>
      <c r="I697">
        <v>2</v>
      </c>
      <c r="J697">
        <v>0.24</v>
      </c>
      <c r="K697">
        <v>0.28789999999999999</v>
      </c>
      <c r="L697">
        <v>0.75</v>
      </c>
      <c r="M697">
        <v>0</v>
      </c>
      <c r="N697">
        <v>4</v>
      </c>
      <c r="O697">
        <v>172</v>
      </c>
      <c r="P697">
        <v>176</v>
      </c>
      <c r="Q697" t="str">
        <f t="shared" si="80"/>
        <v>Complete</v>
      </c>
      <c r="R697">
        <f t="shared" si="87"/>
        <v>0.28789999999999999</v>
      </c>
      <c r="S697">
        <f t="shared" si="81"/>
        <v>2011</v>
      </c>
      <c r="T697" t="str">
        <f t="shared" si="82"/>
        <v/>
      </c>
      <c r="U697" t="str">
        <f t="shared" si="83"/>
        <v>Weekday</v>
      </c>
      <c r="V697" t="str">
        <f t="shared" si="84"/>
        <v>Afternoon</v>
      </c>
      <c r="W697" t="str">
        <f t="shared" si="85"/>
        <v>Spring</v>
      </c>
      <c r="X697" t="str">
        <f t="shared" si="86"/>
        <v>Mist/Cloudy</v>
      </c>
    </row>
    <row r="698" spans="1:24">
      <c r="A698">
        <v>706</v>
      </c>
      <c r="B698" s="2">
        <v>40575</v>
      </c>
      <c r="C698">
        <v>1</v>
      </c>
      <c r="D698">
        <v>0</v>
      </c>
      <c r="E698">
        <v>2</v>
      </c>
      <c r="F698">
        <v>18</v>
      </c>
      <c r="G698" t="b">
        <v>0</v>
      </c>
      <c r="H698">
        <v>2</v>
      </c>
      <c r="I698">
        <v>2</v>
      </c>
      <c r="J698">
        <v>0.24</v>
      </c>
      <c r="K698">
        <v>0.2576</v>
      </c>
      <c r="L698">
        <v>0.81</v>
      </c>
      <c r="M698">
        <v>0.1045</v>
      </c>
      <c r="N698">
        <v>3</v>
      </c>
      <c r="O698">
        <v>165</v>
      </c>
      <c r="P698">
        <v>168</v>
      </c>
      <c r="Q698" t="str">
        <f t="shared" si="80"/>
        <v>Complete</v>
      </c>
      <c r="R698">
        <f t="shared" si="87"/>
        <v>0.2576</v>
      </c>
      <c r="S698">
        <f t="shared" si="81"/>
        <v>2011</v>
      </c>
      <c r="T698" t="str">
        <f t="shared" si="82"/>
        <v/>
      </c>
      <c r="U698" t="str">
        <f t="shared" si="83"/>
        <v>Weekday</v>
      </c>
      <c r="V698" t="str">
        <f t="shared" si="84"/>
        <v>Evening</v>
      </c>
      <c r="W698" t="str">
        <f t="shared" si="85"/>
        <v>Spring</v>
      </c>
      <c r="X698" t="str">
        <f t="shared" si="86"/>
        <v>Mist/Cloudy</v>
      </c>
    </row>
    <row r="699" spans="1:24">
      <c r="A699">
        <v>707</v>
      </c>
      <c r="B699" s="2">
        <v>40575</v>
      </c>
      <c r="C699">
        <v>1</v>
      </c>
      <c r="D699">
        <v>0</v>
      </c>
      <c r="E699">
        <v>2</v>
      </c>
      <c r="F699">
        <v>19</v>
      </c>
      <c r="G699" t="b">
        <v>0</v>
      </c>
      <c r="H699">
        <v>2</v>
      </c>
      <c r="I699">
        <v>2</v>
      </c>
      <c r="J699">
        <v>0.24</v>
      </c>
      <c r="K699">
        <v>0.2424</v>
      </c>
      <c r="L699">
        <v>0.81</v>
      </c>
      <c r="M699">
        <v>0.1343</v>
      </c>
      <c r="N699">
        <v>3</v>
      </c>
      <c r="O699">
        <v>105</v>
      </c>
      <c r="P699">
        <v>108</v>
      </c>
      <c r="Q699" t="str">
        <f t="shared" si="80"/>
        <v>Complete</v>
      </c>
      <c r="R699">
        <f t="shared" si="87"/>
        <v>0.2424</v>
      </c>
      <c r="S699">
        <f t="shared" si="81"/>
        <v>2011</v>
      </c>
      <c r="T699" t="str">
        <f t="shared" si="82"/>
        <v/>
      </c>
      <c r="U699" t="str">
        <f t="shared" si="83"/>
        <v>Weekday</v>
      </c>
      <c r="V699" t="str">
        <f t="shared" si="84"/>
        <v>Evening</v>
      </c>
      <c r="W699" t="str">
        <f t="shared" si="85"/>
        <v>Spring</v>
      </c>
      <c r="X699" t="str">
        <f t="shared" si="86"/>
        <v>Mist/Cloudy</v>
      </c>
    </row>
    <row r="700" spans="1:24">
      <c r="A700">
        <v>708</v>
      </c>
      <c r="B700" s="2">
        <v>40575</v>
      </c>
      <c r="C700">
        <v>1</v>
      </c>
      <c r="D700">
        <v>0</v>
      </c>
      <c r="E700">
        <v>2</v>
      </c>
      <c r="F700">
        <v>20</v>
      </c>
      <c r="G700" t="b">
        <v>0</v>
      </c>
      <c r="H700">
        <v>2</v>
      </c>
      <c r="I700">
        <v>2</v>
      </c>
      <c r="J700">
        <v>0.22</v>
      </c>
      <c r="K700">
        <v>0.2273</v>
      </c>
      <c r="L700">
        <v>0.87</v>
      </c>
      <c r="M700">
        <v>0.1343</v>
      </c>
      <c r="N700">
        <v>5</v>
      </c>
      <c r="O700">
        <v>69</v>
      </c>
      <c r="P700">
        <v>74</v>
      </c>
      <c r="Q700" t="str">
        <f t="shared" si="80"/>
        <v>Complete</v>
      </c>
      <c r="R700">
        <f t="shared" si="87"/>
        <v>0.2273</v>
      </c>
      <c r="S700">
        <f t="shared" si="81"/>
        <v>2011</v>
      </c>
      <c r="T700" t="str">
        <f t="shared" si="82"/>
        <v/>
      </c>
      <c r="U700" t="str">
        <f t="shared" si="83"/>
        <v>Weekday</v>
      </c>
      <c r="V700" t="str">
        <f t="shared" si="84"/>
        <v>Evening</v>
      </c>
      <c r="W700" t="str">
        <f t="shared" si="85"/>
        <v>Spring</v>
      </c>
      <c r="X700" t="str">
        <f t="shared" si="86"/>
        <v>Mist/Cloudy</v>
      </c>
    </row>
    <row r="701" spans="1:24">
      <c r="A701">
        <v>709</v>
      </c>
      <c r="B701" s="2">
        <v>40575</v>
      </c>
      <c r="C701">
        <v>1</v>
      </c>
      <c r="D701">
        <v>0</v>
      </c>
      <c r="E701">
        <v>2</v>
      </c>
      <c r="F701">
        <v>21</v>
      </c>
      <c r="G701" t="b">
        <v>0</v>
      </c>
      <c r="H701">
        <v>2</v>
      </c>
      <c r="I701">
        <v>2</v>
      </c>
      <c r="J701">
        <v>0.22</v>
      </c>
      <c r="K701">
        <v>0.2273</v>
      </c>
      <c r="L701">
        <v>0.87</v>
      </c>
      <c r="M701">
        <v>0.1343</v>
      </c>
      <c r="N701">
        <v>0</v>
      </c>
      <c r="O701">
        <v>64</v>
      </c>
      <c r="P701">
        <v>64</v>
      </c>
      <c r="Q701" t="str">
        <f t="shared" si="80"/>
        <v>Complete</v>
      </c>
      <c r="R701">
        <f t="shared" si="87"/>
        <v>0.2273</v>
      </c>
      <c r="S701">
        <f t="shared" si="81"/>
        <v>2011</v>
      </c>
      <c r="T701" t="str">
        <f t="shared" si="82"/>
        <v/>
      </c>
      <c r="U701" t="str">
        <f t="shared" si="83"/>
        <v>Weekday</v>
      </c>
      <c r="V701" t="str">
        <f t="shared" si="84"/>
        <v>Evening</v>
      </c>
      <c r="W701" t="str">
        <f t="shared" si="85"/>
        <v>Spring</v>
      </c>
      <c r="X701" t="str">
        <f t="shared" si="86"/>
        <v>Mist/Cloudy</v>
      </c>
    </row>
    <row r="702" spans="1:24">
      <c r="A702">
        <v>710</v>
      </c>
      <c r="B702" s="2">
        <v>40575</v>
      </c>
      <c r="C702">
        <v>1</v>
      </c>
      <c r="D702">
        <v>0</v>
      </c>
      <c r="E702">
        <v>2</v>
      </c>
      <c r="F702">
        <v>22</v>
      </c>
      <c r="G702" t="b">
        <v>0</v>
      </c>
      <c r="H702">
        <v>2</v>
      </c>
      <c r="I702">
        <v>2</v>
      </c>
      <c r="J702">
        <v>0.22</v>
      </c>
      <c r="K702">
        <v>0.2576</v>
      </c>
      <c r="L702">
        <v>0.87</v>
      </c>
      <c r="M702">
        <v>8.9599999999999999E-2</v>
      </c>
      <c r="N702">
        <v>2</v>
      </c>
      <c r="O702">
        <v>34</v>
      </c>
      <c r="P702">
        <v>36</v>
      </c>
      <c r="Q702" t="str">
        <f t="shared" si="80"/>
        <v>Complete</v>
      </c>
      <c r="R702">
        <f t="shared" si="87"/>
        <v>0.2576</v>
      </c>
      <c r="S702">
        <f t="shared" si="81"/>
        <v>2011</v>
      </c>
      <c r="T702" t="str">
        <f t="shared" si="82"/>
        <v/>
      </c>
      <c r="U702" t="str">
        <f t="shared" si="83"/>
        <v>Weekday</v>
      </c>
      <c r="V702" t="str">
        <f t="shared" si="84"/>
        <v>Evening</v>
      </c>
      <c r="W702" t="str">
        <f t="shared" si="85"/>
        <v>Spring</v>
      </c>
      <c r="X702" t="str">
        <f t="shared" si="86"/>
        <v>Mist/Cloudy</v>
      </c>
    </row>
    <row r="703" spans="1:24">
      <c r="A703">
        <v>711</v>
      </c>
      <c r="B703" s="2">
        <v>40575</v>
      </c>
      <c r="C703">
        <v>1</v>
      </c>
      <c r="D703">
        <v>0</v>
      </c>
      <c r="E703">
        <v>2</v>
      </c>
      <c r="F703">
        <v>23</v>
      </c>
      <c r="G703" t="b">
        <v>0</v>
      </c>
      <c r="H703">
        <v>2</v>
      </c>
      <c r="I703">
        <v>3</v>
      </c>
      <c r="J703">
        <v>0.2</v>
      </c>
      <c r="K703">
        <v>0.19700000000000001</v>
      </c>
      <c r="L703">
        <v>0.93</v>
      </c>
      <c r="M703">
        <v>0.19400000000000001</v>
      </c>
      <c r="N703">
        <v>1</v>
      </c>
      <c r="O703">
        <v>15</v>
      </c>
      <c r="P703">
        <v>16</v>
      </c>
      <c r="Q703" t="str">
        <f t="shared" si="80"/>
        <v>Complete</v>
      </c>
      <c r="R703">
        <f t="shared" si="87"/>
        <v>0.19700000000000001</v>
      </c>
      <c r="S703">
        <f t="shared" si="81"/>
        <v>2011</v>
      </c>
      <c r="T703" t="str">
        <f t="shared" si="82"/>
        <v/>
      </c>
      <c r="U703" t="str">
        <f t="shared" si="83"/>
        <v>Weekday</v>
      </c>
      <c r="V703" t="str">
        <f t="shared" si="84"/>
        <v>Evening</v>
      </c>
      <c r="W703" t="str">
        <f t="shared" si="85"/>
        <v>Spring</v>
      </c>
      <c r="X703" t="str">
        <f t="shared" si="86"/>
        <v>Light Rain/Snow</v>
      </c>
    </row>
    <row r="704" spans="1:24">
      <c r="A704">
        <v>712</v>
      </c>
      <c r="B704" s="2">
        <v>40576</v>
      </c>
      <c r="C704">
        <v>1</v>
      </c>
      <c r="D704">
        <v>0</v>
      </c>
      <c r="E704">
        <v>2</v>
      </c>
      <c r="F704">
        <v>0</v>
      </c>
      <c r="G704" t="b">
        <v>0</v>
      </c>
      <c r="H704">
        <v>3</v>
      </c>
      <c r="I704">
        <v>3</v>
      </c>
      <c r="J704">
        <v>0.22</v>
      </c>
      <c r="K704">
        <v>0.2424</v>
      </c>
      <c r="L704">
        <v>0.93</v>
      </c>
      <c r="M704">
        <v>0.1045</v>
      </c>
      <c r="N704">
        <v>0</v>
      </c>
      <c r="O704">
        <v>2</v>
      </c>
      <c r="P704">
        <v>2</v>
      </c>
      <c r="Q704" t="str">
        <f t="shared" si="80"/>
        <v>Complete</v>
      </c>
      <c r="R704">
        <f t="shared" si="87"/>
        <v>0.2424</v>
      </c>
      <c r="S704">
        <f t="shared" si="81"/>
        <v>2011</v>
      </c>
      <c r="T704" t="str">
        <f t="shared" si="82"/>
        <v/>
      </c>
      <c r="U704" t="str">
        <f t="shared" si="83"/>
        <v>Weekday</v>
      </c>
      <c r="V704" t="str">
        <f t="shared" si="84"/>
        <v>Night</v>
      </c>
      <c r="W704" t="str">
        <f t="shared" si="85"/>
        <v>Spring</v>
      </c>
      <c r="X704" t="str">
        <f t="shared" si="86"/>
        <v>Light Rain/Snow</v>
      </c>
    </row>
    <row r="705" spans="1:24">
      <c r="A705">
        <v>713</v>
      </c>
      <c r="B705" s="2">
        <v>40576</v>
      </c>
      <c r="C705">
        <v>1</v>
      </c>
      <c r="D705">
        <v>0</v>
      </c>
      <c r="E705">
        <v>2</v>
      </c>
      <c r="F705">
        <v>1</v>
      </c>
      <c r="G705" t="b">
        <v>0</v>
      </c>
      <c r="H705">
        <v>3</v>
      </c>
      <c r="I705">
        <v>3</v>
      </c>
      <c r="J705">
        <v>0.22</v>
      </c>
      <c r="K705">
        <v>0.2273</v>
      </c>
      <c r="L705">
        <v>0.93</v>
      </c>
      <c r="M705">
        <v>0.19400000000000001</v>
      </c>
      <c r="N705">
        <v>0</v>
      </c>
      <c r="O705">
        <v>3</v>
      </c>
      <c r="P705">
        <v>3</v>
      </c>
      <c r="Q705" t="str">
        <f t="shared" si="80"/>
        <v>Complete</v>
      </c>
      <c r="R705">
        <f t="shared" si="87"/>
        <v>0.2273</v>
      </c>
      <c r="S705">
        <f t="shared" si="81"/>
        <v>2011</v>
      </c>
      <c r="T705" t="str">
        <f t="shared" si="82"/>
        <v/>
      </c>
      <c r="U705" t="str">
        <f t="shared" si="83"/>
        <v>Weekday</v>
      </c>
      <c r="V705" t="str">
        <f t="shared" si="84"/>
        <v>Night</v>
      </c>
      <c r="W705" t="str">
        <f t="shared" si="85"/>
        <v>Spring</v>
      </c>
      <c r="X705" t="str">
        <f t="shared" si="86"/>
        <v>Light Rain/Snow</v>
      </c>
    </row>
    <row r="706" spans="1:24">
      <c r="A706">
        <v>714</v>
      </c>
      <c r="B706" s="2">
        <v>40576</v>
      </c>
      <c r="C706">
        <v>1</v>
      </c>
      <c r="D706">
        <v>0</v>
      </c>
      <c r="E706">
        <v>2</v>
      </c>
      <c r="F706">
        <v>2</v>
      </c>
      <c r="G706" t="b">
        <v>0</v>
      </c>
      <c r="H706">
        <v>3</v>
      </c>
      <c r="I706">
        <v>3</v>
      </c>
      <c r="J706">
        <v>0.22</v>
      </c>
      <c r="K706">
        <v>0.2273</v>
      </c>
      <c r="L706">
        <v>0.93</v>
      </c>
      <c r="M706">
        <v>0.1343</v>
      </c>
      <c r="N706">
        <v>4</v>
      </c>
      <c r="O706">
        <v>0</v>
      </c>
      <c r="P706">
        <v>4</v>
      </c>
      <c r="Q706" t="str">
        <f t="shared" ref="Q706:Q769" si="88">IF(K706="","Missing atemp","Complete")</f>
        <v>Complete</v>
      </c>
      <c r="R706">
        <f t="shared" si="87"/>
        <v>0.2273</v>
      </c>
      <c r="S706">
        <f t="shared" ref="S706:S769" si="89">IF(D706=0,2011,"")</f>
        <v>2011</v>
      </c>
      <c r="T706" t="str">
        <f t="shared" ref="T706:T769" si="90">IF(E706=1,"January","")</f>
        <v/>
      </c>
      <c r="U706" t="str">
        <f t="shared" ref="U706:U769" si="91">IF(G706=TRUE,"Holiday",IF(H706=0,"Sunday",IF(H706=6,"Saturday","Weekday")))</f>
        <v>Weekday</v>
      </c>
      <c r="V706" t="str">
        <f t="shared" ref="V706:V769" si="92">IF(F706&lt;6,"Night",IF(F706&lt;12,"Morning",IF(F706&lt;18,"Afternoon","Evening")))</f>
        <v>Night</v>
      </c>
      <c r="W706" t="str">
        <f t="shared" ref="W706:W769" si="93">IF(C706=1,"Spring","")</f>
        <v>Spring</v>
      </c>
      <c r="X706" t="str">
        <f t="shared" ref="X706:X769" si="94">IF(I706=1,"Clear",IF(I706=2,"Mist/Cloudy",IF(I706=3,"Light Rain/Snow",IF(I706=4,"Heavy Rain/Snow","Unknown"))))</f>
        <v>Light Rain/Snow</v>
      </c>
    </row>
    <row r="707" spans="1:24">
      <c r="A707">
        <v>715</v>
      </c>
      <c r="B707" s="2">
        <v>40576</v>
      </c>
      <c r="C707">
        <v>1</v>
      </c>
      <c r="D707">
        <v>0</v>
      </c>
      <c r="E707">
        <v>2</v>
      </c>
      <c r="F707">
        <v>3</v>
      </c>
      <c r="G707" t="b">
        <v>0</v>
      </c>
      <c r="H707">
        <v>3</v>
      </c>
      <c r="I707">
        <v>3</v>
      </c>
      <c r="J707">
        <v>0.22</v>
      </c>
      <c r="K707">
        <v>0.2273</v>
      </c>
      <c r="L707">
        <v>0.93</v>
      </c>
      <c r="M707">
        <v>0.1343</v>
      </c>
      <c r="N707">
        <v>0</v>
      </c>
      <c r="O707">
        <v>1</v>
      </c>
      <c r="P707">
        <v>1</v>
      </c>
      <c r="Q707" t="str">
        <f t="shared" si="88"/>
        <v>Complete</v>
      </c>
      <c r="R707">
        <f t="shared" ref="R707:R770" si="95">IF(K707="",J707,K707)</f>
        <v>0.2273</v>
      </c>
      <c r="S707">
        <f t="shared" si="89"/>
        <v>2011</v>
      </c>
      <c r="T707" t="str">
        <f t="shared" si="90"/>
        <v/>
      </c>
      <c r="U707" t="str">
        <f t="shared" si="91"/>
        <v>Weekday</v>
      </c>
      <c r="V707" t="str">
        <f t="shared" si="92"/>
        <v>Night</v>
      </c>
      <c r="W707" t="str">
        <f t="shared" si="93"/>
        <v>Spring</v>
      </c>
      <c r="X707" t="str">
        <f t="shared" si="94"/>
        <v>Light Rain/Snow</v>
      </c>
    </row>
    <row r="708" spans="1:24">
      <c r="A708">
        <v>716</v>
      </c>
      <c r="B708" s="2">
        <v>40576</v>
      </c>
      <c r="C708">
        <v>1</v>
      </c>
      <c r="D708">
        <v>0</v>
      </c>
      <c r="E708">
        <v>2</v>
      </c>
      <c r="F708">
        <v>4</v>
      </c>
      <c r="G708" t="b">
        <v>0</v>
      </c>
      <c r="H708">
        <v>3</v>
      </c>
      <c r="I708">
        <v>3</v>
      </c>
      <c r="J708">
        <v>0.22</v>
      </c>
      <c r="K708">
        <v>0.21210000000000001</v>
      </c>
      <c r="L708">
        <v>0.93</v>
      </c>
      <c r="M708">
        <v>0.28360000000000002</v>
      </c>
      <c r="N708">
        <v>0</v>
      </c>
      <c r="O708">
        <v>1</v>
      </c>
      <c r="P708">
        <v>1</v>
      </c>
      <c r="Q708" t="str">
        <f t="shared" si="88"/>
        <v>Complete</v>
      </c>
      <c r="R708">
        <f t="shared" si="95"/>
        <v>0.21210000000000001</v>
      </c>
      <c r="S708">
        <f t="shared" si="89"/>
        <v>2011</v>
      </c>
      <c r="T708" t="str">
        <f t="shared" si="90"/>
        <v/>
      </c>
      <c r="U708" t="str">
        <f t="shared" si="91"/>
        <v>Weekday</v>
      </c>
      <c r="V708" t="str">
        <f t="shared" si="92"/>
        <v>Night</v>
      </c>
      <c r="W708" t="str">
        <f t="shared" si="93"/>
        <v>Spring</v>
      </c>
      <c r="X708" t="str">
        <f t="shared" si="94"/>
        <v>Light Rain/Snow</v>
      </c>
    </row>
    <row r="709" spans="1:24">
      <c r="A709">
        <v>717</v>
      </c>
      <c r="B709" s="2">
        <v>40576</v>
      </c>
      <c r="C709">
        <v>1</v>
      </c>
      <c r="D709">
        <v>0</v>
      </c>
      <c r="E709">
        <v>2</v>
      </c>
      <c r="F709">
        <v>5</v>
      </c>
      <c r="G709" t="b">
        <v>0</v>
      </c>
      <c r="H709">
        <v>3</v>
      </c>
      <c r="I709">
        <v>3</v>
      </c>
      <c r="J709">
        <v>0.22</v>
      </c>
      <c r="K709">
        <v>0.2424</v>
      </c>
      <c r="L709">
        <v>0.93</v>
      </c>
      <c r="M709">
        <v>0.1045</v>
      </c>
      <c r="N709">
        <v>0</v>
      </c>
      <c r="O709">
        <v>3</v>
      </c>
      <c r="P709">
        <v>3</v>
      </c>
      <c r="Q709" t="str">
        <f t="shared" si="88"/>
        <v>Complete</v>
      </c>
      <c r="R709">
        <f t="shared" si="95"/>
        <v>0.2424</v>
      </c>
      <c r="S709">
        <f t="shared" si="89"/>
        <v>2011</v>
      </c>
      <c r="T709" t="str">
        <f t="shared" si="90"/>
        <v/>
      </c>
      <c r="U709" t="str">
        <f t="shared" si="91"/>
        <v>Weekday</v>
      </c>
      <c r="V709" t="str">
        <f t="shared" si="92"/>
        <v>Night</v>
      </c>
      <c r="W709" t="str">
        <f t="shared" si="93"/>
        <v>Spring</v>
      </c>
      <c r="X709" t="str">
        <f t="shared" si="94"/>
        <v>Light Rain/Snow</v>
      </c>
    </row>
    <row r="710" spans="1:24">
      <c r="A710">
        <v>718</v>
      </c>
      <c r="B710" s="2">
        <v>40576</v>
      </c>
      <c r="C710">
        <v>1</v>
      </c>
      <c r="D710">
        <v>0</v>
      </c>
      <c r="E710">
        <v>2</v>
      </c>
      <c r="F710">
        <v>6</v>
      </c>
      <c r="G710" t="b">
        <v>0</v>
      </c>
      <c r="H710">
        <v>3</v>
      </c>
      <c r="I710">
        <v>3</v>
      </c>
      <c r="J710">
        <v>0.22</v>
      </c>
      <c r="K710">
        <v>0.2424</v>
      </c>
      <c r="L710">
        <v>0.93</v>
      </c>
      <c r="M710">
        <v>0.1045</v>
      </c>
      <c r="N710">
        <v>1</v>
      </c>
      <c r="O710">
        <v>17</v>
      </c>
      <c r="P710">
        <v>18</v>
      </c>
      <c r="Q710" t="str">
        <f t="shared" si="88"/>
        <v>Complete</v>
      </c>
      <c r="R710">
        <f t="shared" si="95"/>
        <v>0.2424</v>
      </c>
      <c r="S710">
        <f t="shared" si="89"/>
        <v>2011</v>
      </c>
      <c r="T710" t="str">
        <f t="shared" si="90"/>
        <v/>
      </c>
      <c r="U710" t="str">
        <f t="shared" si="91"/>
        <v>Weekday</v>
      </c>
      <c r="V710" t="str">
        <f t="shared" si="92"/>
        <v>Morning</v>
      </c>
      <c r="W710" t="str">
        <f t="shared" si="93"/>
        <v>Spring</v>
      </c>
      <c r="X710" t="str">
        <f t="shared" si="94"/>
        <v>Light Rain/Snow</v>
      </c>
    </row>
    <row r="711" spans="1:24">
      <c r="A711">
        <v>719</v>
      </c>
      <c r="B711" s="2">
        <v>40576</v>
      </c>
      <c r="C711">
        <v>1</v>
      </c>
      <c r="D711">
        <v>0</v>
      </c>
      <c r="E711">
        <v>2</v>
      </c>
      <c r="F711">
        <v>7</v>
      </c>
      <c r="G711" t="b">
        <v>0</v>
      </c>
      <c r="H711">
        <v>3</v>
      </c>
      <c r="I711">
        <v>3</v>
      </c>
      <c r="J711">
        <v>0.22</v>
      </c>
      <c r="K711">
        <v>0.21210000000000001</v>
      </c>
      <c r="L711">
        <v>0.93</v>
      </c>
      <c r="M711">
        <v>0.22389999999999999</v>
      </c>
      <c r="N711">
        <v>1</v>
      </c>
      <c r="O711">
        <v>48</v>
      </c>
      <c r="P711">
        <v>49</v>
      </c>
      <c r="Q711" t="str">
        <f t="shared" si="88"/>
        <v>Complete</v>
      </c>
      <c r="R711">
        <f t="shared" si="95"/>
        <v>0.21210000000000001</v>
      </c>
      <c r="S711">
        <f t="shared" si="89"/>
        <v>2011</v>
      </c>
      <c r="T711" t="str">
        <f t="shared" si="90"/>
        <v/>
      </c>
      <c r="U711" t="str">
        <f t="shared" si="91"/>
        <v>Weekday</v>
      </c>
      <c r="V711" t="str">
        <f t="shared" si="92"/>
        <v>Morning</v>
      </c>
      <c r="W711" t="str">
        <f t="shared" si="93"/>
        <v>Spring</v>
      </c>
      <c r="X711" t="str">
        <f t="shared" si="94"/>
        <v>Light Rain/Snow</v>
      </c>
    </row>
    <row r="712" spans="1:24">
      <c r="A712">
        <v>720</v>
      </c>
      <c r="B712" s="2">
        <v>40576</v>
      </c>
      <c r="C712">
        <v>1</v>
      </c>
      <c r="D712">
        <v>0</v>
      </c>
      <c r="E712">
        <v>2</v>
      </c>
      <c r="F712">
        <v>8</v>
      </c>
      <c r="G712" t="b">
        <v>0</v>
      </c>
      <c r="H712">
        <v>3</v>
      </c>
      <c r="I712">
        <v>3</v>
      </c>
      <c r="J712">
        <v>0.22</v>
      </c>
      <c r="K712">
        <v>0.21210000000000001</v>
      </c>
      <c r="L712">
        <v>0.93</v>
      </c>
      <c r="M712">
        <v>0.22389999999999999</v>
      </c>
      <c r="N712">
        <v>1</v>
      </c>
      <c r="O712">
        <v>154</v>
      </c>
      <c r="P712">
        <v>155</v>
      </c>
      <c r="Q712" t="str">
        <f t="shared" si="88"/>
        <v>Complete</v>
      </c>
      <c r="R712">
        <f t="shared" si="95"/>
        <v>0.21210000000000001</v>
      </c>
      <c r="S712">
        <f t="shared" si="89"/>
        <v>2011</v>
      </c>
      <c r="T712" t="str">
        <f t="shared" si="90"/>
        <v/>
      </c>
      <c r="U712" t="str">
        <f t="shared" si="91"/>
        <v>Weekday</v>
      </c>
      <c r="V712" t="str">
        <f t="shared" si="92"/>
        <v>Morning</v>
      </c>
      <c r="W712" t="str">
        <f t="shared" si="93"/>
        <v>Spring</v>
      </c>
      <c r="X712" t="str">
        <f t="shared" si="94"/>
        <v>Light Rain/Snow</v>
      </c>
    </row>
    <row r="713" spans="1:24">
      <c r="A713">
        <v>721</v>
      </c>
      <c r="B713" s="2">
        <v>40576</v>
      </c>
      <c r="C713">
        <v>1</v>
      </c>
      <c r="D713">
        <v>0</v>
      </c>
      <c r="E713">
        <v>2</v>
      </c>
      <c r="F713">
        <v>9</v>
      </c>
      <c r="G713" t="b">
        <v>0</v>
      </c>
      <c r="H713">
        <v>3</v>
      </c>
      <c r="I713">
        <v>2</v>
      </c>
      <c r="J713">
        <v>0.24</v>
      </c>
      <c r="K713">
        <v>0.2576</v>
      </c>
      <c r="L713">
        <v>0.93</v>
      </c>
      <c r="M713">
        <v>8.9599999999999999E-2</v>
      </c>
      <c r="N713">
        <v>4</v>
      </c>
      <c r="O713">
        <v>119</v>
      </c>
      <c r="P713">
        <v>123</v>
      </c>
      <c r="Q713" t="str">
        <f t="shared" si="88"/>
        <v>Complete</v>
      </c>
      <c r="R713">
        <f t="shared" si="95"/>
        <v>0.2576</v>
      </c>
      <c r="S713">
        <f t="shared" si="89"/>
        <v>2011</v>
      </c>
      <c r="T713" t="str">
        <f t="shared" si="90"/>
        <v/>
      </c>
      <c r="U713" t="str">
        <f t="shared" si="91"/>
        <v>Weekday</v>
      </c>
      <c r="V713" t="str">
        <f t="shared" si="92"/>
        <v>Morning</v>
      </c>
      <c r="W713" t="str">
        <f t="shared" si="93"/>
        <v>Spring</v>
      </c>
      <c r="X713" t="str">
        <f t="shared" si="94"/>
        <v>Mist/Cloudy</v>
      </c>
    </row>
    <row r="714" spans="1:24">
      <c r="A714">
        <v>722</v>
      </c>
      <c r="B714" s="2">
        <v>40576</v>
      </c>
      <c r="C714">
        <v>1</v>
      </c>
      <c r="D714">
        <v>0</v>
      </c>
      <c r="E714">
        <v>2</v>
      </c>
      <c r="F714">
        <v>10</v>
      </c>
      <c r="G714" t="b">
        <v>0</v>
      </c>
      <c r="H714">
        <v>3</v>
      </c>
      <c r="I714">
        <v>2</v>
      </c>
      <c r="J714">
        <v>0.22</v>
      </c>
      <c r="K714">
        <v>0.2727</v>
      </c>
      <c r="L714">
        <v>1</v>
      </c>
      <c r="M714">
        <v>0</v>
      </c>
      <c r="N714">
        <v>2</v>
      </c>
      <c r="O714">
        <v>59</v>
      </c>
      <c r="P714">
        <v>61</v>
      </c>
      <c r="Q714" t="str">
        <f t="shared" si="88"/>
        <v>Complete</v>
      </c>
      <c r="R714">
        <f t="shared" si="95"/>
        <v>0.2727</v>
      </c>
      <c r="S714">
        <f t="shared" si="89"/>
        <v>2011</v>
      </c>
      <c r="T714" t="str">
        <f t="shared" si="90"/>
        <v/>
      </c>
      <c r="U714" t="str">
        <f t="shared" si="91"/>
        <v>Weekday</v>
      </c>
      <c r="V714" t="str">
        <f t="shared" si="92"/>
        <v>Morning</v>
      </c>
      <c r="W714" t="str">
        <f t="shared" si="93"/>
        <v>Spring</v>
      </c>
      <c r="X714" t="str">
        <f t="shared" si="94"/>
        <v>Mist/Cloudy</v>
      </c>
    </row>
    <row r="715" spans="1:24">
      <c r="A715">
        <v>723</v>
      </c>
      <c r="B715" s="2">
        <v>40576</v>
      </c>
      <c r="C715">
        <v>1</v>
      </c>
      <c r="D715">
        <v>0</v>
      </c>
      <c r="E715">
        <v>2</v>
      </c>
      <c r="F715">
        <v>11</v>
      </c>
      <c r="G715" t="b">
        <v>0</v>
      </c>
      <c r="H715">
        <v>3</v>
      </c>
      <c r="I715">
        <v>2</v>
      </c>
      <c r="J715">
        <v>0.24</v>
      </c>
      <c r="K715">
        <v>0.2273</v>
      </c>
      <c r="L715">
        <v>0.93</v>
      </c>
      <c r="M715">
        <v>0.19400000000000001</v>
      </c>
      <c r="N715">
        <v>5</v>
      </c>
      <c r="O715">
        <v>47</v>
      </c>
      <c r="P715">
        <v>52</v>
      </c>
      <c r="Q715" t="str">
        <f t="shared" si="88"/>
        <v>Complete</v>
      </c>
      <c r="R715">
        <f t="shared" si="95"/>
        <v>0.2273</v>
      </c>
      <c r="S715">
        <f t="shared" si="89"/>
        <v>2011</v>
      </c>
      <c r="T715" t="str">
        <f t="shared" si="90"/>
        <v/>
      </c>
      <c r="U715" t="str">
        <f t="shared" si="91"/>
        <v>Weekday</v>
      </c>
      <c r="V715" t="str">
        <f t="shared" si="92"/>
        <v>Morning</v>
      </c>
      <c r="W715" t="str">
        <f t="shared" si="93"/>
        <v>Spring</v>
      </c>
      <c r="X715" t="str">
        <f t="shared" si="94"/>
        <v>Mist/Cloudy</v>
      </c>
    </row>
    <row r="716" spans="1:24">
      <c r="A716">
        <v>724</v>
      </c>
      <c r="B716" s="2">
        <v>40576</v>
      </c>
      <c r="C716">
        <v>1</v>
      </c>
      <c r="D716">
        <v>0</v>
      </c>
      <c r="E716">
        <v>2</v>
      </c>
      <c r="F716">
        <v>12</v>
      </c>
      <c r="G716" t="b">
        <v>0</v>
      </c>
      <c r="H716">
        <v>3</v>
      </c>
      <c r="I716">
        <v>2</v>
      </c>
      <c r="J716">
        <v>0.24</v>
      </c>
      <c r="K716">
        <v>0.2273</v>
      </c>
      <c r="L716">
        <v>0.93</v>
      </c>
      <c r="M716">
        <v>0.22389999999999999</v>
      </c>
      <c r="N716">
        <v>3</v>
      </c>
      <c r="O716">
        <v>61</v>
      </c>
      <c r="P716">
        <v>64</v>
      </c>
      <c r="Q716" t="str">
        <f t="shared" si="88"/>
        <v>Complete</v>
      </c>
      <c r="R716">
        <f t="shared" si="95"/>
        <v>0.2273</v>
      </c>
      <c r="S716">
        <f t="shared" si="89"/>
        <v>2011</v>
      </c>
      <c r="T716" t="str">
        <f t="shared" si="90"/>
        <v/>
      </c>
      <c r="U716" t="str">
        <f t="shared" si="91"/>
        <v>Weekday</v>
      </c>
      <c r="V716" t="str">
        <f t="shared" si="92"/>
        <v>Afternoon</v>
      </c>
      <c r="W716" t="str">
        <f t="shared" si="93"/>
        <v>Spring</v>
      </c>
      <c r="X716" t="str">
        <f t="shared" si="94"/>
        <v>Mist/Cloudy</v>
      </c>
    </row>
    <row r="717" spans="1:24">
      <c r="A717">
        <v>725</v>
      </c>
      <c r="B717" s="2">
        <v>40576</v>
      </c>
      <c r="C717">
        <v>1</v>
      </c>
      <c r="D717">
        <v>0</v>
      </c>
      <c r="E717">
        <v>2</v>
      </c>
      <c r="F717">
        <v>13</v>
      </c>
      <c r="G717" t="b">
        <v>0</v>
      </c>
      <c r="H717">
        <v>3</v>
      </c>
      <c r="I717">
        <v>1</v>
      </c>
      <c r="J717">
        <v>0.34</v>
      </c>
      <c r="K717">
        <v>0.33329999999999999</v>
      </c>
      <c r="L717">
        <v>0.93</v>
      </c>
      <c r="M717">
        <v>0.16420000000000001</v>
      </c>
      <c r="N717">
        <v>1</v>
      </c>
      <c r="O717">
        <v>74</v>
      </c>
      <c r="P717">
        <v>75</v>
      </c>
      <c r="Q717" t="str">
        <f t="shared" si="88"/>
        <v>Complete</v>
      </c>
      <c r="R717">
        <f t="shared" si="95"/>
        <v>0.33329999999999999</v>
      </c>
      <c r="S717">
        <f t="shared" si="89"/>
        <v>2011</v>
      </c>
      <c r="T717" t="str">
        <f t="shared" si="90"/>
        <v/>
      </c>
      <c r="U717" t="str">
        <f t="shared" si="91"/>
        <v>Weekday</v>
      </c>
      <c r="V717" t="str">
        <f t="shared" si="92"/>
        <v>Afternoon</v>
      </c>
      <c r="W717" t="str">
        <f t="shared" si="93"/>
        <v>Spring</v>
      </c>
      <c r="X717" t="str">
        <f t="shared" si="94"/>
        <v>Clear</v>
      </c>
    </row>
    <row r="718" spans="1:24">
      <c r="A718">
        <v>726</v>
      </c>
      <c r="B718" s="2">
        <v>40576</v>
      </c>
      <c r="C718">
        <v>1</v>
      </c>
      <c r="D718">
        <v>0</v>
      </c>
      <c r="E718">
        <v>2</v>
      </c>
      <c r="F718">
        <v>14</v>
      </c>
      <c r="G718" t="b">
        <v>0</v>
      </c>
      <c r="H718">
        <v>3</v>
      </c>
      <c r="I718">
        <v>1</v>
      </c>
      <c r="J718">
        <v>0.38</v>
      </c>
      <c r="K718">
        <v>0.39389999999999997</v>
      </c>
      <c r="L718">
        <v>0.82</v>
      </c>
      <c r="M718">
        <v>0.3881</v>
      </c>
      <c r="N718">
        <v>2</v>
      </c>
      <c r="O718">
        <v>61</v>
      </c>
      <c r="P718">
        <v>63</v>
      </c>
      <c r="Q718" t="str">
        <f t="shared" si="88"/>
        <v>Complete</v>
      </c>
      <c r="R718">
        <f t="shared" si="95"/>
        <v>0.39389999999999997</v>
      </c>
      <c r="S718">
        <f t="shared" si="89"/>
        <v>2011</v>
      </c>
      <c r="T718" t="str">
        <f t="shared" si="90"/>
        <v/>
      </c>
      <c r="U718" t="str">
        <f t="shared" si="91"/>
        <v>Weekday</v>
      </c>
      <c r="V718" t="str">
        <f t="shared" si="92"/>
        <v>Afternoon</v>
      </c>
      <c r="W718" t="str">
        <f t="shared" si="93"/>
        <v>Spring</v>
      </c>
      <c r="X718" t="str">
        <f t="shared" si="94"/>
        <v>Clear</v>
      </c>
    </row>
    <row r="719" spans="1:24">
      <c r="A719">
        <v>727</v>
      </c>
      <c r="B719" s="2">
        <v>40576</v>
      </c>
      <c r="C719">
        <v>1</v>
      </c>
      <c r="D719">
        <v>0</v>
      </c>
      <c r="E719">
        <v>2</v>
      </c>
      <c r="F719">
        <v>15</v>
      </c>
      <c r="G719" t="b">
        <v>0</v>
      </c>
      <c r="H719">
        <v>3</v>
      </c>
      <c r="I719">
        <v>1</v>
      </c>
      <c r="J719">
        <v>0.38</v>
      </c>
      <c r="K719">
        <v>0.39389999999999997</v>
      </c>
      <c r="L719">
        <v>0.76</v>
      </c>
      <c r="M719">
        <v>0.32840000000000003</v>
      </c>
      <c r="N719">
        <v>10</v>
      </c>
      <c r="O719">
        <v>66</v>
      </c>
      <c r="P719">
        <v>76</v>
      </c>
      <c r="Q719" t="str">
        <f t="shared" si="88"/>
        <v>Complete</v>
      </c>
      <c r="R719">
        <f t="shared" si="95"/>
        <v>0.39389999999999997</v>
      </c>
      <c r="S719">
        <f t="shared" si="89"/>
        <v>2011</v>
      </c>
      <c r="T719" t="str">
        <f t="shared" si="90"/>
        <v/>
      </c>
      <c r="U719" t="str">
        <f t="shared" si="91"/>
        <v>Weekday</v>
      </c>
      <c r="V719" t="str">
        <f t="shared" si="92"/>
        <v>Afternoon</v>
      </c>
      <c r="W719" t="str">
        <f t="shared" si="93"/>
        <v>Spring</v>
      </c>
      <c r="X719" t="str">
        <f t="shared" si="94"/>
        <v>Clear</v>
      </c>
    </row>
    <row r="720" spans="1:24">
      <c r="A720">
        <v>728</v>
      </c>
      <c r="B720" s="2">
        <v>40576</v>
      </c>
      <c r="C720">
        <v>1</v>
      </c>
      <c r="D720">
        <v>0</v>
      </c>
      <c r="E720">
        <v>2</v>
      </c>
      <c r="F720">
        <v>16</v>
      </c>
      <c r="G720" t="b">
        <v>0</v>
      </c>
      <c r="H720">
        <v>3</v>
      </c>
      <c r="I720">
        <v>1</v>
      </c>
      <c r="J720">
        <v>0.36</v>
      </c>
      <c r="K720">
        <v>0.33329999999999999</v>
      </c>
      <c r="L720">
        <v>0.71</v>
      </c>
      <c r="M720">
        <v>0.29849999999999999</v>
      </c>
      <c r="N720">
        <v>8</v>
      </c>
      <c r="O720">
        <v>95</v>
      </c>
      <c r="P720">
        <v>103</v>
      </c>
      <c r="Q720" t="str">
        <f t="shared" si="88"/>
        <v>Complete</v>
      </c>
      <c r="R720">
        <f t="shared" si="95"/>
        <v>0.33329999999999999</v>
      </c>
      <c r="S720">
        <f t="shared" si="89"/>
        <v>2011</v>
      </c>
      <c r="T720" t="str">
        <f t="shared" si="90"/>
        <v/>
      </c>
      <c r="U720" t="str">
        <f t="shared" si="91"/>
        <v>Weekday</v>
      </c>
      <c r="V720" t="str">
        <f t="shared" si="92"/>
        <v>Afternoon</v>
      </c>
      <c r="W720" t="str">
        <f t="shared" si="93"/>
        <v>Spring</v>
      </c>
      <c r="X720" t="str">
        <f t="shared" si="94"/>
        <v>Clear</v>
      </c>
    </row>
    <row r="721" spans="1:24">
      <c r="A721">
        <v>729</v>
      </c>
      <c r="B721" s="2">
        <v>40576</v>
      </c>
      <c r="C721">
        <v>1</v>
      </c>
      <c r="D721">
        <v>0</v>
      </c>
      <c r="E721">
        <v>2</v>
      </c>
      <c r="F721">
        <v>17</v>
      </c>
      <c r="G721" t="b">
        <v>0</v>
      </c>
      <c r="H721">
        <v>3</v>
      </c>
      <c r="I721">
        <v>1</v>
      </c>
      <c r="J721">
        <v>0.36</v>
      </c>
      <c r="K721">
        <v>0.31819999999999998</v>
      </c>
      <c r="L721">
        <v>0.53</v>
      </c>
      <c r="M721">
        <v>0.52239999999999998</v>
      </c>
      <c r="N721">
        <v>7</v>
      </c>
      <c r="O721">
        <v>183</v>
      </c>
      <c r="P721">
        <v>190</v>
      </c>
      <c r="Q721" t="str">
        <f t="shared" si="88"/>
        <v>Complete</v>
      </c>
      <c r="R721">
        <f t="shared" si="95"/>
        <v>0.31819999999999998</v>
      </c>
      <c r="S721">
        <f t="shared" si="89"/>
        <v>2011</v>
      </c>
      <c r="T721" t="str">
        <f t="shared" si="90"/>
        <v/>
      </c>
      <c r="U721" t="str">
        <f t="shared" si="91"/>
        <v>Weekday</v>
      </c>
      <c r="V721" t="str">
        <f t="shared" si="92"/>
        <v>Afternoon</v>
      </c>
      <c r="W721" t="str">
        <f t="shared" si="93"/>
        <v>Spring</v>
      </c>
      <c r="X721" t="str">
        <f t="shared" si="94"/>
        <v>Clear</v>
      </c>
    </row>
    <row r="722" spans="1:24">
      <c r="A722">
        <v>730</v>
      </c>
      <c r="B722" s="2">
        <v>40576</v>
      </c>
      <c r="C722">
        <v>1</v>
      </c>
      <c r="D722">
        <v>0</v>
      </c>
      <c r="E722">
        <v>2</v>
      </c>
      <c r="F722">
        <v>18</v>
      </c>
      <c r="G722" t="b">
        <v>0</v>
      </c>
      <c r="H722">
        <v>3</v>
      </c>
      <c r="I722">
        <v>1</v>
      </c>
      <c r="J722">
        <v>0.34</v>
      </c>
      <c r="K722">
        <v>0.28789999999999999</v>
      </c>
      <c r="L722">
        <v>0.42</v>
      </c>
      <c r="M722">
        <v>0.55220000000000002</v>
      </c>
      <c r="N722">
        <v>7</v>
      </c>
      <c r="O722">
        <v>175</v>
      </c>
      <c r="P722">
        <v>182</v>
      </c>
      <c r="Q722" t="str">
        <f t="shared" si="88"/>
        <v>Complete</v>
      </c>
      <c r="R722">
        <f t="shared" si="95"/>
        <v>0.28789999999999999</v>
      </c>
      <c r="S722">
        <f t="shared" si="89"/>
        <v>2011</v>
      </c>
      <c r="T722" t="str">
        <f t="shared" si="90"/>
        <v/>
      </c>
      <c r="U722" t="str">
        <f t="shared" si="91"/>
        <v>Weekday</v>
      </c>
      <c r="V722" t="str">
        <f t="shared" si="92"/>
        <v>Evening</v>
      </c>
      <c r="W722" t="str">
        <f t="shared" si="93"/>
        <v>Spring</v>
      </c>
      <c r="X722" t="str">
        <f t="shared" si="94"/>
        <v>Clear</v>
      </c>
    </row>
    <row r="723" spans="1:24">
      <c r="A723">
        <v>731</v>
      </c>
      <c r="B723" s="2">
        <v>40576</v>
      </c>
      <c r="C723">
        <v>1</v>
      </c>
      <c r="D723">
        <v>0</v>
      </c>
      <c r="E723">
        <v>2</v>
      </c>
      <c r="F723">
        <v>19</v>
      </c>
      <c r="G723" t="b">
        <v>0</v>
      </c>
      <c r="H723">
        <v>3</v>
      </c>
      <c r="I723">
        <v>1</v>
      </c>
      <c r="J723">
        <v>0.28000000000000003</v>
      </c>
      <c r="K723">
        <v>0.2424</v>
      </c>
      <c r="L723">
        <v>0.45</v>
      </c>
      <c r="M723">
        <v>0.49249999999999999</v>
      </c>
      <c r="N723">
        <v>3</v>
      </c>
      <c r="O723">
        <v>88</v>
      </c>
      <c r="P723">
        <v>91</v>
      </c>
      <c r="Q723" t="str">
        <f t="shared" si="88"/>
        <v>Complete</v>
      </c>
      <c r="R723">
        <f t="shared" si="95"/>
        <v>0.2424</v>
      </c>
      <c r="S723">
        <f t="shared" si="89"/>
        <v>2011</v>
      </c>
      <c r="T723" t="str">
        <f t="shared" si="90"/>
        <v/>
      </c>
      <c r="U723" t="str">
        <f t="shared" si="91"/>
        <v>Weekday</v>
      </c>
      <c r="V723" t="str">
        <f t="shared" si="92"/>
        <v>Evening</v>
      </c>
      <c r="W723" t="str">
        <f t="shared" si="93"/>
        <v>Spring</v>
      </c>
      <c r="X723" t="str">
        <f t="shared" si="94"/>
        <v>Clear</v>
      </c>
    </row>
    <row r="724" spans="1:24">
      <c r="A724">
        <v>732</v>
      </c>
      <c r="B724" s="2">
        <v>40576</v>
      </c>
      <c r="C724">
        <v>1</v>
      </c>
      <c r="D724">
        <v>0</v>
      </c>
      <c r="E724">
        <v>2</v>
      </c>
      <c r="F724">
        <v>20</v>
      </c>
      <c r="G724" t="b">
        <v>0</v>
      </c>
      <c r="H724">
        <v>3</v>
      </c>
      <c r="I724">
        <v>1</v>
      </c>
      <c r="J724">
        <v>0.24</v>
      </c>
      <c r="K724">
        <v>0.19700000000000001</v>
      </c>
      <c r="L724">
        <v>0.48</v>
      </c>
      <c r="M724">
        <v>0.55220000000000002</v>
      </c>
      <c r="N724">
        <v>4</v>
      </c>
      <c r="O724">
        <v>71</v>
      </c>
      <c r="P724">
        <v>75</v>
      </c>
      <c r="Q724" t="str">
        <f t="shared" si="88"/>
        <v>Complete</v>
      </c>
      <c r="R724">
        <f t="shared" si="95"/>
        <v>0.19700000000000001</v>
      </c>
      <c r="S724">
        <f t="shared" si="89"/>
        <v>2011</v>
      </c>
      <c r="T724" t="str">
        <f t="shared" si="90"/>
        <v/>
      </c>
      <c r="U724" t="str">
        <f t="shared" si="91"/>
        <v>Weekday</v>
      </c>
      <c r="V724" t="str">
        <f t="shared" si="92"/>
        <v>Evening</v>
      </c>
      <c r="W724" t="str">
        <f t="shared" si="93"/>
        <v>Spring</v>
      </c>
      <c r="X724" t="str">
        <f t="shared" si="94"/>
        <v>Clear</v>
      </c>
    </row>
    <row r="725" spans="1:24">
      <c r="A725">
        <v>733</v>
      </c>
      <c r="B725" s="2">
        <v>40576</v>
      </c>
      <c r="C725">
        <v>1</v>
      </c>
      <c r="D725">
        <v>0</v>
      </c>
      <c r="E725">
        <v>2</v>
      </c>
      <c r="F725">
        <v>21</v>
      </c>
      <c r="G725" t="b">
        <v>0</v>
      </c>
      <c r="H725">
        <v>3</v>
      </c>
      <c r="I725">
        <v>1</v>
      </c>
      <c r="J725">
        <v>0.22</v>
      </c>
      <c r="K725">
        <v>0.19700000000000001</v>
      </c>
      <c r="L725">
        <v>0.47</v>
      </c>
      <c r="M725">
        <v>0.32840000000000003</v>
      </c>
      <c r="N725">
        <v>1</v>
      </c>
      <c r="O725">
        <v>62</v>
      </c>
      <c r="P725">
        <v>63</v>
      </c>
      <c r="Q725" t="str">
        <f t="shared" si="88"/>
        <v>Complete</v>
      </c>
      <c r="R725">
        <f t="shared" si="95"/>
        <v>0.19700000000000001</v>
      </c>
      <c r="S725">
        <f t="shared" si="89"/>
        <v>2011</v>
      </c>
      <c r="T725" t="str">
        <f t="shared" si="90"/>
        <v/>
      </c>
      <c r="U725" t="str">
        <f t="shared" si="91"/>
        <v>Weekday</v>
      </c>
      <c r="V725" t="str">
        <f t="shared" si="92"/>
        <v>Evening</v>
      </c>
      <c r="W725" t="str">
        <f t="shared" si="93"/>
        <v>Spring</v>
      </c>
      <c r="X725" t="str">
        <f t="shared" si="94"/>
        <v>Clear</v>
      </c>
    </row>
    <row r="726" spans="1:24">
      <c r="A726">
        <v>734</v>
      </c>
      <c r="B726" s="2">
        <v>40576</v>
      </c>
      <c r="C726">
        <v>1</v>
      </c>
      <c r="D726">
        <v>0</v>
      </c>
      <c r="E726">
        <v>2</v>
      </c>
      <c r="F726">
        <v>22</v>
      </c>
      <c r="G726" t="b">
        <v>0</v>
      </c>
      <c r="H726">
        <v>3</v>
      </c>
      <c r="I726">
        <v>1</v>
      </c>
      <c r="J726">
        <v>0.22</v>
      </c>
      <c r="K726">
        <v>0.21210000000000001</v>
      </c>
      <c r="L726">
        <v>0.44</v>
      </c>
      <c r="M726">
        <v>0.25369999999999998</v>
      </c>
      <c r="N726">
        <v>5</v>
      </c>
      <c r="O726">
        <v>35</v>
      </c>
      <c r="P726">
        <v>40</v>
      </c>
      <c r="Q726" t="str">
        <f t="shared" si="88"/>
        <v>Complete</v>
      </c>
      <c r="R726">
        <f t="shared" si="95"/>
        <v>0.21210000000000001</v>
      </c>
      <c r="S726">
        <f t="shared" si="89"/>
        <v>2011</v>
      </c>
      <c r="T726" t="str">
        <f t="shared" si="90"/>
        <v/>
      </c>
      <c r="U726" t="str">
        <f t="shared" si="91"/>
        <v>Weekday</v>
      </c>
      <c r="V726" t="str">
        <f t="shared" si="92"/>
        <v>Evening</v>
      </c>
      <c r="W726" t="str">
        <f t="shared" si="93"/>
        <v>Spring</v>
      </c>
      <c r="X726" t="str">
        <f t="shared" si="94"/>
        <v>Clear</v>
      </c>
    </row>
    <row r="727" spans="1:24">
      <c r="A727">
        <v>735</v>
      </c>
      <c r="B727" s="2">
        <v>40576</v>
      </c>
      <c r="C727">
        <v>1</v>
      </c>
      <c r="D727">
        <v>0</v>
      </c>
      <c r="E727">
        <v>2</v>
      </c>
      <c r="F727">
        <v>23</v>
      </c>
      <c r="G727" t="b">
        <v>0</v>
      </c>
      <c r="H727">
        <v>3</v>
      </c>
      <c r="I727">
        <v>1</v>
      </c>
      <c r="J727">
        <v>0.2</v>
      </c>
      <c r="K727">
        <v>0.16669999999999999</v>
      </c>
      <c r="L727">
        <v>0.44</v>
      </c>
      <c r="M727">
        <v>0.44779999999999998</v>
      </c>
      <c r="N727">
        <v>3</v>
      </c>
      <c r="O727">
        <v>29</v>
      </c>
      <c r="P727">
        <v>32</v>
      </c>
      <c r="Q727" t="str">
        <f t="shared" si="88"/>
        <v>Complete</v>
      </c>
      <c r="R727">
        <f t="shared" si="95"/>
        <v>0.16669999999999999</v>
      </c>
      <c r="S727">
        <f t="shared" si="89"/>
        <v>2011</v>
      </c>
      <c r="T727" t="str">
        <f t="shared" si="90"/>
        <v/>
      </c>
      <c r="U727" t="str">
        <f t="shared" si="91"/>
        <v>Weekday</v>
      </c>
      <c r="V727" t="str">
        <f t="shared" si="92"/>
        <v>Evening</v>
      </c>
      <c r="W727" t="str">
        <f t="shared" si="93"/>
        <v>Spring</v>
      </c>
      <c r="X727" t="str">
        <f t="shared" si="94"/>
        <v>Clear</v>
      </c>
    </row>
    <row r="728" spans="1:24">
      <c r="A728">
        <v>736</v>
      </c>
      <c r="B728" s="2">
        <v>40577</v>
      </c>
      <c r="C728">
        <v>1</v>
      </c>
      <c r="D728">
        <v>0</v>
      </c>
      <c r="E728">
        <v>2</v>
      </c>
      <c r="F728">
        <v>0</v>
      </c>
      <c r="G728" t="b">
        <v>0</v>
      </c>
      <c r="H728">
        <v>4</v>
      </c>
      <c r="I728">
        <v>1</v>
      </c>
      <c r="J728">
        <v>0.2</v>
      </c>
      <c r="K728">
        <v>0.16669999999999999</v>
      </c>
      <c r="L728">
        <v>0.4</v>
      </c>
      <c r="M728">
        <v>0.44779999999999998</v>
      </c>
      <c r="N728">
        <v>1</v>
      </c>
      <c r="O728">
        <v>11</v>
      </c>
      <c r="P728">
        <v>12</v>
      </c>
      <c r="Q728" t="str">
        <f t="shared" si="88"/>
        <v>Complete</v>
      </c>
      <c r="R728">
        <f t="shared" si="95"/>
        <v>0.16669999999999999</v>
      </c>
      <c r="S728">
        <f t="shared" si="89"/>
        <v>2011</v>
      </c>
      <c r="T728" t="str">
        <f t="shared" si="90"/>
        <v/>
      </c>
      <c r="U728" t="str">
        <f t="shared" si="91"/>
        <v>Weekday</v>
      </c>
      <c r="V728" t="str">
        <f t="shared" si="92"/>
        <v>Night</v>
      </c>
      <c r="W728" t="str">
        <f t="shared" si="93"/>
        <v>Spring</v>
      </c>
      <c r="X728" t="str">
        <f t="shared" si="94"/>
        <v>Clear</v>
      </c>
    </row>
    <row r="729" spans="1:24">
      <c r="A729">
        <v>737</v>
      </c>
      <c r="B729" s="2">
        <v>40577</v>
      </c>
      <c r="C729">
        <v>1</v>
      </c>
      <c r="D729">
        <v>0</v>
      </c>
      <c r="E729">
        <v>2</v>
      </c>
      <c r="F729">
        <v>1</v>
      </c>
      <c r="G729" t="b">
        <v>0</v>
      </c>
      <c r="H729">
        <v>4</v>
      </c>
      <c r="I729">
        <v>1</v>
      </c>
      <c r="J729">
        <v>0.2</v>
      </c>
      <c r="K729">
        <v>0.1515</v>
      </c>
      <c r="L729">
        <v>0.44</v>
      </c>
      <c r="M729">
        <v>0.52239999999999998</v>
      </c>
      <c r="N729">
        <v>0</v>
      </c>
      <c r="O729">
        <v>5</v>
      </c>
      <c r="P729">
        <v>5</v>
      </c>
      <c r="Q729" t="str">
        <f t="shared" si="88"/>
        <v>Complete</v>
      </c>
      <c r="R729">
        <f t="shared" si="95"/>
        <v>0.1515</v>
      </c>
      <c r="S729">
        <f t="shared" si="89"/>
        <v>2011</v>
      </c>
      <c r="T729" t="str">
        <f t="shared" si="90"/>
        <v/>
      </c>
      <c r="U729" t="str">
        <f t="shared" si="91"/>
        <v>Weekday</v>
      </c>
      <c r="V729" t="str">
        <f t="shared" si="92"/>
        <v>Night</v>
      </c>
      <c r="W729" t="str">
        <f t="shared" si="93"/>
        <v>Spring</v>
      </c>
      <c r="X729" t="str">
        <f t="shared" si="94"/>
        <v>Clear</v>
      </c>
    </row>
    <row r="730" spans="1:24">
      <c r="A730">
        <v>738</v>
      </c>
      <c r="B730" s="2">
        <v>40577</v>
      </c>
      <c r="C730">
        <v>1</v>
      </c>
      <c r="D730">
        <v>0</v>
      </c>
      <c r="E730">
        <v>2</v>
      </c>
      <c r="F730">
        <v>2</v>
      </c>
      <c r="G730" t="b">
        <v>0</v>
      </c>
      <c r="H730">
        <v>4</v>
      </c>
      <c r="I730">
        <v>1</v>
      </c>
      <c r="J730">
        <v>0.18</v>
      </c>
      <c r="K730">
        <v>0.16669999999999999</v>
      </c>
      <c r="L730">
        <v>0.43</v>
      </c>
      <c r="M730">
        <v>0.25369999999999998</v>
      </c>
      <c r="N730">
        <v>0</v>
      </c>
      <c r="O730">
        <v>2</v>
      </c>
      <c r="P730">
        <v>2</v>
      </c>
      <c r="Q730" t="str">
        <f t="shared" si="88"/>
        <v>Complete</v>
      </c>
      <c r="R730">
        <f t="shared" si="95"/>
        <v>0.16669999999999999</v>
      </c>
      <c r="S730">
        <f t="shared" si="89"/>
        <v>2011</v>
      </c>
      <c r="T730" t="str">
        <f t="shared" si="90"/>
        <v/>
      </c>
      <c r="U730" t="str">
        <f t="shared" si="91"/>
        <v>Weekday</v>
      </c>
      <c r="V730" t="str">
        <f t="shared" si="92"/>
        <v>Night</v>
      </c>
      <c r="W730" t="str">
        <f t="shared" si="93"/>
        <v>Spring</v>
      </c>
      <c r="X730" t="str">
        <f t="shared" si="94"/>
        <v>Clear</v>
      </c>
    </row>
    <row r="731" spans="1:24">
      <c r="A731">
        <v>739</v>
      </c>
      <c r="B731" s="2">
        <v>40577</v>
      </c>
      <c r="C731">
        <v>1</v>
      </c>
      <c r="D731">
        <v>0</v>
      </c>
      <c r="E731">
        <v>2</v>
      </c>
      <c r="F731">
        <v>3</v>
      </c>
      <c r="G731" t="b">
        <v>0</v>
      </c>
      <c r="H731">
        <v>4</v>
      </c>
      <c r="I731">
        <v>1</v>
      </c>
      <c r="J731">
        <v>0.18</v>
      </c>
      <c r="K731">
        <v>0.16669999999999999</v>
      </c>
      <c r="L731">
        <v>0.43</v>
      </c>
      <c r="M731">
        <v>0.25369999999999998</v>
      </c>
      <c r="N731">
        <v>0</v>
      </c>
      <c r="O731">
        <v>1</v>
      </c>
      <c r="P731">
        <v>1</v>
      </c>
      <c r="Q731" t="str">
        <f t="shared" si="88"/>
        <v>Complete</v>
      </c>
      <c r="R731">
        <f t="shared" si="95"/>
        <v>0.16669999999999999</v>
      </c>
      <c r="S731">
        <f t="shared" si="89"/>
        <v>2011</v>
      </c>
      <c r="T731" t="str">
        <f t="shared" si="90"/>
        <v/>
      </c>
      <c r="U731" t="str">
        <f t="shared" si="91"/>
        <v>Weekday</v>
      </c>
      <c r="V731" t="str">
        <f t="shared" si="92"/>
        <v>Night</v>
      </c>
      <c r="W731" t="str">
        <f t="shared" si="93"/>
        <v>Spring</v>
      </c>
      <c r="X731" t="str">
        <f t="shared" si="94"/>
        <v>Clear</v>
      </c>
    </row>
    <row r="732" spans="1:24">
      <c r="A732">
        <v>740</v>
      </c>
      <c r="B732" s="2">
        <v>40577</v>
      </c>
      <c r="C732">
        <v>1</v>
      </c>
      <c r="D732">
        <v>0</v>
      </c>
      <c r="E732">
        <v>2</v>
      </c>
      <c r="F732">
        <v>5</v>
      </c>
      <c r="G732" t="b">
        <v>0</v>
      </c>
      <c r="H732">
        <v>4</v>
      </c>
      <c r="I732">
        <v>1</v>
      </c>
      <c r="J732">
        <v>0.16</v>
      </c>
      <c r="K732">
        <v>0.13639999999999999</v>
      </c>
      <c r="L732">
        <v>0.5</v>
      </c>
      <c r="M732">
        <v>0.29849999999999999</v>
      </c>
      <c r="N732">
        <v>0</v>
      </c>
      <c r="O732">
        <v>2</v>
      </c>
      <c r="P732">
        <v>2</v>
      </c>
      <c r="Q732" t="str">
        <f t="shared" si="88"/>
        <v>Complete</v>
      </c>
      <c r="R732">
        <f t="shared" si="95"/>
        <v>0.13639999999999999</v>
      </c>
      <c r="S732">
        <f t="shared" si="89"/>
        <v>2011</v>
      </c>
      <c r="T732" t="str">
        <f t="shared" si="90"/>
        <v/>
      </c>
      <c r="U732" t="str">
        <f t="shared" si="91"/>
        <v>Weekday</v>
      </c>
      <c r="V732" t="str">
        <f t="shared" si="92"/>
        <v>Night</v>
      </c>
      <c r="W732" t="str">
        <f t="shared" si="93"/>
        <v>Spring</v>
      </c>
      <c r="X732" t="str">
        <f t="shared" si="94"/>
        <v>Clear</v>
      </c>
    </row>
    <row r="733" spans="1:24">
      <c r="A733">
        <v>741</v>
      </c>
      <c r="B733" s="2">
        <v>40577</v>
      </c>
      <c r="C733">
        <v>1</v>
      </c>
      <c r="D733">
        <v>0</v>
      </c>
      <c r="E733">
        <v>2</v>
      </c>
      <c r="F733">
        <v>6</v>
      </c>
      <c r="G733" t="b">
        <v>0</v>
      </c>
      <c r="H733">
        <v>4</v>
      </c>
      <c r="I733">
        <v>1</v>
      </c>
      <c r="J733">
        <v>0.16</v>
      </c>
      <c r="K733">
        <v>0.13639999999999999</v>
      </c>
      <c r="L733">
        <v>0.43</v>
      </c>
      <c r="M733">
        <v>0.35820000000000002</v>
      </c>
      <c r="N733">
        <v>0</v>
      </c>
      <c r="O733">
        <v>39</v>
      </c>
      <c r="P733">
        <v>39</v>
      </c>
      <c r="Q733" t="str">
        <f t="shared" si="88"/>
        <v>Complete</v>
      </c>
      <c r="R733">
        <f t="shared" si="95"/>
        <v>0.13639999999999999</v>
      </c>
      <c r="S733">
        <f t="shared" si="89"/>
        <v>2011</v>
      </c>
      <c r="T733" t="str">
        <f t="shared" si="90"/>
        <v/>
      </c>
      <c r="U733" t="str">
        <f t="shared" si="91"/>
        <v>Weekday</v>
      </c>
      <c r="V733" t="str">
        <f t="shared" si="92"/>
        <v>Morning</v>
      </c>
      <c r="W733" t="str">
        <f t="shared" si="93"/>
        <v>Spring</v>
      </c>
      <c r="X733" t="str">
        <f t="shared" si="94"/>
        <v>Clear</v>
      </c>
    </row>
    <row r="734" spans="1:24">
      <c r="A734">
        <v>742</v>
      </c>
      <c r="B734" s="2">
        <v>40577</v>
      </c>
      <c r="C734">
        <v>1</v>
      </c>
      <c r="D734">
        <v>0</v>
      </c>
      <c r="E734">
        <v>2</v>
      </c>
      <c r="F734">
        <v>7</v>
      </c>
      <c r="G734" t="b">
        <v>0</v>
      </c>
      <c r="H734">
        <v>4</v>
      </c>
      <c r="I734">
        <v>1</v>
      </c>
      <c r="J734">
        <v>0.14000000000000001</v>
      </c>
      <c r="K734">
        <v>0.1212</v>
      </c>
      <c r="L734">
        <v>0.5</v>
      </c>
      <c r="M734">
        <v>0.32840000000000003</v>
      </c>
      <c r="N734">
        <v>1</v>
      </c>
      <c r="O734">
        <v>86</v>
      </c>
      <c r="P734">
        <v>87</v>
      </c>
      <c r="Q734" t="str">
        <f t="shared" si="88"/>
        <v>Complete</v>
      </c>
      <c r="R734">
        <f t="shared" si="95"/>
        <v>0.1212</v>
      </c>
      <c r="S734">
        <f t="shared" si="89"/>
        <v>2011</v>
      </c>
      <c r="T734" t="str">
        <f t="shared" si="90"/>
        <v/>
      </c>
      <c r="U734" t="str">
        <f t="shared" si="91"/>
        <v>Weekday</v>
      </c>
      <c r="V734" t="str">
        <f t="shared" si="92"/>
        <v>Morning</v>
      </c>
      <c r="W734" t="str">
        <f t="shared" si="93"/>
        <v>Spring</v>
      </c>
      <c r="X734" t="str">
        <f t="shared" si="94"/>
        <v>Clear</v>
      </c>
    </row>
    <row r="735" spans="1:24">
      <c r="A735">
        <v>743</v>
      </c>
      <c r="B735" s="2">
        <v>40577</v>
      </c>
      <c r="C735">
        <v>1</v>
      </c>
      <c r="D735">
        <v>0</v>
      </c>
      <c r="E735">
        <v>2</v>
      </c>
      <c r="F735">
        <v>8</v>
      </c>
      <c r="G735" t="b">
        <v>0</v>
      </c>
      <c r="H735">
        <v>4</v>
      </c>
      <c r="I735">
        <v>1</v>
      </c>
      <c r="J735">
        <v>0.14000000000000001</v>
      </c>
      <c r="K735">
        <v>0.1212</v>
      </c>
      <c r="L735">
        <v>0.5</v>
      </c>
      <c r="M735">
        <v>0.35820000000000002</v>
      </c>
      <c r="N735">
        <v>4</v>
      </c>
      <c r="O735">
        <v>184</v>
      </c>
      <c r="P735">
        <v>188</v>
      </c>
      <c r="Q735" t="str">
        <f t="shared" si="88"/>
        <v>Complete</v>
      </c>
      <c r="R735">
        <f t="shared" si="95"/>
        <v>0.1212</v>
      </c>
      <c r="S735">
        <f t="shared" si="89"/>
        <v>2011</v>
      </c>
      <c r="T735" t="str">
        <f t="shared" si="90"/>
        <v/>
      </c>
      <c r="U735" t="str">
        <f t="shared" si="91"/>
        <v>Weekday</v>
      </c>
      <c r="V735" t="str">
        <f t="shared" si="92"/>
        <v>Morning</v>
      </c>
      <c r="W735" t="str">
        <f t="shared" si="93"/>
        <v>Spring</v>
      </c>
      <c r="X735" t="str">
        <f t="shared" si="94"/>
        <v>Clear</v>
      </c>
    </row>
    <row r="736" spans="1:24">
      <c r="A736">
        <v>744</v>
      </c>
      <c r="B736" s="2">
        <v>40577</v>
      </c>
      <c r="C736">
        <v>1</v>
      </c>
      <c r="D736">
        <v>0</v>
      </c>
      <c r="E736">
        <v>2</v>
      </c>
      <c r="F736">
        <v>9</v>
      </c>
      <c r="G736" t="b">
        <v>0</v>
      </c>
      <c r="H736">
        <v>4</v>
      </c>
      <c r="I736">
        <v>1</v>
      </c>
      <c r="J736">
        <v>0.16</v>
      </c>
      <c r="K736">
        <v>0.13639999999999999</v>
      </c>
      <c r="L736">
        <v>0.47</v>
      </c>
      <c r="M736">
        <v>0.29849999999999999</v>
      </c>
      <c r="N736">
        <v>6</v>
      </c>
      <c r="O736">
        <v>127</v>
      </c>
      <c r="P736">
        <v>133</v>
      </c>
      <c r="Q736" t="str">
        <f t="shared" si="88"/>
        <v>Complete</v>
      </c>
      <c r="R736">
        <f t="shared" si="95"/>
        <v>0.13639999999999999</v>
      </c>
      <c r="S736">
        <f t="shared" si="89"/>
        <v>2011</v>
      </c>
      <c r="T736" t="str">
        <f t="shared" si="90"/>
        <v/>
      </c>
      <c r="U736" t="str">
        <f t="shared" si="91"/>
        <v>Weekday</v>
      </c>
      <c r="V736" t="str">
        <f t="shared" si="92"/>
        <v>Morning</v>
      </c>
      <c r="W736" t="str">
        <f t="shared" si="93"/>
        <v>Spring</v>
      </c>
      <c r="X736" t="str">
        <f t="shared" si="94"/>
        <v>Clear</v>
      </c>
    </row>
    <row r="737" spans="1:24">
      <c r="A737">
        <v>745</v>
      </c>
      <c r="B737" s="2">
        <v>40577</v>
      </c>
      <c r="C737">
        <v>1</v>
      </c>
      <c r="D737">
        <v>0</v>
      </c>
      <c r="E737">
        <v>2</v>
      </c>
      <c r="F737">
        <v>10</v>
      </c>
      <c r="G737" t="b">
        <v>0</v>
      </c>
      <c r="H737">
        <v>4</v>
      </c>
      <c r="I737">
        <v>1</v>
      </c>
      <c r="J737">
        <v>0.18</v>
      </c>
      <c r="K737">
        <v>0.1515</v>
      </c>
      <c r="L737">
        <v>0.43</v>
      </c>
      <c r="M737">
        <v>0.32840000000000003</v>
      </c>
      <c r="N737">
        <v>2</v>
      </c>
      <c r="O737">
        <v>50</v>
      </c>
      <c r="P737">
        <v>52</v>
      </c>
      <c r="Q737" t="str">
        <f t="shared" si="88"/>
        <v>Complete</v>
      </c>
      <c r="R737">
        <f t="shared" si="95"/>
        <v>0.1515</v>
      </c>
      <c r="S737">
        <f t="shared" si="89"/>
        <v>2011</v>
      </c>
      <c r="T737" t="str">
        <f t="shared" si="90"/>
        <v/>
      </c>
      <c r="U737" t="str">
        <f t="shared" si="91"/>
        <v>Weekday</v>
      </c>
      <c r="V737" t="str">
        <f t="shared" si="92"/>
        <v>Morning</v>
      </c>
      <c r="W737" t="str">
        <f t="shared" si="93"/>
        <v>Spring</v>
      </c>
      <c r="X737" t="str">
        <f t="shared" si="94"/>
        <v>Clear</v>
      </c>
    </row>
    <row r="738" spans="1:24">
      <c r="A738">
        <v>746</v>
      </c>
      <c r="B738" s="2">
        <v>40577</v>
      </c>
      <c r="C738">
        <v>1</v>
      </c>
      <c r="D738">
        <v>0</v>
      </c>
      <c r="E738">
        <v>2</v>
      </c>
      <c r="F738">
        <v>11</v>
      </c>
      <c r="G738" t="b">
        <v>0</v>
      </c>
      <c r="H738">
        <v>4</v>
      </c>
      <c r="I738">
        <v>1</v>
      </c>
      <c r="J738">
        <v>0.18</v>
      </c>
      <c r="K738">
        <v>0.13639999999999999</v>
      </c>
      <c r="L738">
        <v>0.43</v>
      </c>
      <c r="M738">
        <v>0.44779999999999998</v>
      </c>
      <c r="N738">
        <v>9</v>
      </c>
      <c r="O738">
        <v>55</v>
      </c>
      <c r="P738">
        <v>64</v>
      </c>
      <c r="Q738" t="str">
        <f t="shared" si="88"/>
        <v>Complete</v>
      </c>
      <c r="R738">
        <f t="shared" si="95"/>
        <v>0.13639999999999999</v>
      </c>
      <c r="S738">
        <f t="shared" si="89"/>
        <v>2011</v>
      </c>
      <c r="T738" t="str">
        <f t="shared" si="90"/>
        <v/>
      </c>
      <c r="U738" t="str">
        <f t="shared" si="91"/>
        <v>Weekday</v>
      </c>
      <c r="V738" t="str">
        <f t="shared" si="92"/>
        <v>Morning</v>
      </c>
      <c r="W738" t="str">
        <f t="shared" si="93"/>
        <v>Spring</v>
      </c>
      <c r="X738" t="str">
        <f t="shared" si="94"/>
        <v>Clear</v>
      </c>
    </row>
    <row r="739" spans="1:24">
      <c r="A739">
        <v>747</v>
      </c>
      <c r="B739" s="2">
        <v>40577</v>
      </c>
      <c r="C739">
        <v>1</v>
      </c>
      <c r="D739">
        <v>0</v>
      </c>
      <c r="E739">
        <v>2</v>
      </c>
      <c r="F739">
        <v>12</v>
      </c>
      <c r="G739" t="b">
        <v>0</v>
      </c>
      <c r="H739">
        <v>4</v>
      </c>
      <c r="I739">
        <v>1</v>
      </c>
      <c r="J739">
        <v>0.2</v>
      </c>
      <c r="K739">
        <v>0.18179999999999999</v>
      </c>
      <c r="L739">
        <v>0.4</v>
      </c>
      <c r="M739">
        <v>0.35820000000000002</v>
      </c>
      <c r="N739">
        <v>2</v>
      </c>
      <c r="O739">
        <v>67</v>
      </c>
      <c r="P739">
        <v>69</v>
      </c>
      <c r="Q739" t="str">
        <f t="shared" si="88"/>
        <v>Complete</v>
      </c>
      <c r="R739">
        <f t="shared" si="95"/>
        <v>0.18179999999999999</v>
      </c>
      <c r="S739">
        <f t="shared" si="89"/>
        <v>2011</v>
      </c>
      <c r="T739" t="str">
        <f t="shared" si="90"/>
        <v/>
      </c>
      <c r="U739" t="str">
        <f t="shared" si="91"/>
        <v>Weekday</v>
      </c>
      <c r="V739" t="str">
        <f t="shared" si="92"/>
        <v>Afternoon</v>
      </c>
      <c r="W739" t="str">
        <f t="shared" si="93"/>
        <v>Spring</v>
      </c>
      <c r="X739" t="str">
        <f t="shared" si="94"/>
        <v>Clear</v>
      </c>
    </row>
    <row r="740" spans="1:24">
      <c r="A740">
        <v>748</v>
      </c>
      <c r="B740" s="2">
        <v>40577</v>
      </c>
      <c r="C740">
        <v>1</v>
      </c>
      <c r="D740">
        <v>0</v>
      </c>
      <c r="E740">
        <v>2</v>
      </c>
      <c r="F740">
        <v>13</v>
      </c>
      <c r="G740" t="b">
        <v>0</v>
      </c>
      <c r="H740">
        <v>4</v>
      </c>
      <c r="I740">
        <v>1</v>
      </c>
      <c r="J740">
        <v>0.2</v>
      </c>
      <c r="K740">
        <v>0.16669999999999999</v>
      </c>
      <c r="L740">
        <v>0.4</v>
      </c>
      <c r="M740">
        <v>0.41789999999999999</v>
      </c>
      <c r="N740">
        <v>4</v>
      </c>
      <c r="O740">
        <v>47</v>
      </c>
      <c r="P740">
        <v>51</v>
      </c>
      <c r="Q740" t="str">
        <f t="shared" si="88"/>
        <v>Complete</v>
      </c>
      <c r="R740">
        <f t="shared" si="95"/>
        <v>0.16669999999999999</v>
      </c>
      <c r="S740">
        <f t="shared" si="89"/>
        <v>2011</v>
      </c>
      <c r="T740" t="str">
        <f t="shared" si="90"/>
        <v/>
      </c>
      <c r="U740" t="str">
        <f t="shared" si="91"/>
        <v>Weekday</v>
      </c>
      <c r="V740" t="str">
        <f t="shared" si="92"/>
        <v>Afternoon</v>
      </c>
      <c r="W740" t="str">
        <f t="shared" si="93"/>
        <v>Spring</v>
      </c>
      <c r="X740" t="str">
        <f t="shared" si="94"/>
        <v>Clear</v>
      </c>
    </row>
    <row r="741" spans="1:24">
      <c r="A741">
        <v>749</v>
      </c>
      <c r="B741" s="2">
        <v>40577</v>
      </c>
      <c r="C741">
        <v>1</v>
      </c>
      <c r="D741">
        <v>0</v>
      </c>
      <c r="E741">
        <v>2</v>
      </c>
      <c r="F741">
        <v>14</v>
      </c>
      <c r="G741" t="b">
        <v>0</v>
      </c>
      <c r="H741">
        <v>4</v>
      </c>
      <c r="I741">
        <v>1</v>
      </c>
      <c r="J741">
        <v>0.22</v>
      </c>
      <c r="K741">
        <v>0.19700000000000001</v>
      </c>
      <c r="L741">
        <v>0.37</v>
      </c>
      <c r="M741">
        <v>0.3881</v>
      </c>
      <c r="N741">
        <v>4</v>
      </c>
      <c r="O741">
        <v>43</v>
      </c>
      <c r="P741">
        <v>47</v>
      </c>
      <c r="Q741" t="str">
        <f t="shared" si="88"/>
        <v>Complete</v>
      </c>
      <c r="R741">
        <f t="shared" si="95"/>
        <v>0.19700000000000001</v>
      </c>
      <c r="S741">
        <f t="shared" si="89"/>
        <v>2011</v>
      </c>
      <c r="T741" t="str">
        <f t="shared" si="90"/>
        <v/>
      </c>
      <c r="U741" t="str">
        <f t="shared" si="91"/>
        <v>Weekday</v>
      </c>
      <c r="V741" t="str">
        <f t="shared" si="92"/>
        <v>Afternoon</v>
      </c>
      <c r="W741" t="str">
        <f t="shared" si="93"/>
        <v>Spring</v>
      </c>
      <c r="X741" t="str">
        <f t="shared" si="94"/>
        <v>Clear</v>
      </c>
    </row>
    <row r="742" spans="1:24">
      <c r="A742">
        <v>750</v>
      </c>
      <c r="B742" s="2">
        <v>40577</v>
      </c>
      <c r="C742">
        <v>1</v>
      </c>
      <c r="D742">
        <v>0</v>
      </c>
      <c r="E742">
        <v>2</v>
      </c>
      <c r="F742">
        <v>15</v>
      </c>
      <c r="G742" t="b">
        <v>0</v>
      </c>
      <c r="H742">
        <v>4</v>
      </c>
      <c r="I742">
        <v>1</v>
      </c>
      <c r="J742">
        <v>0.22</v>
      </c>
      <c r="K742">
        <v>0.19700000000000001</v>
      </c>
      <c r="L742">
        <v>0.37</v>
      </c>
      <c r="M742">
        <v>0.32840000000000003</v>
      </c>
      <c r="N742">
        <v>4</v>
      </c>
      <c r="O742">
        <v>56</v>
      </c>
      <c r="P742">
        <v>60</v>
      </c>
      <c r="Q742" t="str">
        <f t="shared" si="88"/>
        <v>Complete</v>
      </c>
      <c r="R742">
        <f t="shared" si="95"/>
        <v>0.19700000000000001</v>
      </c>
      <c r="S742">
        <f t="shared" si="89"/>
        <v>2011</v>
      </c>
      <c r="T742" t="str">
        <f t="shared" si="90"/>
        <v/>
      </c>
      <c r="U742" t="str">
        <f t="shared" si="91"/>
        <v>Weekday</v>
      </c>
      <c r="V742" t="str">
        <f t="shared" si="92"/>
        <v>Afternoon</v>
      </c>
      <c r="W742" t="str">
        <f t="shared" si="93"/>
        <v>Spring</v>
      </c>
      <c r="X742" t="str">
        <f t="shared" si="94"/>
        <v>Clear</v>
      </c>
    </row>
    <row r="743" spans="1:24">
      <c r="A743">
        <v>751</v>
      </c>
      <c r="B743" s="2">
        <v>40577</v>
      </c>
      <c r="C743">
        <v>1</v>
      </c>
      <c r="D743">
        <v>0</v>
      </c>
      <c r="E743">
        <v>2</v>
      </c>
      <c r="F743">
        <v>16</v>
      </c>
      <c r="G743" t="b">
        <v>0</v>
      </c>
      <c r="H743">
        <v>4</v>
      </c>
      <c r="I743">
        <v>1</v>
      </c>
      <c r="J743">
        <v>0.22</v>
      </c>
      <c r="K743">
        <v>0.21210000000000001</v>
      </c>
      <c r="L743">
        <v>0.37</v>
      </c>
      <c r="M743">
        <v>0.25369999999999998</v>
      </c>
      <c r="N743">
        <v>5</v>
      </c>
      <c r="O743">
        <v>73</v>
      </c>
      <c r="P743">
        <v>78</v>
      </c>
      <c r="Q743" t="str">
        <f t="shared" si="88"/>
        <v>Complete</v>
      </c>
      <c r="R743">
        <f t="shared" si="95"/>
        <v>0.21210000000000001</v>
      </c>
      <c r="S743">
        <f t="shared" si="89"/>
        <v>2011</v>
      </c>
      <c r="T743" t="str">
        <f t="shared" si="90"/>
        <v/>
      </c>
      <c r="U743" t="str">
        <f t="shared" si="91"/>
        <v>Weekday</v>
      </c>
      <c r="V743" t="str">
        <f t="shared" si="92"/>
        <v>Afternoon</v>
      </c>
      <c r="W743" t="str">
        <f t="shared" si="93"/>
        <v>Spring</v>
      </c>
      <c r="X743" t="str">
        <f t="shared" si="94"/>
        <v>Clear</v>
      </c>
    </row>
    <row r="744" spans="1:24">
      <c r="A744">
        <v>752</v>
      </c>
      <c r="B744" s="2">
        <v>40577</v>
      </c>
      <c r="C744">
        <v>1</v>
      </c>
      <c r="D744">
        <v>0</v>
      </c>
      <c r="E744">
        <v>2</v>
      </c>
      <c r="F744">
        <v>17</v>
      </c>
      <c r="G744" t="b">
        <v>0</v>
      </c>
      <c r="H744">
        <v>4</v>
      </c>
      <c r="I744">
        <v>1</v>
      </c>
      <c r="J744">
        <v>0.2</v>
      </c>
      <c r="K744">
        <v>0.19700000000000001</v>
      </c>
      <c r="L744">
        <v>0.4</v>
      </c>
      <c r="M744">
        <v>0.19400000000000001</v>
      </c>
      <c r="N744">
        <v>5</v>
      </c>
      <c r="O744">
        <v>170</v>
      </c>
      <c r="P744">
        <v>175</v>
      </c>
      <c r="Q744" t="str">
        <f t="shared" si="88"/>
        <v>Complete</v>
      </c>
      <c r="R744">
        <f t="shared" si="95"/>
        <v>0.19700000000000001</v>
      </c>
      <c r="S744">
        <f t="shared" si="89"/>
        <v>2011</v>
      </c>
      <c r="T744" t="str">
        <f t="shared" si="90"/>
        <v/>
      </c>
      <c r="U744" t="str">
        <f t="shared" si="91"/>
        <v>Weekday</v>
      </c>
      <c r="V744" t="str">
        <f t="shared" si="92"/>
        <v>Afternoon</v>
      </c>
      <c r="W744" t="str">
        <f t="shared" si="93"/>
        <v>Spring</v>
      </c>
      <c r="X744" t="str">
        <f t="shared" si="94"/>
        <v>Clear</v>
      </c>
    </row>
    <row r="745" spans="1:24">
      <c r="A745">
        <v>753</v>
      </c>
      <c r="B745" s="2">
        <v>40577</v>
      </c>
      <c r="C745">
        <v>1</v>
      </c>
      <c r="D745">
        <v>0</v>
      </c>
      <c r="E745">
        <v>2</v>
      </c>
      <c r="F745">
        <v>18</v>
      </c>
      <c r="G745" t="b">
        <v>0</v>
      </c>
      <c r="H745">
        <v>4</v>
      </c>
      <c r="I745">
        <v>1</v>
      </c>
      <c r="J745">
        <v>0.2</v>
      </c>
      <c r="K745">
        <v>0.21210000000000001</v>
      </c>
      <c r="L745">
        <v>0.4</v>
      </c>
      <c r="M745">
        <v>0.16420000000000001</v>
      </c>
      <c r="N745">
        <v>2</v>
      </c>
      <c r="O745">
        <v>145</v>
      </c>
      <c r="P745">
        <v>147</v>
      </c>
      <c r="Q745" t="str">
        <f t="shared" si="88"/>
        <v>Complete</v>
      </c>
      <c r="R745">
        <f t="shared" si="95"/>
        <v>0.21210000000000001</v>
      </c>
      <c r="S745">
        <f t="shared" si="89"/>
        <v>2011</v>
      </c>
      <c r="T745" t="str">
        <f t="shared" si="90"/>
        <v/>
      </c>
      <c r="U745" t="str">
        <f t="shared" si="91"/>
        <v>Weekday</v>
      </c>
      <c r="V745" t="str">
        <f t="shared" si="92"/>
        <v>Evening</v>
      </c>
      <c r="W745" t="str">
        <f t="shared" si="93"/>
        <v>Spring</v>
      </c>
      <c r="X745" t="str">
        <f t="shared" si="94"/>
        <v>Clear</v>
      </c>
    </row>
    <row r="746" spans="1:24">
      <c r="A746">
        <v>754</v>
      </c>
      <c r="B746" s="2">
        <v>40577</v>
      </c>
      <c r="C746">
        <v>1</v>
      </c>
      <c r="D746">
        <v>0</v>
      </c>
      <c r="E746">
        <v>2</v>
      </c>
      <c r="F746">
        <v>19</v>
      </c>
      <c r="G746" t="b">
        <v>0</v>
      </c>
      <c r="H746">
        <v>4</v>
      </c>
      <c r="I746">
        <v>1</v>
      </c>
      <c r="J746">
        <v>0.2</v>
      </c>
      <c r="K746">
        <v>0.2576</v>
      </c>
      <c r="L746">
        <v>0.4</v>
      </c>
      <c r="M746">
        <v>0</v>
      </c>
      <c r="N746">
        <v>4</v>
      </c>
      <c r="O746">
        <v>92</v>
      </c>
      <c r="P746">
        <v>96</v>
      </c>
      <c r="Q746" t="str">
        <f t="shared" si="88"/>
        <v>Complete</v>
      </c>
      <c r="R746">
        <f t="shared" si="95"/>
        <v>0.2576</v>
      </c>
      <c r="S746">
        <f t="shared" si="89"/>
        <v>2011</v>
      </c>
      <c r="T746" t="str">
        <f t="shared" si="90"/>
        <v/>
      </c>
      <c r="U746" t="str">
        <f t="shared" si="91"/>
        <v>Weekday</v>
      </c>
      <c r="V746" t="str">
        <f t="shared" si="92"/>
        <v>Evening</v>
      </c>
      <c r="W746" t="str">
        <f t="shared" si="93"/>
        <v>Spring</v>
      </c>
      <c r="X746" t="str">
        <f t="shared" si="94"/>
        <v>Clear</v>
      </c>
    </row>
    <row r="747" spans="1:24">
      <c r="A747">
        <v>755</v>
      </c>
      <c r="B747" s="2">
        <v>40577</v>
      </c>
      <c r="C747">
        <v>1</v>
      </c>
      <c r="D747">
        <v>0</v>
      </c>
      <c r="E747">
        <v>2</v>
      </c>
      <c r="F747">
        <v>20</v>
      </c>
      <c r="G747" t="b">
        <v>0</v>
      </c>
      <c r="H747">
        <v>4</v>
      </c>
      <c r="I747">
        <v>1</v>
      </c>
      <c r="J747">
        <v>0.2</v>
      </c>
      <c r="K747">
        <v>0.2273</v>
      </c>
      <c r="L747">
        <v>0.47</v>
      </c>
      <c r="M747">
        <v>8.9599999999999999E-2</v>
      </c>
      <c r="N747">
        <v>1</v>
      </c>
      <c r="O747">
        <v>108</v>
      </c>
      <c r="P747">
        <v>109</v>
      </c>
      <c r="Q747" t="str">
        <f t="shared" si="88"/>
        <v>Complete</v>
      </c>
      <c r="R747">
        <f t="shared" si="95"/>
        <v>0.2273</v>
      </c>
      <c r="S747">
        <f t="shared" si="89"/>
        <v>2011</v>
      </c>
      <c r="T747" t="str">
        <f t="shared" si="90"/>
        <v/>
      </c>
      <c r="U747" t="str">
        <f t="shared" si="91"/>
        <v>Weekday</v>
      </c>
      <c r="V747" t="str">
        <f t="shared" si="92"/>
        <v>Evening</v>
      </c>
      <c r="W747" t="str">
        <f t="shared" si="93"/>
        <v>Spring</v>
      </c>
      <c r="X747" t="str">
        <f t="shared" si="94"/>
        <v>Clear</v>
      </c>
    </row>
    <row r="748" spans="1:24">
      <c r="A748">
        <v>756</v>
      </c>
      <c r="B748" s="2">
        <v>40577</v>
      </c>
      <c r="C748">
        <v>1</v>
      </c>
      <c r="D748">
        <v>0</v>
      </c>
      <c r="E748">
        <v>2</v>
      </c>
      <c r="F748">
        <v>21</v>
      </c>
      <c r="G748" t="b">
        <v>0</v>
      </c>
      <c r="H748">
        <v>4</v>
      </c>
      <c r="I748">
        <v>1</v>
      </c>
      <c r="J748">
        <v>0.18</v>
      </c>
      <c r="K748">
        <v>0.21210000000000001</v>
      </c>
      <c r="L748">
        <v>0.55000000000000004</v>
      </c>
      <c r="M748">
        <v>0.1045</v>
      </c>
      <c r="N748">
        <v>1</v>
      </c>
      <c r="O748">
        <v>53</v>
      </c>
      <c r="P748">
        <v>54</v>
      </c>
      <c r="Q748" t="str">
        <f t="shared" si="88"/>
        <v>Complete</v>
      </c>
      <c r="R748">
        <f t="shared" si="95"/>
        <v>0.21210000000000001</v>
      </c>
      <c r="S748">
        <f t="shared" si="89"/>
        <v>2011</v>
      </c>
      <c r="T748" t="str">
        <f t="shared" si="90"/>
        <v/>
      </c>
      <c r="U748" t="str">
        <f t="shared" si="91"/>
        <v>Weekday</v>
      </c>
      <c r="V748" t="str">
        <f t="shared" si="92"/>
        <v>Evening</v>
      </c>
      <c r="W748" t="str">
        <f t="shared" si="93"/>
        <v>Spring</v>
      </c>
      <c r="X748" t="str">
        <f t="shared" si="94"/>
        <v>Clear</v>
      </c>
    </row>
    <row r="749" spans="1:24">
      <c r="A749">
        <v>757</v>
      </c>
      <c r="B749" s="2">
        <v>40577</v>
      </c>
      <c r="C749">
        <v>1</v>
      </c>
      <c r="D749">
        <v>0</v>
      </c>
      <c r="E749">
        <v>2</v>
      </c>
      <c r="F749">
        <v>22</v>
      </c>
      <c r="G749" t="b">
        <v>0</v>
      </c>
      <c r="H749">
        <v>4</v>
      </c>
      <c r="I749">
        <v>1</v>
      </c>
      <c r="J749">
        <v>0.18</v>
      </c>
      <c r="K749">
        <v>0.21210000000000001</v>
      </c>
      <c r="L749">
        <v>0.51</v>
      </c>
      <c r="M749">
        <v>8.9599999999999999E-2</v>
      </c>
      <c r="N749">
        <v>2</v>
      </c>
      <c r="O749">
        <v>39</v>
      </c>
      <c r="P749">
        <v>41</v>
      </c>
      <c r="Q749" t="str">
        <f t="shared" si="88"/>
        <v>Complete</v>
      </c>
      <c r="R749">
        <f t="shared" si="95"/>
        <v>0.21210000000000001</v>
      </c>
      <c r="S749">
        <f t="shared" si="89"/>
        <v>2011</v>
      </c>
      <c r="T749" t="str">
        <f t="shared" si="90"/>
        <v/>
      </c>
      <c r="U749" t="str">
        <f t="shared" si="91"/>
        <v>Weekday</v>
      </c>
      <c r="V749" t="str">
        <f t="shared" si="92"/>
        <v>Evening</v>
      </c>
      <c r="W749" t="str">
        <f t="shared" si="93"/>
        <v>Spring</v>
      </c>
      <c r="X749" t="str">
        <f t="shared" si="94"/>
        <v>Clear</v>
      </c>
    </row>
    <row r="750" spans="1:24">
      <c r="A750">
        <v>758</v>
      </c>
      <c r="B750" s="2">
        <v>40577</v>
      </c>
      <c r="C750">
        <v>1</v>
      </c>
      <c r="D750">
        <v>0</v>
      </c>
      <c r="E750">
        <v>2</v>
      </c>
      <c r="F750">
        <v>23</v>
      </c>
      <c r="G750" t="b">
        <v>0</v>
      </c>
      <c r="H750">
        <v>4</v>
      </c>
      <c r="I750">
        <v>1</v>
      </c>
      <c r="J750">
        <v>0.2</v>
      </c>
      <c r="K750">
        <v>0.2273</v>
      </c>
      <c r="L750">
        <v>0.47</v>
      </c>
      <c r="M750">
        <v>0.1045</v>
      </c>
      <c r="N750">
        <v>4</v>
      </c>
      <c r="O750">
        <v>34</v>
      </c>
      <c r="P750">
        <v>38</v>
      </c>
      <c r="Q750" t="str">
        <f t="shared" si="88"/>
        <v>Complete</v>
      </c>
      <c r="R750">
        <f t="shared" si="95"/>
        <v>0.2273</v>
      </c>
      <c r="S750">
        <f t="shared" si="89"/>
        <v>2011</v>
      </c>
      <c r="T750" t="str">
        <f t="shared" si="90"/>
        <v/>
      </c>
      <c r="U750" t="str">
        <f t="shared" si="91"/>
        <v>Weekday</v>
      </c>
      <c r="V750" t="str">
        <f t="shared" si="92"/>
        <v>Evening</v>
      </c>
      <c r="W750" t="str">
        <f t="shared" si="93"/>
        <v>Spring</v>
      </c>
      <c r="X750" t="str">
        <f t="shared" si="94"/>
        <v>Clear</v>
      </c>
    </row>
    <row r="751" spans="1:24">
      <c r="A751">
        <v>759</v>
      </c>
      <c r="B751" s="2">
        <v>40578</v>
      </c>
      <c r="C751">
        <v>1</v>
      </c>
      <c r="D751">
        <v>0</v>
      </c>
      <c r="E751">
        <v>2</v>
      </c>
      <c r="F751">
        <v>0</v>
      </c>
      <c r="G751" t="b">
        <v>0</v>
      </c>
      <c r="H751">
        <v>5</v>
      </c>
      <c r="I751">
        <v>2</v>
      </c>
      <c r="J751">
        <v>0.2</v>
      </c>
      <c r="K751">
        <v>0.2576</v>
      </c>
      <c r="L751">
        <v>0.44</v>
      </c>
      <c r="M751">
        <v>0</v>
      </c>
      <c r="N751">
        <v>3</v>
      </c>
      <c r="O751">
        <v>10</v>
      </c>
      <c r="P751">
        <v>13</v>
      </c>
      <c r="Q751" t="str">
        <f t="shared" si="88"/>
        <v>Complete</v>
      </c>
      <c r="R751">
        <f t="shared" si="95"/>
        <v>0.2576</v>
      </c>
      <c r="S751">
        <f t="shared" si="89"/>
        <v>2011</v>
      </c>
      <c r="T751" t="str">
        <f t="shared" si="90"/>
        <v/>
      </c>
      <c r="U751" t="str">
        <f t="shared" si="91"/>
        <v>Weekday</v>
      </c>
      <c r="V751" t="str">
        <f t="shared" si="92"/>
        <v>Night</v>
      </c>
      <c r="W751" t="str">
        <f t="shared" si="93"/>
        <v>Spring</v>
      </c>
      <c r="X751" t="str">
        <f t="shared" si="94"/>
        <v>Mist/Cloudy</v>
      </c>
    </row>
    <row r="752" spans="1:24">
      <c r="A752">
        <v>760</v>
      </c>
      <c r="B752" s="2">
        <v>40578</v>
      </c>
      <c r="C752">
        <v>1</v>
      </c>
      <c r="D752">
        <v>0</v>
      </c>
      <c r="E752">
        <v>2</v>
      </c>
      <c r="F752">
        <v>1</v>
      </c>
      <c r="G752" t="b">
        <v>0</v>
      </c>
      <c r="H752">
        <v>5</v>
      </c>
      <c r="I752">
        <v>2</v>
      </c>
      <c r="J752">
        <v>0.16</v>
      </c>
      <c r="K752">
        <v>0.2273</v>
      </c>
      <c r="L752">
        <v>0.59</v>
      </c>
      <c r="M752">
        <v>0</v>
      </c>
      <c r="N752">
        <v>0</v>
      </c>
      <c r="O752">
        <v>7</v>
      </c>
      <c r="P752">
        <v>7</v>
      </c>
      <c r="Q752" t="str">
        <f t="shared" si="88"/>
        <v>Complete</v>
      </c>
      <c r="R752">
        <f t="shared" si="95"/>
        <v>0.2273</v>
      </c>
      <c r="S752">
        <f t="shared" si="89"/>
        <v>2011</v>
      </c>
      <c r="T752" t="str">
        <f t="shared" si="90"/>
        <v/>
      </c>
      <c r="U752" t="str">
        <f t="shared" si="91"/>
        <v>Weekday</v>
      </c>
      <c r="V752" t="str">
        <f t="shared" si="92"/>
        <v>Night</v>
      </c>
      <c r="W752" t="str">
        <f t="shared" si="93"/>
        <v>Spring</v>
      </c>
      <c r="X752" t="str">
        <f t="shared" si="94"/>
        <v>Mist/Cloudy</v>
      </c>
    </row>
    <row r="753" spans="1:24">
      <c r="A753">
        <v>761</v>
      </c>
      <c r="B753" s="2">
        <v>40578</v>
      </c>
      <c r="C753">
        <v>1</v>
      </c>
      <c r="D753">
        <v>0</v>
      </c>
      <c r="E753">
        <v>2</v>
      </c>
      <c r="F753">
        <v>2</v>
      </c>
      <c r="G753" t="b">
        <v>0</v>
      </c>
      <c r="H753">
        <v>5</v>
      </c>
      <c r="I753">
        <v>2</v>
      </c>
      <c r="J753">
        <v>0.14000000000000001</v>
      </c>
      <c r="K753">
        <v>0.16669999999999999</v>
      </c>
      <c r="L753">
        <v>0.63</v>
      </c>
      <c r="M753">
        <v>0.1045</v>
      </c>
      <c r="N753">
        <v>0</v>
      </c>
      <c r="O753">
        <v>1</v>
      </c>
      <c r="P753">
        <v>1</v>
      </c>
      <c r="Q753" t="str">
        <f t="shared" si="88"/>
        <v>Complete</v>
      </c>
      <c r="R753">
        <f t="shared" si="95"/>
        <v>0.16669999999999999</v>
      </c>
      <c r="S753">
        <f t="shared" si="89"/>
        <v>2011</v>
      </c>
      <c r="T753" t="str">
        <f t="shared" si="90"/>
        <v/>
      </c>
      <c r="U753" t="str">
        <f t="shared" si="91"/>
        <v>Weekday</v>
      </c>
      <c r="V753" t="str">
        <f t="shared" si="92"/>
        <v>Night</v>
      </c>
      <c r="W753" t="str">
        <f t="shared" si="93"/>
        <v>Spring</v>
      </c>
      <c r="X753" t="str">
        <f t="shared" si="94"/>
        <v>Mist/Cloudy</v>
      </c>
    </row>
    <row r="754" spans="1:24">
      <c r="A754">
        <v>762</v>
      </c>
      <c r="B754" s="2">
        <v>40578</v>
      </c>
      <c r="C754">
        <v>1</v>
      </c>
      <c r="D754">
        <v>0</v>
      </c>
      <c r="E754">
        <v>2</v>
      </c>
      <c r="F754">
        <v>3</v>
      </c>
      <c r="G754" t="b">
        <v>0</v>
      </c>
      <c r="H754">
        <v>5</v>
      </c>
      <c r="I754">
        <v>2</v>
      </c>
      <c r="J754">
        <v>0.14000000000000001</v>
      </c>
      <c r="K754">
        <v>0.16669999999999999</v>
      </c>
      <c r="L754">
        <v>0.63</v>
      </c>
      <c r="M754">
        <v>0.1045</v>
      </c>
      <c r="N754">
        <v>0</v>
      </c>
      <c r="O754">
        <v>1</v>
      </c>
      <c r="P754">
        <v>1</v>
      </c>
      <c r="Q754" t="str">
        <f t="shared" si="88"/>
        <v>Complete</v>
      </c>
      <c r="R754">
        <f t="shared" si="95"/>
        <v>0.16669999999999999</v>
      </c>
      <c r="S754">
        <f t="shared" si="89"/>
        <v>2011</v>
      </c>
      <c r="T754" t="str">
        <f t="shared" si="90"/>
        <v/>
      </c>
      <c r="U754" t="str">
        <f t="shared" si="91"/>
        <v>Weekday</v>
      </c>
      <c r="V754" t="str">
        <f t="shared" si="92"/>
        <v>Night</v>
      </c>
      <c r="W754" t="str">
        <f t="shared" si="93"/>
        <v>Spring</v>
      </c>
      <c r="X754" t="str">
        <f t="shared" si="94"/>
        <v>Mist/Cloudy</v>
      </c>
    </row>
    <row r="755" spans="1:24">
      <c r="A755">
        <v>763</v>
      </c>
      <c r="B755" s="2">
        <v>40578</v>
      </c>
      <c r="C755">
        <v>1</v>
      </c>
      <c r="D755">
        <v>0</v>
      </c>
      <c r="E755">
        <v>2</v>
      </c>
      <c r="F755">
        <v>5</v>
      </c>
      <c r="G755" t="b">
        <v>0</v>
      </c>
      <c r="H755">
        <v>5</v>
      </c>
      <c r="I755">
        <v>2</v>
      </c>
      <c r="J755">
        <v>0.14000000000000001</v>
      </c>
      <c r="K755">
        <v>0.1515</v>
      </c>
      <c r="L755">
        <v>0.63</v>
      </c>
      <c r="M755">
        <v>0.1343</v>
      </c>
      <c r="N755">
        <v>0</v>
      </c>
      <c r="O755">
        <v>7</v>
      </c>
      <c r="P755">
        <v>7</v>
      </c>
      <c r="Q755" t="str">
        <f t="shared" si="88"/>
        <v>Complete</v>
      </c>
      <c r="R755">
        <f t="shared" si="95"/>
        <v>0.1515</v>
      </c>
      <c r="S755">
        <f t="shared" si="89"/>
        <v>2011</v>
      </c>
      <c r="T755" t="str">
        <f t="shared" si="90"/>
        <v/>
      </c>
      <c r="U755" t="str">
        <f t="shared" si="91"/>
        <v>Weekday</v>
      </c>
      <c r="V755" t="str">
        <f t="shared" si="92"/>
        <v>Night</v>
      </c>
      <c r="W755" t="str">
        <f t="shared" si="93"/>
        <v>Spring</v>
      </c>
      <c r="X755" t="str">
        <f t="shared" si="94"/>
        <v>Mist/Cloudy</v>
      </c>
    </row>
    <row r="756" spans="1:24">
      <c r="A756">
        <v>764</v>
      </c>
      <c r="B756" s="2">
        <v>40578</v>
      </c>
      <c r="C756">
        <v>1</v>
      </c>
      <c r="D756">
        <v>0</v>
      </c>
      <c r="E756">
        <v>2</v>
      </c>
      <c r="F756">
        <v>6</v>
      </c>
      <c r="G756" t="b">
        <v>0</v>
      </c>
      <c r="H756">
        <v>5</v>
      </c>
      <c r="I756">
        <v>2</v>
      </c>
      <c r="J756">
        <v>0.16</v>
      </c>
      <c r="K756">
        <v>0.2273</v>
      </c>
      <c r="L756">
        <v>0.55000000000000004</v>
      </c>
      <c r="M756">
        <v>0</v>
      </c>
      <c r="N756">
        <v>2</v>
      </c>
      <c r="O756">
        <v>26</v>
      </c>
      <c r="P756">
        <v>28</v>
      </c>
      <c r="Q756" t="str">
        <f t="shared" si="88"/>
        <v>Complete</v>
      </c>
      <c r="R756">
        <f t="shared" si="95"/>
        <v>0.2273</v>
      </c>
      <c r="S756">
        <f t="shared" si="89"/>
        <v>2011</v>
      </c>
      <c r="T756" t="str">
        <f t="shared" si="90"/>
        <v/>
      </c>
      <c r="U756" t="str">
        <f t="shared" si="91"/>
        <v>Weekday</v>
      </c>
      <c r="V756" t="str">
        <f t="shared" si="92"/>
        <v>Morning</v>
      </c>
      <c r="W756" t="str">
        <f t="shared" si="93"/>
        <v>Spring</v>
      </c>
      <c r="X756" t="str">
        <f t="shared" si="94"/>
        <v>Mist/Cloudy</v>
      </c>
    </row>
    <row r="757" spans="1:24">
      <c r="A757">
        <v>765</v>
      </c>
      <c r="B757" s="2">
        <v>40578</v>
      </c>
      <c r="C757">
        <v>1</v>
      </c>
      <c r="D757">
        <v>0</v>
      </c>
      <c r="E757">
        <v>2</v>
      </c>
      <c r="F757">
        <v>7</v>
      </c>
      <c r="G757" t="b">
        <v>0</v>
      </c>
      <c r="H757">
        <v>5</v>
      </c>
      <c r="I757">
        <v>1</v>
      </c>
      <c r="J757">
        <v>0.14000000000000001</v>
      </c>
      <c r="K757">
        <v>0.21210000000000001</v>
      </c>
      <c r="L757">
        <v>0.59</v>
      </c>
      <c r="M757">
        <v>0</v>
      </c>
      <c r="N757">
        <v>0</v>
      </c>
      <c r="O757">
        <v>87</v>
      </c>
      <c r="P757">
        <v>87</v>
      </c>
      <c r="Q757" t="str">
        <f t="shared" si="88"/>
        <v>Complete</v>
      </c>
      <c r="R757">
        <f t="shared" si="95"/>
        <v>0.21210000000000001</v>
      </c>
      <c r="S757">
        <f t="shared" si="89"/>
        <v>2011</v>
      </c>
      <c r="T757" t="str">
        <f t="shared" si="90"/>
        <v/>
      </c>
      <c r="U757" t="str">
        <f t="shared" si="91"/>
        <v>Weekday</v>
      </c>
      <c r="V757" t="str">
        <f t="shared" si="92"/>
        <v>Morning</v>
      </c>
      <c r="W757" t="str">
        <f t="shared" si="93"/>
        <v>Spring</v>
      </c>
      <c r="X757" t="str">
        <f t="shared" si="94"/>
        <v>Clear</v>
      </c>
    </row>
    <row r="758" spans="1:24">
      <c r="A758">
        <v>766</v>
      </c>
      <c r="B758" s="2">
        <v>40578</v>
      </c>
      <c r="C758">
        <v>1</v>
      </c>
      <c r="D758">
        <v>0</v>
      </c>
      <c r="E758">
        <v>2</v>
      </c>
      <c r="F758">
        <v>8</v>
      </c>
      <c r="G758" t="b">
        <v>0</v>
      </c>
      <c r="H758">
        <v>5</v>
      </c>
      <c r="I758">
        <v>1</v>
      </c>
      <c r="J758">
        <v>0.14000000000000001</v>
      </c>
      <c r="K758">
        <v>0.1515</v>
      </c>
      <c r="L758">
        <v>0.74</v>
      </c>
      <c r="M758">
        <v>0.1343</v>
      </c>
      <c r="N758">
        <v>3</v>
      </c>
      <c r="O758">
        <v>217</v>
      </c>
      <c r="P758">
        <v>220</v>
      </c>
      <c r="Q758" t="str">
        <f t="shared" si="88"/>
        <v>Complete</v>
      </c>
      <c r="R758">
        <f t="shared" si="95"/>
        <v>0.1515</v>
      </c>
      <c r="S758">
        <f t="shared" si="89"/>
        <v>2011</v>
      </c>
      <c r="T758" t="str">
        <f t="shared" si="90"/>
        <v/>
      </c>
      <c r="U758" t="str">
        <f t="shared" si="91"/>
        <v>Weekday</v>
      </c>
      <c r="V758" t="str">
        <f t="shared" si="92"/>
        <v>Morning</v>
      </c>
      <c r="W758" t="str">
        <f t="shared" si="93"/>
        <v>Spring</v>
      </c>
      <c r="X758" t="str">
        <f t="shared" si="94"/>
        <v>Clear</v>
      </c>
    </row>
    <row r="759" spans="1:24">
      <c r="A759">
        <v>767</v>
      </c>
      <c r="B759" s="2">
        <v>40578</v>
      </c>
      <c r="C759">
        <v>1</v>
      </c>
      <c r="D759">
        <v>0</v>
      </c>
      <c r="E759">
        <v>2</v>
      </c>
      <c r="F759">
        <v>9</v>
      </c>
      <c r="G759" t="b">
        <v>0</v>
      </c>
      <c r="H759">
        <v>5</v>
      </c>
      <c r="I759">
        <v>2</v>
      </c>
      <c r="J759">
        <v>0.16</v>
      </c>
      <c r="K759">
        <v>0.18179999999999999</v>
      </c>
      <c r="L759">
        <v>0.8</v>
      </c>
      <c r="M759">
        <v>0.1343</v>
      </c>
      <c r="N759">
        <v>3</v>
      </c>
      <c r="O759">
        <v>124</v>
      </c>
      <c r="P759">
        <v>127</v>
      </c>
      <c r="Q759" t="str">
        <f t="shared" si="88"/>
        <v>Complete</v>
      </c>
      <c r="R759">
        <f t="shared" si="95"/>
        <v>0.18179999999999999</v>
      </c>
      <c r="S759">
        <f t="shared" si="89"/>
        <v>2011</v>
      </c>
      <c r="T759" t="str">
        <f t="shared" si="90"/>
        <v/>
      </c>
      <c r="U759" t="str">
        <f t="shared" si="91"/>
        <v>Weekday</v>
      </c>
      <c r="V759" t="str">
        <f t="shared" si="92"/>
        <v>Morning</v>
      </c>
      <c r="W759" t="str">
        <f t="shared" si="93"/>
        <v>Spring</v>
      </c>
      <c r="X759" t="str">
        <f t="shared" si="94"/>
        <v>Mist/Cloudy</v>
      </c>
    </row>
    <row r="760" spans="1:24">
      <c r="A760">
        <v>768</v>
      </c>
      <c r="B760" s="2">
        <v>40578</v>
      </c>
      <c r="C760">
        <v>1</v>
      </c>
      <c r="D760">
        <v>0</v>
      </c>
      <c r="E760">
        <v>2</v>
      </c>
      <c r="F760">
        <v>10</v>
      </c>
      <c r="G760" t="b">
        <v>0</v>
      </c>
      <c r="H760">
        <v>5</v>
      </c>
      <c r="I760">
        <v>2</v>
      </c>
      <c r="J760">
        <v>0.2</v>
      </c>
      <c r="K760">
        <v>0.21210000000000001</v>
      </c>
      <c r="L760">
        <v>0.51</v>
      </c>
      <c r="M760">
        <v>0.1343</v>
      </c>
      <c r="N760">
        <v>5</v>
      </c>
      <c r="O760">
        <v>46</v>
      </c>
      <c r="P760">
        <v>51</v>
      </c>
      <c r="Q760" t="str">
        <f t="shared" si="88"/>
        <v>Complete</v>
      </c>
      <c r="R760">
        <f t="shared" si="95"/>
        <v>0.21210000000000001</v>
      </c>
      <c r="S760">
        <f t="shared" si="89"/>
        <v>2011</v>
      </c>
      <c r="T760" t="str">
        <f t="shared" si="90"/>
        <v/>
      </c>
      <c r="U760" t="str">
        <f t="shared" si="91"/>
        <v>Weekday</v>
      </c>
      <c r="V760" t="str">
        <f t="shared" si="92"/>
        <v>Morning</v>
      </c>
      <c r="W760" t="str">
        <f t="shared" si="93"/>
        <v>Spring</v>
      </c>
      <c r="X760" t="str">
        <f t="shared" si="94"/>
        <v>Mist/Cloudy</v>
      </c>
    </row>
    <row r="761" spans="1:24">
      <c r="A761">
        <v>769</v>
      </c>
      <c r="B761" s="2">
        <v>40578</v>
      </c>
      <c r="C761">
        <v>1</v>
      </c>
      <c r="D761">
        <v>0</v>
      </c>
      <c r="E761">
        <v>2</v>
      </c>
      <c r="F761">
        <v>11</v>
      </c>
      <c r="G761" t="b">
        <v>0</v>
      </c>
      <c r="H761">
        <v>5</v>
      </c>
      <c r="I761">
        <v>1</v>
      </c>
      <c r="J761">
        <v>0.22</v>
      </c>
      <c r="K761">
        <v>0.2273</v>
      </c>
      <c r="L761">
        <v>0.51</v>
      </c>
      <c r="M761">
        <v>0.16420000000000001</v>
      </c>
      <c r="N761">
        <v>3</v>
      </c>
      <c r="O761">
        <v>61</v>
      </c>
      <c r="P761">
        <v>64</v>
      </c>
      <c r="Q761" t="str">
        <f t="shared" si="88"/>
        <v>Complete</v>
      </c>
      <c r="R761">
        <f t="shared" si="95"/>
        <v>0.2273</v>
      </c>
      <c r="S761">
        <f t="shared" si="89"/>
        <v>2011</v>
      </c>
      <c r="T761" t="str">
        <f t="shared" si="90"/>
        <v/>
      </c>
      <c r="U761" t="str">
        <f t="shared" si="91"/>
        <v>Weekday</v>
      </c>
      <c r="V761" t="str">
        <f t="shared" si="92"/>
        <v>Morning</v>
      </c>
      <c r="W761" t="str">
        <f t="shared" si="93"/>
        <v>Spring</v>
      </c>
      <c r="X761" t="str">
        <f t="shared" si="94"/>
        <v>Clear</v>
      </c>
    </row>
    <row r="762" spans="1:24">
      <c r="A762">
        <v>770</v>
      </c>
      <c r="B762" s="2">
        <v>40578</v>
      </c>
      <c r="C762">
        <v>1</v>
      </c>
      <c r="D762">
        <v>0</v>
      </c>
      <c r="E762">
        <v>2</v>
      </c>
      <c r="F762">
        <v>12</v>
      </c>
      <c r="G762" t="b">
        <v>0</v>
      </c>
      <c r="H762">
        <v>5</v>
      </c>
      <c r="I762">
        <v>2</v>
      </c>
      <c r="J762">
        <v>0.24</v>
      </c>
      <c r="K762">
        <v>0.2424</v>
      </c>
      <c r="L762">
        <v>0.48</v>
      </c>
      <c r="M762">
        <v>0.16420000000000001</v>
      </c>
      <c r="N762">
        <v>8</v>
      </c>
      <c r="O762">
        <v>78</v>
      </c>
      <c r="P762">
        <v>86</v>
      </c>
      <c r="Q762" t="str">
        <f t="shared" si="88"/>
        <v>Complete</v>
      </c>
      <c r="R762">
        <f t="shared" si="95"/>
        <v>0.2424</v>
      </c>
      <c r="S762">
        <f t="shared" si="89"/>
        <v>2011</v>
      </c>
      <c r="T762" t="str">
        <f t="shared" si="90"/>
        <v/>
      </c>
      <c r="U762" t="str">
        <f t="shared" si="91"/>
        <v>Weekday</v>
      </c>
      <c r="V762" t="str">
        <f t="shared" si="92"/>
        <v>Afternoon</v>
      </c>
      <c r="W762" t="str">
        <f t="shared" si="93"/>
        <v>Spring</v>
      </c>
      <c r="X762" t="str">
        <f t="shared" si="94"/>
        <v>Mist/Cloudy</v>
      </c>
    </row>
    <row r="763" spans="1:24">
      <c r="A763">
        <v>771</v>
      </c>
      <c r="B763" s="2">
        <v>40578</v>
      </c>
      <c r="C763">
        <v>1</v>
      </c>
      <c r="D763">
        <v>0</v>
      </c>
      <c r="E763">
        <v>2</v>
      </c>
      <c r="F763">
        <v>13</v>
      </c>
      <c r="G763" t="b">
        <v>0</v>
      </c>
      <c r="H763">
        <v>5</v>
      </c>
      <c r="I763">
        <v>2</v>
      </c>
      <c r="J763">
        <v>0.26</v>
      </c>
      <c r="K763">
        <v>0.2576</v>
      </c>
      <c r="L763">
        <v>0.5</v>
      </c>
      <c r="M763">
        <v>0.22389999999999999</v>
      </c>
      <c r="N763">
        <v>9</v>
      </c>
      <c r="O763">
        <v>73</v>
      </c>
      <c r="P763">
        <v>82</v>
      </c>
      <c r="Q763" t="str">
        <f t="shared" si="88"/>
        <v>Complete</v>
      </c>
      <c r="R763">
        <f t="shared" si="95"/>
        <v>0.2576</v>
      </c>
      <c r="S763">
        <f t="shared" si="89"/>
        <v>2011</v>
      </c>
      <c r="T763" t="str">
        <f t="shared" si="90"/>
        <v/>
      </c>
      <c r="U763" t="str">
        <f t="shared" si="91"/>
        <v>Weekday</v>
      </c>
      <c r="V763" t="str">
        <f t="shared" si="92"/>
        <v>Afternoon</v>
      </c>
      <c r="W763" t="str">
        <f t="shared" si="93"/>
        <v>Spring</v>
      </c>
      <c r="X763" t="str">
        <f t="shared" si="94"/>
        <v>Mist/Cloudy</v>
      </c>
    </row>
    <row r="764" spans="1:24">
      <c r="A764">
        <v>772</v>
      </c>
      <c r="B764" s="2">
        <v>40578</v>
      </c>
      <c r="C764">
        <v>1</v>
      </c>
      <c r="D764">
        <v>0</v>
      </c>
      <c r="E764">
        <v>2</v>
      </c>
      <c r="F764">
        <v>14</v>
      </c>
      <c r="G764" t="b">
        <v>0</v>
      </c>
      <c r="H764">
        <v>5</v>
      </c>
      <c r="I764">
        <v>2</v>
      </c>
      <c r="J764">
        <v>0.28000000000000003</v>
      </c>
      <c r="K764">
        <v>0.2727</v>
      </c>
      <c r="L764">
        <v>0.45</v>
      </c>
      <c r="M764">
        <v>0.16420000000000001</v>
      </c>
      <c r="N764">
        <v>15</v>
      </c>
      <c r="O764">
        <v>76</v>
      </c>
      <c r="P764">
        <v>91</v>
      </c>
      <c r="Q764" t="str">
        <f t="shared" si="88"/>
        <v>Complete</v>
      </c>
      <c r="R764">
        <f t="shared" si="95"/>
        <v>0.2727</v>
      </c>
      <c r="S764">
        <f t="shared" si="89"/>
        <v>2011</v>
      </c>
      <c r="T764" t="str">
        <f t="shared" si="90"/>
        <v/>
      </c>
      <c r="U764" t="str">
        <f t="shared" si="91"/>
        <v>Weekday</v>
      </c>
      <c r="V764" t="str">
        <f t="shared" si="92"/>
        <v>Afternoon</v>
      </c>
      <c r="W764" t="str">
        <f t="shared" si="93"/>
        <v>Spring</v>
      </c>
      <c r="X764" t="str">
        <f t="shared" si="94"/>
        <v>Mist/Cloudy</v>
      </c>
    </row>
    <row r="765" spans="1:24">
      <c r="A765">
        <v>773</v>
      </c>
      <c r="B765" s="2">
        <v>40578</v>
      </c>
      <c r="C765">
        <v>1</v>
      </c>
      <c r="D765">
        <v>0</v>
      </c>
      <c r="E765">
        <v>2</v>
      </c>
      <c r="F765">
        <v>15</v>
      </c>
      <c r="G765" t="b">
        <v>0</v>
      </c>
      <c r="H765">
        <v>5</v>
      </c>
      <c r="I765">
        <v>2</v>
      </c>
      <c r="J765">
        <v>0.28000000000000003</v>
      </c>
      <c r="K765">
        <v>0.2727</v>
      </c>
      <c r="L765">
        <v>0.48</v>
      </c>
      <c r="M765">
        <v>0.25369999999999998</v>
      </c>
      <c r="N765">
        <v>9</v>
      </c>
      <c r="O765">
        <v>81</v>
      </c>
      <c r="P765">
        <v>90</v>
      </c>
      <c r="Q765" t="str">
        <f t="shared" si="88"/>
        <v>Complete</v>
      </c>
      <c r="R765">
        <f t="shared" si="95"/>
        <v>0.2727</v>
      </c>
      <c r="S765">
        <f t="shared" si="89"/>
        <v>2011</v>
      </c>
      <c r="T765" t="str">
        <f t="shared" si="90"/>
        <v/>
      </c>
      <c r="U765" t="str">
        <f t="shared" si="91"/>
        <v>Weekday</v>
      </c>
      <c r="V765" t="str">
        <f t="shared" si="92"/>
        <v>Afternoon</v>
      </c>
      <c r="W765" t="str">
        <f t="shared" si="93"/>
        <v>Spring</v>
      </c>
      <c r="X765" t="str">
        <f t="shared" si="94"/>
        <v>Mist/Cloudy</v>
      </c>
    </row>
    <row r="766" spans="1:24">
      <c r="A766">
        <v>774</v>
      </c>
      <c r="B766" s="2">
        <v>40578</v>
      </c>
      <c r="C766">
        <v>1</v>
      </c>
      <c r="D766">
        <v>0</v>
      </c>
      <c r="E766">
        <v>2</v>
      </c>
      <c r="F766">
        <v>16</v>
      </c>
      <c r="G766" t="b">
        <v>0</v>
      </c>
      <c r="H766">
        <v>5</v>
      </c>
      <c r="I766">
        <v>2</v>
      </c>
      <c r="J766">
        <v>0.3</v>
      </c>
      <c r="K766">
        <v>0.28789999999999999</v>
      </c>
      <c r="L766">
        <v>0.42</v>
      </c>
      <c r="M766">
        <v>0.22389999999999999</v>
      </c>
      <c r="N766">
        <v>8</v>
      </c>
      <c r="O766">
        <v>91</v>
      </c>
      <c r="P766">
        <v>99</v>
      </c>
      <c r="Q766" t="str">
        <f t="shared" si="88"/>
        <v>Complete</v>
      </c>
      <c r="R766">
        <f t="shared" si="95"/>
        <v>0.28789999999999999</v>
      </c>
      <c r="S766">
        <f t="shared" si="89"/>
        <v>2011</v>
      </c>
      <c r="T766" t="str">
        <f t="shared" si="90"/>
        <v/>
      </c>
      <c r="U766" t="str">
        <f t="shared" si="91"/>
        <v>Weekday</v>
      </c>
      <c r="V766" t="str">
        <f t="shared" si="92"/>
        <v>Afternoon</v>
      </c>
      <c r="W766" t="str">
        <f t="shared" si="93"/>
        <v>Spring</v>
      </c>
      <c r="X766" t="str">
        <f t="shared" si="94"/>
        <v>Mist/Cloudy</v>
      </c>
    </row>
    <row r="767" spans="1:24">
      <c r="A767">
        <v>775</v>
      </c>
      <c r="B767" s="2">
        <v>40578</v>
      </c>
      <c r="C767">
        <v>1</v>
      </c>
      <c r="D767">
        <v>0</v>
      </c>
      <c r="E767">
        <v>2</v>
      </c>
      <c r="F767">
        <v>17</v>
      </c>
      <c r="G767" t="b">
        <v>0</v>
      </c>
      <c r="H767">
        <v>5</v>
      </c>
      <c r="I767">
        <v>2</v>
      </c>
      <c r="J767">
        <v>0.26</v>
      </c>
      <c r="K767">
        <v>0.2727</v>
      </c>
      <c r="L767">
        <v>0.56000000000000005</v>
      </c>
      <c r="M767">
        <v>0.1343</v>
      </c>
      <c r="N767">
        <v>10</v>
      </c>
      <c r="O767">
        <v>195</v>
      </c>
      <c r="P767">
        <v>205</v>
      </c>
      <c r="Q767" t="str">
        <f t="shared" si="88"/>
        <v>Complete</v>
      </c>
      <c r="R767">
        <f t="shared" si="95"/>
        <v>0.2727</v>
      </c>
      <c r="S767">
        <f t="shared" si="89"/>
        <v>2011</v>
      </c>
      <c r="T767" t="str">
        <f t="shared" si="90"/>
        <v/>
      </c>
      <c r="U767" t="str">
        <f t="shared" si="91"/>
        <v>Weekday</v>
      </c>
      <c r="V767" t="str">
        <f t="shared" si="92"/>
        <v>Afternoon</v>
      </c>
      <c r="W767" t="str">
        <f t="shared" si="93"/>
        <v>Spring</v>
      </c>
      <c r="X767" t="str">
        <f t="shared" si="94"/>
        <v>Mist/Cloudy</v>
      </c>
    </row>
    <row r="768" spans="1:24">
      <c r="A768">
        <v>776</v>
      </c>
      <c r="B768" s="2">
        <v>40578</v>
      </c>
      <c r="C768">
        <v>1</v>
      </c>
      <c r="D768">
        <v>0</v>
      </c>
      <c r="E768">
        <v>2</v>
      </c>
      <c r="F768">
        <v>18</v>
      </c>
      <c r="G768" t="b">
        <v>0</v>
      </c>
      <c r="H768">
        <v>5</v>
      </c>
      <c r="I768">
        <v>2</v>
      </c>
      <c r="J768">
        <v>0.24</v>
      </c>
      <c r="K768">
        <v>0.2576</v>
      </c>
      <c r="L768">
        <v>0.6</v>
      </c>
      <c r="M768">
        <v>0.1045</v>
      </c>
      <c r="N768">
        <v>3</v>
      </c>
      <c r="O768">
        <v>152</v>
      </c>
      <c r="P768">
        <v>155</v>
      </c>
      <c r="Q768" t="str">
        <f t="shared" si="88"/>
        <v>Complete</v>
      </c>
      <c r="R768">
        <f t="shared" si="95"/>
        <v>0.2576</v>
      </c>
      <c r="S768">
        <f t="shared" si="89"/>
        <v>2011</v>
      </c>
      <c r="T768" t="str">
        <f t="shared" si="90"/>
        <v/>
      </c>
      <c r="U768" t="str">
        <f t="shared" si="91"/>
        <v>Weekday</v>
      </c>
      <c r="V768" t="str">
        <f t="shared" si="92"/>
        <v>Evening</v>
      </c>
      <c r="W768" t="str">
        <f t="shared" si="93"/>
        <v>Spring</v>
      </c>
      <c r="X768" t="str">
        <f t="shared" si="94"/>
        <v>Mist/Cloudy</v>
      </c>
    </row>
    <row r="769" spans="1:24">
      <c r="A769">
        <v>777</v>
      </c>
      <c r="B769" s="2">
        <v>40578</v>
      </c>
      <c r="C769">
        <v>1</v>
      </c>
      <c r="D769">
        <v>0</v>
      </c>
      <c r="E769">
        <v>2</v>
      </c>
      <c r="F769">
        <v>19</v>
      </c>
      <c r="G769" t="b">
        <v>0</v>
      </c>
      <c r="H769">
        <v>5</v>
      </c>
      <c r="I769">
        <v>2</v>
      </c>
      <c r="J769">
        <v>0.24</v>
      </c>
      <c r="K769">
        <v>0.2424</v>
      </c>
      <c r="L769">
        <v>0.65</v>
      </c>
      <c r="M769">
        <v>0.1343</v>
      </c>
      <c r="N769">
        <v>1</v>
      </c>
      <c r="O769">
        <v>102</v>
      </c>
      <c r="P769">
        <v>103</v>
      </c>
      <c r="Q769" t="str">
        <f t="shared" si="88"/>
        <v>Complete</v>
      </c>
      <c r="R769">
        <f t="shared" si="95"/>
        <v>0.2424</v>
      </c>
      <c r="S769">
        <f t="shared" si="89"/>
        <v>2011</v>
      </c>
      <c r="T769" t="str">
        <f t="shared" si="90"/>
        <v/>
      </c>
      <c r="U769" t="str">
        <f t="shared" si="91"/>
        <v>Weekday</v>
      </c>
      <c r="V769" t="str">
        <f t="shared" si="92"/>
        <v>Evening</v>
      </c>
      <c r="W769" t="str">
        <f t="shared" si="93"/>
        <v>Spring</v>
      </c>
      <c r="X769" t="str">
        <f t="shared" si="94"/>
        <v>Mist/Cloudy</v>
      </c>
    </row>
    <row r="770" spans="1:24">
      <c r="A770">
        <v>778</v>
      </c>
      <c r="B770" s="2">
        <v>40578</v>
      </c>
      <c r="C770">
        <v>1</v>
      </c>
      <c r="D770">
        <v>0</v>
      </c>
      <c r="E770">
        <v>2</v>
      </c>
      <c r="F770">
        <v>20</v>
      </c>
      <c r="G770" t="b">
        <v>0</v>
      </c>
      <c r="H770">
        <v>5</v>
      </c>
      <c r="I770">
        <v>2</v>
      </c>
      <c r="J770">
        <v>0.24</v>
      </c>
      <c r="K770">
        <v>0.2424</v>
      </c>
      <c r="L770">
        <v>0.65</v>
      </c>
      <c r="M770">
        <v>0.16420000000000001</v>
      </c>
      <c r="N770">
        <v>2</v>
      </c>
      <c r="O770">
        <v>69</v>
      </c>
      <c r="P770">
        <v>71</v>
      </c>
      <c r="Q770" t="str">
        <f t="shared" ref="Q770:Q833" si="96">IF(K770="","Missing atemp","Complete")</f>
        <v>Complete</v>
      </c>
      <c r="R770">
        <f t="shared" si="95"/>
        <v>0.2424</v>
      </c>
      <c r="S770">
        <f t="shared" ref="S770:S833" si="97">IF(D770=0,2011,"")</f>
        <v>2011</v>
      </c>
      <c r="T770" t="str">
        <f t="shared" ref="T770:T833" si="98">IF(E770=1,"January","")</f>
        <v/>
      </c>
      <c r="U770" t="str">
        <f t="shared" ref="U770:U833" si="99">IF(G770=TRUE,"Holiday",IF(H770=0,"Sunday",IF(H770=6,"Saturday","Weekday")))</f>
        <v>Weekday</v>
      </c>
      <c r="V770" t="str">
        <f t="shared" ref="V770:V833" si="100">IF(F770&lt;6,"Night",IF(F770&lt;12,"Morning",IF(F770&lt;18,"Afternoon","Evening")))</f>
        <v>Evening</v>
      </c>
      <c r="W770" t="str">
        <f t="shared" ref="W770:W833" si="101">IF(C770=1,"Spring","")</f>
        <v>Spring</v>
      </c>
      <c r="X770" t="str">
        <f t="shared" ref="X770:X833" si="102">IF(I770=1,"Clear",IF(I770=2,"Mist/Cloudy",IF(I770=3,"Light Rain/Snow",IF(I770=4,"Heavy Rain/Snow","Unknown"))))</f>
        <v>Mist/Cloudy</v>
      </c>
    </row>
    <row r="771" spans="1:24">
      <c r="A771">
        <v>779</v>
      </c>
      <c r="B771" s="2">
        <v>40578</v>
      </c>
      <c r="C771">
        <v>1</v>
      </c>
      <c r="D771">
        <v>0</v>
      </c>
      <c r="E771">
        <v>2</v>
      </c>
      <c r="F771">
        <v>21</v>
      </c>
      <c r="G771" t="b">
        <v>0</v>
      </c>
      <c r="H771">
        <v>5</v>
      </c>
      <c r="I771">
        <v>2</v>
      </c>
      <c r="J771">
        <v>0.24</v>
      </c>
      <c r="K771">
        <v>0.2424</v>
      </c>
      <c r="L771">
        <v>0.7</v>
      </c>
      <c r="M771">
        <v>0.16420000000000001</v>
      </c>
      <c r="N771">
        <v>2</v>
      </c>
      <c r="O771">
        <v>41</v>
      </c>
      <c r="P771">
        <v>43</v>
      </c>
      <c r="Q771" t="str">
        <f t="shared" si="96"/>
        <v>Complete</v>
      </c>
      <c r="R771">
        <f t="shared" ref="R771:R834" si="103">IF(K771="",J771,K771)</f>
        <v>0.2424</v>
      </c>
      <c r="S771">
        <f t="shared" si="97"/>
        <v>2011</v>
      </c>
      <c r="T771" t="str">
        <f t="shared" si="98"/>
        <v/>
      </c>
      <c r="U771" t="str">
        <f t="shared" si="99"/>
        <v>Weekday</v>
      </c>
      <c r="V771" t="str">
        <f t="shared" si="100"/>
        <v>Evening</v>
      </c>
      <c r="W771" t="str">
        <f t="shared" si="101"/>
        <v>Spring</v>
      </c>
      <c r="X771" t="str">
        <f t="shared" si="102"/>
        <v>Mist/Cloudy</v>
      </c>
    </row>
    <row r="772" spans="1:24">
      <c r="A772">
        <v>780</v>
      </c>
      <c r="B772" s="2">
        <v>40578</v>
      </c>
      <c r="C772">
        <v>1</v>
      </c>
      <c r="D772">
        <v>0</v>
      </c>
      <c r="E772">
        <v>2</v>
      </c>
      <c r="F772">
        <v>22</v>
      </c>
      <c r="G772" t="b">
        <v>0</v>
      </c>
      <c r="H772">
        <v>5</v>
      </c>
      <c r="I772">
        <v>2</v>
      </c>
      <c r="J772">
        <v>0.24</v>
      </c>
      <c r="K772">
        <v>0.2424</v>
      </c>
      <c r="L772">
        <v>0.65</v>
      </c>
      <c r="M772">
        <v>0.16420000000000001</v>
      </c>
      <c r="N772">
        <v>1</v>
      </c>
      <c r="O772">
        <v>45</v>
      </c>
      <c r="P772">
        <v>46</v>
      </c>
      <c r="Q772" t="str">
        <f t="shared" si="96"/>
        <v>Complete</v>
      </c>
      <c r="R772">
        <f t="shared" si="103"/>
        <v>0.2424</v>
      </c>
      <c r="S772">
        <f t="shared" si="97"/>
        <v>2011</v>
      </c>
      <c r="T772" t="str">
        <f t="shared" si="98"/>
        <v/>
      </c>
      <c r="U772" t="str">
        <f t="shared" si="99"/>
        <v>Weekday</v>
      </c>
      <c r="V772" t="str">
        <f t="shared" si="100"/>
        <v>Evening</v>
      </c>
      <c r="W772" t="str">
        <f t="shared" si="101"/>
        <v>Spring</v>
      </c>
      <c r="X772" t="str">
        <f t="shared" si="102"/>
        <v>Mist/Cloudy</v>
      </c>
    </row>
    <row r="773" spans="1:24">
      <c r="A773">
        <v>781</v>
      </c>
      <c r="B773" s="2">
        <v>40578</v>
      </c>
      <c r="C773">
        <v>1</v>
      </c>
      <c r="D773">
        <v>0</v>
      </c>
      <c r="E773">
        <v>2</v>
      </c>
      <c r="F773">
        <v>23</v>
      </c>
      <c r="G773" t="b">
        <v>0</v>
      </c>
      <c r="H773">
        <v>5</v>
      </c>
      <c r="I773">
        <v>2</v>
      </c>
      <c r="J773">
        <v>0.24</v>
      </c>
      <c r="K773">
        <v>0.2424</v>
      </c>
      <c r="L773">
        <v>0.7</v>
      </c>
      <c r="M773">
        <v>0.1343</v>
      </c>
      <c r="N773">
        <v>1</v>
      </c>
      <c r="O773">
        <v>30</v>
      </c>
      <c r="P773">
        <v>31</v>
      </c>
      <c r="Q773" t="str">
        <f t="shared" si="96"/>
        <v>Complete</v>
      </c>
      <c r="R773">
        <f t="shared" si="103"/>
        <v>0.2424</v>
      </c>
      <c r="S773">
        <f t="shared" si="97"/>
        <v>2011</v>
      </c>
      <c r="T773" t="str">
        <f t="shared" si="98"/>
        <v/>
      </c>
      <c r="U773" t="str">
        <f t="shared" si="99"/>
        <v>Weekday</v>
      </c>
      <c r="V773" t="str">
        <f t="shared" si="100"/>
        <v>Evening</v>
      </c>
      <c r="W773" t="str">
        <f t="shared" si="101"/>
        <v>Spring</v>
      </c>
      <c r="X773" t="str">
        <f t="shared" si="102"/>
        <v>Mist/Cloudy</v>
      </c>
    </row>
    <row r="774" spans="1:24">
      <c r="A774">
        <v>782</v>
      </c>
      <c r="B774" s="2">
        <v>40579</v>
      </c>
      <c r="C774">
        <v>1</v>
      </c>
      <c r="D774">
        <v>0</v>
      </c>
      <c r="E774">
        <v>2</v>
      </c>
      <c r="F774">
        <v>0</v>
      </c>
      <c r="G774" t="b">
        <v>0</v>
      </c>
      <c r="H774">
        <v>6</v>
      </c>
      <c r="I774">
        <v>2</v>
      </c>
      <c r="J774">
        <v>0.24</v>
      </c>
      <c r="K774">
        <v>0.2424</v>
      </c>
      <c r="L774">
        <v>0.7</v>
      </c>
      <c r="M774">
        <v>0.16420000000000001</v>
      </c>
      <c r="N774">
        <v>3</v>
      </c>
      <c r="O774">
        <v>36</v>
      </c>
      <c r="P774">
        <v>39</v>
      </c>
      <c r="Q774" t="str">
        <f t="shared" si="96"/>
        <v>Complete</v>
      </c>
      <c r="R774">
        <f t="shared" si="103"/>
        <v>0.2424</v>
      </c>
      <c r="S774">
        <f t="shared" si="97"/>
        <v>2011</v>
      </c>
      <c r="T774" t="str">
        <f t="shared" si="98"/>
        <v/>
      </c>
      <c r="U774" t="str">
        <f t="shared" si="99"/>
        <v>Saturday</v>
      </c>
      <c r="V774" t="str">
        <f t="shared" si="100"/>
        <v>Night</v>
      </c>
      <c r="W774" t="str">
        <f t="shared" si="101"/>
        <v>Spring</v>
      </c>
      <c r="X774" t="str">
        <f t="shared" si="102"/>
        <v>Mist/Cloudy</v>
      </c>
    </row>
    <row r="775" spans="1:24">
      <c r="A775">
        <v>783</v>
      </c>
      <c r="B775" s="2">
        <v>40579</v>
      </c>
      <c r="C775">
        <v>1</v>
      </c>
      <c r="D775">
        <v>0</v>
      </c>
      <c r="E775">
        <v>2</v>
      </c>
      <c r="F775">
        <v>1</v>
      </c>
      <c r="G775" t="b">
        <v>0</v>
      </c>
      <c r="H775">
        <v>6</v>
      </c>
      <c r="I775">
        <v>2</v>
      </c>
      <c r="J775">
        <v>0.24</v>
      </c>
      <c r="K775">
        <v>0.2424</v>
      </c>
      <c r="L775">
        <v>0.65</v>
      </c>
      <c r="M775">
        <v>0.16420000000000001</v>
      </c>
      <c r="N775">
        <v>1</v>
      </c>
      <c r="O775">
        <v>17</v>
      </c>
      <c r="P775">
        <v>18</v>
      </c>
      <c r="Q775" t="str">
        <f t="shared" si="96"/>
        <v>Complete</v>
      </c>
      <c r="R775">
        <f t="shared" si="103"/>
        <v>0.2424</v>
      </c>
      <c r="S775">
        <f t="shared" si="97"/>
        <v>2011</v>
      </c>
      <c r="T775" t="str">
        <f t="shared" si="98"/>
        <v/>
      </c>
      <c r="U775" t="str">
        <f t="shared" si="99"/>
        <v>Saturday</v>
      </c>
      <c r="V775" t="str">
        <f t="shared" si="100"/>
        <v>Night</v>
      </c>
      <c r="W775" t="str">
        <f t="shared" si="101"/>
        <v>Spring</v>
      </c>
      <c r="X775" t="str">
        <f t="shared" si="102"/>
        <v>Mist/Cloudy</v>
      </c>
    </row>
    <row r="776" spans="1:24">
      <c r="A776">
        <v>784</v>
      </c>
      <c r="B776" s="2">
        <v>40579</v>
      </c>
      <c r="C776">
        <v>1</v>
      </c>
      <c r="D776">
        <v>0</v>
      </c>
      <c r="E776">
        <v>2</v>
      </c>
      <c r="F776">
        <v>2</v>
      </c>
      <c r="G776" t="b">
        <v>0</v>
      </c>
      <c r="H776">
        <v>6</v>
      </c>
      <c r="I776">
        <v>2</v>
      </c>
      <c r="J776">
        <v>0.24</v>
      </c>
      <c r="K776">
        <v>0.2424</v>
      </c>
      <c r="L776">
        <v>0.75</v>
      </c>
      <c r="M776">
        <v>0.16420000000000001</v>
      </c>
      <c r="N776">
        <v>5</v>
      </c>
      <c r="O776">
        <v>12</v>
      </c>
      <c r="P776">
        <v>17</v>
      </c>
      <c r="Q776" t="str">
        <f t="shared" si="96"/>
        <v>Complete</v>
      </c>
      <c r="R776">
        <f t="shared" si="103"/>
        <v>0.2424</v>
      </c>
      <c r="S776">
        <f t="shared" si="97"/>
        <v>2011</v>
      </c>
      <c r="T776" t="str">
        <f t="shared" si="98"/>
        <v/>
      </c>
      <c r="U776" t="str">
        <f t="shared" si="99"/>
        <v>Saturday</v>
      </c>
      <c r="V776" t="str">
        <f t="shared" si="100"/>
        <v>Night</v>
      </c>
      <c r="W776" t="str">
        <f t="shared" si="101"/>
        <v>Spring</v>
      </c>
      <c r="X776" t="str">
        <f t="shared" si="102"/>
        <v>Mist/Cloudy</v>
      </c>
    </row>
    <row r="777" spans="1:24">
      <c r="A777">
        <v>785</v>
      </c>
      <c r="B777" s="2">
        <v>40579</v>
      </c>
      <c r="C777">
        <v>1</v>
      </c>
      <c r="D777">
        <v>0</v>
      </c>
      <c r="E777">
        <v>2</v>
      </c>
      <c r="F777">
        <v>3</v>
      </c>
      <c r="G777" t="b">
        <v>0</v>
      </c>
      <c r="H777">
        <v>6</v>
      </c>
      <c r="I777">
        <v>2</v>
      </c>
      <c r="J777">
        <v>0.24</v>
      </c>
      <c r="K777">
        <v>0.2424</v>
      </c>
      <c r="L777">
        <v>0.75</v>
      </c>
      <c r="M777">
        <v>0.16420000000000001</v>
      </c>
      <c r="N777">
        <v>1</v>
      </c>
      <c r="O777">
        <v>10</v>
      </c>
      <c r="P777">
        <v>11</v>
      </c>
      <c r="Q777" t="str">
        <f t="shared" si="96"/>
        <v>Complete</v>
      </c>
      <c r="R777">
        <f t="shared" si="103"/>
        <v>0.2424</v>
      </c>
      <c r="S777">
        <f t="shared" si="97"/>
        <v>2011</v>
      </c>
      <c r="T777" t="str">
        <f t="shared" si="98"/>
        <v/>
      </c>
      <c r="U777" t="str">
        <f t="shared" si="99"/>
        <v>Saturday</v>
      </c>
      <c r="V777" t="str">
        <f t="shared" si="100"/>
        <v>Night</v>
      </c>
      <c r="W777" t="str">
        <f t="shared" si="101"/>
        <v>Spring</v>
      </c>
      <c r="X777" t="str">
        <f t="shared" si="102"/>
        <v>Mist/Cloudy</v>
      </c>
    </row>
    <row r="778" spans="1:24">
      <c r="A778">
        <v>786</v>
      </c>
      <c r="B778" s="2">
        <v>40579</v>
      </c>
      <c r="C778">
        <v>1</v>
      </c>
      <c r="D778">
        <v>0</v>
      </c>
      <c r="E778">
        <v>2</v>
      </c>
      <c r="F778">
        <v>4</v>
      </c>
      <c r="G778" t="b">
        <v>0</v>
      </c>
      <c r="H778">
        <v>6</v>
      </c>
      <c r="I778">
        <v>3</v>
      </c>
      <c r="J778">
        <v>0.22</v>
      </c>
      <c r="K778">
        <v>0.2273</v>
      </c>
      <c r="L778">
        <v>0.93</v>
      </c>
      <c r="M778">
        <v>0.1343</v>
      </c>
      <c r="N778">
        <v>0</v>
      </c>
      <c r="O778">
        <v>8</v>
      </c>
      <c r="P778">
        <v>8</v>
      </c>
      <c r="Q778" t="str">
        <f t="shared" si="96"/>
        <v>Complete</v>
      </c>
      <c r="R778">
        <f t="shared" si="103"/>
        <v>0.2273</v>
      </c>
      <c r="S778">
        <f t="shared" si="97"/>
        <v>2011</v>
      </c>
      <c r="T778" t="str">
        <f t="shared" si="98"/>
        <v/>
      </c>
      <c r="U778" t="str">
        <f t="shared" si="99"/>
        <v>Saturday</v>
      </c>
      <c r="V778" t="str">
        <f t="shared" si="100"/>
        <v>Night</v>
      </c>
      <c r="W778" t="str">
        <f t="shared" si="101"/>
        <v>Spring</v>
      </c>
      <c r="X778" t="str">
        <f t="shared" si="102"/>
        <v>Light Rain/Snow</v>
      </c>
    </row>
    <row r="779" spans="1:24">
      <c r="A779">
        <v>787</v>
      </c>
      <c r="B779" s="2">
        <v>40579</v>
      </c>
      <c r="C779">
        <v>1</v>
      </c>
      <c r="D779">
        <v>0</v>
      </c>
      <c r="E779">
        <v>2</v>
      </c>
      <c r="F779">
        <v>5</v>
      </c>
      <c r="G779" t="b">
        <v>0</v>
      </c>
      <c r="H779">
        <v>6</v>
      </c>
      <c r="I779">
        <v>3</v>
      </c>
      <c r="J779">
        <v>0.2</v>
      </c>
      <c r="K779">
        <v>0.2273</v>
      </c>
      <c r="L779">
        <v>1</v>
      </c>
      <c r="M779">
        <v>8.9599999999999999E-2</v>
      </c>
      <c r="N779">
        <v>0</v>
      </c>
      <c r="O779">
        <v>9</v>
      </c>
      <c r="P779">
        <v>9</v>
      </c>
      <c r="Q779" t="str">
        <f t="shared" si="96"/>
        <v>Complete</v>
      </c>
      <c r="R779">
        <f t="shared" si="103"/>
        <v>0.2273</v>
      </c>
      <c r="S779">
        <f t="shared" si="97"/>
        <v>2011</v>
      </c>
      <c r="T779" t="str">
        <f t="shared" si="98"/>
        <v/>
      </c>
      <c r="U779" t="str">
        <f t="shared" si="99"/>
        <v>Saturday</v>
      </c>
      <c r="V779" t="str">
        <f t="shared" si="100"/>
        <v>Night</v>
      </c>
      <c r="W779" t="str">
        <f t="shared" si="101"/>
        <v>Spring</v>
      </c>
      <c r="X779" t="str">
        <f t="shared" si="102"/>
        <v>Light Rain/Snow</v>
      </c>
    </row>
    <row r="780" spans="1:24">
      <c r="A780">
        <v>788</v>
      </c>
      <c r="B780" s="2">
        <v>40579</v>
      </c>
      <c r="C780">
        <v>1</v>
      </c>
      <c r="D780">
        <v>0</v>
      </c>
      <c r="E780">
        <v>2</v>
      </c>
      <c r="F780">
        <v>6</v>
      </c>
      <c r="G780" t="b">
        <v>0</v>
      </c>
      <c r="H780">
        <v>6</v>
      </c>
      <c r="I780">
        <v>3</v>
      </c>
      <c r="J780">
        <v>0.2</v>
      </c>
      <c r="K780">
        <v>0.2576</v>
      </c>
      <c r="L780">
        <v>1</v>
      </c>
      <c r="M780">
        <v>0</v>
      </c>
      <c r="N780">
        <v>0</v>
      </c>
      <c r="O780">
        <v>4</v>
      </c>
      <c r="P780">
        <v>4</v>
      </c>
      <c r="Q780" t="str">
        <f t="shared" si="96"/>
        <v>Complete</v>
      </c>
      <c r="R780">
        <f t="shared" si="103"/>
        <v>0.2576</v>
      </c>
      <c r="S780">
        <f t="shared" si="97"/>
        <v>2011</v>
      </c>
      <c r="T780" t="str">
        <f t="shared" si="98"/>
        <v/>
      </c>
      <c r="U780" t="str">
        <f t="shared" si="99"/>
        <v>Saturday</v>
      </c>
      <c r="V780" t="str">
        <f t="shared" si="100"/>
        <v>Morning</v>
      </c>
      <c r="W780" t="str">
        <f t="shared" si="101"/>
        <v>Spring</v>
      </c>
      <c r="X780" t="str">
        <f t="shared" si="102"/>
        <v>Light Rain/Snow</v>
      </c>
    </row>
    <row r="781" spans="1:24">
      <c r="A781">
        <v>789</v>
      </c>
      <c r="B781" s="2">
        <v>40579</v>
      </c>
      <c r="C781">
        <v>1</v>
      </c>
      <c r="D781">
        <v>0</v>
      </c>
      <c r="E781">
        <v>2</v>
      </c>
      <c r="F781">
        <v>7</v>
      </c>
      <c r="G781" t="b">
        <v>0</v>
      </c>
      <c r="H781">
        <v>6</v>
      </c>
      <c r="I781">
        <v>3</v>
      </c>
      <c r="J781">
        <v>0.22</v>
      </c>
      <c r="K781">
        <v>0.2576</v>
      </c>
      <c r="L781">
        <v>0.93</v>
      </c>
      <c r="M781">
        <v>8.9599999999999999E-2</v>
      </c>
      <c r="N781">
        <v>0</v>
      </c>
      <c r="O781">
        <v>4</v>
      </c>
      <c r="P781">
        <v>4</v>
      </c>
      <c r="Q781" t="str">
        <f t="shared" si="96"/>
        <v>Complete</v>
      </c>
      <c r="R781">
        <f t="shared" si="103"/>
        <v>0.2576</v>
      </c>
      <c r="S781">
        <f t="shared" si="97"/>
        <v>2011</v>
      </c>
      <c r="T781" t="str">
        <f t="shared" si="98"/>
        <v/>
      </c>
      <c r="U781" t="str">
        <f t="shared" si="99"/>
        <v>Saturday</v>
      </c>
      <c r="V781" t="str">
        <f t="shared" si="100"/>
        <v>Morning</v>
      </c>
      <c r="W781" t="str">
        <f t="shared" si="101"/>
        <v>Spring</v>
      </c>
      <c r="X781" t="str">
        <f t="shared" si="102"/>
        <v>Light Rain/Snow</v>
      </c>
    </row>
    <row r="782" spans="1:24">
      <c r="A782">
        <v>790</v>
      </c>
      <c r="B782" s="2">
        <v>40579</v>
      </c>
      <c r="C782">
        <v>1</v>
      </c>
      <c r="D782">
        <v>0</v>
      </c>
      <c r="E782">
        <v>2</v>
      </c>
      <c r="F782">
        <v>8</v>
      </c>
      <c r="G782" t="b">
        <v>0</v>
      </c>
      <c r="H782">
        <v>6</v>
      </c>
      <c r="I782">
        <v>3</v>
      </c>
      <c r="J782">
        <v>0.2</v>
      </c>
      <c r="K782">
        <v>0.2273</v>
      </c>
      <c r="L782">
        <v>1</v>
      </c>
      <c r="M782">
        <v>8.9599999999999999E-2</v>
      </c>
      <c r="N782">
        <v>0</v>
      </c>
      <c r="O782">
        <v>10</v>
      </c>
      <c r="P782">
        <v>10</v>
      </c>
      <c r="Q782" t="str">
        <f t="shared" si="96"/>
        <v>Complete</v>
      </c>
      <c r="R782">
        <f t="shared" si="103"/>
        <v>0.2273</v>
      </c>
      <c r="S782">
        <f t="shared" si="97"/>
        <v>2011</v>
      </c>
      <c r="T782" t="str">
        <f t="shared" si="98"/>
        <v/>
      </c>
      <c r="U782" t="str">
        <f t="shared" si="99"/>
        <v>Saturday</v>
      </c>
      <c r="V782" t="str">
        <f t="shared" si="100"/>
        <v>Morning</v>
      </c>
      <c r="W782" t="str">
        <f t="shared" si="101"/>
        <v>Spring</v>
      </c>
      <c r="X782" t="str">
        <f t="shared" si="102"/>
        <v>Light Rain/Snow</v>
      </c>
    </row>
    <row r="783" spans="1:24">
      <c r="A783">
        <v>791</v>
      </c>
      <c r="B783" s="2">
        <v>40579</v>
      </c>
      <c r="C783">
        <v>1</v>
      </c>
      <c r="D783">
        <v>0</v>
      </c>
      <c r="E783">
        <v>2</v>
      </c>
      <c r="F783">
        <v>9</v>
      </c>
      <c r="G783" t="b">
        <v>0</v>
      </c>
      <c r="H783">
        <v>6</v>
      </c>
      <c r="I783">
        <v>3</v>
      </c>
      <c r="J783">
        <v>0.2</v>
      </c>
      <c r="K783">
        <v>0.2273</v>
      </c>
      <c r="L783">
        <v>1</v>
      </c>
      <c r="M783">
        <v>8.9599999999999999E-2</v>
      </c>
      <c r="N783">
        <v>3</v>
      </c>
      <c r="O783">
        <v>17</v>
      </c>
      <c r="P783">
        <v>20</v>
      </c>
      <c r="Q783" t="str">
        <f t="shared" si="96"/>
        <v>Complete</v>
      </c>
      <c r="R783">
        <f t="shared" si="103"/>
        <v>0.2273</v>
      </c>
      <c r="S783">
        <f t="shared" si="97"/>
        <v>2011</v>
      </c>
      <c r="T783" t="str">
        <f t="shared" si="98"/>
        <v/>
      </c>
      <c r="U783" t="str">
        <f t="shared" si="99"/>
        <v>Saturday</v>
      </c>
      <c r="V783" t="str">
        <f t="shared" si="100"/>
        <v>Morning</v>
      </c>
      <c r="W783" t="str">
        <f t="shared" si="101"/>
        <v>Spring</v>
      </c>
      <c r="X783" t="str">
        <f t="shared" si="102"/>
        <v>Light Rain/Snow</v>
      </c>
    </row>
    <row r="784" spans="1:24">
      <c r="A784">
        <v>792</v>
      </c>
      <c r="B784" s="2">
        <v>40579</v>
      </c>
      <c r="C784">
        <v>1</v>
      </c>
      <c r="D784">
        <v>0</v>
      </c>
      <c r="E784">
        <v>2</v>
      </c>
      <c r="F784">
        <v>10</v>
      </c>
      <c r="G784" t="b">
        <v>0</v>
      </c>
      <c r="H784">
        <v>6</v>
      </c>
      <c r="I784">
        <v>3</v>
      </c>
      <c r="J784">
        <v>0.2</v>
      </c>
      <c r="K784">
        <v>0.21210000000000001</v>
      </c>
      <c r="L784">
        <v>1</v>
      </c>
      <c r="M784">
        <v>0.1343</v>
      </c>
      <c r="N784">
        <v>3</v>
      </c>
      <c r="O784">
        <v>31</v>
      </c>
      <c r="P784">
        <v>34</v>
      </c>
      <c r="Q784" t="str">
        <f t="shared" si="96"/>
        <v>Complete</v>
      </c>
      <c r="R784">
        <f t="shared" si="103"/>
        <v>0.21210000000000001</v>
      </c>
      <c r="S784">
        <f t="shared" si="97"/>
        <v>2011</v>
      </c>
      <c r="T784" t="str">
        <f t="shared" si="98"/>
        <v/>
      </c>
      <c r="U784" t="str">
        <f t="shared" si="99"/>
        <v>Saturday</v>
      </c>
      <c r="V784" t="str">
        <f t="shared" si="100"/>
        <v>Morning</v>
      </c>
      <c r="W784" t="str">
        <f t="shared" si="101"/>
        <v>Spring</v>
      </c>
      <c r="X784" t="str">
        <f t="shared" si="102"/>
        <v>Light Rain/Snow</v>
      </c>
    </row>
    <row r="785" spans="1:24">
      <c r="A785">
        <v>793</v>
      </c>
      <c r="B785" s="2">
        <v>40579</v>
      </c>
      <c r="C785">
        <v>1</v>
      </c>
      <c r="D785">
        <v>0</v>
      </c>
      <c r="E785">
        <v>2</v>
      </c>
      <c r="F785">
        <v>11</v>
      </c>
      <c r="G785" t="b">
        <v>0</v>
      </c>
      <c r="H785">
        <v>6</v>
      </c>
      <c r="I785">
        <v>3</v>
      </c>
      <c r="J785">
        <v>0.22</v>
      </c>
      <c r="K785">
        <v>0.2273</v>
      </c>
      <c r="L785">
        <v>1</v>
      </c>
      <c r="M785">
        <v>0.1343</v>
      </c>
      <c r="N785">
        <v>1</v>
      </c>
      <c r="O785">
        <v>46</v>
      </c>
      <c r="P785">
        <v>47</v>
      </c>
      <c r="Q785" t="str">
        <f t="shared" si="96"/>
        <v>Complete</v>
      </c>
      <c r="R785">
        <f t="shared" si="103"/>
        <v>0.2273</v>
      </c>
      <c r="S785">
        <f t="shared" si="97"/>
        <v>2011</v>
      </c>
      <c r="T785" t="str">
        <f t="shared" si="98"/>
        <v/>
      </c>
      <c r="U785" t="str">
        <f t="shared" si="99"/>
        <v>Saturday</v>
      </c>
      <c r="V785" t="str">
        <f t="shared" si="100"/>
        <v>Morning</v>
      </c>
      <c r="W785" t="str">
        <f t="shared" si="101"/>
        <v>Spring</v>
      </c>
      <c r="X785" t="str">
        <f t="shared" si="102"/>
        <v>Light Rain/Snow</v>
      </c>
    </row>
    <row r="786" spans="1:24">
      <c r="A786">
        <v>794</v>
      </c>
      <c r="B786" s="2">
        <v>40579</v>
      </c>
      <c r="C786">
        <v>1</v>
      </c>
      <c r="D786">
        <v>0</v>
      </c>
      <c r="E786">
        <v>2</v>
      </c>
      <c r="F786">
        <v>12</v>
      </c>
      <c r="G786" t="b">
        <v>0</v>
      </c>
      <c r="H786">
        <v>6</v>
      </c>
      <c r="I786">
        <v>3</v>
      </c>
      <c r="J786">
        <v>0.22</v>
      </c>
      <c r="K786">
        <v>0.2273</v>
      </c>
      <c r="L786">
        <v>1</v>
      </c>
      <c r="M786">
        <v>0.16420000000000001</v>
      </c>
      <c r="N786">
        <v>10</v>
      </c>
      <c r="O786">
        <v>42</v>
      </c>
      <c r="P786">
        <v>52</v>
      </c>
      <c r="Q786" t="str">
        <f t="shared" si="96"/>
        <v>Complete</v>
      </c>
      <c r="R786">
        <f t="shared" si="103"/>
        <v>0.2273</v>
      </c>
      <c r="S786">
        <f t="shared" si="97"/>
        <v>2011</v>
      </c>
      <c r="T786" t="str">
        <f t="shared" si="98"/>
        <v/>
      </c>
      <c r="U786" t="str">
        <f t="shared" si="99"/>
        <v>Saturday</v>
      </c>
      <c r="V786" t="str">
        <f t="shared" si="100"/>
        <v>Afternoon</v>
      </c>
      <c r="W786" t="str">
        <f t="shared" si="101"/>
        <v>Spring</v>
      </c>
      <c r="X786" t="str">
        <f t="shared" si="102"/>
        <v>Light Rain/Snow</v>
      </c>
    </row>
    <row r="787" spans="1:24">
      <c r="A787">
        <v>795</v>
      </c>
      <c r="B787" s="2">
        <v>40579</v>
      </c>
      <c r="C787">
        <v>1</v>
      </c>
      <c r="D787">
        <v>0</v>
      </c>
      <c r="E787">
        <v>2</v>
      </c>
      <c r="F787">
        <v>13</v>
      </c>
      <c r="G787" t="b">
        <v>0</v>
      </c>
      <c r="H787">
        <v>6</v>
      </c>
      <c r="I787">
        <v>3</v>
      </c>
      <c r="J787">
        <v>0.22</v>
      </c>
      <c r="K787">
        <v>0.2273</v>
      </c>
      <c r="L787">
        <v>1</v>
      </c>
      <c r="M787">
        <v>0.16420000000000001</v>
      </c>
      <c r="N787">
        <v>10</v>
      </c>
      <c r="O787">
        <v>62</v>
      </c>
      <c r="P787">
        <v>72</v>
      </c>
      <c r="Q787" t="str">
        <f t="shared" si="96"/>
        <v>Complete</v>
      </c>
      <c r="R787">
        <f t="shared" si="103"/>
        <v>0.2273</v>
      </c>
      <c r="S787">
        <f t="shared" si="97"/>
        <v>2011</v>
      </c>
      <c r="T787" t="str">
        <f t="shared" si="98"/>
        <v/>
      </c>
      <c r="U787" t="str">
        <f t="shared" si="99"/>
        <v>Saturday</v>
      </c>
      <c r="V787" t="str">
        <f t="shared" si="100"/>
        <v>Afternoon</v>
      </c>
      <c r="W787" t="str">
        <f t="shared" si="101"/>
        <v>Spring</v>
      </c>
      <c r="X787" t="str">
        <f t="shared" si="102"/>
        <v>Light Rain/Snow</v>
      </c>
    </row>
    <row r="788" spans="1:24">
      <c r="A788">
        <v>796</v>
      </c>
      <c r="B788" s="2">
        <v>40579</v>
      </c>
      <c r="C788">
        <v>1</v>
      </c>
      <c r="D788">
        <v>0</v>
      </c>
      <c r="E788">
        <v>2</v>
      </c>
      <c r="F788">
        <v>14</v>
      </c>
      <c r="G788" t="b">
        <v>0</v>
      </c>
      <c r="H788">
        <v>6</v>
      </c>
      <c r="I788">
        <v>3</v>
      </c>
      <c r="J788">
        <v>0.22</v>
      </c>
      <c r="K788">
        <v>0.2727</v>
      </c>
      <c r="L788">
        <v>1</v>
      </c>
      <c r="M788">
        <v>0</v>
      </c>
      <c r="N788">
        <v>5</v>
      </c>
      <c r="O788">
        <v>50</v>
      </c>
      <c r="P788">
        <v>55</v>
      </c>
      <c r="Q788" t="str">
        <f t="shared" si="96"/>
        <v>Complete</v>
      </c>
      <c r="R788">
        <f t="shared" si="103"/>
        <v>0.2727</v>
      </c>
      <c r="S788">
        <f t="shared" si="97"/>
        <v>2011</v>
      </c>
      <c r="T788" t="str">
        <f t="shared" si="98"/>
        <v/>
      </c>
      <c r="U788" t="str">
        <f t="shared" si="99"/>
        <v>Saturday</v>
      </c>
      <c r="V788" t="str">
        <f t="shared" si="100"/>
        <v>Afternoon</v>
      </c>
      <c r="W788" t="str">
        <f t="shared" si="101"/>
        <v>Spring</v>
      </c>
      <c r="X788" t="str">
        <f t="shared" si="102"/>
        <v>Light Rain/Snow</v>
      </c>
    </row>
    <row r="789" spans="1:24">
      <c r="A789">
        <v>797</v>
      </c>
      <c r="B789" s="2">
        <v>40579</v>
      </c>
      <c r="C789">
        <v>1</v>
      </c>
      <c r="D789">
        <v>0</v>
      </c>
      <c r="E789">
        <v>2</v>
      </c>
      <c r="F789">
        <v>15</v>
      </c>
      <c r="G789" t="b">
        <v>0</v>
      </c>
      <c r="H789">
        <v>6</v>
      </c>
      <c r="I789">
        <v>3</v>
      </c>
      <c r="J789">
        <v>0.22</v>
      </c>
      <c r="K789">
        <v>0.2727</v>
      </c>
      <c r="L789">
        <v>1</v>
      </c>
      <c r="M789">
        <v>0</v>
      </c>
      <c r="N789">
        <v>11</v>
      </c>
      <c r="O789">
        <v>49</v>
      </c>
      <c r="P789">
        <v>60</v>
      </c>
      <c r="Q789" t="str">
        <f t="shared" si="96"/>
        <v>Complete</v>
      </c>
      <c r="R789">
        <f t="shared" si="103"/>
        <v>0.2727</v>
      </c>
      <c r="S789">
        <f t="shared" si="97"/>
        <v>2011</v>
      </c>
      <c r="T789" t="str">
        <f t="shared" si="98"/>
        <v/>
      </c>
      <c r="U789" t="str">
        <f t="shared" si="99"/>
        <v>Saturday</v>
      </c>
      <c r="V789" t="str">
        <f t="shared" si="100"/>
        <v>Afternoon</v>
      </c>
      <c r="W789" t="str">
        <f t="shared" si="101"/>
        <v>Spring</v>
      </c>
      <c r="X789" t="str">
        <f t="shared" si="102"/>
        <v>Light Rain/Snow</v>
      </c>
    </row>
    <row r="790" spans="1:24">
      <c r="A790">
        <v>798</v>
      </c>
      <c r="B790" s="2">
        <v>40579</v>
      </c>
      <c r="C790">
        <v>1</v>
      </c>
      <c r="D790">
        <v>0</v>
      </c>
      <c r="E790">
        <v>2</v>
      </c>
      <c r="F790">
        <v>16</v>
      </c>
      <c r="G790" t="b">
        <v>0</v>
      </c>
      <c r="H790">
        <v>6</v>
      </c>
      <c r="I790">
        <v>3</v>
      </c>
      <c r="J790">
        <v>0.22</v>
      </c>
      <c r="K790">
        <v>0.2273</v>
      </c>
      <c r="L790">
        <v>1</v>
      </c>
      <c r="M790">
        <v>0.1343</v>
      </c>
      <c r="N790">
        <v>8</v>
      </c>
      <c r="O790">
        <v>63</v>
      </c>
      <c r="P790">
        <v>71</v>
      </c>
      <c r="Q790" t="str">
        <f t="shared" si="96"/>
        <v>Complete</v>
      </c>
      <c r="R790">
        <f t="shared" si="103"/>
        <v>0.2273</v>
      </c>
      <c r="S790">
        <f t="shared" si="97"/>
        <v>2011</v>
      </c>
      <c r="T790" t="str">
        <f t="shared" si="98"/>
        <v/>
      </c>
      <c r="U790" t="str">
        <f t="shared" si="99"/>
        <v>Saturday</v>
      </c>
      <c r="V790" t="str">
        <f t="shared" si="100"/>
        <v>Afternoon</v>
      </c>
      <c r="W790" t="str">
        <f t="shared" si="101"/>
        <v>Spring</v>
      </c>
      <c r="X790" t="str">
        <f t="shared" si="102"/>
        <v>Light Rain/Snow</v>
      </c>
    </row>
    <row r="791" spans="1:24">
      <c r="A791">
        <v>799</v>
      </c>
      <c r="B791" s="2">
        <v>40579</v>
      </c>
      <c r="C791">
        <v>1</v>
      </c>
      <c r="D791">
        <v>0</v>
      </c>
      <c r="E791">
        <v>2</v>
      </c>
      <c r="F791">
        <v>17</v>
      </c>
      <c r="G791" t="b">
        <v>0</v>
      </c>
      <c r="H791">
        <v>6</v>
      </c>
      <c r="I791">
        <v>2</v>
      </c>
      <c r="J791">
        <v>0.24</v>
      </c>
      <c r="K791">
        <v>0.21210000000000001</v>
      </c>
      <c r="L791">
        <v>1</v>
      </c>
      <c r="M791">
        <v>0.28360000000000002</v>
      </c>
      <c r="N791">
        <v>14</v>
      </c>
      <c r="O791">
        <v>64</v>
      </c>
      <c r="P791">
        <v>78</v>
      </c>
      <c r="Q791" t="str">
        <f t="shared" si="96"/>
        <v>Complete</v>
      </c>
      <c r="R791">
        <f t="shared" si="103"/>
        <v>0.21210000000000001</v>
      </c>
      <c r="S791">
        <f t="shared" si="97"/>
        <v>2011</v>
      </c>
      <c r="T791" t="str">
        <f t="shared" si="98"/>
        <v/>
      </c>
      <c r="U791" t="str">
        <f t="shared" si="99"/>
        <v>Saturday</v>
      </c>
      <c r="V791" t="str">
        <f t="shared" si="100"/>
        <v>Afternoon</v>
      </c>
      <c r="W791" t="str">
        <f t="shared" si="101"/>
        <v>Spring</v>
      </c>
      <c r="X791" t="str">
        <f t="shared" si="102"/>
        <v>Mist/Cloudy</v>
      </c>
    </row>
    <row r="792" spans="1:24">
      <c r="A792">
        <v>800</v>
      </c>
      <c r="B792" s="2">
        <v>40579</v>
      </c>
      <c r="C792">
        <v>1</v>
      </c>
      <c r="D792">
        <v>0</v>
      </c>
      <c r="E792">
        <v>2</v>
      </c>
      <c r="F792">
        <v>18</v>
      </c>
      <c r="G792" t="b">
        <v>0</v>
      </c>
      <c r="H792">
        <v>6</v>
      </c>
      <c r="I792">
        <v>2</v>
      </c>
      <c r="J792">
        <v>0.28000000000000003</v>
      </c>
      <c r="K792">
        <v>0.2424</v>
      </c>
      <c r="L792">
        <v>0.93</v>
      </c>
      <c r="M792">
        <v>0.44779999999999998</v>
      </c>
      <c r="N792">
        <v>2</v>
      </c>
      <c r="O792">
        <v>81</v>
      </c>
      <c r="P792">
        <v>83</v>
      </c>
      <c r="Q792" t="str">
        <f t="shared" si="96"/>
        <v>Complete</v>
      </c>
      <c r="R792">
        <f t="shared" si="103"/>
        <v>0.2424</v>
      </c>
      <c r="S792">
        <f t="shared" si="97"/>
        <v>2011</v>
      </c>
      <c r="T792" t="str">
        <f t="shared" si="98"/>
        <v/>
      </c>
      <c r="U792" t="str">
        <f t="shared" si="99"/>
        <v>Saturday</v>
      </c>
      <c r="V792" t="str">
        <f t="shared" si="100"/>
        <v>Evening</v>
      </c>
      <c r="W792" t="str">
        <f t="shared" si="101"/>
        <v>Spring</v>
      </c>
      <c r="X792" t="str">
        <f t="shared" si="102"/>
        <v>Mist/Cloudy</v>
      </c>
    </row>
    <row r="793" spans="1:24">
      <c r="A793">
        <v>801</v>
      </c>
      <c r="B793" s="2">
        <v>40579</v>
      </c>
      <c r="C793">
        <v>1</v>
      </c>
      <c r="D793">
        <v>0</v>
      </c>
      <c r="E793">
        <v>2</v>
      </c>
      <c r="F793">
        <v>19</v>
      </c>
      <c r="G793" t="b">
        <v>0</v>
      </c>
      <c r="H793">
        <v>6</v>
      </c>
      <c r="I793">
        <v>2</v>
      </c>
      <c r="J793">
        <v>0.28000000000000003</v>
      </c>
      <c r="K793">
        <v>0.2424</v>
      </c>
      <c r="L793">
        <v>0.93</v>
      </c>
      <c r="M793">
        <v>0.44779999999999998</v>
      </c>
      <c r="N793">
        <v>6</v>
      </c>
      <c r="O793">
        <v>78</v>
      </c>
      <c r="P793">
        <v>84</v>
      </c>
      <c r="Q793" t="str">
        <f t="shared" si="96"/>
        <v>Complete</v>
      </c>
      <c r="R793">
        <f t="shared" si="103"/>
        <v>0.2424</v>
      </c>
      <c r="S793">
        <f t="shared" si="97"/>
        <v>2011</v>
      </c>
      <c r="T793" t="str">
        <f t="shared" si="98"/>
        <v/>
      </c>
      <c r="U793" t="str">
        <f t="shared" si="99"/>
        <v>Saturday</v>
      </c>
      <c r="V793" t="str">
        <f t="shared" si="100"/>
        <v>Evening</v>
      </c>
      <c r="W793" t="str">
        <f t="shared" si="101"/>
        <v>Spring</v>
      </c>
      <c r="X793" t="str">
        <f t="shared" si="102"/>
        <v>Mist/Cloudy</v>
      </c>
    </row>
    <row r="794" spans="1:24">
      <c r="A794">
        <v>802</v>
      </c>
      <c r="B794" s="2">
        <v>40579</v>
      </c>
      <c r="C794">
        <v>1</v>
      </c>
      <c r="D794">
        <v>0</v>
      </c>
      <c r="E794">
        <v>2</v>
      </c>
      <c r="F794">
        <v>20</v>
      </c>
      <c r="G794" t="b">
        <v>0</v>
      </c>
      <c r="H794">
        <v>6</v>
      </c>
      <c r="I794">
        <v>1</v>
      </c>
      <c r="J794">
        <v>0.3</v>
      </c>
      <c r="K794">
        <v>0.28789999999999999</v>
      </c>
      <c r="L794">
        <v>0.87</v>
      </c>
      <c r="M794">
        <v>0.25369999999999998</v>
      </c>
      <c r="N794">
        <v>5</v>
      </c>
      <c r="O794">
        <v>64</v>
      </c>
      <c r="P794">
        <v>69</v>
      </c>
      <c r="Q794" t="str">
        <f t="shared" si="96"/>
        <v>Complete</v>
      </c>
      <c r="R794">
        <f t="shared" si="103"/>
        <v>0.28789999999999999</v>
      </c>
      <c r="S794">
        <f t="shared" si="97"/>
        <v>2011</v>
      </c>
      <c r="T794" t="str">
        <f t="shared" si="98"/>
        <v/>
      </c>
      <c r="U794" t="str">
        <f t="shared" si="99"/>
        <v>Saturday</v>
      </c>
      <c r="V794" t="str">
        <f t="shared" si="100"/>
        <v>Evening</v>
      </c>
      <c r="W794" t="str">
        <f t="shared" si="101"/>
        <v>Spring</v>
      </c>
      <c r="X794" t="str">
        <f t="shared" si="102"/>
        <v>Clear</v>
      </c>
    </row>
    <row r="795" spans="1:24">
      <c r="A795">
        <v>803</v>
      </c>
      <c r="B795" s="2">
        <v>40579</v>
      </c>
      <c r="C795">
        <v>1</v>
      </c>
      <c r="D795">
        <v>0</v>
      </c>
      <c r="E795">
        <v>2</v>
      </c>
      <c r="F795">
        <v>21</v>
      </c>
      <c r="G795" t="b">
        <v>0</v>
      </c>
      <c r="H795">
        <v>6</v>
      </c>
      <c r="I795">
        <v>1</v>
      </c>
      <c r="J795">
        <v>0.26</v>
      </c>
      <c r="K795">
        <v>0.2576</v>
      </c>
      <c r="L795">
        <v>1</v>
      </c>
      <c r="M795">
        <v>0.19400000000000001</v>
      </c>
      <c r="N795">
        <v>3</v>
      </c>
      <c r="O795">
        <v>53</v>
      </c>
      <c r="P795">
        <v>56</v>
      </c>
      <c r="Q795" t="str">
        <f t="shared" si="96"/>
        <v>Complete</v>
      </c>
      <c r="R795">
        <f t="shared" si="103"/>
        <v>0.2576</v>
      </c>
      <c r="S795">
        <f t="shared" si="97"/>
        <v>2011</v>
      </c>
      <c r="T795" t="str">
        <f t="shared" si="98"/>
        <v/>
      </c>
      <c r="U795" t="str">
        <f t="shared" si="99"/>
        <v>Saturday</v>
      </c>
      <c r="V795" t="str">
        <f t="shared" si="100"/>
        <v>Evening</v>
      </c>
      <c r="W795" t="str">
        <f t="shared" si="101"/>
        <v>Spring</v>
      </c>
      <c r="X795" t="str">
        <f t="shared" si="102"/>
        <v>Clear</v>
      </c>
    </row>
    <row r="796" spans="1:24">
      <c r="A796">
        <v>804</v>
      </c>
      <c r="B796" s="2">
        <v>40579</v>
      </c>
      <c r="C796">
        <v>1</v>
      </c>
      <c r="D796">
        <v>0</v>
      </c>
      <c r="E796">
        <v>2</v>
      </c>
      <c r="F796">
        <v>22</v>
      </c>
      <c r="G796" t="b">
        <v>0</v>
      </c>
      <c r="H796">
        <v>6</v>
      </c>
      <c r="I796">
        <v>1</v>
      </c>
      <c r="J796">
        <v>0.26</v>
      </c>
      <c r="K796">
        <v>0.2727</v>
      </c>
      <c r="L796">
        <v>0.93</v>
      </c>
      <c r="M796">
        <v>0.1343</v>
      </c>
      <c r="N796">
        <v>2</v>
      </c>
      <c r="O796">
        <v>43</v>
      </c>
      <c r="P796">
        <v>45</v>
      </c>
      <c r="Q796" t="str">
        <f t="shared" si="96"/>
        <v>Complete</v>
      </c>
      <c r="R796">
        <f t="shared" si="103"/>
        <v>0.2727</v>
      </c>
      <c r="S796">
        <f t="shared" si="97"/>
        <v>2011</v>
      </c>
      <c r="T796" t="str">
        <f t="shared" si="98"/>
        <v/>
      </c>
      <c r="U796" t="str">
        <f t="shared" si="99"/>
        <v>Saturday</v>
      </c>
      <c r="V796" t="str">
        <f t="shared" si="100"/>
        <v>Evening</v>
      </c>
      <c r="W796" t="str">
        <f t="shared" si="101"/>
        <v>Spring</v>
      </c>
      <c r="X796" t="str">
        <f t="shared" si="102"/>
        <v>Clear</v>
      </c>
    </row>
    <row r="797" spans="1:24">
      <c r="A797">
        <v>805</v>
      </c>
      <c r="B797" s="2">
        <v>40579</v>
      </c>
      <c r="C797">
        <v>1</v>
      </c>
      <c r="D797">
        <v>0</v>
      </c>
      <c r="E797">
        <v>2</v>
      </c>
      <c r="F797">
        <v>23</v>
      </c>
      <c r="G797" t="b">
        <v>0</v>
      </c>
      <c r="H797">
        <v>6</v>
      </c>
      <c r="I797">
        <v>1</v>
      </c>
      <c r="J797">
        <v>0.26</v>
      </c>
      <c r="K797">
        <v>0.2576</v>
      </c>
      <c r="L797">
        <v>0.93</v>
      </c>
      <c r="M797">
        <v>0.22389999999999999</v>
      </c>
      <c r="N797">
        <v>7</v>
      </c>
      <c r="O797">
        <v>52</v>
      </c>
      <c r="P797">
        <v>59</v>
      </c>
      <c r="Q797" t="str">
        <f t="shared" si="96"/>
        <v>Complete</v>
      </c>
      <c r="R797">
        <f t="shared" si="103"/>
        <v>0.2576</v>
      </c>
      <c r="S797">
        <f t="shared" si="97"/>
        <v>2011</v>
      </c>
      <c r="T797" t="str">
        <f t="shared" si="98"/>
        <v/>
      </c>
      <c r="U797" t="str">
        <f t="shared" si="99"/>
        <v>Saturday</v>
      </c>
      <c r="V797" t="str">
        <f t="shared" si="100"/>
        <v>Evening</v>
      </c>
      <c r="W797" t="str">
        <f t="shared" si="101"/>
        <v>Spring</v>
      </c>
      <c r="X797" t="str">
        <f t="shared" si="102"/>
        <v>Clear</v>
      </c>
    </row>
    <row r="798" spans="1:24">
      <c r="A798">
        <v>806</v>
      </c>
      <c r="B798" s="2">
        <v>40580</v>
      </c>
      <c r="C798">
        <v>1</v>
      </c>
      <c r="D798">
        <v>0</v>
      </c>
      <c r="E798">
        <v>2</v>
      </c>
      <c r="F798">
        <v>0</v>
      </c>
      <c r="G798" t="b">
        <v>0</v>
      </c>
      <c r="H798">
        <v>0</v>
      </c>
      <c r="I798">
        <v>1</v>
      </c>
      <c r="J798">
        <v>0.26</v>
      </c>
      <c r="K798">
        <v>0.2576</v>
      </c>
      <c r="L798">
        <v>0.7</v>
      </c>
      <c r="M798">
        <v>0.19400000000000001</v>
      </c>
      <c r="N798">
        <v>2</v>
      </c>
      <c r="O798">
        <v>37</v>
      </c>
      <c r="P798">
        <v>39</v>
      </c>
      <c r="Q798" t="str">
        <f t="shared" si="96"/>
        <v>Complete</v>
      </c>
      <c r="R798">
        <f t="shared" si="103"/>
        <v>0.2576</v>
      </c>
      <c r="S798">
        <f t="shared" si="97"/>
        <v>2011</v>
      </c>
      <c r="T798" t="str">
        <f t="shared" si="98"/>
        <v/>
      </c>
      <c r="U798" t="str">
        <f t="shared" si="99"/>
        <v>Sunday</v>
      </c>
      <c r="V798" t="str">
        <f t="shared" si="100"/>
        <v>Night</v>
      </c>
      <c r="W798" t="str">
        <f t="shared" si="101"/>
        <v>Spring</v>
      </c>
      <c r="X798" t="str">
        <f t="shared" si="102"/>
        <v>Clear</v>
      </c>
    </row>
    <row r="799" spans="1:24">
      <c r="A799">
        <v>807</v>
      </c>
      <c r="B799" s="2">
        <v>40580</v>
      </c>
      <c r="C799">
        <v>1</v>
      </c>
      <c r="D799">
        <v>0</v>
      </c>
      <c r="E799">
        <v>2</v>
      </c>
      <c r="F799">
        <v>1</v>
      </c>
      <c r="G799" t="b">
        <v>0</v>
      </c>
      <c r="H799">
        <v>0</v>
      </c>
      <c r="I799">
        <v>1</v>
      </c>
      <c r="J799">
        <v>0.26</v>
      </c>
      <c r="K799">
        <v>0.2273</v>
      </c>
      <c r="L799">
        <v>0.65</v>
      </c>
      <c r="M799">
        <v>0.41789999999999999</v>
      </c>
      <c r="N799">
        <v>4</v>
      </c>
      <c r="O799">
        <v>40</v>
      </c>
      <c r="P799">
        <v>44</v>
      </c>
      <c r="Q799" t="str">
        <f t="shared" si="96"/>
        <v>Complete</v>
      </c>
      <c r="R799">
        <f t="shared" si="103"/>
        <v>0.2273</v>
      </c>
      <c r="S799">
        <f t="shared" si="97"/>
        <v>2011</v>
      </c>
      <c r="T799" t="str">
        <f t="shared" si="98"/>
        <v/>
      </c>
      <c r="U799" t="str">
        <f t="shared" si="99"/>
        <v>Sunday</v>
      </c>
      <c r="V799" t="str">
        <f t="shared" si="100"/>
        <v>Night</v>
      </c>
      <c r="W799" t="str">
        <f t="shared" si="101"/>
        <v>Spring</v>
      </c>
      <c r="X799" t="str">
        <f t="shared" si="102"/>
        <v>Clear</v>
      </c>
    </row>
    <row r="800" spans="1:24">
      <c r="A800">
        <v>808</v>
      </c>
      <c r="B800" s="2">
        <v>40580</v>
      </c>
      <c r="C800">
        <v>1</v>
      </c>
      <c r="D800">
        <v>0</v>
      </c>
      <c r="E800">
        <v>2</v>
      </c>
      <c r="F800">
        <v>2</v>
      </c>
      <c r="G800" t="b">
        <v>0</v>
      </c>
      <c r="H800">
        <v>0</v>
      </c>
      <c r="I800">
        <v>1</v>
      </c>
      <c r="J800">
        <v>0.26</v>
      </c>
      <c r="K800">
        <v>0.2273</v>
      </c>
      <c r="L800">
        <v>0.6</v>
      </c>
      <c r="M800">
        <v>0.32840000000000003</v>
      </c>
      <c r="N800">
        <v>0</v>
      </c>
      <c r="O800">
        <v>20</v>
      </c>
      <c r="P800">
        <v>20</v>
      </c>
      <c r="Q800" t="str">
        <f t="shared" si="96"/>
        <v>Complete</v>
      </c>
      <c r="R800">
        <f t="shared" si="103"/>
        <v>0.2273</v>
      </c>
      <c r="S800">
        <f t="shared" si="97"/>
        <v>2011</v>
      </c>
      <c r="T800" t="str">
        <f t="shared" si="98"/>
        <v/>
      </c>
      <c r="U800" t="str">
        <f t="shared" si="99"/>
        <v>Sunday</v>
      </c>
      <c r="V800" t="str">
        <f t="shared" si="100"/>
        <v>Night</v>
      </c>
      <c r="W800" t="str">
        <f t="shared" si="101"/>
        <v>Spring</v>
      </c>
      <c r="X800" t="str">
        <f t="shared" si="102"/>
        <v>Clear</v>
      </c>
    </row>
    <row r="801" spans="1:24">
      <c r="A801">
        <v>809</v>
      </c>
      <c r="B801" s="2">
        <v>40580</v>
      </c>
      <c r="C801">
        <v>1</v>
      </c>
      <c r="D801">
        <v>0</v>
      </c>
      <c r="E801">
        <v>2</v>
      </c>
      <c r="F801">
        <v>3</v>
      </c>
      <c r="G801" t="b">
        <v>0</v>
      </c>
      <c r="H801">
        <v>0</v>
      </c>
      <c r="I801">
        <v>1</v>
      </c>
      <c r="J801">
        <v>0.26</v>
      </c>
      <c r="K801">
        <v>0.28789999999999999</v>
      </c>
      <c r="L801">
        <v>0.6</v>
      </c>
      <c r="M801">
        <v>8.9599999999999999E-2</v>
      </c>
      <c r="N801">
        <v>3</v>
      </c>
      <c r="O801">
        <v>10</v>
      </c>
      <c r="P801">
        <v>13</v>
      </c>
      <c r="Q801" t="str">
        <f t="shared" si="96"/>
        <v>Complete</v>
      </c>
      <c r="R801">
        <f t="shared" si="103"/>
        <v>0.28789999999999999</v>
      </c>
      <c r="S801">
        <f t="shared" si="97"/>
        <v>2011</v>
      </c>
      <c r="T801" t="str">
        <f t="shared" si="98"/>
        <v/>
      </c>
      <c r="U801" t="str">
        <f t="shared" si="99"/>
        <v>Sunday</v>
      </c>
      <c r="V801" t="str">
        <f t="shared" si="100"/>
        <v>Night</v>
      </c>
      <c r="W801" t="str">
        <f t="shared" si="101"/>
        <v>Spring</v>
      </c>
      <c r="X801" t="str">
        <f t="shared" si="102"/>
        <v>Clear</v>
      </c>
    </row>
    <row r="802" spans="1:24">
      <c r="A802">
        <v>810</v>
      </c>
      <c r="B802" s="2">
        <v>40580</v>
      </c>
      <c r="C802">
        <v>1</v>
      </c>
      <c r="D802">
        <v>0</v>
      </c>
      <c r="E802">
        <v>2</v>
      </c>
      <c r="F802">
        <v>4</v>
      </c>
      <c r="G802" t="b">
        <v>0</v>
      </c>
      <c r="H802">
        <v>0</v>
      </c>
      <c r="I802">
        <v>1</v>
      </c>
      <c r="J802">
        <v>0.26</v>
      </c>
      <c r="K802">
        <v>0.2273</v>
      </c>
      <c r="L802">
        <v>0.6</v>
      </c>
      <c r="M802">
        <v>0.35820000000000002</v>
      </c>
      <c r="N802">
        <v>0</v>
      </c>
      <c r="O802">
        <v>2</v>
      </c>
      <c r="P802">
        <v>2</v>
      </c>
      <c r="Q802" t="str">
        <f t="shared" si="96"/>
        <v>Complete</v>
      </c>
      <c r="R802">
        <f t="shared" si="103"/>
        <v>0.2273</v>
      </c>
      <c r="S802">
        <f t="shared" si="97"/>
        <v>2011</v>
      </c>
      <c r="T802" t="str">
        <f t="shared" si="98"/>
        <v/>
      </c>
      <c r="U802" t="str">
        <f t="shared" si="99"/>
        <v>Sunday</v>
      </c>
      <c r="V802" t="str">
        <f t="shared" si="100"/>
        <v>Night</v>
      </c>
      <c r="W802" t="str">
        <f t="shared" si="101"/>
        <v>Spring</v>
      </c>
      <c r="X802" t="str">
        <f t="shared" si="102"/>
        <v>Clear</v>
      </c>
    </row>
    <row r="803" spans="1:24">
      <c r="A803">
        <v>811</v>
      </c>
      <c r="B803" s="2">
        <v>40580</v>
      </c>
      <c r="C803">
        <v>1</v>
      </c>
      <c r="D803">
        <v>0</v>
      </c>
      <c r="E803">
        <v>2</v>
      </c>
      <c r="F803">
        <v>5</v>
      </c>
      <c r="G803" t="b">
        <v>0</v>
      </c>
      <c r="H803">
        <v>0</v>
      </c>
      <c r="I803">
        <v>1</v>
      </c>
      <c r="J803">
        <v>0.26</v>
      </c>
      <c r="K803">
        <v>0.2576</v>
      </c>
      <c r="L803">
        <v>0.6</v>
      </c>
      <c r="M803">
        <v>0.22389999999999999</v>
      </c>
      <c r="N803">
        <v>0</v>
      </c>
      <c r="O803">
        <v>1</v>
      </c>
      <c r="P803">
        <v>1</v>
      </c>
      <c r="Q803" t="str">
        <f t="shared" si="96"/>
        <v>Complete</v>
      </c>
      <c r="R803">
        <f t="shared" si="103"/>
        <v>0.2576</v>
      </c>
      <c r="S803">
        <f t="shared" si="97"/>
        <v>2011</v>
      </c>
      <c r="T803" t="str">
        <f t="shared" si="98"/>
        <v/>
      </c>
      <c r="U803" t="str">
        <f t="shared" si="99"/>
        <v>Sunday</v>
      </c>
      <c r="V803" t="str">
        <f t="shared" si="100"/>
        <v>Night</v>
      </c>
      <c r="W803" t="str">
        <f t="shared" si="101"/>
        <v>Spring</v>
      </c>
      <c r="X803" t="str">
        <f t="shared" si="102"/>
        <v>Clear</v>
      </c>
    </row>
    <row r="804" spans="1:24">
      <c r="A804">
        <v>812</v>
      </c>
      <c r="B804" s="2">
        <v>40580</v>
      </c>
      <c r="C804">
        <v>1</v>
      </c>
      <c r="D804">
        <v>0</v>
      </c>
      <c r="E804">
        <v>2</v>
      </c>
      <c r="F804">
        <v>6</v>
      </c>
      <c r="G804" t="b">
        <v>0</v>
      </c>
      <c r="H804">
        <v>0</v>
      </c>
      <c r="I804">
        <v>1</v>
      </c>
      <c r="J804">
        <v>0.26</v>
      </c>
      <c r="K804">
        <v>0.2576</v>
      </c>
      <c r="L804">
        <v>0.6</v>
      </c>
      <c r="M804">
        <v>0.22389999999999999</v>
      </c>
      <c r="N804">
        <v>0</v>
      </c>
      <c r="O804">
        <v>1</v>
      </c>
      <c r="P804">
        <v>1</v>
      </c>
      <c r="Q804" t="str">
        <f t="shared" si="96"/>
        <v>Complete</v>
      </c>
      <c r="R804">
        <f t="shared" si="103"/>
        <v>0.2576</v>
      </c>
      <c r="S804">
        <f t="shared" si="97"/>
        <v>2011</v>
      </c>
      <c r="T804" t="str">
        <f t="shared" si="98"/>
        <v/>
      </c>
      <c r="U804" t="str">
        <f t="shared" si="99"/>
        <v>Sunday</v>
      </c>
      <c r="V804" t="str">
        <f t="shared" si="100"/>
        <v>Morning</v>
      </c>
      <c r="W804" t="str">
        <f t="shared" si="101"/>
        <v>Spring</v>
      </c>
      <c r="X804" t="str">
        <f t="shared" si="102"/>
        <v>Clear</v>
      </c>
    </row>
    <row r="805" spans="1:24">
      <c r="A805">
        <v>813</v>
      </c>
      <c r="B805" s="2">
        <v>40580</v>
      </c>
      <c r="C805">
        <v>1</v>
      </c>
      <c r="D805">
        <v>0</v>
      </c>
      <c r="E805">
        <v>2</v>
      </c>
      <c r="F805">
        <v>7</v>
      </c>
      <c r="G805" t="b">
        <v>0</v>
      </c>
      <c r="H805">
        <v>0</v>
      </c>
      <c r="I805">
        <v>1</v>
      </c>
      <c r="J805">
        <v>0.24</v>
      </c>
      <c r="K805">
        <v>0.2424</v>
      </c>
      <c r="L805">
        <v>0.65</v>
      </c>
      <c r="M805">
        <v>0.16420000000000001</v>
      </c>
      <c r="N805">
        <v>0</v>
      </c>
      <c r="O805">
        <v>8</v>
      </c>
      <c r="P805">
        <v>8</v>
      </c>
      <c r="Q805" t="str">
        <f t="shared" si="96"/>
        <v>Complete</v>
      </c>
      <c r="R805">
        <f t="shared" si="103"/>
        <v>0.2424</v>
      </c>
      <c r="S805">
        <f t="shared" si="97"/>
        <v>2011</v>
      </c>
      <c r="T805" t="str">
        <f t="shared" si="98"/>
        <v/>
      </c>
      <c r="U805" t="str">
        <f t="shared" si="99"/>
        <v>Sunday</v>
      </c>
      <c r="V805" t="str">
        <f t="shared" si="100"/>
        <v>Morning</v>
      </c>
      <c r="W805" t="str">
        <f t="shared" si="101"/>
        <v>Spring</v>
      </c>
      <c r="X805" t="str">
        <f t="shared" si="102"/>
        <v>Clear</v>
      </c>
    </row>
    <row r="806" spans="1:24">
      <c r="A806">
        <v>814</v>
      </c>
      <c r="B806" s="2">
        <v>40580</v>
      </c>
      <c r="C806">
        <v>1</v>
      </c>
      <c r="D806">
        <v>0</v>
      </c>
      <c r="E806">
        <v>2</v>
      </c>
      <c r="F806">
        <v>8</v>
      </c>
      <c r="G806" t="b">
        <v>0</v>
      </c>
      <c r="H806">
        <v>0</v>
      </c>
      <c r="I806">
        <v>1</v>
      </c>
      <c r="J806">
        <v>0.24</v>
      </c>
      <c r="K806">
        <v>0.2576</v>
      </c>
      <c r="L806">
        <v>0.65</v>
      </c>
      <c r="M806">
        <v>0.1045</v>
      </c>
      <c r="N806">
        <v>2</v>
      </c>
      <c r="O806">
        <v>21</v>
      </c>
      <c r="P806">
        <v>23</v>
      </c>
      <c r="Q806" t="str">
        <f t="shared" si="96"/>
        <v>Complete</v>
      </c>
      <c r="R806">
        <f t="shared" si="103"/>
        <v>0.2576</v>
      </c>
      <c r="S806">
        <f t="shared" si="97"/>
        <v>2011</v>
      </c>
      <c r="T806" t="str">
        <f t="shared" si="98"/>
        <v/>
      </c>
      <c r="U806" t="str">
        <f t="shared" si="99"/>
        <v>Sunday</v>
      </c>
      <c r="V806" t="str">
        <f t="shared" si="100"/>
        <v>Morning</v>
      </c>
      <c r="W806" t="str">
        <f t="shared" si="101"/>
        <v>Spring</v>
      </c>
      <c r="X806" t="str">
        <f t="shared" si="102"/>
        <v>Clear</v>
      </c>
    </row>
    <row r="807" spans="1:24">
      <c r="A807">
        <v>815</v>
      </c>
      <c r="B807" s="2">
        <v>40580</v>
      </c>
      <c r="C807">
        <v>1</v>
      </c>
      <c r="D807">
        <v>0</v>
      </c>
      <c r="E807">
        <v>2</v>
      </c>
      <c r="F807">
        <v>9</v>
      </c>
      <c r="G807" t="b">
        <v>0</v>
      </c>
      <c r="H807">
        <v>0</v>
      </c>
      <c r="I807">
        <v>1</v>
      </c>
      <c r="J807">
        <v>0.28000000000000003</v>
      </c>
      <c r="K807">
        <v>0.28789999999999999</v>
      </c>
      <c r="L807">
        <v>0.56000000000000005</v>
      </c>
      <c r="M807">
        <v>0.1045</v>
      </c>
      <c r="N807">
        <v>7</v>
      </c>
      <c r="O807">
        <v>38</v>
      </c>
      <c r="P807">
        <v>45</v>
      </c>
      <c r="Q807" t="str">
        <f t="shared" si="96"/>
        <v>Complete</v>
      </c>
      <c r="R807">
        <f t="shared" si="103"/>
        <v>0.28789999999999999</v>
      </c>
      <c r="S807">
        <f t="shared" si="97"/>
        <v>2011</v>
      </c>
      <c r="T807" t="str">
        <f t="shared" si="98"/>
        <v/>
      </c>
      <c r="U807" t="str">
        <f t="shared" si="99"/>
        <v>Sunday</v>
      </c>
      <c r="V807" t="str">
        <f t="shared" si="100"/>
        <v>Morning</v>
      </c>
      <c r="W807" t="str">
        <f t="shared" si="101"/>
        <v>Spring</v>
      </c>
      <c r="X807" t="str">
        <f t="shared" si="102"/>
        <v>Clear</v>
      </c>
    </row>
    <row r="808" spans="1:24">
      <c r="A808">
        <v>816</v>
      </c>
      <c r="B808" s="2">
        <v>40580</v>
      </c>
      <c r="C808">
        <v>1</v>
      </c>
      <c r="D808">
        <v>0</v>
      </c>
      <c r="E808">
        <v>2</v>
      </c>
      <c r="F808">
        <v>10</v>
      </c>
      <c r="G808" t="b">
        <v>0</v>
      </c>
      <c r="H808">
        <v>0</v>
      </c>
      <c r="I808">
        <v>1</v>
      </c>
      <c r="J808">
        <v>0.3</v>
      </c>
      <c r="K808">
        <v>0.28789999999999999</v>
      </c>
      <c r="L808">
        <v>0.52</v>
      </c>
      <c r="M808">
        <v>0.25369999999999998</v>
      </c>
      <c r="N808">
        <v>15</v>
      </c>
      <c r="O808">
        <v>74</v>
      </c>
      <c r="P808">
        <v>89</v>
      </c>
      <c r="Q808" t="str">
        <f t="shared" si="96"/>
        <v>Complete</v>
      </c>
      <c r="R808">
        <f t="shared" si="103"/>
        <v>0.28789999999999999</v>
      </c>
      <c r="S808">
        <f t="shared" si="97"/>
        <v>2011</v>
      </c>
      <c r="T808" t="str">
        <f t="shared" si="98"/>
        <v/>
      </c>
      <c r="U808" t="str">
        <f t="shared" si="99"/>
        <v>Sunday</v>
      </c>
      <c r="V808" t="str">
        <f t="shared" si="100"/>
        <v>Morning</v>
      </c>
      <c r="W808" t="str">
        <f t="shared" si="101"/>
        <v>Spring</v>
      </c>
      <c r="X808" t="str">
        <f t="shared" si="102"/>
        <v>Clear</v>
      </c>
    </row>
    <row r="809" spans="1:24">
      <c r="A809">
        <v>817</v>
      </c>
      <c r="B809" s="2">
        <v>40580</v>
      </c>
      <c r="C809">
        <v>1</v>
      </c>
      <c r="D809">
        <v>0</v>
      </c>
      <c r="E809">
        <v>2</v>
      </c>
      <c r="F809">
        <v>11</v>
      </c>
      <c r="G809" t="b">
        <v>0</v>
      </c>
      <c r="H809">
        <v>0</v>
      </c>
      <c r="I809">
        <v>1</v>
      </c>
      <c r="J809">
        <v>0.32</v>
      </c>
      <c r="K809">
        <v>0.30299999999999999</v>
      </c>
      <c r="L809">
        <v>0.49</v>
      </c>
      <c r="M809">
        <v>0.25369999999999998</v>
      </c>
      <c r="N809">
        <v>28</v>
      </c>
      <c r="O809">
        <v>89</v>
      </c>
      <c r="P809">
        <v>117</v>
      </c>
      <c r="Q809" t="str">
        <f t="shared" si="96"/>
        <v>Complete</v>
      </c>
      <c r="R809">
        <f t="shared" si="103"/>
        <v>0.30299999999999999</v>
      </c>
      <c r="S809">
        <f t="shared" si="97"/>
        <v>2011</v>
      </c>
      <c r="T809" t="str">
        <f t="shared" si="98"/>
        <v/>
      </c>
      <c r="U809" t="str">
        <f t="shared" si="99"/>
        <v>Sunday</v>
      </c>
      <c r="V809" t="str">
        <f t="shared" si="100"/>
        <v>Morning</v>
      </c>
      <c r="W809" t="str">
        <f t="shared" si="101"/>
        <v>Spring</v>
      </c>
      <c r="X809" t="str">
        <f t="shared" si="102"/>
        <v>Clear</v>
      </c>
    </row>
    <row r="810" spans="1:24">
      <c r="A810">
        <v>818</v>
      </c>
      <c r="B810" s="2">
        <v>40580</v>
      </c>
      <c r="C810">
        <v>1</v>
      </c>
      <c r="D810">
        <v>0</v>
      </c>
      <c r="E810">
        <v>2</v>
      </c>
      <c r="F810">
        <v>12</v>
      </c>
      <c r="G810" t="b">
        <v>0</v>
      </c>
      <c r="H810">
        <v>0</v>
      </c>
      <c r="I810">
        <v>1</v>
      </c>
      <c r="J810">
        <v>0.34</v>
      </c>
      <c r="K810">
        <v>0.33329999999999999</v>
      </c>
      <c r="L810">
        <v>0.46</v>
      </c>
      <c r="M810">
        <v>0</v>
      </c>
      <c r="N810">
        <v>48</v>
      </c>
      <c r="O810">
        <v>126</v>
      </c>
      <c r="P810">
        <v>174</v>
      </c>
      <c r="Q810" t="str">
        <f t="shared" si="96"/>
        <v>Complete</v>
      </c>
      <c r="R810">
        <f t="shared" si="103"/>
        <v>0.33329999999999999</v>
      </c>
      <c r="S810">
        <f t="shared" si="97"/>
        <v>2011</v>
      </c>
      <c r="T810" t="str">
        <f t="shared" si="98"/>
        <v/>
      </c>
      <c r="U810" t="str">
        <f t="shared" si="99"/>
        <v>Sunday</v>
      </c>
      <c r="V810" t="str">
        <f t="shared" si="100"/>
        <v>Afternoon</v>
      </c>
      <c r="W810" t="str">
        <f t="shared" si="101"/>
        <v>Spring</v>
      </c>
      <c r="X810" t="str">
        <f t="shared" si="102"/>
        <v>Clear</v>
      </c>
    </row>
    <row r="811" spans="1:24">
      <c r="A811">
        <v>819</v>
      </c>
      <c r="B811" s="2">
        <v>40580</v>
      </c>
      <c r="C811">
        <v>1</v>
      </c>
      <c r="D811">
        <v>0</v>
      </c>
      <c r="E811">
        <v>2</v>
      </c>
      <c r="F811">
        <v>13</v>
      </c>
      <c r="G811" t="b">
        <v>0</v>
      </c>
      <c r="H811">
        <v>0</v>
      </c>
      <c r="I811">
        <v>1</v>
      </c>
      <c r="J811">
        <v>0.34</v>
      </c>
      <c r="K811">
        <v>0.36359999999999998</v>
      </c>
      <c r="L811">
        <v>0.46</v>
      </c>
      <c r="M811">
        <v>0</v>
      </c>
      <c r="N811">
        <v>47</v>
      </c>
      <c r="O811">
        <v>135</v>
      </c>
      <c r="P811">
        <v>182</v>
      </c>
      <c r="Q811" t="str">
        <f t="shared" si="96"/>
        <v>Complete</v>
      </c>
      <c r="R811">
        <f t="shared" si="103"/>
        <v>0.36359999999999998</v>
      </c>
      <c r="S811">
        <f t="shared" si="97"/>
        <v>2011</v>
      </c>
      <c r="T811" t="str">
        <f t="shared" si="98"/>
        <v/>
      </c>
      <c r="U811" t="str">
        <f t="shared" si="99"/>
        <v>Sunday</v>
      </c>
      <c r="V811" t="str">
        <f t="shared" si="100"/>
        <v>Afternoon</v>
      </c>
      <c r="W811" t="str">
        <f t="shared" si="101"/>
        <v>Spring</v>
      </c>
      <c r="X811" t="str">
        <f t="shared" si="102"/>
        <v>Clear</v>
      </c>
    </row>
    <row r="812" spans="1:24">
      <c r="A812">
        <v>820</v>
      </c>
      <c r="B812" s="2">
        <v>40580</v>
      </c>
      <c r="C812">
        <v>1</v>
      </c>
      <c r="D812">
        <v>0</v>
      </c>
      <c r="E812">
        <v>2</v>
      </c>
      <c r="F812">
        <v>14</v>
      </c>
      <c r="G812" t="b">
        <v>0</v>
      </c>
      <c r="H812">
        <v>0</v>
      </c>
      <c r="I812">
        <v>1</v>
      </c>
      <c r="J812">
        <v>0.34</v>
      </c>
      <c r="K812">
        <v>0.34849999999999998</v>
      </c>
      <c r="L812">
        <v>0.46</v>
      </c>
      <c r="M812">
        <v>8.9599999999999999E-2</v>
      </c>
      <c r="N812">
        <v>47</v>
      </c>
      <c r="O812">
        <v>114</v>
      </c>
      <c r="P812">
        <v>161</v>
      </c>
      <c r="Q812" t="str">
        <f t="shared" si="96"/>
        <v>Complete</v>
      </c>
      <c r="R812">
        <f t="shared" si="103"/>
        <v>0.34849999999999998</v>
      </c>
      <c r="S812">
        <f t="shared" si="97"/>
        <v>2011</v>
      </c>
      <c r="T812" t="str">
        <f t="shared" si="98"/>
        <v/>
      </c>
      <c r="U812" t="str">
        <f t="shared" si="99"/>
        <v>Sunday</v>
      </c>
      <c r="V812" t="str">
        <f t="shared" si="100"/>
        <v>Afternoon</v>
      </c>
      <c r="W812" t="str">
        <f t="shared" si="101"/>
        <v>Spring</v>
      </c>
      <c r="X812" t="str">
        <f t="shared" si="102"/>
        <v>Clear</v>
      </c>
    </row>
    <row r="813" spans="1:24">
      <c r="A813">
        <v>821</v>
      </c>
      <c r="B813" s="2">
        <v>40580</v>
      </c>
      <c r="C813">
        <v>1</v>
      </c>
      <c r="D813">
        <v>0</v>
      </c>
      <c r="E813">
        <v>2</v>
      </c>
      <c r="F813">
        <v>15</v>
      </c>
      <c r="G813" t="b">
        <v>0</v>
      </c>
      <c r="H813">
        <v>0</v>
      </c>
      <c r="I813">
        <v>1</v>
      </c>
      <c r="J813">
        <v>0.34</v>
      </c>
      <c r="K813">
        <v>0.34849999999999998</v>
      </c>
      <c r="L813">
        <v>0.46</v>
      </c>
      <c r="M813">
        <v>8.9599999999999999E-2</v>
      </c>
      <c r="N813">
        <v>52</v>
      </c>
      <c r="O813">
        <v>130</v>
      </c>
      <c r="P813">
        <v>182</v>
      </c>
      <c r="Q813" t="str">
        <f t="shared" si="96"/>
        <v>Complete</v>
      </c>
      <c r="R813">
        <f t="shared" si="103"/>
        <v>0.34849999999999998</v>
      </c>
      <c r="S813">
        <f t="shared" si="97"/>
        <v>2011</v>
      </c>
      <c r="T813" t="str">
        <f t="shared" si="98"/>
        <v/>
      </c>
      <c r="U813" t="str">
        <f t="shared" si="99"/>
        <v>Sunday</v>
      </c>
      <c r="V813" t="str">
        <f t="shared" si="100"/>
        <v>Afternoon</v>
      </c>
      <c r="W813" t="str">
        <f t="shared" si="101"/>
        <v>Spring</v>
      </c>
      <c r="X813" t="str">
        <f t="shared" si="102"/>
        <v>Clear</v>
      </c>
    </row>
    <row r="814" spans="1:24">
      <c r="A814">
        <v>822</v>
      </c>
      <c r="B814" s="2">
        <v>40580</v>
      </c>
      <c r="C814">
        <v>1</v>
      </c>
      <c r="D814">
        <v>0</v>
      </c>
      <c r="E814">
        <v>2</v>
      </c>
      <c r="F814">
        <v>16</v>
      </c>
      <c r="G814" t="b">
        <v>0</v>
      </c>
      <c r="H814">
        <v>0</v>
      </c>
      <c r="I814">
        <v>1</v>
      </c>
      <c r="J814">
        <v>0.34</v>
      </c>
      <c r="K814">
        <v>0.34849999999999998</v>
      </c>
      <c r="L814">
        <v>0.49</v>
      </c>
      <c r="M814">
        <v>0.1045</v>
      </c>
      <c r="N814">
        <v>42</v>
      </c>
      <c r="O814">
        <v>115</v>
      </c>
      <c r="P814">
        <v>157</v>
      </c>
      <c r="Q814" t="str">
        <f t="shared" si="96"/>
        <v>Complete</v>
      </c>
      <c r="R814">
        <f t="shared" si="103"/>
        <v>0.34849999999999998</v>
      </c>
      <c r="S814">
        <f t="shared" si="97"/>
        <v>2011</v>
      </c>
      <c r="T814" t="str">
        <f t="shared" si="98"/>
        <v/>
      </c>
      <c r="U814" t="str">
        <f t="shared" si="99"/>
        <v>Sunday</v>
      </c>
      <c r="V814" t="str">
        <f t="shared" si="100"/>
        <v>Afternoon</v>
      </c>
      <c r="W814" t="str">
        <f t="shared" si="101"/>
        <v>Spring</v>
      </c>
      <c r="X814" t="str">
        <f t="shared" si="102"/>
        <v>Clear</v>
      </c>
    </row>
    <row r="815" spans="1:24">
      <c r="A815">
        <v>823</v>
      </c>
      <c r="B815" s="2">
        <v>40580</v>
      </c>
      <c r="C815">
        <v>1</v>
      </c>
      <c r="D815">
        <v>0</v>
      </c>
      <c r="E815">
        <v>2</v>
      </c>
      <c r="F815">
        <v>17</v>
      </c>
      <c r="G815" t="b">
        <v>0</v>
      </c>
      <c r="H815">
        <v>0</v>
      </c>
      <c r="I815">
        <v>1</v>
      </c>
      <c r="J815">
        <v>0.34</v>
      </c>
      <c r="K815">
        <v>0.36359999999999998</v>
      </c>
      <c r="L815">
        <v>0.46</v>
      </c>
      <c r="M815">
        <v>0</v>
      </c>
      <c r="N815">
        <v>24</v>
      </c>
      <c r="O815">
        <v>97</v>
      </c>
      <c r="P815">
        <v>121</v>
      </c>
      <c r="Q815" t="str">
        <f t="shared" si="96"/>
        <v>Complete</v>
      </c>
      <c r="R815">
        <f t="shared" si="103"/>
        <v>0.36359999999999998</v>
      </c>
      <c r="S815">
        <f t="shared" si="97"/>
        <v>2011</v>
      </c>
      <c r="T815" t="str">
        <f t="shared" si="98"/>
        <v/>
      </c>
      <c r="U815" t="str">
        <f t="shared" si="99"/>
        <v>Sunday</v>
      </c>
      <c r="V815" t="str">
        <f t="shared" si="100"/>
        <v>Afternoon</v>
      </c>
      <c r="W815" t="str">
        <f t="shared" si="101"/>
        <v>Spring</v>
      </c>
      <c r="X815" t="str">
        <f t="shared" si="102"/>
        <v>Clear</v>
      </c>
    </row>
    <row r="816" spans="1:24">
      <c r="A816">
        <v>824</v>
      </c>
      <c r="B816" s="2">
        <v>40580</v>
      </c>
      <c r="C816">
        <v>1</v>
      </c>
      <c r="D816">
        <v>0</v>
      </c>
      <c r="E816">
        <v>2</v>
      </c>
      <c r="F816">
        <v>18</v>
      </c>
      <c r="G816" t="b">
        <v>0</v>
      </c>
      <c r="H816">
        <v>0</v>
      </c>
      <c r="I816">
        <v>1</v>
      </c>
      <c r="J816">
        <v>0.3</v>
      </c>
      <c r="K816">
        <v>0.30299999999999999</v>
      </c>
      <c r="L816">
        <v>0.56000000000000005</v>
      </c>
      <c r="M816">
        <v>0.16420000000000001</v>
      </c>
      <c r="N816">
        <v>13</v>
      </c>
      <c r="O816">
        <v>65</v>
      </c>
      <c r="P816">
        <v>78</v>
      </c>
      <c r="Q816" t="str">
        <f t="shared" si="96"/>
        <v>Complete</v>
      </c>
      <c r="R816">
        <f t="shared" si="103"/>
        <v>0.30299999999999999</v>
      </c>
      <c r="S816">
        <f t="shared" si="97"/>
        <v>2011</v>
      </c>
      <c r="T816" t="str">
        <f t="shared" si="98"/>
        <v/>
      </c>
      <c r="U816" t="str">
        <f t="shared" si="99"/>
        <v>Sunday</v>
      </c>
      <c r="V816" t="str">
        <f t="shared" si="100"/>
        <v>Evening</v>
      </c>
      <c r="W816" t="str">
        <f t="shared" si="101"/>
        <v>Spring</v>
      </c>
      <c r="X816" t="str">
        <f t="shared" si="102"/>
        <v>Clear</v>
      </c>
    </row>
    <row r="817" spans="1:24">
      <c r="A817">
        <v>825</v>
      </c>
      <c r="B817" s="2">
        <v>40580</v>
      </c>
      <c r="C817">
        <v>1</v>
      </c>
      <c r="D817">
        <v>0</v>
      </c>
      <c r="E817">
        <v>2</v>
      </c>
      <c r="F817">
        <v>19</v>
      </c>
      <c r="G817" t="b">
        <v>0</v>
      </c>
      <c r="H817">
        <v>0</v>
      </c>
      <c r="I817">
        <v>1</v>
      </c>
      <c r="J817">
        <v>0.28000000000000003</v>
      </c>
      <c r="K817">
        <v>0.28789999999999999</v>
      </c>
      <c r="L817">
        <v>0.61</v>
      </c>
      <c r="M817">
        <v>0.1343</v>
      </c>
      <c r="N817">
        <v>1</v>
      </c>
      <c r="O817">
        <v>20</v>
      </c>
      <c r="P817">
        <v>21</v>
      </c>
      <c r="Q817" t="str">
        <f t="shared" si="96"/>
        <v>Complete</v>
      </c>
      <c r="R817">
        <f t="shared" si="103"/>
        <v>0.28789999999999999</v>
      </c>
      <c r="S817">
        <f t="shared" si="97"/>
        <v>2011</v>
      </c>
      <c r="T817" t="str">
        <f t="shared" si="98"/>
        <v/>
      </c>
      <c r="U817" t="str">
        <f t="shared" si="99"/>
        <v>Sunday</v>
      </c>
      <c r="V817" t="str">
        <f t="shared" si="100"/>
        <v>Evening</v>
      </c>
      <c r="W817" t="str">
        <f t="shared" si="101"/>
        <v>Spring</v>
      </c>
      <c r="X817" t="str">
        <f t="shared" si="102"/>
        <v>Clear</v>
      </c>
    </row>
    <row r="818" spans="1:24">
      <c r="A818">
        <v>826</v>
      </c>
      <c r="B818" s="2">
        <v>40580</v>
      </c>
      <c r="C818">
        <v>1</v>
      </c>
      <c r="D818">
        <v>0</v>
      </c>
      <c r="E818">
        <v>2</v>
      </c>
      <c r="F818">
        <v>20</v>
      </c>
      <c r="G818" t="b">
        <v>0</v>
      </c>
      <c r="H818">
        <v>0</v>
      </c>
      <c r="I818">
        <v>1</v>
      </c>
      <c r="J818">
        <v>0.28000000000000003</v>
      </c>
      <c r="K818">
        <v>0.28789999999999999</v>
      </c>
      <c r="L818">
        <v>0.61</v>
      </c>
      <c r="M818">
        <v>0.1045</v>
      </c>
      <c r="N818">
        <v>5</v>
      </c>
      <c r="O818">
        <v>21</v>
      </c>
      <c r="P818">
        <v>26</v>
      </c>
      <c r="Q818" t="str">
        <f t="shared" si="96"/>
        <v>Complete</v>
      </c>
      <c r="R818">
        <f t="shared" si="103"/>
        <v>0.28789999999999999</v>
      </c>
      <c r="S818">
        <f t="shared" si="97"/>
        <v>2011</v>
      </c>
      <c r="T818" t="str">
        <f t="shared" si="98"/>
        <v/>
      </c>
      <c r="U818" t="str">
        <f t="shared" si="99"/>
        <v>Sunday</v>
      </c>
      <c r="V818" t="str">
        <f t="shared" si="100"/>
        <v>Evening</v>
      </c>
      <c r="W818" t="str">
        <f t="shared" si="101"/>
        <v>Spring</v>
      </c>
      <c r="X818" t="str">
        <f t="shared" si="102"/>
        <v>Clear</v>
      </c>
    </row>
    <row r="819" spans="1:24">
      <c r="A819">
        <v>827</v>
      </c>
      <c r="B819" s="2">
        <v>40580</v>
      </c>
      <c r="C819">
        <v>1</v>
      </c>
      <c r="D819">
        <v>0</v>
      </c>
      <c r="E819">
        <v>2</v>
      </c>
      <c r="F819">
        <v>21</v>
      </c>
      <c r="G819" t="b">
        <v>0</v>
      </c>
      <c r="H819">
        <v>0</v>
      </c>
      <c r="I819">
        <v>1</v>
      </c>
      <c r="J819">
        <v>0.26</v>
      </c>
      <c r="K819">
        <v>0.30299999999999999</v>
      </c>
      <c r="L819">
        <v>0.6</v>
      </c>
      <c r="M819">
        <v>0</v>
      </c>
      <c r="N819">
        <v>5</v>
      </c>
      <c r="O819">
        <v>22</v>
      </c>
      <c r="P819">
        <v>27</v>
      </c>
      <c r="Q819" t="str">
        <f t="shared" si="96"/>
        <v>Complete</v>
      </c>
      <c r="R819">
        <f t="shared" si="103"/>
        <v>0.30299999999999999</v>
      </c>
      <c r="S819">
        <f t="shared" si="97"/>
        <v>2011</v>
      </c>
      <c r="T819" t="str">
        <f t="shared" si="98"/>
        <v/>
      </c>
      <c r="U819" t="str">
        <f t="shared" si="99"/>
        <v>Sunday</v>
      </c>
      <c r="V819" t="str">
        <f t="shared" si="100"/>
        <v>Evening</v>
      </c>
      <c r="W819" t="str">
        <f t="shared" si="101"/>
        <v>Spring</v>
      </c>
      <c r="X819" t="str">
        <f t="shared" si="102"/>
        <v>Clear</v>
      </c>
    </row>
    <row r="820" spans="1:24">
      <c r="A820">
        <v>828</v>
      </c>
      <c r="B820" s="2">
        <v>40580</v>
      </c>
      <c r="C820">
        <v>1</v>
      </c>
      <c r="D820">
        <v>0</v>
      </c>
      <c r="E820">
        <v>2</v>
      </c>
      <c r="F820">
        <v>22</v>
      </c>
      <c r="G820" t="b">
        <v>0</v>
      </c>
      <c r="H820">
        <v>0</v>
      </c>
      <c r="I820">
        <v>1</v>
      </c>
      <c r="J820">
        <v>0.26</v>
      </c>
      <c r="K820">
        <v>0.30299999999999999</v>
      </c>
      <c r="L820">
        <v>0.6</v>
      </c>
      <c r="M820">
        <v>0</v>
      </c>
      <c r="N820">
        <v>5</v>
      </c>
      <c r="O820">
        <v>57</v>
      </c>
      <c r="P820">
        <v>62</v>
      </c>
      <c r="Q820" t="str">
        <f t="shared" si="96"/>
        <v>Complete</v>
      </c>
      <c r="R820">
        <f t="shared" si="103"/>
        <v>0.30299999999999999</v>
      </c>
      <c r="S820">
        <f t="shared" si="97"/>
        <v>2011</v>
      </c>
      <c r="T820" t="str">
        <f t="shared" si="98"/>
        <v/>
      </c>
      <c r="U820" t="str">
        <f t="shared" si="99"/>
        <v>Sunday</v>
      </c>
      <c r="V820" t="str">
        <f t="shared" si="100"/>
        <v>Evening</v>
      </c>
      <c r="W820" t="str">
        <f t="shared" si="101"/>
        <v>Spring</v>
      </c>
      <c r="X820" t="str">
        <f t="shared" si="102"/>
        <v>Clear</v>
      </c>
    </row>
    <row r="821" spans="1:24">
      <c r="A821">
        <v>829</v>
      </c>
      <c r="B821" s="2">
        <v>40580</v>
      </c>
      <c r="C821">
        <v>1</v>
      </c>
      <c r="D821">
        <v>0</v>
      </c>
      <c r="E821">
        <v>2</v>
      </c>
      <c r="F821">
        <v>23</v>
      </c>
      <c r="G821" t="b">
        <v>0</v>
      </c>
      <c r="H821">
        <v>0</v>
      </c>
      <c r="I821">
        <v>1</v>
      </c>
      <c r="J821">
        <v>0.24</v>
      </c>
      <c r="K821">
        <v>0.28789999999999999</v>
      </c>
      <c r="L821">
        <v>0.65</v>
      </c>
      <c r="M821">
        <v>0</v>
      </c>
      <c r="N821">
        <v>4</v>
      </c>
      <c r="O821">
        <v>26</v>
      </c>
      <c r="P821">
        <v>30</v>
      </c>
      <c r="Q821" t="str">
        <f t="shared" si="96"/>
        <v>Complete</v>
      </c>
      <c r="R821">
        <f t="shared" si="103"/>
        <v>0.28789999999999999</v>
      </c>
      <c r="S821">
        <f t="shared" si="97"/>
        <v>2011</v>
      </c>
      <c r="T821" t="str">
        <f t="shared" si="98"/>
        <v/>
      </c>
      <c r="U821" t="str">
        <f t="shared" si="99"/>
        <v>Sunday</v>
      </c>
      <c r="V821" t="str">
        <f t="shared" si="100"/>
        <v>Evening</v>
      </c>
      <c r="W821" t="str">
        <f t="shared" si="101"/>
        <v>Spring</v>
      </c>
      <c r="X821" t="str">
        <f t="shared" si="102"/>
        <v>Clear</v>
      </c>
    </row>
    <row r="822" spans="1:24">
      <c r="A822">
        <v>830</v>
      </c>
      <c r="B822" s="2">
        <v>40581</v>
      </c>
      <c r="C822">
        <v>1</v>
      </c>
      <c r="D822">
        <v>0</v>
      </c>
      <c r="E822">
        <v>2</v>
      </c>
      <c r="F822">
        <v>0</v>
      </c>
      <c r="G822" t="b">
        <v>0</v>
      </c>
      <c r="H822">
        <v>1</v>
      </c>
      <c r="I822">
        <v>1</v>
      </c>
      <c r="J822">
        <v>0.24</v>
      </c>
      <c r="K822">
        <v>0.28789999999999999</v>
      </c>
      <c r="L822">
        <v>0.65</v>
      </c>
      <c r="M822">
        <v>0</v>
      </c>
      <c r="N822">
        <v>1</v>
      </c>
      <c r="O822">
        <v>14</v>
      </c>
      <c r="P822">
        <v>15</v>
      </c>
      <c r="Q822" t="str">
        <f t="shared" si="96"/>
        <v>Complete</v>
      </c>
      <c r="R822">
        <f t="shared" si="103"/>
        <v>0.28789999999999999</v>
      </c>
      <c r="S822">
        <f t="shared" si="97"/>
        <v>2011</v>
      </c>
      <c r="T822" t="str">
        <f t="shared" si="98"/>
        <v/>
      </c>
      <c r="U822" t="str">
        <f t="shared" si="99"/>
        <v>Weekday</v>
      </c>
      <c r="V822" t="str">
        <f t="shared" si="100"/>
        <v>Night</v>
      </c>
      <c r="W822" t="str">
        <f t="shared" si="101"/>
        <v>Spring</v>
      </c>
      <c r="X822" t="str">
        <f t="shared" si="102"/>
        <v>Clear</v>
      </c>
    </row>
    <row r="823" spans="1:24">
      <c r="A823">
        <v>831</v>
      </c>
      <c r="B823" s="2">
        <v>40581</v>
      </c>
      <c r="C823">
        <v>1</v>
      </c>
      <c r="D823">
        <v>0</v>
      </c>
      <c r="E823">
        <v>2</v>
      </c>
      <c r="F823">
        <v>1</v>
      </c>
      <c r="G823" t="b">
        <v>0</v>
      </c>
      <c r="H823">
        <v>1</v>
      </c>
      <c r="I823">
        <v>1</v>
      </c>
      <c r="J823">
        <v>0.22</v>
      </c>
      <c r="K823">
        <v>0.2727</v>
      </c>
      <c r="L823">
        <v>0.75</v>
      </c>
      <c r="M823">
        <v>0</v>
      </c>
      <c r="N823">
        <v>1</v>
      </c>
      <c r="O823">
        <v>4</v>
      </c>
      <c r="P823">
        <v>5</v>
      </c>
      <c r="Q823" t="str">
        <f t="shared" si="96"/>
        <v>Complete</v>
      </c>
      <c r="R823">
        <f t="shared" si="103"/>
        <v>0.2727</v>
      </c>
      <c r="S823">
        <f t="shared" si="97"/>
        <v>2011</v>
      </c>
      <c r="T823" t="str">
        <f t="shared" si="98"/>
        <v/>
      </c>
      <c r="U823" t="str">
        <f t="shared" si="99"/>
        <v>Weekday</v>
      </c>
      <c r="V823" t="str">
        <f t="shared" si="100"/>
        <v>Night</v>
      </c>
      <c r="W823" t="str">
        <f t="shared" si="101"/>
        <v>Spring</v>
      </c>
      <c r="X823" t="str">
        <f t="shared" si="102"/>
        <v>Clear</v>
      </c>
    </row>
    <row r="824" spans="1:24">
      <c r="A824">
        <v>832</v>
      </c>
      <c r="B824" s="2">
        <v>40581</v>
      </c>
      <c r="C824">
        <v>1</v>
      </c>
      <c r="D824">
        <v>0</v>
      </c>
      <c r="E824">
        <v>2</v>
      </c>
      <c r="F824">
        <v>2</v>
      </c>
      <c r="G824" t="b">
        <v>0</v>
      </c>
      <c r="H824">
        <v>1</v>
      </c>
      <c r="I824">
        <v>1</v>
      </c>
      <c r="J824">
        <v>0.2</v>
      </c>
      <c r="K824">
        <v>0.2576</v>
      </c>
      <c r="L824">
        <v>0.8</v>
      </c>
      <c r="M824">
        <v>0</v>
      </c>
      <c r="N824">
        <v>0</v>
      </c>
      <c r="O824">
        <v>3</v>
      </c>
      <c r="P824">
        <v>3</v>
      </c>
      <c r="Q824" t="str">
        <f t="shared" si="96"/>
        <v>Complete</v>
      </c>
      <c r="R824">
        <f t="shared" si="103"/>
        <v>0.2576</v>
      </c>
      <c r="S824">
        <f t="shared" si="97"/>
        <v>2011</v>
      </c>
      <c r="T824" t="str">
        <f t="shared" si="98"/>
        <v/>
      </c>
      <c r="U824" t="str">
        <f t="shared" si="99"/>
        <v>Weekday</v>
      </c>
      <c r="V824" t="str">
        <f t="shared" si="100"/>
        <v>Night</v>
      </c>
      <c r="W824" t="str">
        <f t="shared" si="101"/>
        <v>Spring</v>
      </c>
      <c r="X824" t="str">
        <f t="shared" si="102"/>
        <v>Clear</v>
      </c>
    </row>
    <row r="825" spans="1:24">
      <c r="A825">
        <v>833</v>
      </c>
      <c r="B825" s="2">
        <v>40581</v>
      </c>
      <c r="C825">
        <v>1</v>
      </c>
      <c r="D825">
        <v>0</v>
      </c>
      <c r="E825">
        <v>2</v>
      </c>
      <c r="F825">
        <v>3</v>
      </c>
      <c r="G825" t="b">
        <v>0</v>
      </c>
      <c r="H825">
        <v>1</v>
      </c>
      <c r="I825">
        <v>1</v>
      </c>
      <c r="J825">
        <v>0.2</v>
      </c>
      <c r="K825">
        <v>0.2576</v>
      </c>
      <c r="L825">
        <v>0.86</v>
      </c>
      <c r="M825">
        <v>0</v>
      </c>
      <c r="N825">
        <v>0</v>
      </c>
      <c r="O825">
        <v>1</v>
      </c>
      <c r="P825">
        <v>1</v>
      </c>
      <c r="Q825" t="str">
        <f t="shared" si="96"/>
        <v>Complete</v>
      </c>
      <c r="R825">
        <f t="shared" si="103"/>
        <v>0.2576</v>
      </c>
      <c r="S825">
        <f t="shared" si="97"/>
        <v>2011</v>
      </c>
      <c r="T825" t="str">
        <f t="shared" si="98"/>
        <v/>
      </c>
      <c r="U825" t="str">
        <f t="shared" si="99"/>
        <v>Weekday</v>
      </c>
      <c r="V825" t="str">
        <f t="shared" si="100"/>
        <v>Night</v>
      </c>
      <c r="W825" t="str">
        <f t="shared" si="101"/>
        <v>Spring</v>
      </c>
      <c r="X825" t="str">
        <f t="shared" si="102"/>
        <v>Clear</v>
      </c>
    </row>
    <row r="826" spans="1:24">
      <c r="A826">
        <v>834</v>
      </c>
      <c r="B826" s="2">
        <v>40581</v>
      </c>
      <c r="C826">
        <v>1</v>
      </c>
      <c r="D826">
        <v>0</v>
      </c>
      <c r="E826">
        <v>2</v>
      </c>
      <c r="F826">
        <v>4</v>
      </c>
      <c r="G826" t="b">
        <v>0</v>
      </c>
      <c r="H826">
        <v>1</v>
      </c>
      <c r="I826">
        <v>1</v>
      </c>
      <c r="J826">
        <v>0.2</v>
      </c>
      <c r="K826">
        <v>0.2576</v>
      </c>
      <c r="L826">
        <v>0.86</v>
      </c>
      <c r="M826">
        <v>0</v>
      </c>
      <c r="N826">
        <v>1</v>
      </c>
      <c r="O826">
        <v>1</v>
      </c>
      <c r="P826">
        <v>2</v>
      </c>
      <c r="Q826" t="str">
        <f t="shared" si="96"/>
        <v>Complete</v>
      </c>
      <c r="R826">
        <f t="shared" si="103"/>
        <v>0.2576</v>
      </c>
      <c r="S826">
        <f t="shared" si="97"/>
        <v>2011</v>
      </c>
      <c r="T826" t="str">
        <f t="shared" si="98"/>
        <v/>
      </c>
      <c r="U826" t="str">
        <f t="shared" si="99"/>
        <v>Weekday</v>
      </c>
      <c r="V826" t="str">
        <f t="shared" si="100"/>
        <v>Night</v>
      </c>
      <c r="W826" t="str">
        <f t="shared" si="101"/>
        <v>Spring</v>
      </c>
      <c r="X826" t="str">
        <f t="shared" si="102"/>
        <v>Clear</v>
      </c>
    </row>
    <row r="827" spans="1:24">
      <c r="A827">
        <v>835</v>
      </c>
      <c r="B827" s="2">
        <v>40581</v>
      </c>
      <c r="C827">
        <v>1</v>
      </c>
      <c r="D827">
        <v>0</v>
      </c>
      <c r="E827">
        <v>2</v>
      </c>
      <c r="F827">
        <v>5</v>
      </c>
      <c r="G827" t="b">
        <v>0</v>
      </c>
      <c r="H827">
        <v>1</v>
      </c>
      <c r="I827">
        <v>1</v>
      </c>
      <c r="J827">
        <v>0.2</v>
      </c>
      <c r="K827">
        <v>0.2576</v>
      </c>
      <c r="L827">
        <v>0.86</v>
      </c>
      <c r="M827">
        <v>0</v>
      </c>
      <c r="N827">
        <v>1</v>
      </c>
      <c r="O827">
        <v>9</v>
      </c>
      <c r="P827">
        <v>10</v>
      </c>
      <c r="Q827" t="str">
        <f t="shared" si="96"/>
        <v>Complete</v>
      </c>
      <c r="R827">
        <f t="shared" si="103"/>
        <v>0.2576</v>
      </c>
      <c r="S827">
        <f t="shared" si="97"/>
        <v>2011</v>
      </c>
      <c r="T827" t="str">
        <f t="shared" si="98"/>
        <v/>
      </c>
      <c r="U827" t="str">
        <f t="shared" si="99"/>
        <v>Weekday</v>
      </c>
      <c r="V827" t="str">
        <f t="shared" si="100"/>
        <v>Night</v>
      </c>
      <c r="W827" t="str">
        <f t="shared" si="101"/>
        <v>Spring</v>
      </c>
      <c r="X827" t="str">
        <f t="shared" si="102"/>
        <v>Clear</v>
      </c>
    </row>
    <row r="828" spans="1:24">
      <c r="A828">
        <v>836</v>
      </c>
      <c r="B828" s="2">
        <v>40581</v>
      </c>
      <c r="C828">
        <v>1</v>
      </c>
      <c r="D828">
        <v>0</v>
      </c>
      <c r="E828">
        <v>2</v>
      </c>
      <c r="F828">
        <v>6</v>
      </c>
      <c r="G828" t="b">
        <v>0</v>
      </c>
      <c r="H828">
        <v>1</v>
      </c>
      <c r="I828">
        <v>1</v>
      </c>
      <c r="J828">
        <v>0.18</v>
      </c>
      <c r="K828">
        <v>0.2424</v>
      </c>
      <c r="L828">
        <v>0.93</v>
      </c>
      <c r="M828">
        <v>0</v>
      </c>
      <c r="N828">
        <v>1</v>
      </c>
      <c r="O828">
        <v>29</v>
      </c>
      <c r="P828">
        <v>30</v>
      </c>
      <c r="Q828" t="str">
        <f t="shared" si="96"/>
        <v>Complete</v>
      </c>
      <c r="R828">
        <f t="shared" si="103"/>
        <v>0.2424</v>
      </c>
      <c r="S828">
        <f t="shared" si="97"/>
        <v>2011</v>
      </c>
      <c r="T828" t="str">
        <f t="shared" si="98"/>
        <v/>
      </c>
      <c r="U828" t="str">
        <f t="shared" si="99"/>
        <v>Weekday</v>
      </c>
      <c r="V828" t="str">
        <f t="shared" si="100"/>
        <v>Morning</v>
      </c>
      <c r="W828" t="str">
        <f t="shared" si="101"/>
        <v>Spring</v>
      </c>
      <c r="X828" t="str">
        <f t="shared" si="102"/>
        <v>Clear</v>
      </c>
    </row>
    <row r="829" spans="1:24">
      <c r="A829">
        <v>837</v>
      </c>
      <c r="B829" s="2">
        <v>40581</v>
      </c>
      <c r="C829">
        <v>1</v>
      </c>
      <c r="D829">
        <v>0</v>
      </c>
      <c r="E829">
        <v>2</v>
      </c>
      <c r="F829">
        <v>7</v>
      </c>
      <c r="G829" t="b">
        <v>0</v>
      </c>
      <c r="H829">
        <v>1</v>
      </c>
      <c r="I829">
        <v>1</v>
      </c>
      <c r="J829">
        <v>0.18</v>
      </c>
      <c r="K829">
        <v>0.2424</v>
      </c>
      <c r="L829">
        <v>0.86</v>
      </c>
      <c r="M829">
        <v>0</v>
      </c>
      <c r="N829">
        <v>6</v>
      </c>
      <c r="O829">
        <v>89</v>
      </c>
      <c r="P829">
        <v>95</v>
      </c>
      <c r="Q829" t="str">
        <f t="shared" si="96"/>
        <v>Complete</v>
      </c>
      <c r="R829">
        <f t="shared" si="103"/>
        <v>0.2424</v>
      </c>
      <c r="S829">
        <f t="shared" si="97"/>
        <v>2011</v>
      </c>
      <c r="T829" t="str">
        <f t="shared" si="98"/>
        <v/>
      </c>
      <c r="U829" t="str">
        <f t="shared" si="99"/>
        <v>Weekday</v>
      </c>
      <c r="V829" t="str">
        <f t="shared" si="100"/>
        <v>Morning</v>
      </c>
      <c r="W829" t="str">
        <f t="shared" si="101"/>
        <v>Spring</v>
      </c>
      <c r="X829" t="str">
        <f t="shared" si="102"/>
        <v>Clear</v>
      </c>
    </row>
    <row r="830" spans="1:24">
      <c r="A830">
        <v>838</v>
      </c>
      <c r="B830" s="2">
        <v>40581</v>
      </c>
      <c r="C830">
        <v>1</v>
      </c>
      <c r="D830">
        <v>0</v>
      </c>
      <c r="E830">
        <v>2</v>
      </c>
      <c r="F830">
        <v>8</v>
      </c>
      <c r="G830" t="b">
        <v>0</v>
      </c>
      <c r="H830">
        <v>1</v>
      </c>
      <c r="I830">
        <v>2</v>
      </c>
      <c r="J830">
        <v>0.16</v>
      </c>
      <c r="K830">
        <v>0.2273</v>
      </c>
      <c r="L830">
        <v>1</v>
      </c>
      <c r="M830">
        <v>0</v>
      </c>
      <c r="N830">
        <v>7</v>
      </c>
      <c r="O830">
        <v>223</v>
      </c>
      <c r="P830">
        <v>230</v>
      </c>
      <c r="Q830" t="str">
        <f t="shared" si="96"/>
        <v>Complete</v>
      </c>
      <c r="R830">
        <f t="shared" si="103"/>
        <v>0.2273</v>
      </c>
      <c r="S830">
        <f t="shared" si="97"/>
        <v>2011</v>
      </c>
      <c r="T830" t="str">
        <f t="shared" si="98"/>
        <v/>
      </c>
      <c r="U830" t="str">
        <f t="shared" si="99"/>
        <v>Weekday</v>
      </c>
      <c r="V830" t="str">
        <f t="shared" si="100"/>
        <v>Morning</v>
      </c>
      <c r="W830" t="str">
        <f t="shared" si="101"/>
        <v>Spring</v>
      </c>
      <c r="X830" t="str">
        <f t="shared" si="102"/>
        <v>Mist/Cloudy</v>
      </c>
    </row>
    <row r="831" spans="1:24">
      <c r="A831">
        <v>839</v>
      </c>
      <c r="B831" s="2">
        <v>40581</v>
      </c>
      <c r="C831">
        <v>1</v>
      </c>
      <c r="D831">
        <v>0</v>
      </c>
      <c r="E831">
        <v>2</v>
      </c>
      <c r="F831">
        <v>9</v>
      </c>
      <c r="G831" t="b">
        <v>0</v>
      </c>
      <c r="H831">
        <v>1</v>
      </c>
      <c r="I831">
        <v>1</v>
      </c>
      <c r="J831">
        <v>0.22</v>
      </c>
      <c r="K831">
        <v>0.2727</v>
      </c>
      <c r="L831">
        <v>0.8</v>
      </c>
      <c r="M831">
        <v>0</v>
      </c>
      <c r="N831">
        <v>3</v>
      </c>
      <c r="O831">
        <v>115</v>
      </c>
      <c r="P831">
        <v>118</v>
      </c>
      <c r="Q831" t="str">
        <f t="shared" si="96"/>
        <v>Complete</v>
      </c>
      <c r="R831">
        <f t="shared" si="103"/>
        <v>0.2727</v>
      </c>
      <c r="S831">
        <f t="shared" si="97"/>
        <v>2011</v>
      </c>
      <c r="T831" t="str">
        <f t="shared" si="98"/>
        <v/>
      </c>
      <c r="U831" t="str">
        <f t="shared" si="99"/>
        <v>Weekday</v>
      </c>
      <c r="V831" t="str">
        <f t="shared" si="100"/>
        <v>Morning</v>
      </c>
      <c r="W831" t="str">
        <f t="shared" si="101"/>
        <v>Spring</v>
      </c>
      <c r="X831" t="str">
        <f t="shared" si="102"/>
        <v>Clear</v>
      </c>
    </row>
    <row r="832" spans="1:24">
      <c r="A832">
        <v>840</v>
      </c>
      <c r="B832" s="2">
        <v>40581</v>
      </c>
      <c r="C832">
        <v>1</v>
      </c>
      <c r="D832">
        <v>0</v>
      </c>
      <c r="E832">
        <v>2</v>
      </c>
      <c r="F832">
        <v>10</v>
      </c>
      <c r="G832" t="b">
        <v>0</v>
      </c>
      <c r="H832">
        <v>1</v>
      </c>
      <c r="I832">
        <v>1</v>
      </c>
      <c r="J832">
        <v>0.24</v>
      </c>
      <c r="K832">
        <v>0.2576</v>
      </c>
      <c r="L832">
        <v>0.75</v>
      </c>
      <c r="M832">
        <v>0.1045</v>
      </c>
      <c r="N832">
        <v>6</v>
      </c>
      <c r="O832">
        <v>49</v>
      </c>
      <c r="P832">
        <v>55</v>
      </c>
      <c r="Q832" t="str">
        <f t="shared" si="96"/>
        <v>Complete</v>
      </c>
      <c r="R832">
        <f t="shared" si="103"/>
        <v>0.2576</v>
      </c>
      <c r="S832">
        <f t="shared" si="97"/>
        <v>2011</v>
      </c>
      <c r="T832" t="str">
        <f t="shared" si="98"/>
        <v/>
      </c>
      <c r="U832" t="str">
        <f t="shared" si="99"/>
        <v>Weekday</v>
      </c>
      <c r="V832" t="str">
        <f t="shared" si="100"/>
        <v>Morning</v>
      </c>
      <c r="W832" t="str">
        <f t="shared" si="101"/>
        <v>Spring</v>
      </c>
      <c r="X832" t="str">
        <f t="shared" si="102"/>
        <v>Clear</v>
      </c>
    </row>
    <row r="833" spans="1:24">
      <c r="A833">
        <v>841</v>
      </c>
      <c r="B833" s="2">
        <v>40581</v>
      </c>
      <c r="C833">
        <v>1</v>
      </c>
      <c r="D833">
        <v>0</v>
      </c>
      <c r="E833">
        <v>2</v>
      </c>
      <c r="F833">
        <v>11</v>
      </c>
      <c r="G833" t="b">
        <v>0</v>
      </c>
      <c r="H833">
        <v>1</v>
      </c>
      <c r="I833">
        <v>1</v>
      </c>
      <c r="J833">
        <v>0.3</v>
      </c>
      <c r="K833">
        <v>0.31819999999999998</v>
      </c>
      <c r="L833">
        <v>0.65</v>
      </c>
      <c r="M833">
        <v>8.9599999999999999E-2</v>
      </c>
      <c r="N833">
        <v>11</v>
      </c>
      <c r="O833">
        <v>36</v>
      </c>
      <c r="P833">
        <v>47</v>
      </c>
      <c r="Q833" t="str">
        <f t="shared" si="96"/>
        <v>Complete</v>
      </c>
      <c r="R833">
        <f t="shared" si="103"/>
        <v>0.31819999999999998</v>
      </c>
      <c r="S833">
        <f t="shared" si="97"/>
        <v>2011</v>
      </c>
      <c r="T833" t="str">
        <f t="shared" si="98"/>
        <v/>
      </c>
      <c r="U833" t="str">
        <f t="shared" si="99"/>
        <v>Weekday</v>
      </c>
      <c r="V833" t="str">
        <f t="shared" si="100"/>
        <v>Morning</v>
      </c>
      <c r="W833" t="str">
        <f t="shared" si="101"/>
        <v>Spring</v>
      </c>
      <c r="X833" t="str">
        <f t="shared" si="102"/>
        <v>Clear</v>
      </c>
    </row>
    <row r="834" spans="1:24">
      <c r="A834">
        <v>842</v>
      </c>
      <c r="B834" s="2">
        <v>40581</v>
      </c>
      <c r="C834">
        <v>1</v>
      </c>
      <c r="D834">
        <v>0</v>
      </c>
      <c r="E834">
        <v>2</v>
      </c>
      <c r="F834">
        <v>12</v>
      </c>
      <c r="G834" t="b">
        <v>0</v>
      </c>
      <c r="H834">
        <v>1</v>
      </c>
      <c r="I834">
        <v>2</v>
      </c>
      <c r="J834">
        <v>0.32</v>
      </c>
      <c r="K834">
        <v>0.34849999999999998</v>
      </c>
      <c r="L834">
        <v>0.62</v>
      </c>
      <c r="M834">
        <v>0</v>
      </c>
      <c r="N834">
        <v>7</v>
      </c>
      <c r="O834">
        <v>59</v>
      </c>
      <c r="P834">
        <v>66</v>
      </c>
      <c r="Q834" t="str">
        <f t="shared" ref="Q834:Q897" si="104">IF(K834="","Missing atemp","Complete")</f>
        <v>Complete</v>
      </c>
      <c r="R834">
        <f t="shared" si="103"/>
        <v>0.34849999999999998</v>
      </c>
      <c r="S834">
        <f t="shared" ref="S834:S897" si="105">IF(D834=0,2011,"")</f>
        <v>2011</v>
      </c>
      <c r="T834" t="str">
        <f t="shared" ref="T834:T897" si="106">IF(E834=1,"January","")</f>
        <v/>
      </c>
      <c r="U834" t="str">
        <f t="shared" ref="U834:U897" si="107">IF(G834=TRUE,"Holiday",IF(H834=0,"Sunday",IF(H834=6,"Saturday","Weekday")))</f>
        <v>Weekday</v>
      </c>
      <c r="V834" t="str">
        <f t="shared" ref="V834:V897" si="108">IF(F834&lt;6,"Night",IF(F834&lt;12,"Morning",IF(F834&lt;18,"Afternoon","Evening")))</f>
        <v>Afternoon</v>
      </c>
      <c r="W834" t="str">
        <f t="shared" ref="W834:W897" si="109">IF(C834=1,"Spring","")</f>
        <v>Spring</v>
      </c>
      <c r="X834" t="str">
        <f t="shared" ref="X834:X897" si="110">IF(I834=1,"Clear",IF(I834=2,"Mist/Cloudy",IF(I834=3,"Light Rain/Snow",IF(I834=4,"Heavy Rain/Snow","Unknown"))))</f>
        <v>Mist/Cloudy</v>
      </c>
    </row>
    <row r="835" spans="1:24">
      <c r="A835">
        <v>843</v>
      </c>
      <c r="B835" s="2">
        <v>40581</v>
      </c>
      <c r="C835">
        <v>1</v>
      </c>
      <c r="D835">
        <v>0</v>
      </c>
      <c r="E835">
        <v>2</v>
      </c>
      <c r="F835">
        <v>13</v>
      </c>
      <c r="G835" t="b">
        <v>0</v>
      </c>
      <c r="H835">
        <v>1</v>
      </c>
      <c r="I835">
        <v>2</v>
      </c>
      <c r="J835">
        <v>0.36</v>
      </c>
      <c r="K835">
        <v>0.36359999999999998</v>
      </c>
      <c r="L835">
        <v>0.56999999999999995</v>
      </c>
      <c r="M835">
        <v>8.9599999999999999E-2</v>
      </c>
      <c r="N835">
        <v>10</v>
      </c>
      <c r="O835">
        <v>54</v>
      </c>
      <c r="P835">
        <v>64</v>
      </c>
      <c r="Q835" t="str">
        <f t="shared" si="104"/>
        <v>Complete</v>
      </c>
      <c r="R835">
        <f t="shared" ref="R835:R898" si="111">IF(K835="",J835,K835)</f>
        <v>0.36359999999999998</v>
      </c>
      <c r="S835">
        <f t="shared" si="105"/>
        <v>2011</v>
      </c>
      <c r="T835" t="str">
        <f t="shared" si="106"/>
        <v/>
      </c>
      <c r="U835" t="str">
        <f t="shared" si="107"/>
        <v>Weekday</v>
      </c>
      <c r="V835" t="str">
        <f t="shared" si="108"/>
        <v>Afternoon</v>
      </c>
      <c r="W835" t="str">
        <f t="shared" si="109"/>
        <v>Spring</v>
      </c>
      <c r="X835" t="str">
        <f t="shared" si="110"/>
        <v>Mist/Cloudy</v>
      </c>
    </row>
    <row r="836" spans="1:24">
      <c r="A836">
        <v>844</v>
      </c>
      <c r="B836" s="2">
        <v>40581</v>
      </c>
      <c r="C836">
        <v>1</v>
      </c>
      <c r="D836">
        <v>0</v>
      </c>
      <c r="E836">
        <v>2</v>
      </c>
      <c r="F836">
        <v>14</v>
      </c>
      <c r="G836" t="b">
        <v>0</v>
      </c>
      <c r="H836">
        <v>1</v>
      </c>
      <c r="I836">
        <v>2</v>
      </c>
      <c r="J836">
        <v>0.36</v>
      </c>
      <c r="K836">
        <v>0.36359999999999998</v>
      </c>
      <c r="L836">
        <v>0.56999999999999995</v>
      </c>
      <c r="M836">
        <v>8.9599999999999999E-2</v>
      </c>
      <c r="N836">
        <v>8</v>
      </c>
      <c r="O836">
        <v>52</v>
      </c>
      <c r="P836">
        <v>60</v>
      </c>
      <c r="Q836" t="str">
        <f t="shared" si="104"/>
        <v>Complete</v>
      </c>
      <c r="R836">
        <f t="shared" si="111"/>
        <v>0.36359999999999998</v>
      </c>
      <c r="S836">
        <f t="shared" si="105"/>
        <v>2011</v>
      </c>
      <c r="T836" t="str">
        <f t="shared" si="106"/>
        <v/>
      </c>
      <c r="U836" t="str">
        <f t="shared" si="107"/>
        <v>Weekday</v>
      </c>
      <c r="V836" t="str">
        <f t="shared" si="108"/>
        <v>Afternoon</v>
      </c>
      <c r="W836" t="str">
        <f t="shared" si="109"/>
        <v>Spring</v>
      </c>
      <c r="X836" t="str">
        <f t="shared" si="110"/>
        <v>Mist/Cloudy</v>
      </c>
    </row>
    <row r="837" spans="1:24">
      <c r="A837">
        <v>845</v>
      </c>
      <c r="B837" s="2">
        <v>40581</v>
      </c>
      <c r="C837">
        <v>1</v>
      </c>
      <c r="D837">
        <v>0</v>
      </c>
      <c r="E837">
        <v>2</v>
      </c>
      <c r="F837">
        <v>15</v>
      </c>
      <c r="G837" t="b">
        <v>0</v>
      </c>
      <c r="H837">
        <v>1</v>
      </c>
      <c r="I837">
        <v>2</v>
      </c>
      <c r="J837">
        <v>0.38</v>
      </c>
      <c r="K837">
        <v>0.39389999999999997</v>
      </c>
      <c r="L837">
        <v>0.54</v>
      </c>
      <c r="M837">
        <v>8.9599999999999999E-2</v>
      </c>
      <c r="N837">
        <v>4</v>
      </c>
      <c r="O837">
        <v>46</v>
      </c>
      <c r="P837">
        <v>50</v>
      </c>
      <c r="Q837" t="str">
        <f t="shared" si="104"/>
        <v>Complete</v>
      </c>
      <c r="R837">
        <f t="shared" si="111"/>
        <v>0.39389999999999997</v>
      </c>
      <c r="S837">
        <f t="shared" si="105"/>
        <v>2011</v>
      </c>
      <c r="T837" t="str">
        <f t="shared" si="106"/>
        <v/>
      </c>
      <c r="U837" t="str">
        <f t="shared" si="107"/>
        <v>Weekday</v>
      </c>
      <c r="V837" t="str">
        <f t="shared" si="108"/>
        <v>Afternoon</v>
      </c>
      <c r="W837" t="str">
        <f t="shared" si="109"/>
        <v>Spring</v>
      </c>
      <c r="X837" t="str">
        <f t="shared" si="110"/>
        <v>Mist/Cloudy</v>
      </c>
    </row>
    <row r="838" spans="1:24">
      <c r="A838">
        <v>846</v>
      </c>
      <c r="B838" s="2">
        <v>40581</v>
      </c>
      <c r="C838">
        <v>1</v>
      </c>
      <c r="D838">
        <v>0</v>
      </c>
      <c r="E838">
        <v>2</v>
      </c>
      <c r="F838">
        <v>16</v>
      </c>
      <c r="G838" t="b">
        <v>0</v>
      </c>
      <c r="H838">
        <v>1</v>
      </c>
      <c r="I838">
        <v>2</v>
      </c>
      <c r="J838">
        <v>0.36</v>
      </c>
      <c r="K838">
        <v>0.34849999999999998</v>
      </c>
      <c r="L838">
        <v>0.56999999999999995</v>
      </c>
      <c r="M838">
        <v>0.1343</v>
      </c>
      <c r="N838">
        <v>16</v>
      </c>
      <c r="O838">
        <v>98</v>
      </c>
      <c r="P838">
        <v>114</v>
      </c>
      <c r="Q838" t="str">
        <f t="shared" si="104"/>
        <v>Complete</v>
      </c>
      <c r="R838">
        <f t="shared" si="111"/>
        <v>0.34849999999999998</v>
      </c>
      <c r="S838">
        <f t="shared" si="105"/>
        <v>2011</v>
      </c>
      <c r="T838" t="str">
        <f t="shared" si="106"/>
        <v/>
      </c>
      <c r="U838" t="str">
        <f t="shared" si="107"/>
        <v>Weekday</v>
      </c>
      <c r="V838" t="str">
        <f t="shared" si="108"/>
        <v>Afternoon</v>
      </c>
      <c r="W838" t="str">
        <f t="shared" si="109"/>
        <v>Spring</v>
      </c>
      <c r="X838" t="str">
        <f t="shared" si="110"/>
        <v>Mist/Cloudy</v>
      </c>
    </row>
    <row r="839" spans="1:24">
      <c r="A839">
        <v>847</v>
      </c>
      <c r="B839" s="2">
        <v>40581</v>
      </c>
      <c r="C839">
        <v>1</v>
      </c>
      <c r="D839">
        <v>0</v>
      </c>
      <c r="E839">
        <v>2</v>
      </c>
      <c r="F839">
        <v>17</v>
      </c>
      <c r="G839" t="b">
        <v>0</v>
      </c>
      <c r="H839">
        <v>1</v>
      </c>
      <c r="I839">
        <v>2</v>
      </c>
      <c r="J839">
        <v>0.32</v>
      </c>
      <c r="K839">
        <v>0.31819999999999998</v>
      </c>
      <c r="L839">
        <v>0.7</v>
      </c>
      <c r="M839">
        <v>0.16420000000000001</v>
      </c>
      <c r="N839">
        <v>9</v>
      </c>
      <c r="O839">
        <v>207</v>
      </c>
      <c r="P839">
        <v>216</v>
      </c>
      <c r="Q839" t="str">
        <f t="shared" si="104"/>
        <v>Complete</v>
      </c>
      <c r="R839">
        <f t="shared" si="111"/>
        <v>0.31819999999999998</v>
      </c>
      <c r="S839">
        <f t="shared" si="105"/>
        <v>2011</v>
      </c>
      <c r="T839" t="str">
        <f t="shared" si="106"/>
        <v/>
      </c>
      <c r="U839" t="str">
        <f t="shared" si="107"/>
        <v>Weekday</v>
      </c>
      <c r="V839" t="str">
        <f t="shared" si="108"/>
        <v>Afternoon</v>
      </c>
      <c r="W839" t="str">
        <f t="shared" si="109"/>
        <v>Spring</v>
      </c>
      <c r="X839" t="str">
        <f t="shared" si="110"/>
        <v>Mist/Cloudy</v>
      </c>
    </row>
    <row r="840" spans="1:24">
      <c r="A840">
        <v>848</v>
      </c>
      <c r="B840" s="2">
        <v>40581</v>
      </c>
      <c r="C840">
        <v>1</v>
      </c>
      <c r="D840">
        <v>0</v>
      </c>
      <c r="E840">
        <v>2</v>
      </c>
      <c r="F840">
        <v>18</v>
      </c>
      <c r="G840" t="b">
        <v>0</v>
      </c>
      <c r="H840">
        <v>1</v>
      </c>
      <c r="I840">
        <v>2</v>
      </c>
      <c r="J840">
        <v>0.34</v>
      </c>
      <c r="K840">
        <v>0.33329999999999999</v>
      </c>
      <c r="L840">
        <v>0.66</v>
      </c>
      <c r="M840">
        <v>0.1343</v>
      </c>
      <c r="N840">
        <v>5</v>
      </c>
      <c r="O840">
        <v>170</v>
      </c>
      <c r="P840">
        <v>175</v>
      </c>
      <c r="Q840" t="str">
        <f t="shared" si="104"/>
        <v>Complete</v>
      </c>
      <c r="R840">
        <f t="shared" si="111"/>
        <v>0.33329999999999999</v>
      </c>
      <c r="S840">
        <f t="shared" si="105"/>
        <v>2011</v>
      </c>
      <c r="T840" t="str">
        <f t="shared" si="106"/>
        <v/>
      </c>
      <c r="U840" t="str">
        <f t="shared" si="107"/>
        <v>Weekday</v>
      </c>
      <c r="V840" t="str">
        <f t="shared" si="108"/>
        <v>Evening</v>
      </c>
      <c r="W840" t="str">
        <f t="shared" si="109"/>
        <v>Spring</v>
      </c>
      <c r="X840" t="str">
        <f t="shared" si="110"/>
        <v>Mist/Cloudy</v>
      </c>
    </row>
    <row r="841" spans="1:24">
      <c r="A841">
        <v>849</v>
      </c>
      <c r="B841" s="2">
        <v>40581</v>
      </c>
      <c r="C841">
        <v>1</v>
      </c>
      <c r="D841">
        <v>0</v>
      </c>
      <c r="E841">
        <v>2</v>
      </c>
      <c r="F841">
        <v>19</v>
      </c>
      <c r="G841" t="b">
        <v>0</v>
      </c>
      <c r="H841">
        <v>1</v>
      </c>
      <c r="I841">
        <v>2</v>
      </c>
      <c r="J841">
        <v>0.32</v>
      </c>
      <c r="K841">
        <v>0.34849999999999998</v>
      </c>
      <c r="L841">
        <v>0.7</v>
      </c>
      <c r="M841">
        <v>0</v>
      </c>
      <c r="N841">
        <v>5</v>
      </c>
      <c r="O841">
        <v>123</v>
      </c>
      <c r="P841">
        <v>128</v>
      </c>
      <c r="Q841" t="str">
        <f t="shared" si="104"/>
        <v>Complete</v>
      </c>
      <c r="R841">
        <f t="shared" si="111"/>
        <v>0.34849999999999998</v>
      </c>
      <c r="S841">
        <f t="shared" si="105"/>
        <v>2011</v>
      </c>
      <c r="T841" t="str">
        <f t="shared" si="106"/>
        <v/>
      </c>
      <c r="U841" t="str">
        <f t="shared" si="107"/>
        <v>Weekday</v>
      </c>
      <c r="V841" t="str">
        <f t="shared" si="108"/>
        <v>Evening</v>
      </c>
      <c r="W841" t="str">
        <f t="shared" si="109"/>
        <v>Spring</v>
      </c>
      <c r="X841" t="str">
        <f t="shared" si="110"/>
        <v>Mist/Cloudy</v>
      </c>
    </row>
    <row r="842" spans="1:24">
      <c r="A842">
        <v>850</v>
      </c>
      <c r="B842" s="2">
        <v>40581</v>
      </c>
      <c r="C842">
        <v>1</v>
      </c>
      <c r="D842">
        <v>0</v>
      </c>
      <c r="E842">
        <v>2</v>
      </c>
      <c r="F842">
        <v>20</v>
      </c>
      <c r="G842" t="b">
        <v>0</v>
      </c>
      <c r="H842">
        <v>1</v>
      </c>
      <c r="I842">
        <v>2</v>
      </c>
      <c r="J842">
        <v>0.32</v>
      </c>
      <c r="K842">
        <v>0.33329999999999999</v>
      </c>
      <c r="L842">
        <v>0.7</v>
      </c>
      <c r="M842">
        <v>0.1045</v>
      </c>
      <c r="N842">
        <v>6</v>
      </c>
      <c r="O842">
        <v>82</v>
      </c>
      <c r="P842">
        <v>88</v>
      </c>
      <c r="Q842" t="str">
        <f t="shared" si="104"/>
        <v>Complete</v>
      </c>
      <c r="R842">
        <f t="shared" si="111"/>
        <v>0.33329999999999999</v>
      </c>
      <c r="S842">
        <f t="shared" si="105"/>
        <v>2011</v>
      </c>
      <c r="T842" t="str">
        <f t="shared" si="106"/>
        <v/>
      </c>
      <c r="U842" t="str">
        <f t="shared" si="107"/>
        <v>Weekday</v>
      </c>
      <c r="V842" t="str">
        <f t="shared" si="108"/>
        <v>Evening</v>
      </c>
      <c r="W842" t="str">
        <f t="shared" si="109"/>
        <v>Spring</v>
      </c>
      <c r="X842" t="str">
        <f t="shared" si="110"/>
        <v>Mist/Cloudy</v>
      </c>
    </row>
    <row r="843" spans="1:24">
      <c r="A843">
        <v>851</v>
      </c>
      <c r="B843" s="2">
        <v>40581</v>
      </c>
      <c r="C843">
        <v>1</v>
      </c>
      <c r="D843">
        <v>0</v>
      </c>
      <c r="E843">
        <v>2</v>
      </c>
      <c r="F843">
        <v>21</v>
      </c>
      <c r="G843" t="b">
        <v>0</v>
      </c>
      <c r="H843">
        <v>1</v>
      </c>
      <c r="I843">
        <v>1</v>
      </c>
      <c r="J843">
        <v>0.32</v>
      </c>
      <c r="K843">
        <v>0.34849999999999998</v>
      </c>
      <c r="L843">
        <v>0.7</v>
      </c>
      <c r="M843">
        <v>0</v>
      </c>
      <c r="N843">
        <v>3</v>
      </c>
      <c r="O843">
        <v>75</v>
      </c>
      <c r="P843">
        <v>78</v>
      </c>
      <c r="Q843" t="str">
        <f t="shared" si="104"/>
        <v>Complete</v>
      </c>
      <c r="R843">
        <f t="shared" si="111"/>
        <v>0.34849999999999998</v>
      </c>
      <c r="S843">
        <f t="shared" si="105"/>
        <v>2011</v>
      </c>
      <c r="T843" t="str">
        <f t="shared" si="106"/>
        <v/>
      </c>
      <c r="U843" t="str">
        <f t="shared" si="107"/>
        <v>Weekday</v>
      </c>
      <c r="V843" t="str">
        <f t="shared" si="108"/>
        <v>Evening</v>
      </c>
      <c r="W843" t="str">
        <f t="shared" si="109"/>
        <v>Spring</v>
      </c>
      <c r="X843" t="str">
        <f t="shared" si="110"/>
        <v>Clear</v>
      </c>
    </row>
    <row r="844" spans="1:24">
      <c r="A844">
        <v>852</v>
      </c>
      <c r="B844" s="2">
        <v>40581</v>
      </c>
      <c r="C844">
        <v>1</v>
      </c>
      <c r="D844">
        <v>0</v>
      </c>
      <c r="E844">
        <v>2</v>
      </c>
      <c r="F844">
        <v>22</v>
      </c>
      <c r="G844" t="b">
        <v>0</v>
      </c>
      <c r="H844">
        <v>1</v>
      </c>
      <c r="I844">
        <v>1</v>
      </c>
      <c r="J844">
        <v>0.28000000000000003</v>
      </c>
      <c r="K844">
        <v>0.30299999999999999</v>
      </c>
      <c r="L844">
        <v>0.81</v>
      </c>
      <c r="M844">
        <v>8.9599999999999999E-2</v>
      </c>
      <c r="N844">
        <v>3</v>
      </c>
      <c r="O844">
        <v>34</v>
      </c>
      <c r="P844">
        <v>37</v>
      </c>
      <c r="Q844" t="str">
        <f t="shared" si="104"/>
        <v>Complete</v>
      </c>
      <c r="R844">
        <f t="shared" si="111"/>
        <v>0.30299999999999999</v>
      </c>
      <c r="S844">
        <f t="shared" si="105"/>
        <v>2011</v>
      </c>
      <c r="T844" t="str">
        <f t="shared" si="106"/>
        <v/>
      </c>
      <c r="U844" t="str">
        <f t="shared" si="107"/>
        <v>Weekday</v>
      </c>
      <c r="V844" t="str">
        <f t="shared" si="108"/>
        <v>Evening</v>
      </c>
      <c r="W844" t="str">
        <f t="shared" si="109"/>
        <v>Spring</v>
      </c>
      <c r="X844" t="str">
        <f t="shared" si="110"/>
        <v>Clear</v>
      </c>
    </row>
    <row r="845" spans="1:24">
      <c r="A845">
        <v>853</v>
      </c>
      <c r="B845" s="2">
        <v>40581</v>
      </c>
      <c r="C845">
        <v>1</v>
      </c>
      <c r="D845">
        <v>0</v>
      </c>
      <c r="E845">
        <v>2</v>
      </c>
      <c r="F845">
        <v>23</v>
      </c>
      <c r="G845" t="b">
        <v>0</v>
      </c>
      <c r="H845">
        <v>1</v>
      </c>
      <c r="I845">
        <v>2</v>
      </c>
      <c r="J845">
        <v>0.3</v>
      </c>
      <c r="K845">
        <v>0.33329999999999999</v>
      </c>
      <c r="L845">
        <v>0.81</v>
      </c>
      <c r="M845">
        <v>0</v>
      </c>
      <c r="N845">
        <v>6</v>
      </c>
      <c r="O845">
        <v>19</v>
      </c>
      <c r="P845">
        <v>25</v>
      </c>
      <c r="Q845" t="str">
        <f t="shared" si="104"/>
        <v>Complete</v>
      </c>
      <c r="R845">
        <f t="shared" si="111"/>
        <v>0.33329999999999999</v>
      </c>
      <c r="S845">
        <f t="shared" si="105"/>
        <v>2011</v>
      </c>
      <c r="T845" t="str">
        <f t="shared" si="106"/>
        <v/>
      </c>
      <c r="U845" t="str">
        <f t="shared" si="107"/>
        <v>Weekday</v>
      </c>
      <c r="V845" t="str">
        <f t="shared" si="108"/>
        <v>Evening</v>
      </c>
      <c r="W845" t="str">
        <f t="shared" si="109"/>
        <v>Spring</v>
      </c>
      <c r="X845" t="str">
        <f t="shared" si="110"/>
        <v>Mist/Cloudy</v>
      </c>
    </row>
    <row r="846" spans="1:24">
      <c r="A846">
        <v>854</v>
      </c>
      <c r="B846" s="2">
        <v>40582</v>
      </c>
      <c r="C846">
        <v>1</v>
      </c>
      <c r="D846">
        <v>0</v>
      </c>
      <c r="E846">
        <v>2</v>
      </c>
      <c r="F846">
        <v>0</v>
      </c>
      <c r="G846" t="b">
        <v>0</v>
      </c>
      <c r="H846">
        <v>2</v>
      </c>
      <c r="I846">
        <v>2</v>
      </c>
      <c r="J846">
        <v>0.28000000000000003</v>
      </c>
      <c r="K846">
        <v>0.31819999999999998</v>
      </c>
      <c r="L846">
        <v>0.87</v>
      </c>
      <c r="M846">
        <v>0</v>
      </c>
      <c r="N846">
        <v>4</v>
      </c>
      <c r="O846">
        <v>6</v>
      </c>
      <c r="P846">
        <v>10</v>
      </c>
      <c r="Q846" t="str">
        <f t="shared" si="104"/>
        <v>Complete</v>
      </c>
      <c r="R846">
        <f t="shared" si="111"/>
        <v>0.31819999999999998</v>
      </c>
      <c r="S846">
        <f t="shared" si="105"/>
        <v>2011</v>
      </c>
      <c r="T846" t="str">
        <f t="shared" si="106"/>
        <v/>
      </c>
      <c r="U846" t="str">
        <f t="shared" si="107"/>
        <v>Weekday</v>
      </c>
      <c r="V846" t="str">
        <f t="shared" si="108"/>
        <v>Night</v>
      </c>
      <c r="W846" t="str">
        <f t="shared" si="109"/>
        <v>Spring</v>
      </c>
      <c r="X846" t="str">
        <f t="shared" si="110"/>
        <v>Mist/Cloudy</v>
      </c>
    </row>
    <row r="847" spans="1:24">
      <c r="A847">
        <v>855</v>
      </c>
      <c r="B847" s="2">
        <v>40582</v>
      </c>
      <c r="C847">
        <v>1</v>
      </c>
      <c r="D847">
        <v>0</v>
      </c>
      <c r="E847">
        <v>2</v>
      </c>
      <c r="F847">
        <v>1</v>
      </c>
      <c r="G847" t="b">
        <v>0</v>
      </c>
      <c r="H847">
        <v>2</v>
      </c>
      <c r="I847">
        <v>2</v>
      </c>
      <c r="J847">
        <v>0.28000000000000003</v>
      </c>
      <c r="K847">
        <v>0.31819999999999998</v>
      </c>
      <c r="L847">
        <v>0.87</v>
      </c>
      <c r="M847">
        <v>0</v>
      </c>
      <c r="N847">
        <v>0</v>
      </c>
      <c r="O847">
        <v>4</v>
      </c>
      <c r="P847">
        <v>4</v>
      </c>
      <c r="Q847" t="str">
        <f t="shared" si="104"/>
        <v>Complete</v>
      </c>
      <c r="R847">
        <f t="shared" si="111"/>
        <v>0.31819999999999998</v>
      </c>
      <c r="S847">
        <f t="shared" si="105"/>
        <v>2011</v>
      </c>
      <c r="T847" t="str">
        <f t="shared" si="106"/>
        <v/>
      </c>
      <c r="U847" t="str">
        <f t="shared" si="107"/>
        <v>Weekday</v>
      </c>
      <c r="V847" t="str">
        <f t="shared" si="108"/>
        <v>Night</v>
      </c>
      <c r="W847" t="str">
        <f t="shared" si="109"/>
        <v>Spring</v>
      </c>
      <c r="X847" t="str">
        <f t="shared" si="110"/>
        <v>Mist/Cloudy</v>
      </c>
    </row>
    <row r="848" spans="1:24">
      <c r="A848">
        <v>856</v>
      </c>
      <c r="B848" s="2">
        <v>40582</v>
      </c>
      <c r="C848">
        <v>1</v>
      </c>
      <c r="D848">
        <v>0</v>
      </c>
      <c r="E848">
        <v>2</v>
      </c>
      <c r="F848">
        <v>2</v>
      </c>
      <c r="G848" t="b">
        <v>0</v>
      </c>
      <c r="H848">
        <v>2</v>
      </c>
      <c r="I848">
        <v>2</v>
      </c>
      <c r="J848">
        <v>0.26</v>
      </c>
      <c r="K848">
        <v>0.2727</v>
      </c>
      <c r="L848">
        <v>0.93</v>
      </c>
      <c r="M848">
        <v>0.1045</v>
      </c>
      <c r="N848">
        <v>1</v>
      </c>
      <c r="O848">
        <v>1</v>
      </c>
      <c r="P848">
        <v>2</v>
      </c>
      <c r="Q848" t="str">
        <f t="shared" si="104"/>
        <v>Complete</v>
      </c>
      <c r="R848">
        <f t="shared" si="111"/>
        <v>0.2727</v>
      </c>
      <c r="S848">
        <f t="shared" si="105"/>
        <v>2011</v>
      </c>
      <c r="T848" t="str">
        <f t="shared" si="106"/>
        <v/>
      </c>
      <c r="U848" t="str">
        <f t="shared" si="107"/>
        <v>Weekday</v>
      </c>
      <c r="V848" t="str">
        <f t="shared" si="108"/>
        <v>Night</v>
      </c>
      <c r="W848" t="str">
        <f t="shared" si="109"/>
        <v>Spring</v>
      </c>
      <c r="X848" t="str">
        <f t="shared" si="110"/>
        <v>Mist/Cloudy</v>
      </c>
    </row>
    <row r="849" spans="1:24">
      <c r="A849">
        <v>857</v>
      </c>
      <c r="B849" s="2">
        <v>40582</v>
      </c>
      <c r="C849">
        <v>1</v>
      </c>
      <c r="D849">
        <v>0</v>
      </c>
      <c r="E849">
        <v>2</v>
      </c>
      <c r="F849">
        <v>3</v>
      </c>
      <c r="G849" t="b">
        <v>0</v>
      </c>
      <c r="H849">
        <v>2</v>
      </c>
      <c r="I849">
        <v>3</v>
      </c>
      <c r="J849">
        <v>0.28000000000000003</v>
      </c>
      <c r="K849">
        <v>0.2727</v>
      </c>
      <c r="L849">
        <v>0.93</v>
      </c>
      <c r="M849">
        <v>0.16420000000000001</v>
      </c>
      <c r="N849">
        <v>0</v>
      </c>
      <c r="O849">
        <v>1</v>
      </c>
      <c r="P849">
        <v>1</v>
      </c>
      <c r="Q849" t="str">
        <f t="shared" si="104"/>
        <v>Complete</v>
      </c>
      <c r="R849">
        <f t="shared" si="111"/>
        <v>0.2727</v>
      </c>
      <c r="S849">
        <f t="shared" si="105"/>
        <v>2011</v>
      </c>
      <c r="T849" t="str">
        <f t="shared" si="106"/>
        <v/>
      </c>
      <c r="U849" t="str">
        <f t="shared" si="107"/>
        <v>Weekday</v>
      </c>
      <c r="V849" t="str">
        <f t="shared" si="108"/>
        <v>Night</v>
      </c>
      <c r="W849" t="str">
        <f t="shared" si="109"/>
        <v>Spring</v>
      </c>
      <c r="X849" t="str">
        <f t="shared" si="110"/>
        <v>Light Rain/Snow</v>
      </c>
    </row>
    <row r="850" spans="1:24">
      <c r="A850">
        <v>858</v>
      </c>
      <c r="B850" s="2">
        <v>40582</v>
      </c>
      <c r="C850">
        <v>1</v>
      </c>
      <c r="D850">
        <v>0</v>
      </c>
      <c r="E850">
        <v>2</v>
      </c>
      <c r="F850">
        <v>4</v>
      </c>
      <c r="G850" t="b">
        <v>0</v>
      </c>
      <c r="H850">
        <v>2</v>
      </c>
      <c r="I850">
        <v>1</v>
      </c>
      <c r="J850">
        <v>0.26</v>
      </c>
      <c r="K850">
        <v>0.2576</v>
      </c>
      <c r="L850">
        <v>0.93</v>
      </c>
      <c r="M850">
        <v>0.16420000000000001</v>
      </c>
      <c r="N850">
        <v>0</v>
      </c>
      <c r="O850">
        <v>3</v>
      </c>
      <c r="P850">
        <v>3</v>
      </c>
      <c r="Q850" t="str">
        <f t="shared" si="104"/>
        <v>Complete</v>
      </c>
      <c r="R850">
        <f t="shared" si="111"/>
        <v>0.2576</v>
      </c>
      <c r="S850">
        <f t="shared" si="105"/>
        <v>2011</v>
      </c>
      <c r="T850" t="str">
        <f t="shared" si="106"/>
        <v/>
      </c>
      <c r="U850" t="str">
        <f t="shared" si="107"/>
        <v>Weekday</v>
      </c>
      <c r="V850" t="str">
        <f t="shared" si="108"/>
        <v>Night</v>
      </c>
      <c r="W850" t="str">
        <f t="shared" si="109"/>
        <v>Spring</v>
      </c>
      <c r="X850" t="str">
        <f t="shared" si="110"/>
        <v>Clear</v>
      </c>
    </row>
    <row r="851" spans="1:24">
      <c r="A851">
        <v>859</v>
      </c>
      <c r="B851" s="2">
        <v>40582</v>
      </c>
      <c r="C851">
        <v>1</v>
      </c>
      <c r="D851">
        <v>0</v>
      </c>
      <c r="E851">
        <v>2</v>
      </c>
      <c r="F851">
        <v>5</v>
      </c>
      <c r="G851" t="b">
        <v>0</v>
      </c>
      <c r="H851">
        <v>2</v>
      </c>
      <c r="I851">
        <v>1</v>
      </c>
      <c r="J851">
        <v>0.26</v>
      </c>
      <c r="K851">
        <v>0.2273</v>
      </c>
      <c r="L851">
        <v>0.81</v>
      </c>
      <c r="M851">
        <v>0.32840000000000003</v>
      </c>
      <c r="N851">
        <v>0</v>
      </c>
      <c r="O851">
        <v>2</v>
      </c>
      <c r="P851">
        <v>2</v>
      </c>
      <c r="Q851" t="str">
        <f t="shared" si="104"/>
        <v>Complete</v>
      </c>
      <c r="R851">
        <f t="shared" si="111"/>
        <v>0.2273</v>
      </c>
      <c r="S851">
        <f t="shared" si="105"/>
        <v>2011</v>
      </c>
      <c r="T851" t="str">
        <f t="shared" si="106"/>
        <v/>
      </c>
      <c r="U851" t="str">
        <f t="shared" si="107"/>
        <v>Weekday</v>
      </c>
      <c r="V851" t="str">
        <f t="shared" si="108"/>
        <v>Night</v>
      </c>
      <c r="W851" t="str">
        <f t="shared" si="109"/>
        <v>Spring</v>
      </c>
      <c r="X851" t="str">
        <f t="shared" si="110"/>
        <v>Clear</v>
      </c>
    </row>
    <row r="852" spans="1:24">
      <c r="A852">
        <v>860</v>
      </c>
      <c r="B852" s="2">
        <v>40582</v>
      </c>
      <c r="C852">
        <v>1</v>
      </c>
      <c r="D852">
        <v>0</v>
      </c>
      <c r="E852">
        <v>2</v>
      </c>
      <c r="F852">
        <v>6</v>
      </c>
      <c r="G852" t="b">
        <v>0</v>
      </c>
      <c r="H852">
        <v>2</v>
      </c>
      <c r="I852">
        <v>1</v>
      </c>
      <c r="J852">
        <v>0.26</v>
      </c>
      <c r="K852">
        <v>0.2273</v>
      </c>
      <c r="L852">
        <v>0.7</v>
      </c>
      <c r="M852">
        <v>0.32840000000000003</v>
      </c>
      <c r="N852">
        <v>0</v>
      </c>
      <c r="O852">
        <v>39</v>
      </c>
      <c r="P852">
        <v>39</v>
      </c>
      <c r="Q852" t="str">
        <f t="shared" si="104"/>
        <v>Complete</v>
      </c>
      <c r="R852">
        <f t="shared" si="111"/>
        <v>0.2273</v>
      </c>
      <c r="S852">
        <f t="shared" si="105"/>
        <v>2011</v>
      </c>
      <c r="T852" t="str">
        <f t="shared" si="106"/>
        <v/>
      </c>
      <c r="U852" t="str">
        <f t="shared" si="107"/>
        <v>Weekday</v>
      </c>
      <c r="V852" t="str">
        <f t="shared" si="108"/>
        <v>Morning</v>
      </c>
      <c r="W852" t="str">
        <f t="shared" si="109"/>
        <v>Spring</v>
      </c>
      <c r="X852" t="str">
        <f t="shared" si="110"/>
        <v>Clear</v>
      </c>
    </row>
    <row r="853" spans="1:24">
      <c r="A853">
        <v>861</v>
      </c>
      <c r="B853" s="2">
        <v>40582</v>
      </c>
      <c r="C853">
        <v>1</v>
      </c>
      <c r="D853">
        <v>0</v>
      </c>
      <c r="E853">
        <v>2</v>
      </c>
      <c r="F853">
        <v>7</v>
      </c>
      <c r="G853" t="b">
        <v>0</v>
      </c>
      <c r="H853">
        <v>2</v>
      </c>
      <c r="I853">
        <v>1</v>
      </c>
      <c r="J853">
        <v>0.24</v>
      </c>
      <c r="K853">
        <v>0.19700000000000001</v>
      </c>
      <c r="L853">
        <v>0.65</v>
      </c>
      <c r="M853">
        <v>0.41789999999999999</v>
      </c>
      <c r="N853">
        <v>3</v>
      </c>
      <c r="O853">
        <v>97</v>
      </c>
      <c r="P853">
        <v>100</v>
      </c>
      <c r="Q853" t="str">
        <f t="shared" si="104"/>
        <v>Complete</v>
      </c>
      <c r="R853">
        <f t="shared" si="111"/>
        <v>0.19700000000000001</v>
      </c>
      <c r="S853">
        <f t="shared" si="105"/>
        <v>2011</v>
      </c>
      <c r="T853" t="str">
        <f t="shared" si="106"/>
        <v/>
      </c>
      <c r="U853" t="str">
        <f t="shared" si="107"/>
        <v>Weekday</v>
      </c>
      <c r="V853" t="str">
        <f t="shared" si="108"/>
        <v>Morning</v>
      </c>
      <c r="W853" t="str">
        <f t="shared" si="109"/>
        <v>Spring</v>
      </c>
      <c r="X853" t="str">
        <f t="shared" si="110"/>
        <v>Clear</v>
      </c>
    </row>
    <row r="854" spans="1:24">
      <c r="A854">
        <v>862</v>
      </c>
      <c r="B854" s="2">
        <v>40582</v>
      </c>
      <c r="C854">
        <v>1</v>
      </c>
      <c r="D854">
        <v>0</v>
      </c>
      <c r="E854">
        <v>2</v>
      </c>
      <c r="F854">
        <v>8</v>
      </c>
      <c r="G854" t="b">
        <v>0</v>
      </c>
      <c r="H854">
        <v>2</v>
      </c>
      <c r="I854">
        <v>1</v>
      </c>
      <c r="J854">
        <v>0.24</v>
      </c>
      <c r="K854">
        <v>0.19700000000000001</v>
      </c>
      <c r="L854">
        <v>0.56000000000000005</v>
      </c>
      <c r="M854">
        <v>0.49249999999999999</v>
      </c>
      <c r="N854">
        <v>7</v>
      </c>
      <c r="O854">
        <v>236</v>
      </c>
      <c r="P854">
        <v>243</v>
      </c>
      <c r="Q854" t="str">
        <f t="shared" si="104"/>
        <v>Complete</v>
      </c>
      <c r="R854">
        <f t="shared" si="111"/>
        <v>0.19700000000000001</v>
      </c>
      <c r="S854">
        <f t="shared" si="105"/>
        <v>2011</v>
      </c>
      <c r="T854" t="str">
        <f t="shared" si="106"/>
        <v/>
      </c>
      <c r="U854" t="str">
        <f t="shared" si="107"/>
        <v>Weekday</v>
      </c>
      <c r="V854" t="str">
        <f t="shared" si="108"/>
        <v>Morning</v>
      </c>
      <c r="W854" t="str">
        <f t="shared" si="109"/>
        <v>Spring</v>
      </c>
      <c r="X854" t="str">
        <f t="shared" si="110"/>
        <v>Clear</v>
      </c>
    </row>
    <row r="855" spans="1:24">
      <c r="A855">
        <v>863</v>
      </c>
      <c r="B855" s="2">
        <v>40582</v>
      </c>
      <c r="C855">
        <v>1</v>
      </c>
      <c r="D855">
        <v>0</v>
      </c>
      <c r="E855">
        <v>2</v>
      </c>
      <c r="F855">
        <v>9</v>
      </c>
      <c r="G855" t="b">
        <v>0</v>
      </c>
      <c r="H855">
        <v>2</v>
      </c>
      <c r="I855">
        <v>1</v>
      </c>
      <c r="J855">
        <v>0.24</v>
      </c>
      <c r="K855">
        <v>0.19700000000000001</v>
      </c>
      <c r="L855">
        <v>0.52</v>
      </c>
      <c r="M855">
        <v>0.49249999999999999</v>
      </c>
      <c r="N855">
        <v>7</v>
      </c>
      <c r="O855">
        <v>128</v>
      </c>
      <c r="P855">
        <v>135</v>
      </c>
      <c r="Q855" t="str">
        <f t="shared" si="104"/>
        <v>Complete</v>
      </c>
      <c r="R855">
        <f t="shared" si="111"/>
        <v>0.19700000000000001</v>
      </c>
      <c r="S855">
        <f t="shared" si="105"/>
        <v>2011</v>
      </c>
      <c r="T855" t="str">
        <f t="shared" si="106"/>
        <v/>
      </c>
      <c r="U855" t="str">
        <f t="shared" si="107"/>
        <v>Weekday</v>
      </c>
      <c r="V855" t="str">
        <f t="shared" si="108"/>
        <v>Morning</v>
      </c>
      <c r="W855" t="str">
        <f t="shared" si="109"/>
        <v>Spring</v>
      </c>
      <c r="X855" t="str">
        <f t="shared" si="110"/>
        <v>Clear</v>
      </c>
    </row>
    <row r="856" spans="1:24">
      <c r="A856">
        <v>864</v>
      </c>
      <c r="B856" s="2">
        <v>40582</v>
      </c>
      <c r="C856">
        <v>1</v>
      </c>
      <c r="D856">
        <v>0</v>
      </c>
      <c r="E856">
        <v>2</v>
      </c>
      <c r="F856">
        <v>10</v>
      </c>
      <c r="G856" t="b">
        <v>0</v>
      </c>
      <c r="H856">
        <v>2</v>
      </c>
      <c r="I856">
        <v>1</v>
      </c>
      <c r="J856">
        <v>0.22</v>
      </c>
      <c r="K856">
        <v>0.18179999999999999</v>
      </c>
      <c r="L856">
        <v>0.47</v>
      </c>
      <c r="M856">
        <v>0.55220000000000002</v>
      </c>
      <c r="N856">
        <v>4</v>
      </c>
      <c r="O856">
        <v>44</v>
      </c>
      <c r="P856">
        <v>48</v>
      </c>
      <c r="Q856" t="str">
        <f t="shared" si="104"/>
        <v>Complete</v>
      </c>
      <c r="R856">
        <f t="shared" si="111"/>
        <v>0.18179999999999999</v>
      </c>
      <c r="S856">
        <f t="shared" si="105"/>
        <v>2011</v>
      </c>
      <c r="T856" t="str">
        <f t="shared" si="106"/>
        <v/>
      </c>
      <c r="U856" t="str">
        <f t="shared" si="107"/>
        <v>Weekday</v>
      </c>
      <c r="V856" t="str">
        <f t="shared" si="108"/>
        <v>Morning</v>
      </c>
      <c r="W856" t="str">
        <f t="shared" si="109"/>
        <v>Spring</v>
      </c>
      <c r="X856" t="str">
        <f t="shared" si="110"/>
        <v>Clear</v>
      </c>
    </row>
    <row r="857" spans="1:24">
      <c r="A857">
        <v>865</v>
      </c>
      <c r="B857" s="2">
        <v>40582</v>
      </c>
      <c r="C857">
        <v>1</v>
      </c>
      <c r="D857">
        <v>0</v>
      </c>
      <c r="E857">
        <v>2</v>
      </c>
      <c r="F857">
        <v>11</v>
      </c>
      <c r="G857" t="b">
        <v>0</v>
      </c>
      <c r="H857">
        <v>2</v>
      </c>
      <c r="I857">
        <v>1</v>
      </c>
      <c r="J857">
        <v>0.22</v>
      </c>
      <c r="K857">
        <v>0.18179999999999999</v>
      </c>
      <c r="L857">
        <v>0.47</v>
      </c>
      <c r="M857">
        <v>0.4627</v>
      </c>
      <c r="N857">
        <v>1</v>
      </c>
      <c r="O857">
        <v>49</v>
      </c>
      <c r="P857">
        <v>50</v>
      </c>
      <c r="Q857" t="str">
        <f t="shared" si="104"/>
        <v>Complete</v>
      </c>
      <c r="R857">
        <f t="shared" si="111"/>
        <v>0.18179999999999999</v>
      </c>
      <c r="S857">
        <f t="shared" si="105"/>
        <v>2011</v>
      </c>
      <c r="T857" t="str">
        <f t="shared" si="106"/>
        <v/>
      </c>
      <c r="U857" t="str">
        <f t="shared" si="107"/>
        <v>Weekday</v>
      </c>
      <c r="V857" t="str">
        <f t="shared" si="108"/>
        <v>Morning</v>
      </c>
      <c r="W857" t="str">
        <f t="shared" si="109"/>
        <v>Spring</v>
      </c>
      <c r="X857" t="str">
        <f t="shared" si="110"/>
        <v>Clear</v>
      </c>
    </row>
    <row r="858" spans="1:24">
      <c r="A858">
        <v>866</v>
      </c>
      <c r="B858" s="2">
        <v>40582</v>
      </c>
      <c r="C858">
        <v>1</v>
      </c>
      <c r="D858">
        <v>0</v>
      </c>
      <c r="E858">
        <v>2</v>
      </c>
      <c r="F858">
        <v>12</v>
      </c>
      <c r="G858" t="b">
        <v>0</v>
      </c>
      <c r="H858">
        <v>2</v>
      </c>
      <c r="I858">
        <v>1</v>
      </c>
      <c r="J858">
        <v>0.24</v>
      </c>
      <c r="K858">
        <v>0.19700000000000001</v>
      </c>
      <c r="L858">
        <v>0.38</v>
      </c>
      <c r="M858">
        <v>0.49249999999999999</v>
      </c>
      <c r="N858">
        <v>2</v>
      </c>
      <c r="O858">
        <v>63</v>
      </c>
      <c r="P858">
        <v>65</v>
      </c>
      <c r="Q858" t="str">
        <f t="shared" si="104"/>
        <v>Complete</v>
      </c>
      <c r="R858">
        <f t="shared" si="111"/>
        <v>0.19700000000000001</v>
      </c>
      <c r="S858">
        <f t="shared" si="105"/>
        <v>2011</v>
      </c>
      <c r="T858" t="str">
        <f t="shared" si="106"/>
        <v/>
      </c>
      <c r="U858" t="str">
        <f t="shared" si="107"/>
        <v>Weekday</v>
      </c>
      <c r="V858" t="str">
        <f t="shared" si="108"/>
        <v>Afternoon</v>
      </c>
      <c r="W858" t="str">
        <f t="shared" si="109"/>
        <v>Spring</v>
      </c>
      <c r="X858" t="str">
        <f t="shared" si="110"/>
        <v>Clear</v>
      </c>
    </row>
    <row r="859" spans="1:24">
      <c r="A859">
        <v>867</v>
      </c>
      <c r="B859" s="2">
        <v>40582</v>
      </c>
      <c r="C859">
        <v>1</v>
      </c>
      <c r="D859">
        <v>0</v>
      </c>
      <c r="E859">
        <v>2</v>
      </c>
      <c r="F859">
        <v>13</v>
      </c>
      <c r="G859" t="b">
        <v>0</v>
      </c>
      <c r="H859">
        <v>2</v>
      </c>
      <c r="I859">
        <v>2</v>
      </c>
      <c r="J859">
        <v>0.24</v>
      </c>
      <c r="K859">
        <v>0.19700000000000001</v>
      </c>
      <c r="L859">
        <v>0.32</v>
      </c>
      <c r="M859">
        <v>0.44779999999999998</v>
      </c>
      <c r="N859">
        <v>2</v>
      </c>
      <c r="O859">
        <v>48</v>
      </c>
      <c r="P859">
        <v>50</v>
      </c>
      <c r="Q859" t="str">
        <f t="shared" si="104"/>
        <v>Complete</v>
      </c>
      <c r="R859">
        <f t="shared" si="111"/>
        <v>0.19700000000000001</v>
      </c>
      <c r="S859">
        <f t="shared" si="105"/>
        <v>2011</v>
      </c>
      <c r="T859" t="str">
        <f t="shared" si="106"/>
        <v/>
      </c>
      <c r="U859" t="str">
        <f t="shared" si="107"/>
        <v>Weekday</v>
      </c>
      <c r="V859" t="str">
        <f t="shared" si="108"/>
        <v>Afternoon</v>
      </c>
      <c r="W859" t="str">
        <f t="shared" si="109"/>
        <v>Spring</v>
      </c>
      <c r="X859" t="str">
        <f t="shared" si="110"/>
        <v>Mist/Cloudy</v>
      </c>
    </row>
    <row r="860" spans="1:24">
      <c r="A860">
        <v>868</v>
      </c>
      <c r="B860" s="2">
        <v>40582</v>
      </c>
      <c r="C860">
        <v>1</v>
      </c>
      <c r="D860">
        <v>0</v>
      </c>
      <c r="E860">
        <v>2</v>
      </c>
      <c r="F860">
        <v>14</v>
      </c>
      <c r="G860" t="b">
        <v>0</v>
      </c>
      <c r="H860">
        <v>2</v>
      </c>
      <c r="I860">
        <v>1</v>
      </c>
      <c r="J860">
        <v>0.22</v>
      </c>
      <c r="K860">
        <v>0.19700000000000001</v>
      </c>
      <c r="L860">
        <v>0.37</v>
      </c>
      <c r="M860">
        <v>0.41789999999999999</v>
      </c>
      <c r="N860">
        <v>3</v>
      </c>
      <c r="O860">
        <v>61</v>
      </c>
      <c r="P860">
        <v>64</v>
      </c>
      <c r="Q860" t="str">
        <f t="shared" si="104"/>
        <v>Complete</v>
      </c>
      <c r="R860">
        <f t="shared" si="111"/>
        <v>0.19700000000000001</v>
      </c>
      <c r="S860">
        <f t="shared" si="105"/>
        <v>2011</v>
      </c>
      <c r="T860" t="str">
        <f t="shared" si="106"/>
        <v/>
      </c>
      <c r="U860" t="str">
        <f t="shared" si="107"/>
        <v>Weekday</v>
      </c>
      <c r="V860" t="str">
        <f t="shared" si="108"/>
        <v>Afternoon</v>
      </c>
      <c r="W860" t="str">
        <f t="shared" si="109"/>
        <v>Spring</v>
      </c>
      <c r="X860" t="str">
        <f t="shared" si="110"/>
        <v>Clear</v>
      </c>
    </row>
    <row r="861" spans="1:24">
      <c r="A861">
        <v>869</v>
      </c>
      <c r="B861" s="2">
        <v>40582</v>
      </c>
      <c r="C861">
        <v>1</v>
      </c>
      <c r="D861">
        <v>0</v>
      </c>
      <c r="E861">
        <v>2</v>
      </c>
      <c r="F861">
        <v>15</v>
      </c>
      <c r="G861" t="b">
        <v>0</v>
      </c>
      <c r="H861">
        <v>2</v>
      </c>
      <c r="I861">
        <v>1</v>
      </c>
      <c r="J861">
        <v>0.22</v>
      </c>
      <c r="K861">
        <v>0.19700000000000001</v>
      </c>
      <c r="L861">
        <v>0.35</v>
      </c>
      <c r="M861">
        <v>0.3881</v>
      </c>
      <c r="N861">
        <v>6</v>
      </c>
      <c r="O861">
        <v>45</v>
      </c>
      <c r="P861">
        <v>51</v>
      </c>
      <c r="Q861" t="str">
        <f t="shared" si="104"/>
        <v>Complete</v>
      </c>
      <c r="R861">
        <f t="shared" si="111"/>
        <v>0.19700000000000001</v>
      </c>
      <c r="S861">
        <f t="shared" si="105"/>
        <v>2011</v>
      </c>
      <c r="T861" t="str">
        <f t="shared" si="106"/>
        <v/>
      </c>
      <c r="U861" t="str">
        <f t="shared" si="107"/>
        <v>Weekday</v>
      </c>
      <c r="V861" t="str">
        <f t="shared" si="108"/>
        <v>Afternoon</v>
      </c>
      <c r="W861" t="str">
        <f t="shared" si="109"/>
        <v>Spring</v>
      </c>
      <c r="X861" t="str">
        <f t="shared" si="110"/>
        <v>Clear</v>
      </c>
    </row>
    <row r="862" spans="1:24">
      <c r="A862">
        <v>870</v>
      </c>
      <c r="B862" s="2">
        <v>40582</v>
      </c>
      <c r="C862">
        <v>1</v>
      </c>
      <c r="D862">
        <v>0</v>
      </c>
      <c r="E862">
        <v>2</v>
      </c>
      <c r="F862">
        <v>16</v>
      </c>
      <c r="G862" t="b">
        <v>0</v>
      </c>
      <c r="H862">
        <v>2</v>
      </c>
      <c r="I862">
        <v>1</v>
      </c>
      <c r="J862">
        <v>0.22</v>
      </c>
      <c r="K862">
        <v>0.18179999999999999</v>
      </c>
      <c r="L862">
        <v>0.35</v>
      </c>
      <c r="M862">
        <v>0.52239999999999998</v>
      </c>
      <c r="N862">
        <v>4</v>
      </c>
      <c r="O862">
        <v>79</v>
      </c>
      <c r="P862">
        <v>83</v>
      </c>
      <c r="Q862" t="str">
        <f t="shared" si="104"/>
        <v>Complete</v>
      </c>
      <c r="R862">
        <f t="shared" si="111"/>
        <v>0.18179999999999999</v>
      </c>
      <c r="S862">
        <f t="shared" si="105"/>
        <v>2011</v>
      </c>
      <c r="T862" t="str">
        <f t="shared" si="106"/>
        <v/>
      </c>
      <c r="U862" t="str">
        <f t="shared" si="107"/>
        <v>Weekday</v>
      </c>
      <c r="V862" t="str">
        <f t="shared" si="108"/>
        <v>Afternoon</v>
      </c>
      <c r="W862" t="str">
        <f t="shared" si="109"/>
        <v>Spring</v>
      </c>
      <c r="X862" t="str">
        <f t="shared" si="110"/>
        <v>Clear</v>
      </c>
    </row>
    <row r="863" spans="1:24">
      <c r="A863">
        <v>871</v>
      </c>
      <c r="B863" s="2">
        <v>40582</v>
      </c>
      <c r="C863">
        <v>1</v>
      </c>
      <c r="D863">
        <v>0</v>
      </c>
      <c r="E863">
        <v>2</v>
      </c>
      <c r="F863">
        <v>17</v>
      </c>
      <c r="G863" t="b">
        <v>0</v>
      </c>
      <c r="H863">
        <v>2</v>
      </c>
      <c r="I863">
        <v>1</v>
      </c>
      <c r="J863">
        <v>0.22</v>
      </c>
      <c r="K863">
        <v>0.18179999999999999</v>
      </c>
      <c r="L863">
        <v>0.32</v>
      </c>
      <c r="M863">
        <v>0.58209999999999995</v>
      </c>
      <c r="N863">
        <v>4</v>
      </c>
      <c r="O863">
        <v>172</v>
      </c>
      <c r="P863">
        <v>176</v>
      </c>
      <c r="Q863" t="str">
        <f t="shared" si="104"/>
        <v>Complete</v>
      </c>
      <c r="R863">
        <f t="shared" si="111"/>
        <v>0.18179999999999999</v>
      </c>
      <c r="S863">
        <f t="shared" si="105"/>
        <v>2011</v>
      </c>
      <c r="T863" t="str">
        <f t="shared" si="106"/>
        <v/>
      </c>
      <c r="U863" t="str">
        <f t="shared" si="107"/>
        <v>Weekday</v>
      </c>
      <c r="V863" t="str">
        <f t="shared" si="108"/>
        <v>Afternoon</v>
      </c>
      <c r="W863" t="str">
        <f t="shared" si="109"/>
        <v>Spring</v>
      </c>
      <c r="X863" t="str">
        <f t="shared" si="110"/>
        <v>Clear</v>
      </c>
    </row>
    <row r="864" spans="1:24">
      <c r="A864">
        <v>872</v>
      </c>
      <c r="B864" s="2">
        <v>40582</v>
      </c>
      <c r="C864">
        <v>1</v>
      </c>
      <c r="D864">
        <v>0</v>
      </c>
      <c r="E864">
        <v>2</v>
      </c>
      <c r="F864">
        <v>18</v>
      </c>
      <c r="G864" t="b">
        <v>0</v>
      </c>
      <c r="H864">
        <v>2</v>
      </c>
      <c r="I864">
        <v>1</v>
      </c>
      <c r="J864">
        <v>0.2</v>
      </c>
      <c r="K864">
        <v>0.18179999999999999</v>
      </c>
      <c r="L864">
        <v>0.32</v>
      </c>
      <c r="M864">
        <v>0.3881</v>
      </c>
      <c r="N864">
        <v>1</v>
      </c>
      <c r="O864">
        <v>151</v>
      </c>
      <c r="P864">
        <v>152</v>
      </c>
      <c r="Q864" t="str">
        <f t="shared" si="104"/>
        <v>Complete</v>
      </c>
      <c r="R864">
        <f t="shared" si="111"/>
        <v>0.18179999999999999</v>
      </c>
      <c r="S864">
        <f t="shared" si="105"/>
        <v>2011</v>
      </c>
      <c r="T864" t="str">
        <f t="shared" si="106"/>
        <v/>
      </c>
      <c r="U864" t="str">
        <f t="shared" si="107"/>
        <v>Weekday</v>
      </c>
      <c r="V864" t="str">
        <f t="shared" si="108"/>
        <v>Evening</v>
      </c>
      <c r="W864" t="str">
        <f t="shared" si="109"/>
        <v>Spring</v>
      </c>
      <c r="X864" t="str">
        <f t="shared" si="110"/>
        <v>Clear</v>
      </c>
    </row>
    <row r="865" spans="1:24">
      <c r="A865">
        <v>873</v>
      </c>
      <c r="B865" s="2">
        <v>40582</v>
      </c>
      <c r="C865">
        <v>1</v>
      </c>
      <c r="D865">
        <v>0</v>
      </c>
      <c r="E865">
        <v>2</v>
      </c>
      <c r="F865">
        <v>19</v>
      </c>
      <c r="G865" t="b">
        <v>0</v>
      </c>
      <c r="H865">
        <v>2</v>
      </c>
      <c r="I865">
        <v>1</v>
      </c>
      <c r="J865">
        <v>0.16</v>
      </c>
      <c r="K865">
        <v>0.1212</v>
      </c>
      <c r="L865">
        <v>0.4</v>
      </c>
      <c r="M865">
        <v>0.4627</v>
      </c>
      <c r="N865">
        <v>1</v>
      </c>
      <c r="O865">
        <v>100</v>
      </c>
      <c r="P865">
        <v>101</v>
      </c>
      <c r="Q865" t="str">
        <f t="shared" si="104"/>
        <v>Complete</v>
      </c>
      <c r="R865">
        <f t="shared" si="111"/>
        <v>0.1212</v>
      </c>
      <c r="S865">
        <f t="shared" si="105"/>
        <v>2011</v>
      </c>
      <c r="T865" t="str">
        <f t="shared" si="106"/>
        <v/>
      </c>
      <c r="U865" t="str">
        <f t="shared" si="107"/>
        <v>Weekday</v>
      </c>
      <c r="V865" t="str">
        <f t="shared" si="108"/>
        <v>Evening</v>
      </c>
      <c r="W865" t="str">
        <f t="shared" si="109"/>
        <v>Spring</v>
      </c>
      <c r="X865" t="str">
        <f t="shared" si="110"/>
        <v>Clear</v>
      </c>
    </row>
    <row r="866" spans="1:24">
      <c r="A866">
        <v>874</v>
      </c>
      <c r="B866" s="2">
        <v>40582</v>
      </c>
      <c r="C866">
        <v>1</v>
      </c>
      <c r="D866">
        <v>0</v>
      </c>
      <c r="E866">
        <v>2</v>
      </c>
      <c r="F866">
        <v>20</v>
      </c>
      <c r="G866" t="b">
        <v>0</v>
      </c>
      <c r="H866">
        <v>2</v>
      </c>
      <c r="I866">
        <v>1</v>
      </c>
      <c r="J866">
        <v>0.16</v>
      </c>
      <c r="K866">
        <v>0.13639999999999999</v>
      </c>
      <c r="L866">
        <v>0.4</v>
      </c>
      <c r="M866">
        <v>0.32840000000000003</v>
      </c>
      <c r="N866">
        <v>3</v>
      </c>
      <c r="O866">
        <v>53</v>
      </c>
      <c r="P866">
        <v>56</v>
      </c>
      <c r="Q866" t="str">
        <f t="shared" si="104"/>
        <v>Complete</v>
      </c>
      <c r="R866">
        <f t="shared" si="111"/>
        <v>0.13639999999999999</v>
      </c>
      <c r="S866">
        <f t="shared" si="105"/>
        <v>2011</v>
      </c>
      <c r="T866" t="str">
        <f t="shared" si="106"/>
        <v/>
      </c>
      <c r="U866" t="str">
        <f t="shared" si="107"/>
        <v>Weekday</v>
      </c>
      <c r="V866" t="str">
        <f t="shared" si="108"/>
        <v>Evening</v>
      </c>
      <c r="W866" t="str">
        <f t="shared" si="109"/>
        <v>Spring</v>
      </c>
      <c r="X866" t="str">
        <f t="shared" si="110"/>
        <v>Clear</v>
      </c>
    </row>
    <row r="867" spans="1:24">
      <c r="A867">
        <v>875</v>
      </c>
      <c r="B867" s="2">
        <v>40582</v>
      </c>
      <c r="C867">
        <v>1</v>
      </c>
      <c r="D867">
        <v>0</v>
      </c>
      <c r="E867">
        <v>2</v>
      </c>
      <c r="F867">
        <v>21</v>
      </c>
      <c r="G867" t="b">
        <v>0</v>
      </c>
      <c r="H867">
        <v>2</v>
      </c>
      <c r="I867">
        <v>1</v>
      </c>
      <c r="J867">
        <v>0.14000000000000001</v>
      </c>
      <c r="K867">
        <v>0.1061</v>
      </c>
      <c r="L867">
        <v>0.33</v>
      </c>
      <c r="M867">
        <v>0.4627</v>
      </c>
      <c r="N867">
        <v>8</v>
      </c>
      <c r="O867">
        <v>46</v>
      </c>
      <c r="P867">
        <v>54</v>
      </c>
      <c r="Q867" t="str">
        <f t="shared" si="104"/>
        <v>Complete</v>
      </c>
      <c r="R867">
        <f t="shared" si="111"/>
        <v>0.1061</v>
      </c>
      <c r="S867">
        <f t="shared" si="105"/>
        <v>2011</v>
      </c>
      <c r="T867" t="str">
        <f t="shared" si="106"/>
        <v/>
      </c>
      <c r="U867" t="str">
        <f t="shared" si="107"/>
        <v>Weekday</v>
      </c>
      <c r="V867" t="str">
        <f t="shared" si="108"/>
        <v>Evening</v>
      </c>
      <c r="W867" t="str">
        <f t="shared" si="109"/>
        <v>Spring</v>
      </c>
      <c r="X867" t="str">
        <f t="shared" si="110"/>
        <v>Clear</v>
      </c>
    </row>
    <row r="868" spans="1:24">
      <c r="A868">
        <v>876</v>
      </c>
      <c r="B868" s="2">
        <v>40582</v>
      </c>
      <c r="C868">
        <v>1</v>
      </c>
      <c r="D868">
        <v>0</v>
      </c>
      <c r="E868">
        <v>2</v>
      </c>
      <c r="F868">
        <v>22</v>
      </c>
      <c r="G868" t="b">
        <v>0</v>
      </c>
      <c r="H868">
        <v>2</v>
      </c>
      <c r="I868">
        <v>1</v>
      </c>
      <c r="J868">
        <v>0.12</v>
      </c>
      <c r="K868">
        <v>0.1061</v>
      </c>
      <c r="L868">
        <v>0.33</v>
      </c>
      <c r="M868">
        <v>0.35820000000000002</v>
      </c>
      <c r="N868">
        <v>0</v>
      </c>
      <c r="O868">
        <v>29</v>
      </c>
      <c r="P868">
        <v>29</v>
      </c>
      <c r="Q868" t="str">
        <f t="shared" si="104"/>
        <v>Complete</v>
      </c>
      <c r="R868">
        <f t="shared" si="111"/>
        <v>0.1061</v>
      </c>
      <c r="S868">
        <f t="shared" si="105"/>
        <v>2011</v>
      </c>
      <c r="T868" t="str">
        <f t="shared" si="106"/>
        <v/>
      </c>
      <c r="U868" t="str">
        <f t="shared" si="107"/>
        <v>Weekday</v>
      </c>
      <c r="V868" t="str">
        <f t="shared" si="108"/>
        <v>Evening</v>
      </c>
      <c r="W868" t="str">
        <f t="shared" si="109"/>
        <v>Spring</v>
      </c>
      <c r="X868" t="str">
        <f t="shared" si="110"/>
        <v>Clear</v>
      </c>
    </row>
    <row r="869" spans="1:24">
      <c r="A869">
        <v>877</v>
      </c>
      <c r="B869" s="2">
        <v>40582</v>
      </c>
      <c r="C869">
        <v>1</v>
      </c>
      <c r="D869">
        <v>0</v>
      </c>
      <c r="E869">
        <v>2</v>
      </c>
      <c r="F869">
        <v>23</v>
      </c>
      <c r="G869" t="b">
        <v>0</v>
      </c>
      <c r="H869">
        <v>2</v>
      </c>
      <c r="I869">
        <v>1</v>
      </c>
      <c r="J869">
        <v>0.12</v>
      </c>
      <c r="K869">
        <v>0.1061</v>
      </c>
      <c r="L869">
        <v>0.33</v>
      </c>
      <c r="M869">
        <v>0.32840000000000003</v>
      </c>
      <c r="N869">
        <v>3</v>
      </c>
      <c r="O869">
        <v>9</v>
      </c>
      <c r="P869">
        <v>12</v>
      </c>
      <c r="Q869" t="str">
        <f t="shared" si="104"/>
        <v>Complete</v>
      </c>
      <c r="R869">
        <f t="shared" si="111"/>
        <v>0.1061</v>
      </c>
      <c r="S869">
        <f t="shared" si="105"/>
        <v>2011</v>
      </c>
      <c r="T869" t="str">
        <f t="shared" si="106"/>
        <v/>
      </c>
      <c r="U869" t="str">
        <f t="shared" si="107"/>
        <v>Weekday</v>
      </c>
      <c r="V869" t="str">
        <f t="shared" si="108"/>
        <v>Evening</v>
      </c>
      <c r="W869" t="str">
        <f t="shared" si="109"/>
        <v>Spring</v>
      </c>
      <c r="X869" t="str">
        <f t="shared" si="110"/>
        <v>Clear</v>
      </c>
    </row>
    <row r="870" spans="1:24">
      <c r="A870">
        <v>878</v>
      </c>
      <c r="B870" s="2">
        <v>40583</v>
      </c>
      <c r="C870">
        <v>1</v>
      </c>
      <c r="D870">
        <v>0</v>
      </c>
      <c r="E870">
        <v>2</v>
      </c>
      <c r="F870">
        <v>0</v>
      </c>
      <c r="G870" t="b">
        <v>0</v>
      </c>
      <c r="H870">
        <v>3</v>
      </c>
      <c r="I870">
        <v>1</v>
      </c>
      <c r="J870">
        <v>0.1</v>
      </c>
      <c r="K870">
        <v>7.5800000000000006E-2</v>
      </c>
      <c r="L870">
        <v>0.36</v>
      </c>
      <c r="M870">
        <v>0.35820000000000002</v>
      </c>
      <c r="N870">
        <v>0</v>
      </c>
      <c r="O870">
        <v>17</v>
      </c>
      <c r="P870">
        <v>17</v>
      </c>
      <c r="Q870" t="str">
        <f t="shared" si="104"/>
        <v>Complete</v>
      </c>
      <c r="R870">
        <f t="shared" si="111"/>
        <v>7.5800000000000006E-2</v>
      </c>
      <c r="S870">
        <f t="shared" si="105"/>
        <v>2011</v>
      </c>
      <c r="T870" t="str">
        <f t="shared" si="106"/>
        <v/>
      </c>
      <c r="U870" t="str">
        <f t="shared" si="107"/>
        <v>Weekday</v>
      </c>
      <c r="V870" t="str">
        <f t="shared" si="108"/>
        <v>Night</v>
      </c>
      <c r="W870" t="str">
        <f t="shared" si="109"/>
        <v>Spring</v>
      </c>
      <c r="X870" t="str">
        <f t="shared" si="110"/>
        <v>Clear</v>
      </c>
    </row>
    <row r="871" spans="1:24">
      <c r="A871">
        <v>879</v>
      </c>
      <c r="B871" s="2">
        <v>40583</v>
      </c>
      <c r="C871">
        <v>1</v>
      </c>
      <c r="D871">
        <v>0</v>
      </c>
      <c r="E871">
        <v>2</v>
      </c>
      <c r="F871">
        <v>1</v>
      </c>
      <c r="G871" t="b">
        <v>0</v>
      </c>
      <c r="H871">
        <v>3</v>
      </c>
      <c r="I871">
        <v>1</v>
      </c>
      <c r="J871">
        <v>0.1</v>
      </c>
      <c r="K871">
        <v>0.1061</v>
      </c>
      <c r="L871">
        <v>0.36</v>
      </c>
      <c r="M871">
        <v>0.22389999999999999</v>
      </c>
      <c r="N871">
        <v>0</v>
      </c>
      <c r="O871">
        <v>7</v>
      </c>
      <c r="P871">
        <v>7</v>
      </c>
      <c r="Q871" t="str">
        <f t="shared" si="104"/>
        <v>Complete</v>
      </c>
      <c r="R871">
        <f t="shared" si="111"/>
        <v>0.1061</v>
      </c>
      <c r="S871">
        <f t="shared" si="105"/>
        <v>2011</v>
      </c>
      <c r="T871" t="str">
        <f t="shared" si="106"/>
        <v/>
      </c>
      <c r="U871" t="str">
        <f t="shared" si="107"/>
        <v>Weekday</v>
      </c>
      <c r="V871" t="str">
        <f t="shared" si="108"/>
        <v>Night</v>
      </c>
      <c r="W871" t="str">
        <f t="shared" si="109"/>
        <v>Spring</v>
      </c>
      <c r="X871" t="str">
        <f t="shared" si="110"/>
        <v>Clear</v>
      </c>
    </row>
    <row r="872" spans="1:24">
      <c r="A872">
        <v>880</v>
      </c>
      <c r="B872" s="2">
        <v>40583</v>
      </c>
      <c r="C872">
        <v>1</v>
      </c>
      <c r="D872">
        <v>0</v>
      </c>
      <c r="E872">
        <v>2</v>
      </c>
      <c r="F872">
        <v>2</v>
      </c>
      <c r="G872" t="b">
        <v>0</v>
      </c>
      <c r="H872">
        <v>3</v>
      </c>
      <c r="I872">
        <v>1</v>
      </c>
      <c r="J872">
        <v>0.08</v>
      </c>
      <c r="K872">
        <v>7.5800000000000006E-2</v>
      </c>
      <c r="L872">
        <v>0.38</v>
      </c>
      <c r="M872">
        <v>0.28360000000000002</v>
      </c>
      <c r="N872">
        <v>1</v>
      </c>
      <c r="O872">
        <v>2</v>
      </c>
      <c r="P872">
        <v>3</v>
      </c>
      <c r="Q872" t="str">
        <f t="shared" si="104"/>
        <v>Complete</v>
      </c>
      <c r="R872">
        <f t="shared" si="111"/>
        <v>7.5800000000000006E-2</v>
      </c>
      <c r="S872">
        <f t="shared" si="105"/>
        <v>2011</v>
      </c>
      <c r="T872" t="str">
        <f t="shared" si="106"/>
        <v/>
      </c>
      <c r="U872" t="str">
        <f t="shared" si="107"/>
        <v>Weekday</v>
      </c>
      <c r="V872" t="str">
        <f t="shared" si="108"/>
        <v>Night</v>
      </c>
      <c r="W872" t="str">
        <f t="shared" si="109"/>
        <v>Spring</v>
      </c>
      <c r="X872" t="str">
        <f t="shared" si="110"/>
        <v>Clear</v>
      </c>
    </row>
    <row r="873" spans="1:24">
      <c r="A873">
        <v>881</v>
      </c>
      <c r="B873" s="2">
        <v>40583</v>
      </c>
      <c r="C873">
        <v>1</v>
      </c>
      <c r="D873">
        <v>0</v>
      </c>
      <c r="E873">
        <v>2</v>
      </c>
      <c r="F873">
        <v>3</v>
      </c>
      <c r="G873" t="b">
        <v>0</v>
      </c>
      <c r="H873">
        <v>3</v>
      </c>
      <c r="I873">
        <v>1</v>
      </c>
      <c r="J873">
        <v>0.06</v>
      </c>
      <c r="K873">
        <v>7.5800000000000006E-2</v>
      </c>
      <c r="L873">
        <v>0.45</v>
      </c>
      <c r="M873">
        <v>0.1343</v>
      </c>
      <c r="N873">
        <v>0</v>
      </c>
      <c r="O873">
        <v>2</v>
      </c>
      <c r="P873">
        <v>2</v>
      </c>
      <c r="Q873" t="str">
        <f t="shared" si="104"/>
        <v>Complete</v>
      </c>
      <c r="R873">
        <f t="shared" si="111"/>
        <v>7.5800000000000006E-2</v>
      </c>
      <c r="S873">
        <f t="shared" si="105"/>
        <v>2011</v>
      </c>
      <c r="T873" t="str">
        <f t="shared" si="106"/>
        <v/>
      </c>
      <c r="U873" t="str">
        <f t="shared" si="107"/>
        <v>Weekday</v>
      </c>
      <c r="V873" t="str">
        <f t="shared" si="108"/>
        <v>Night</v>
      </c>
      <c r="W873" t="str">
        <f t="shared" si="109"/>
        <v>Spring</v>
      </c>
      <c r="X873" t="str">
        <f t="shared" si="110"/>
        <v>Clear</v>
      </c>
    </row>
    <row r="874" spans="1:24">
      <c r="A874">
        <v>882</v>
      </c>
      <c r="B874" s="2">
        <v>40583</v>
      </c>
      <c r="C874">
        <v>1</v>
      </c>
      <c r="D874">
        <v>0</v>
      </c>
      <c r="E874">
        <v>2</v>
      </c>
      <c r="F874">
        <v>5</v>
      </c>
      <c r="G874" t="b">
        <v>0</v>
      </c>
      <c r="H874">
        <v>3</v>
      </c>
      <c r="I874">
        <v>1</v>
      </c>
      <c r="J874">
        <v>0.06</v>
      </c>
      <c r="K874">
        <v>0.1061</v>
      </c>
      <c r="L874">
        <v>0.45</v>
      </c>
      <c r="M874">
        <v>0.1045</v>
      </c>
      <c r="N874">
        <v>0</v>
      </c>
      <c r="O874">
        <v>7</v>
      </c>
      <c r="P874">
        <v>7</v>
      </c>
      <c r="Q874" t="str">
        <f t="shared" si="104"/>
        <v>Complete</v>
      </c>
      <c r="R874">
        <f t="shared" si="111"/>
        <v>0.1061</v>
      </c>
      <c r="S874">
        <f t="shared" si="105"/>
        <v>2011</v>
      </c>
      <c r="T874" t="str">
        <f t="shared" si="106"/>
        <v/>
      </c>
      <c r="U874" t="str">
        <f t="shared" si="107"/>
        <v>Weekday</v>
      </c>
      <c r="V874" t="str">
        <f t="shared" si="108"/>
        <v>Night</v>
      </c>
      <c r="W874" t="str">
        <f t="shared" si="109"/>
        <v>Spring</v>
      </c>
      <c r="X874" t="str">
        <f t="shared" si="110"/>
        <v>Clear</v>
      </c>
    </row>
    <row r="875" spans="1:24">
      <c r="A875">
        <v>883</v>
      </c>
      <c r="B875" s="2">
        <v>40583</v>
      </c>
      <c r="C875">
        <v>1</v>
      </c>
      <c r="D875">
        <v>0</v>
      </c>
      <c r="E875">
        <v>2</v>
      </c>
      <c r="F875">
        <v>6</v>
      </c>
      <c r="G875" t="b">
        <v>0</v>
      </c>
      <c r="H875">
        <v>3</v>
      </c>
      <c r="I875">
        <v>1</v>
      </c>
      <c r="J875">
        <v>0.06</v>
      </c>
      <c r="K875">
        <v>0.1515</v>
      </c>
      <c r="L875">
        <v>0.45</v>
      </c>
      <c r="M875">
        <v>0</v>
      </c>
      <c r="N875">
        <v>0</v>
      </c>
      <c r="O875">
        <v>43</v>
      </c>
      <c r="P875">
        <v>43</v>
      </c>
      <c r="Q875" t="str">
        <f t="shared" si="104"/>
        <v>Complete</v>
      </c>
      <c r="R875">
        <f t="shared" si="111"/>
        <v>0.1515</v>
      </c>
      <c r="S875">
        <f t="shared" si="105"/>
        <v>2011</v>
      </c>
      <c r="T875" t="str">
        <f t="shared" si="106"/>
        <v/>
      </c>
      <c r="U875" t="str">
        <f t="shared" si="107"/>
        <v>Weekday</v>
      </c>
      <c r="V875" t="str">
        <f t="shared" si="108"/>
        <v>Morning</v>
      </c>
      <c r="W875" t="str">
        <f t="shared" si="109"/>
        <v>Spring</v>
      </c>
      <c r="X875" t="str">
        <f t="shared" si="110"/>
        <v>Clear</v>
      </c>
    </row>
    <row r="876" spans="1:24">
      <c r="A876">
        <v>884</v>
      </c>
      <c r="B876" s="2">
        <v>40583</v>
      </c>
      <c r="C876">
        <v>1</v>
      </c>
      <c r="D876">
        <v>0</v>
      </c>
      <c r="E876">
        <v>2</v>
      </c>
      <c r="F876">
        <v>7</v>
      </c>
      <c r="G876" t="b">
        <v>0</v>
      </c>
      <c r="H876">
        <v>3</v>
      </c>
      <c r="I876">
        <v>1</v>
      </c>
      <c r="J876">
        <v>0.06</v>
      </c>
      <c r="K876">
        <v>0.1061</v>
      </c>
      <c r="L876">
        <v>0.49</v>
      </c>
      <c r="M876">
        <v>0.1045</v>
      </c>
      <c r="N876">
        <v>4</v>
      </c>
      <c r="O876">
        <v>95</v>
      </c>
      <c r="P876">
        <v>99</v>
      </c>
      <c r="Q876" t="str">
        <f t="shared" si="104"/>
        <v>Complete</v>
      </c>
      <c r="R876">
        <f t="shared" si="111"/>
        <v>0.1061</v>
      </c>
      <c r="S876">
        <f t="shared" si="105"/>
        <v>2011</v>
      </c>
      <c r="T876" t="str">
        <f t="shared" si="106"/>
        <v/>
      </c>
      <c r="U876" t="str">
        <f t="shared" si="107"/>
        <v>Weekday</v>
      </c>
      <c r="V876" t="str">
        <f t="shared" si="108"/>
        <v>Morning</v>
      </c>
      <c r="W876" t="str">
        <f t="shared" si="109"/>
        <v>Spring</v>
      </c>
      <c r="X876" t="str">
        <f t="shared" si="110"/>
        <v>Clear</v>
      </c>
    </row>
    <row r="877" spans="1:24">
      <c r="A877">
        <v>885</v>
      </c>
      <c r="B877" s="2">
        <v>40583</v>
      </c>
      <c r="C877">
        <v>1</v>
      </c>
      <c r="D877">
        <v>0</v>
      </c>
      <c r="E877">
        <v>2</v>
      </c>
      <c r="F877">
        <v>8</v>
      </c>
      <c r="G877" t="b">
        <v>0</v>
      </c>
      <c r="H877">
        <v>3</v>
      </c>
      <c r="I877">
        <v>1</v>
      </c>
      <c r="J877">
        <v>0.1</v>
      </c>
      <c r="K877">
        <v>0.13639999999999999</v>
      </c>
      <c r="L877">
        <v>0.42</v>
      </c>
      <c r="M877">
        <v>0</v>
      </c>
      <c r="N877">
        <v>1</v>
      </c>
      <c r="O877">
        <v>198</v>
      </c>
      <c r="P877">
        <v>199</v>
      </c>
      <c r="Q877" t="str">
        <f t="shared" si="104"/>
        <v>Complete</v>
      </c>
      <c r="R877">
        <f t="shared" si="111"/>
        <v>0.13639999999999999</v>
      </c>
      <c r="S877">
        <f t="shared" si="105"/>
        <v>2011</v>
      </c>
      <c r="T877" t="str">
        <f t="shared" si="106"/>
        <v/>
      </c>
      <c r="U877" t="str">
        <f t="shared" si="107"/>
        <v>Weekday</v>
      </c>
      <c r="V877" t="str">
        <f t="shared" si="108"/>
        <v>Morning</v>
      </c>
      <c r="W877" t="str">
        <f t="shared" si="109"/>
        <v>Spring</v>
      </c>
      <c r="X877" t="str">
        <f t="shared" si="110"/>
        <v>Clear</v>
      </c>
    </row>
    <row r="878" spans="1:24">
      <c r="A878">
        <v>886</v>
      </c>
      <c r="B878" s="2">
        <v>40583</v>
      </c>
      <c r="C878">
        <v>1</v>
      </c>
      <c r="D878">
        <v>0</v>
      </c>
      <c r="E878">
        <v>2</v>
      </c>
      <c r="F878">
        <v>9</v>
      </c>
      <c r="G878" t="b">
        <v>0</v>
      </c>
      <c r="H878">
        <v>3</v>
      </c>
      <c r="I878">
        <v>1</v>
      </c>
      <c r="J878">
        <v>0.12</v>
      </c>
      <c r="K878">
        <v>0.13639999999999999</v>
      </c>
      <c r="L878">
        <v>0.39</v>
      </c>
      <c r="M878">
        <v>0.16420000000000001</v>
      </c>
      <c r="N878">
        <v>4</v>
      </c>
      <c r="O878">
        <v>119</v>
      </c>
      <c r="P878">
        <v>123</v>
      </c>
      <c r="Q878" t="str">
        <f t="shared" si="104"/>
        <v>Complete</v>
      </c>
      <c r="R878">
        <f t="shared" si="111"/>
        <v>0.13639999999999999</v>
      </c>
      <c r="S878">
        <f t="shared" si="105"/>
        <v>2011</v>
      </c>
      <c r="T878" t="str">
        <f t="shared" si="106"/>
        <v/>
      </c>
      <c r="U878" t="str">
        <f t="shared" si="107"/>
        <v>Weekday</v>
      </c>
      <c r="V878" t="str">
        <f t="shared" si="108"/>
        <v>Morning</v>
      </c>
      <c r="W878" t="str">
        <f t="shared" si="109"/>
        <v>Spring</v>
      </c>
      <c r="X878" t="str">
        <f t="shared" si="110"/>
        <v>Clear</v>
      </c>
    </row>
    <row r="879" spans="1:24">
      <c r="A879">
        <v>887</v>
      </c>
      <c r="B879" s="2">
        <v>40583</v>
      </c>
      <c r="C879">
        <v>1</v>
      </c>
      <c r="D879">
        <v>0</v>
      </c>
      <c r="E879">
        <v>2</v>
      </c>
      <c r="F879">
        <v>10</v>
      </c>
      <c r="G879" t="b">
        <v>0</v>
      </c>
      <c r="H879">
        <v>3</v>
      </c>
      <c r="I879">
        <v>1</v>
      </c>
      <c r="J879">
        <v>0.14000000000000001</v>
      </c>
      <c r="K879">
        <v>0.18179999999999999</v>
      </c>
      <c r="L879">
        <v>0.36</v>
      </c>
      <c r="M879">
        <v>0</v>
      </c>
      <c r="N879">
        <v>8</v>
      </c>
      <c r="O879">
        <v>51</v>
      </c>
      <c r="P879">
        <v>59</v>
      </c>
      <c r="Q879" t="str">
        <f t="shared" si="104"/>
        <v>Complete</v>
      </c>
      <c r="R879">
        <f t="shared" si="111"/>
        <v>0.18179999999999999</v>
      </c>
      <c r="S879">
        <f t="shared" si="105"/>
        <v>2011</v>
      </c>
      <c r="T879" t="str">
        <f t="shared" si="106"/>
        <v/>
      </c>
      <c r="U879" t="str">
        <f t="shared" si="107"/>
        <v>Weekday</v>
      </c>
      <c r="V879" t="str">
        <f t="shared" si="108"/>
        <v>Morning</v>
      </c>
      <c r="W879" t="str">
        <f t="shared" si="109"/>
        <v>Spring</v>
      </c>
      <c r="X879" t="str">
        <f t="shared" si="110"/>
        <v>Clear</v>
      </c>
    </row>
    <row r="880" spans="1:24">
      <c r="A880">
        <v>888</v>
      </c>
      <c r="B880" s="2">
        <v>40583</v>
      </c>
      <c r="C880">
        <v>1</v>
      </c>
      <c r="D880">
        <v>0</v>
      </c>
      <c r="E880">
        <v>2</v>
      </c>
      <c r="F880">
        <v>11</v>
      </c>
      <c r="G880" t="b">
        <v>0</v>
      </c>
      <c r="H880">
        <v>3</v>
      </c>
      <c r="I880">
        <v>2</v>
      </c>
      <c r="J880">
        <v>0.14000000000000001</v>
      </c>
      <c r="K880">
        <v>0.1515</v>
      </c>
      <c r="L880">
        <v>0.43</v>
      </c>
      <c r="M880">
        <v>0.16420000000000001</v>
      </c>
      <c r="N880">
        <v>1</v>
      </c>
      <c r="O880">
        <v>40</v>
      </c>
      <c r="P880">
        <v>41</v>
      </c>
      <c r="Q880" t="str">
        <f t="shared" si="104"/>
        <v>Complete</v>
      </c>
      <c r="R880">
        <f t="shared" si="111"/>
        <v>0.1515</v>
      </c>
      <c r="S880">
        <f t="shared" si="105"/>
        <v>2011</v>
      </c>
      <c r="T880" t="str">
        <f t="shared" si="106"/>
        <v/>
      </c>
      <c r="U880" t="str">
        <f t="shared" si="107"/>
        <v>Weekday</v>
      </c>
      <c r="V880" t="str">
        <f t="shared" si="108"/>
        <v>Morning</v>
      </c>
      <c r="W880" t="str">
        <f t="shared" si="109"/>
        <v>Spring</v>
      </c>
      <c r="X880" t="str">
        <f t="shared" si="110"/>
        <v>Mist/Cloudy</v>
      </c>
    </row>
    <row r="881" spans="1:24">
      <c r="A881">
        <v>889</v>
      </c>
      <c r="B881" s="2">
        <v>40583</v>
      </c>
      <c r="C881">
        <v>1</v>
      </c>
      <c r="D881">
        <v>0</v>
      </c>
      <c r="E881">
        <v>2</v>
      </c>
      <c r="F881">
        <v>12</v>
      </c>
      <c r="G881" t="b">
        <v>0</v>
      </c>
      <c r="H881">
        <v>3</v>
      </c>
      <c r="I881">
        <v>2</v>
      </c>
      <c r="J881">
        <v>0.18</v>
      </c>
      <c r="K881">
        <v>0.18179999999999999</v>
      </c>
      <c r="L881">
        <v>0.4</v>
      </c>
      <c r="M881">
        <v>0.22389999999999999</v>
      </c>
      <c r="N881">
        <v>4</v>
      </c>
      <c r="O881">
        <v>57</v>
      </c>
      <c r="P881">
        <v>61</v>
      </c>
      <c r="Q881" t="str">
        <f t="shared" si="104"/>
        <v>Complete</v>
      </c>
      <c r="R881">
        <f t="shared" si="111"/>
        <v>0.18179999999999999</v>
      </c>
      <c r="S881">
        <f t="shared" si="105"/>
        <v>2011</v>
      </c>
      <c r="T881" t="str">
        <f t="shared" si="106"/>
        <v/>
      </c>
      <c r="U881" t="str">
        <f t="shared" si="107"/>
        <v>Weekday</v>
      </c>
      <c r="V881" t="str">
        <f t="shared" si="108"/>
        <v>Afternoon</v>
      </c>
      <c r="W881" t="str">
        <f t="shared" si="109"/>
        <v>Spring</v>
      </c>
      <c r="X881" t="str">
        <f t="shared" si="110"/>
        <v>Mist/Cloudy</v>
      </c>
    </row>
    <row r="882" spans="1:24">
      <c r="A882">
        <v>890</v>
      </c>
      <c r="B882" s="2">
        <v>40583</v>
      </c>
      <c r="C882">
        <v>1</v>
      </c>
      <c r="D882">
        <v>0</v>
      </c>
      <c r="E882">
        <v>2</v>
      </c>
      <c r="F882">
        <v>13</v>
      </c>
      <c r="G882" t="b">
        <v>0</v>
      </c>
      <c r="H882">
        <v>3</v>
      </c>
      <c r="I882">
        <v>1</v>
      </c>
      <c r="J882">
        <v>0.18</v>
      </c>
      <c r="K882">
        <v>0.16669999999999999</v>
      </c>
      <c r="L882">
        <v>0.4</v>
      </c>
      <c r="M882">
        <v>0.25369999999999998</v>
      </c>
      <c r="N882">
        <v>2</v>
      </c>
      <c r="O882">
        <v>67</v>
      </c>
      <c r="P882">
        <v>69</v>
      </c>
      <c r="Q882" t="str">
        <f t="shared" si="104"/>
        <v>Complete</v>
      </c>
      <c r="R882">
        <f t="shared" si="111"/>
        <v>0.16669999999999999</v>
      </c>
      <c r="S882">
        <f t="shared" si="105"/>
        <v>2011</v>
      </c>
      <c r="T882" t="str">
        <f t="shared" si="106"/>
        <v/>
      </c>
      <c r="U882" t="str">
        <f t="shared" si="107"/>
        <v>Weekday</v>
      </c>
      <c r="V882" t="str">
        <f t="shared" si="108"/>
        <v>Afternoon</v>
      </c>
      <c r="W882" t="str">
        <f t="shared" si="109"/>
        <v>Spring</v>
      </c>
      <c r="X882" t="str">
        <f t="shared" si="110"/>
        <v>Clear</v>
      </c>
    </row>
    <row r="883" spans="1:24">
      <c r="A883">
        <v>891</v>
      </c>
      <c r="B883" s="2">
        <v>40583</v>
      </c>
      <c r="C883">
        <v>1</v>
      </c>
      <c r="D883">
        <v>0</v>
      </c>
      <c r="E883">
        <v>2</v>
      </c>
      <c r="F883">
        <v>14</v>
      </c>
      <c r="G883" t="b">
        <v>0</v>
      </c>
      <c r="H883">
        <v>3</v>
      </c>
      <c r="I883">
        <v>1</v>
      </c>
      <c r="J883">
        <v>0.2</v>
      </c>
      <c r="K883">
        <v>0.18179999999999999</v>
      </c>
      <c r="L883">
        <v>0.34</v>
      </c>
      <c r="M883">
        <v>0.29849999999999999</v>
      </c>
      <c r="N883">
        <v>2</v>
      </c>
      <c r="O883">
        <v>56</v>
      </c>
      <c r="P883">
        <v>58</v>
      </c>
      <c r="Q883" t="str">
        <f t="shared" si="104"/>
        <v>Complete</v>
      </c>
      <c r="R883">
        <f t="shared" si="111"/>
        <v>0.18179999999999999</v>
      </c>
      <c r="S883">
        <f t="shared" si="105"/>
        <v>2011</v>
      </c>
      <c r="T883" t="str">
        <f t="shared" si="106"/>
        <v/>
      </c>
      <c r="U883" t="str">
        <f t="shared" si="107"/>
        <v>Weekday</v>
      </c>
      <c r="V883" t="str">
        <f t="shared" si="108"/>
        <v>Afternoon</v>
      </c>
      <c r="W883" t="str">
        <f t="shared" si="109"/>
        <v>Spring</v>
      </c>
      <c r="X883" t="str">
        <f t="shared" si="110"/>
        <v>Clear</v>
      </c>
    </row>
    <row r="884" spans="1:24">
      <c r="A884">
        <v>892</v>
      </c>
      <c r="B884" s="2">
        <v>40583</v>
      </c>
      <c r="C884">
        <v>1</v>
      </c>
      <c r="D884">
        <v>0</v>
      </c>
      <c r="E884">
        <v>2</v>
      </c>
      <c r="F884">
        <v>15</v>
      </c>
      <c r="G884" t="b">
        <v>0</v>
      </c>
      <c r="H884">
        <v>3</v>
      </c>
      <c r="I884">
        <v>2</v>
      </c>
      <c r="J884">
        <v>0.2</v>
      </c>
      <c r="K884">
        <v>0.18179999999999999</v>
      </c>
      <c r="L884">
        <v>0.34</v>
      </c>
      <c r="M884">
        <v>0.28360000000000002</v>
      </c>
      <c r="N884">
        <v>3</v>
      </c>
      <c r="O884">
        <v>61</v>
      </c>
      <c r="P884">
        <v>64</v>
      </c>
      <c r="Q884" t="str">
        <f t="shared" si="104"/>
        <v>Complete</v>
      </c>
      <c r="R884">
        <f t="shared" si="111"/>
        <v>0.18179999999999999</v>
      </c>
      <c r="S884">
        <f t="shared" si="105"/>
        <v>2011</v>
      </c>
      <c r="T884" t="str">
        <f t="shared" si="106"/>
        <v/>
      </c>
      <c r="U884" t="str">
        <f t="shared" si="107"/>
        <v>Weekday</v>
      </c>
      <c r="V884" t="str">
        <f t="shared" si="108"/>
        <v>Afternoon</v>
      </c>
      <c r="W884" t="str">
        <f t="shared" si="109"/>
        <v>Spring</v>
      </c>
      <c r="X884" t="str">
        <f t="shared" si="110"/>
        <v>Mist/Cloudy</v>
      </c>
    </row>
    <row r="885" spans="1:24">
      <c r="A885">
        <v>893</v>
      </c>
      <c r="B885" s="2">
        <v>40583</v>
      </c>
      <c r="C885">
        <v>1</v>
      </c>
      <c r="D885">
        <v>0</v>
      </c>
      <c r="E885">
        <v>2</v>
      </c>
      <c r="F885">
        <v>16</v>
      </c>
      <c r="G885" t="b">
        <v>0</v>
      </c>
      <c r="H885">
        <v>3</v>
      </c>
      <c r="I885">
        <v>2</v>
      </c>
      <c r="J885">
        <v>0.2</v>
      </c>
      <c r="K885">
        <v>0.19700000000000001</v>
      </c>
      <c r="L885">
        <v>0.37</v>
      </c>
      <c r="M885">
        <v>0.25369999999999998</v>
      </c>
      <c r="N885">
        <v>7</v>
      </c>
      <c r="O885">
        <v>72</v>
      </c>
      <c r="P885">
        <v>79</v>
      </c>
      <c r="Q885" t="str">
        <f t="shared" si="104"/>
        <v>Complete</v>
      </c>
      <c r="R885">
        <f t="shared" si="111"/>
        <v>0.19700000000000001</v>
      </c>
      <c r="S885">
        <f t="shared" si="105"/>
        <v>2011</v>
      </c>
      <c r="T885" t="str">
        <f t="shared" si="106"/>
        <v/>
      </c>
      <c r="U885" t="str">
        <f t="shared" si="107"/>
        <v>Weekday</v>
      </c>
      <c r="V885" t="str">
        <f t="shared" si="108"/>
        <v>Afternoon</v>
      </c>
      <c r="W885" t="str">
        <f t="shared" si="109"/>
        <v>Spring</v>
      </c>
      <c r="X885" t="str">
        <f t="shared" si="110"/>
        <v>Mist/Cloudy</v>
      </c>
    </row>
    <row r="886" spans="1:24">
      <c r="A886">
        <v>894</v>
      </c>
      <c r="B886" s="2">
        <v>40583</v>
      </c>
      <c r="C886">
        <v>1</v>
      </c>
      <c r="D886">
        <v>0</v>
      </c>
      <c r="E886">
        <v>2</v>
      </c>
      <c r="F886">
        <v>17</v>
      </c>
      <c r="G886" t="b">
        <v>0</v>
      </c>
      <c r="H886">
        <v>3</v>
      </c>
      <c r="I886">
        <v>2</v>
      </c>
      <c r="J886">
        <v>0.2</v>
      </c>
      <c r="K886">
        <v>0.19700000000000001</v>
      </c>
      <c r="L886">
        <v>0.34</v>
      </c>
      <c r="M886">
        <v>0.25369999999999998</v>
      </c>
      <c r="N886">
        <v>9</v>
      </c>
      <c r="O886">
        <v>157</v>
      </c>
      <c r="P886">
        <v>166</v>
      </c>
      <c r="Q886" t="str">
        <f t="shared" si="104"/>
        <v>Complete</v>
      </c>
      <c r="R886">
        <f t="shared" si="111"/>
        <v>0.19700000000000001</v>
      </c>
      <c r="S886">
        <f t="shared" si="105"/>
        <v>2011</v>
      </c>
      <c r="T886" t="str">
        <f t="shared" si="106"/>
        <v/>
      </c>
      <c r="U886" t="str">
        <f t="shared" si="107"/>
        <v>Weekday</v>
      </c>
      <c r="V886" t="str">
        <f t="shared" si="108"/>
        <v>Afternoon</v>
      </c>
      <c r="W886" t="str">
        <f t="shared" si="109"/>
        <v>Spring</v>
      </c>
      <c r="X886" t="str">
        <f t="shared" si="110"/>
        <v>Mist/Cloudy</v>
      </c>
    </row>
    <row r="887" spans="1:24">
      <c r="A887">
        <v>895</v>
      </c>
      <c r="B887" s="2">
        <v>40583</v>
      </c>
      <c r="C887">
        <v>1</v>
      </c>
      <c r="D887">
        <v>0</v>
      </c>
      <c r="E887">
        <v>2</v>
      </c>
      <c r="F887">
        <v>18</v>
      </c>
      <c r="G887" t="b">
        <v>0</v>
      </c>
      <c r="H887">
        <v>3</v>
      </c>
      <c r="I887">
        <v>2</v>
      </c>
      <c r="J887">
        <v>0.18</v>
      </c>
      <c r="K887">
        <v>0.16669999999999999</v>
      </c>
      <c r="L887">
        <v>0.47</v>
      </c>
      <c r="M887">
        <v>0.29849999999999999</v>
      </c>
      <c r="N887">
        <v>2</v>
      </c>
      <c r="O887">
        <v>168</v>
      </c>
      <c r="P887">
        <v>170</v>
      </c>
      <c r="Q887" t="str">
        <f t="shared" si="104"/>
        <v>Complete</v>
      </c>
      <c r="R887">
        <f t="shared" si="111"/>
        <v>0.16669999999999999</v>
      </c>
      <c r="S887">
        <f t="shared" si="105"/>
        <v>2011</v>
      </c>
      <c r="T887" t="str">
        <f t="shared" si="106"/>
        <v/>
      </c>
      <c r="U887" t="str">
        <f t="shared" si="107"/>
        <v>Weekday</v>
      </c>
      <c r="V887" t="str">
        <f t="shared" si="108"/>
        <v>Evening</v>
      </c>
      <c r="W887" t="str">
        <f t="shared" si="109"/>
        <v>Spring</v>
      </c>
      <c r="X887" t="str">
        <f t="shared" si="110"/>
        <v>Mist/Cloudy</v>
      </c>
    </row>
    <row r="888" spans="1:24">
      <c r="A888">
        <v>896</v>
      </c>
      <c r="B888" s="2">
        <v>40583</v>
      </c>
      <c r="C888">
        <v>1</v>
      </c>
      <c r="D888">
        <v>0</v>
      </c>
      <c r="E888">
        <v>2</v>
      </c>
      <c r="F888">
        <v>19</v>
      </c>
      <c r="G888" t="b">
        <v>0</v>
      </c>
      <c r="H888">
        <v>3</v>
      </c>
      <c r="I888">
        <v>3</v>
      </c>
      <c r="J888">
        <v>0.14000000000000001</v>
      </c>
      <c r="K888">
        <v>0.1212</v>
      </c>
      <c r="L888">
        <v>0.86</v>
      </c>
      <c r="M888">
        <v>0.25369999999999998</v>
      </c>
      <c r="N888">
        <v>1</v>
      </c>
      <c r="O888">
        <v>87</v>
      </c>
      <c r="P888">
        <v>88</v>
      </c>
      <c r="Q888" t="str">
        <f t="shared" si="104"/>
        <v>Complete</v>
      </c>
      <c r="R888">
        <f t="shared" si="111"/>
        <v>0.1212</v>
      </c>
      <c r="S888">
        <f t="shared" si="105"/>
        <v>2011</v>
      </c>
      <c r="T888" t="str">
        <f t="shared" si="106"/>
        <v/>
      </c>
      <c r="U888" t="str">
        <f t="shared" si="107"/>
        <v>Weekday</v>
      </c>
      <c r="V888" t="str">
        <f t="shared" si="108"/>
        <v>Evening</v>
      </c>
      <c r="W888" t="str">
        <f t="shared" si="109"/>
        <v>Spring</v>
      </c>
      <c r="X888" t="str">
        <f t="shared" si="110"/>
        <v>Light Rain/Snow</v>
      </c>
    </row>
    <row r="889" spans="1:24">
      <c r="A889">
        <v>897</v>
      </c>
      <c r="B889" s="2">
        <v>40583</v>
      </c>
      <c r="C889">
        <v>1</v>
      </c>
      <c r="D889">
        <v>0</v>
      </c>
      <c r="E889">
        <v>2</v>
      </c>
      <c r="F889">
        <v>20</v>
      </c>
      <c r="G889" t="b">
        <v>0</v>
      </c>
      <c r="H889">
        <v>3</v>
      </c>
      <c r="I889">
        <v>3</v>
      </c>
      <c r="J889">
        <v>0.14000000000000001</v>
      </c>
      <c r="K889">
        <v>0.1515</v>
      </c>
      <c r="L889">
        <v>0.86</v>
      </c>
      <c r="M889">
        <v>0.16420000000000001</v>
      </c>
      <c r="N889">
        <v>0</v>
      </c>
      <c r="O889">
        <v>84</v>
      </c>
      <c r="P889">
        <v>84</v>
      </c>
      <c r="Q889" t="str">
        <f t="shared" si="104"/>
        <v>Complete</v>
      </c>
      <c r="R889">
        <f t="shared" si="111"/>
        <v>0.1515</v>
      </c>
      <c r="S889">
        <f t="shared" si="105"/>
        <v>2011</v>
      </c>
      <c r="T889" t="str">
        <f t="shared" si="106"/>
        <v/>
      </c>
      <c r="U889" t="str">
        <f t="shared" si="107"/>
        <v>Weekday</v>
      </c>
      <c r="V889" t="str">
        <f t="shared" si="108"/>
        <v>Evening</v>
      </c>
      <c r="W889" t="str">
        <f t="shared" si="109"/>
        <v>Spring</v>
      </c>
      <c r="X889" t="str">
        <f t="shared" si="110"/>
        <v>Light Rain/Snow</v>
      </c>
    </row>
    <row r="890" spans="1:24">
      <c r="A890">
        <v>898</v>
      </c>
      <c r="B890" s="2">
        <v>40583</v>
      </c>
      <c r="C890">
        <v>1</v>
      </c>
      <c r="D890">
        <v>0</v>
      </c>
      <c r="E890">
        <v>2</v>
      </c>
      <c r="F890">
        <v>21</v>
      </c>
      <c r="G890" t="b">
        <v>0</v>
      </c>
      <c r="H890">
        <v>3</v>
      </c>
      <c r="I890">
        <v>2</v>
      </c>
      <c r="J890">
        <v>0.14000000000000001</v>
      </c>
      <c r="K890">
        <v>0.1515</v>
      </c>
      <c r="L890">
        <v>0.86</v>
      </c>
      <c r="M890">
        <v>0.16420000000000001</v>
      </c>
      <c r="N890">
        <v>0</v>
      </c>
      <c r="O890">
        <v>83</v>
      </c>
      <c r="P890">
        <v>83</v>
      </c>
      <c r="Q890" t="str">
        <f t="shared" si="104"/>
        <v>Complete</v>
      </c>
      <c r="R890">
        <f t="shared" si="111"/>
        <v>0.1515</v>
      </c>
      <c r="S890">
        <f t="shared" si="105"/>
        <v>2011</v>
      </c>
      <c r="T890" t="str">
        <f t="shared" si="106"/>
        <v/>
      </c>
      <c r="U890" t="str">
        <f t="shared" si="107"/>
        <v>Weekday</v>
      </c>
      <c r="V890" t="str">
        <f t="shared" si="108"/>
        <v>Evening</v>
      </c>
      <c r="W890" t="str">
        <f t="shared" si="109"/>
        <v>Spring</v>
      </c>
      <c r="X890" t="str">
        <f t="shared" si="110"/>
        <v>Mist/Cloudy</v>
      </c>
    </row>
    <row r="891" spans="1:24">
      <c r="A891">
        <v>899</v>
      </c>
      <c r="B891" s="2">
        <v>40583</v>
      </c>
      <c r="C891">
        <v>1</v>
      </c>
      <c r="D891">
        <v>0</v>
      </c>
      <c r="E891">
        <v>2</v>
      </c>
      <c r="F891">
        <v>22</v>
      </c>
      <c r="G891" t="b">
        <v>0</v>
      </c>
      <c r="H891">
        <v>3</v>
      </c>
      <c r="I891">
        <v>3</v>
      </c>
      <c r="J891">
        <v>0.16</v>
      </c>
      <c r="K891">
        <v>0.16669999999999999</v>
      </c>
      <c r="L891">
        <v>0.8</v>
      </c>
      <c r="M891">
        <v>0.16420000000000001</v>
      </c>
      <c r="N891">
        <v>4</v>
      </c>
      <c r="O891">
        <v>42</v>
      </c>
      <c r="P891">
        <v>46</v>
      </c>
      <c r="Q891" t="str">
        <f t="shared" si="104"/>
        <v>Complete</v>
      </c>
      <c r="R891">
        <f t="shared" si="111"/>
        <v>0.16669999999999999</v>
      </c>
      <c r="S891">
        <f t="shared" si="105"/>
        <v>2011</v>
      </c>
      <c r="T891" t="str">
        <f t="shared" si="106"/>
        <v/>
      </c>
      <c r="U891" t="str">
        <f t="shared" si="107"/>
        <v>Weekday</v>
      </c>
      <c r="V891" t="str">
        <f t="shared" si="108"/>
        <v>Evening</v>
      </c>
      <c r="W891" t="str">
        <f t="shared" si="109"/>
        <v>Spring</v>
      </c>
      <c r="X891" t="str">
        <f t="shared" si="110"/>
        <v>Light Rain/Snow</v>
      </c>
    </row>
    <row r="892" spans="1:24">
      <c r="A892">
        <v>900</v>
      </c>
      <c r="B892" s="2">
        <v>40583</v>
      </c>
      <c r="C892">
        <v>1</v>
      </c>
      <c r="D892">
        <v>0</v>
      </c>
      <c r="E892">
        <v>2</v>
      </c>
      <c r="F892">
        <v>23</v>
      </c>
      <c r="G892" t="b">
        <v>0</v>
      </c>
      <c r="H892">
        <v>3</v>
      </c>
      <c r="I892">
        <v>3</v>
      </c>
      <c r="J892">
        <v>0.16</v>
      </c>
      <c r="K892">
        <v>0.1515</v>
      </c>
      <c r="L892">
        <v>0.8</v>
      </c>
      <c r="M892">
        <v>0.19400000000000001</v>
      </c>
      <c r="N892">
        <v>0</v>
      </c>
      <c r="O892">
        <v>37</v>
      </c>
      <c r="P892">
        <v>37</v>
      </c>
      <c r="Q892" t="str">
        <f t="shared" si="104"/>
        <v>Complete</v>
      </c>
      <c r="R892">
        <f t="shared" si="111"/>
        <v>0.1515</v>
      </c>
      <c r="S892">
        <f t="shared" si="105"/>
        <v>2011</v>
      </c>
      <c r="T892" t="str">
        <f t="shared" si="106"/>
        <v/>
      </c>
      <c r="U892" t="str">
        <f t="shared" si="107"/>
        <v>Weekday</v>
      </c>
      <c r="V892" t="str">
        <f t="shared" si="108"/>
        <v>Evening</v>
      </c>
      <c r="W892" t="str">
        <f t="shared" si="109"/>
        <v>Spring</v>
      </c>
      <c r="X892" t="str">
        <f t="shared" si="110"/>
        <v>Light Rain/Snow</v>
      </c>
    </row>
    <row r="893" spans="1:24">
      <c r="A893">
        <v>901</v>
      </c>
      <c r="B893" s="2">
        <v>40584</v>
      </c>
      <c r="C893">
        <v>1</v>
      </c>
      <c r="D893">
        <v>0</v>
      </c>
      <c r="E893">
        <v>2</v>
      </c>
      <c r="F893">
        <v>0</v>
      </c>
      <c r="G893" t="b">
        <v>0</v>
      </c>
      <c r="H893">
        <v>4</v>
      </c>
      <c r="I893">
        <v>3</v>
      </c>
      <c r="J893">
        <v>0.14000000000000001</v>
      </c>
      <c r="K893">
        <v>0.13639999999999999</v>
      </c>
      <c r="L893">
        <v>0.86</v>
      </c>
      <c r="M893">
        <v>0.19400000000000001</v>
      </c>
      <c r="N893">
        <v>0</v>
      </c>
      <c r="O893">
        <v>16</v>
      </c>
      <c r="P893">
        <v>16</v>
      </c>
      <c r="Q893" t="str">
        <f t="shared" si="104"/>
        <v>Complete</v>
      </c>
      <c r="R893">
        <f t="shared" si="111"/>
        <v>0.13639999999999999</v>
      </c>
      <c r="S893">
        <f t="shared" si="105"/>
        <v>2011</v>
      </c>
      <c r="T893" t="str">
        <f t="shared" si="106"/>
        <v/>
      </c>
      <c r="U893" t="str">
        <f t="shared" si="107"/>
        <v>Weekday</v>
      </c>
      <c r="V893" t="str">
        <f t="shared" si="108"/>
        <v>Night</v>
      </c>
      <c r="W893" t="str">
        <f t="shared" si="109"/>
        <v>Spring</v>
      </c>
      <c r="X893" t="str">
        <f t="shared" si="110"/>
        <v>Light Rain/Snow</v>
      </c>
    </row>
    <row r="894" spans="1:24">
      <c r="A894">
        <v>902</v>
      </c>
      <c r="B894" s="2">
        <v>40584</v>
      </c>
      <c r="C894">
        <v>1</v>
      </c>
      <c r="D894">
        <v>0</v>
      </c>
      <c r="E894">
        <v>2</v>
      </c>
      <c r="F894">
        <v>1</v>
      </c>
      <c r="G894" t="b">
        <v>0</v>
      </c>
      <c r="H894">
        <v>4</v>
      </c>
      <c r="I894">
        <v>3</v>
      </c>
      <c r="J894">
        <v>0.14000000000000001</v>
      </c>
      <c r="K894">
        <v>0.1515</v>
      </c>
      <c r="L894">
        <v>0.8</v>
      </c>
      <c r="M894">
        <v>0.1343</v>
      </c>
      <c r="N894">
        <v>0</v>
      </c>
      <c r="O894">
        <v>7</v>
      </c>
      <c r="P894">
        <v>7</v>
      </c>
      <c r="Q894" t="str">
        <f t="shared" si="104"/>
        <v>Complete</v>
      </c>
      <c r="R894">
        <f t="shared" si="111"/>
        <v>0.1515</v>
      </c>
      <c r="S894">
        <f t="shared" si="105"/>
        <v>2011</v>
      </c>
      <c r="T894" t="str">
        <f t="shared" si="106"/>
        <v/>
      </c>
      <c r="U894" t="str">
        <f t="shared" si="107"/>
        <v>Weekday</v>
      </c>
      <c r="V894" t="str">
        <f t="shared" si="108"/>
        <v>Night</v>
      </c>
      <c r="W894" t="str">
        <f t="shared" si="109"/>
        <v>Spring</v>
      </c>
      <c r="X894" t="str">
        <f t="shared" si="110"/>
        <v>Light Rain/Snow</v>
      </c>
    </row>
    <row r="895" spans="1:24">
      <c r="A895">
        <v>903</v>
      </c>
      <c r="B895" s="2">
        <v>40584</v>
      </c>
      <c r="C895">
        <v>1</v>
      </c>
      <c r="D895">
        <v>0</v>
      </c>
      <c r="E895">
        <v>2</v>
      </c>
      <c r="F895">
        <v>2</v>
      </c>
      <c r="G895" t="b">
        <v>0</v>
      </c>
      <c r="H895">
        <v>4</v>
      </c>
      <c r="I895">
        <v>3</v>
      </c>
      <c r="J895">
        <v>0.14000000000000001</v>
      </c>
      <c r="K895">
        <v>0.1515</v>
      </c>
      <c r="L895">
        <v>0.8</v>
      </c>
      <c r="M895">
        <v>0.1343</v>
      </c>
      <c r="N895">
        <v>0</v>
      </c>
      <c r="O895">
        <v>3</v>
      </c>
      <c r="P895">
        <v>3</v>
      </c>
      <c r="Q895" t="str">
        <f t="shared" si="104"/>
        <v>Complete</v>
      </c>
      <c r="R895">
        <f t="shared" si="111"/>
        <v>0.1515</v>
      </c>
      <c r="S895">
        <f t="shared" si="105"/>
        <v>2011</v>
      </c>
      <c r="T895" t="str">
        <f t="shared" si="106"/>
        <v/>
      </c>
      <c r="U895" t="str">
        <f t="shared" si="107"/>
        <v>Weekday</v>
      </c>
      <c r="V895" t="str">
        <f t="shared" si="108"/>
        <v>Night</v>
      </c>
      <c r="W895" t="str">
        <f t="shared" si="109"/>
        <v>Spring</v>
      </c>
      <c r="X895" t="str">
        <f t="shared" si="110"/>
        <v>Light Rain/Snow</v>
      </c>
    </row>
    <row r="896" spans="1:24">
      <c r="A896">
        <v>904</v>
      </c>
      <c r="B896" s="2">
        <v>40584</v>
      </c>
      <c r="C896">
        <v>1</v>
      </c>
      <c r="D896">
        <v>0</v>
      </c>
      <c r="E896">
        <v>2</v>
      </c>
      <c r="F896">
        <v>4</v>
      </c>
      <c r="G896" t="b">
        <v>0</v>
      </c>
      <c r="H896">
        <v>4</v>
      </c>
      <c r="I896">
        <v>2</v>
      </c>
      <c r="J896">
        <v>0.14000000000000001</v>
      </c>
      <c r="K896">
        <v>0.13639999999999999</v>
      </c>
      <c r="L896">
        <v>0.59</v>
      </c>
      <c r="M896">
        <v>0.22389999999999999</v>
      </c>
      <c r="N896">
        <v>0</v>
      </c>
      <c r="O896">
        <v>1</v>
      </c>
      <c r="P896">
        <v>1</v>
      </c>
      <c r="Q896" t="str">
        <f t="shared" si="104"/>
        <v>Complete</v>
      </c>
      <c r="R896">
        <f t="shared" si="111"/>
        <v>0.13639999999999999</v>
      </c>
      <c r="S896">
        <f t="shared" si="105"/>
        <v>2011</v>
      </c>
      <c r="T896" t="str">
        <f t="shared" si="106"/>
        <v/>
      </c>
      <c r="U896" t="str">
        <f t="shared" si="107"/>
        <v>Weekday</v>
      </c>
      <c r="V896" t="str">
        <f t="shared" si="108"/>
        <v>Night</v>
      </c>
      <c r="W896" t="str">
        <f t="shared" si="109"/>
        <v>Spring</v>
      </c>
      <c r="X896" t="str">
        <f t="shared" si="110"/>
        <v>Mist/Cloudy</v>
      </c>
    </row>
    <row r="897" spans="1:24">
      <c r="A897">
        <v>905</v>
      </c>
      <c r="B897" s="2">
        <v>40584</v>
      </c>
      <c r="C897">
        <v>1</v>
      </c>
      <c r="D897">
        <v>0</v>
      </c>
      <c r="E897">
        <v>2</v>
      </c>
      <c r="F897">
        <v>5</v>
      </c>
      <c r="G897" t="b">
        <v>0</v>
      </c>
      <c r="H897">
        <v>4</v>
      </c>
      <c r="I897">
        <v>2</v>
      </c>
      <c r="J897">
        <v>0.12</v>
      </c>
      <c r="K897">
        <v>0.1212</v>
      </c>
      <c r="L897">
        <v>0.5</v>
      </c>
      <c r="M897">
        <v>0.22389999999999999</v>
      </c>
      <c r="N897">
        <v>0</v>
      </c>
      <c r="O897">
        <v>6</v>
      </c>
      <c r="P897">
        <v>6</v>
      </c>
      <c r="Q897" t="str">
        <f t="shared" si="104"/>
        <v>Complete</v>
      </c>
      <c r="R897">
        <f t="shared" si="111"/>
        <v>0.1212</v>
      </c>
      <c r="S897">
        <f t="shared" si="105"/>
        <v>2011</v>
      </c>
      <c r="T897" t="str">
        <f t="shared" si="106"/>
        <v/>
      </c>
      <c r="U897" t="str">
        <f t="shared" si="107"/>
        <v>Weekday</v>
      </c>
      <c r="V897" t="str">
        <f t="shared" si="108"/>
        <v>Night</v>
      </c>
      <c r="W897" t="str">
        <f t="shared" si="109"/>
        <v>Spring</v>
      </c>
      <c r="X897" t="str">
        <f t="shared" si="110"/>
        <v>Mist/Cloudy</v>
      </c>
    </row>
    <row r="898" spans="1:24">
      <c r="A898">
        <v>906</v>
      </c>
      <c r="B898" s="2">
        <v>40584</v>
      </c>
      <c r="C898">
        <v>1</v>
      </c>
      <c r="D898">
        <v>0</v>
      </c>
      <c r="E898">
        <v>2</v>
      </c>
      <c r="F898">
        <v>6</v>
      </c>
      <c r="G898" t="b">
        <v>0</v>
      </c>
      <c r="H898">
        <v>4</v>
      </c>
      <c r="I898">
        <v>2</v>
      </c>
      <c r="J898">
        <v>0.12</v>
      </c>
      <c r="K898">
        <v>0.1212</v>
      </c>
      <c r="L898">
        <v>0.54</v>
      </c>
      <c r="M898">
        <v>0.28360000000000002</v>
      </c>
      <c r="N898">
        <v>0</v>
      </c>
      <c r="O898">
        <v>26</v>
      </c>
      <c r="P898">
        <v>26</v>
      </c>
      <c r="Q898" t="str">
        <f t="shared" ref="Q898:Q961" si="112">IF(K898="","Missing atemp","Complete")</f>
        <v>Complete</v>
      </c>
      <c r="R898">
        <f t="shared" si="111"/>
        <v>0.1212</v>
      </c>
      <c r="S898">
        <f t="shared" ref="S898:S961" si="113">IF(D898=0,2011,"")</f>
        <v>2011</v>
      </c>
      <c r="T898" t="str">
        <f t="shared" ref="T898:T961" si="114">IF(E898=1,"January","")</f>
        <v/>
      </c>
      <c r="U898" t="str">
        <f t="shared" ref="U898:U961" si="115">IF(G898=TRUE,"Holiday",IF(H898=0,"Sunday",IF(H898=6,"Saturday","Weekday")))</f>
        <v>Weekday</v>
      </c>
      <c r="V898" t="str">
        <f t="shared" ref="V898:V961" si="116">IF(F898&lt;6,"Night",IF(F898&lt;12,"Morning",IF(F898&lt;18,"Afternoon","Evening")))</f>
        <v>Morning</v>
      </c>
      <c r="W898" t="str">
        <f t="shared" ref="W898:W961" si="117">IF(C898=1,"Spring","")</f>
        <v>Spring</v>
      </c>
      <c r="X898" t="str">
        <f t="shared" ref="X898:X961" si="118">IF(I898=1,"Clear",IF(I898=2,"Mist/Cloudy",IF(I898=3,"Light Rain/Snow",IF(I898=4,"Heavy Rain/Snow","Unknown"))))</f>
        <v>Mist/Cloudy</v>
      </c>
    </row>
    <row r="899" spans="1:24">
      <c r="A899">
        <v>907</v>
      </c>
      <c r="B899" s="2">
        <v>40584</v>
      </c>
      <c r="C899">
        <v>1</v>
      </c>
      <c r="D899">
        <v>0</v>
      </c>
      <c r="E899">
        <v>2</v>
      </c>
      <c r="F899">
        <v>7</v>
      </c>
      <c r="G899" t="b">
        <v>0</v>
      </c>
      <c r="H899">
        <v>4</v>
      </c>
      <c r="I899">
        <v>1</v>
      </c>
      <c r="J899">
        <v>0.1</v>
      </c>
      <c r="K899">
        <v>7.5800000000000006E-2</v>
      </c>
      <c r="L899">
        <v>0.5</v>
      </c>
      <c r="M899">
        <v>0.41789999999999999</v>
      </c>
      <c r="N899">
        <v>0</v>
      </c>
      <c r="O899">
        <v>99</v>
      </c>
      <c r="P899">
        <v>99</v>
      </c>
      <c r="Q899" t="str">
        <f t="shared" si="112"/>
        <v>Complete</v>
      </c>
      <c r="R899">
        <f t="shared" ref="R899:R962" si="119">IF(K899="",J899,K899)</f>
        <v>7.5800000000000006E-2</v>
      </c>
      <c r="S899">
        <f t="shared" si="113"/>
        <v>2011</v>
      </c>
      <c r="T899" t="str">
        <f t="shared" si="114"/>
        <v/>
      </c>
      <c r="U899" t="str">
        <f t="shared" si="115"/>
        <v>Weekday</v>
      </c>
      <c r="V899" t="str">
        <f t="shared" si="116"/>
        <v>Morning</v>
      </c>
      <c r="W899" t="str">
        <f t="shared" si="117"/>
        <v>Spring</v>
      </c>
      <c r="X899" t="str">
        <f t="shared" si="118"/>
        <v>Clear</v>
      </c>
    </row>
    <row r="900" spans="1:24">
      <c r="A900">
        <v>908</v>
      </c>
      <c r="B900" s="2">
        <v>40584</v>
      </c>
      <c r="C900">
        <v>1</v>
      </c>
      <c r="D900">
        <v>0</v>
      </c>
      <c r="E900">
        <v>2</v>
      </c>
      <c r="F900">
        <v>8</v>
      </c>
      <c r="G900" t="b">
        <v>0</v>
      </c>
      <c r="H900">
        <v>4</v>
      </c>
      <c r="I900">
        <v>1</v>
      </c>
      <c r="J900">
        <v>0.1</v>
      </c>
      <c r="K900">
        <v>7.5800000000000006E-2</v>
      </c>
      <c r="L900">
        <v>0.49</v>
      </c>
      <c r="M900">
        <v>0.32840000000000003</v>
      </c>
      <c r="N900">
        <v>5</v>
      </c>
      <c r="O900">
        <v>173</v>
      </c>
      <c r="P900">
        <v>178</v>
      </c>
      <c r="Q900" t="str">
        <f t="shared" si="112"/>
        <v>Complete</v>
      </c>
      <c r="R900">
        <f t="shared" si="119"/>
        <v>7.5800000000000006E-2</v>
      </c>
      <c r="S900">
        <f t="shared" si="113"/>
        <v>2011</v>
      </c>
      <c r="T900" t="str">
        <f t="shared" si="114"/>
        <v/>
      </c>
      <c r="U900" t="str">
        <f t="shared" si="115"/>
        <v>Weekday</v>
      </c>
      <c r="V900" t="str">
        <f t="shared" si="116"/>
        <v>Morning</v>
      </c>
      <c r="W900" t="str">
        <f t="shared" si="117"/>
        <v>Spring</v>
      </c>
      <c r="X900" t="str">
        <f t="shared" si="118"/>
        <v>Clear</v>
      </c>
    </row>
    <row r="901" spans="1:24">
      <c r="A901">
        <v>909</v>
      </c>
      <c r="B901" s="2">
        <v>40584</v>
      </c>
      <c r="C901">
        <v>1</v>
      </c>
      <c r="D901">
        <v>0</v>
      </c>
      <c r="E901">
        <v>2</v>
      </c>
      <c r="F901">
        <v>9</v>
      </c>
      <c r="G901" t="b">
        <v>0</v>
      </c>
      <c r="H901">
        <v>4</v>
      </c>
      <c r="I901">
        <v>1</v>
      </c>
      <c r="J901">
        <v>0.12</v>
      </c>
      <c r="K901">
        <v>0.1061</v>
      </c>
      <c r="L901">
        <v>0.42</v>
      </c>
      <c r="M901">
        <v>0.35820000000000002</v>
      </c>
      <c r="N901">
        <v>1</v>
      </c>
      <c r="O901">
        <v>121</v>
      </c>
      <c r="P901">
        <v>122</v>
      </c>
      <c r="Q901" t="str">
        <f t="shared" si="112"/>
        <v>Complete</v>
      </c>
      <c r="R901">
        <f t="shared" si="119"/>
        <v>0.1061</v>
      </c>
      <c r="S901">
        <f t="shared" si="113"/>
        <v>2011</v>
      </c>
      <c r="T901" t="str">
        <f t="shared" si="114"/>
        <v/>
      </c>
      <c r="U901" t="str">
        <f t="shared" si="115"/>
        <v>Weekday</v>
      </c>
      <c r="V901" t="str">
        <f t="shared" si="116"/>
        <v>Morning</v>
      </c>
      <c r="W901" t="str">
        <f t="shared" si="117"/>
        <v>Spring</v>
      </c>
      <c r="X901" t="str">
        <f t="shared" si="118"/>
        <v>Clear</v>
      </c>
    </row>
    <row r="902" spans="1:24">
      <c r="A902">
        <v>910</v>
      </c>
      <c r="B902" s="2">
        <v>40584</v>
      </c>
      <c r="C902">
        <v>1</v>
      </c>
      <c r="D902">
        <v>0</v>
      </c>
      <c r="E902">
        <v>2</v>
      </c>
      <c r="F902">
        <v>10</v>
      </c>
      <c r="G902" t="b">
        <v>0</v>
      </c>
      <c r="H902">
        <v>4</v>
      </c>
      <c r="I902">
        <v>1</v>
      </c>
      <c r="J902">
        <v>0.12</v>
      </c>
      <c r="K902">
        <v>0.1061</v>
      </c>
      <c r="L902">
        <v>0.42</v>
      </c>
      <c r="M902">
        <v>0.29849999999999999</v>
      </c>
      <c r="N902">
        <v>1</v>
      </c>
      <c r="O902">
        <v>34</v>
      </c>
      <c r="P902">
        <v>35</v>
      </c>
      <c r="Q902" t="str">
        <f t="shared" si="112"/>
        <v>Complete</v>
      </c>
      <c r="R902">
        <f t="shared" si="119"/>
        <v>0.1061</v>
      </c>
      <c r="S902">
        <f t="shared" si="113"/>
        <v>2011</v>
      </c>
      <c r="T902" t="str">
        <f t="shared" si="114"/>
        <v/>
      </c>
      <c r="U902" t="str">
        <f t="shared" si="115"/>
        <v>Weekday</v>
      </c>
      <c r="V902" t="str">
        <f t="shared" si="116"/>
        <v>Morning</v>
      </c>
      <c r="W902" t="str">
        <f t="shared" si="117"/>
        <v>Spring</v>
      </c>
      <c r="X902" t="str">
        <f t="shared" si="118"/>
        <v>Clear</v>
      </c>
    </row>
    <row r="903" spans="1:24">
      <c r="A903">
        <v>911</v>
      </c>
      <c r="B903" s="2">
        <v>40584</v>
      </c>
      <c r="C903">
        <v>1</v>
      </c>
      <c r="D903">
        <v>0</v>
      </c>
      <c r="E903">
        <v>2</v>
      </c>
      <c r="F903">
        <v>11</v>
      </c>
      <c r="G903" t="b">
        <v>0</v>
      </c>
      <c r="H903">
        <v>4</v>
      </c>
      <c r="I903">
        <v>1</v>
      </c>
      <c r="J903">
        <v>0.14000000000000001</v>
      </c>
      <c r="K903">
        <v>0.1212</v>
      </c>
      <c r="L903">
        <v>0.39</v>
      </c>
      <c r="M903">
        <v>0.35820000000000002</v>
      </c>
      <c r="N903">
        <v>1</v>
      </c>
      <c r="O903">
        <v>44</v>
      </c>
      <c r="P903">
        <v>45</v>
      </c>
      <c r="Q903" t="str">
        <f t="shared" si="112"/>
        <v>Complete</v>
      </c>
      <c r="R903">
        <f t="shared" si="119"/>
        <v>0.1212</v>
      </c>
      <c r="S903">
        <f t="shared" si="113"/>
        <v>2011</v>
      </c>
      <c r="T903" t="str">
        <f t="shared" si="114"/>
        <v/>
      </c>
      <c r="U903" t="str">
        <f t="shared" si="115"/>
        <v>Weekday</v>
      </c>
      <c r="V903" t="str">
        <f t="shared" si="116"/>
        <v>Morning</v>
      </c>
      <c r="W903" t="str">
        <f t="shared" si="117"/>
        <v>Spring</v>
      </c>
      <c r="X903" t="str">
        <f t="shared" si="118"/>
        <v>Clear</v>
      </c>
    </row>
    <row r="904" spans="1:24">
      <c r="A904">
        <v>912</v>
      </c>
      <c r="B904" s="2">
        <v>40584</v>
      </c>
      <c r="C904">
        <v>1</v>
      </c>
      <c r="D904">
        <v>0</v>
      </c>
      <c r="E904">
        <v>2</v>
      </c>
      <c r="F904">
        <v>12</v>
      </c>
      <c r="G904" t="b">
        <v>0</v>
      </c>
      <c r="H904">
        <v>4</v>
      </c>
      <c r="I904">
        <v>1</v>
      </c>
      <c r="J904">
        <v>0.16</v>
      </c>
      <c r="K904">
        <v>0.13639999999999999</v>
      </c>
      <c r="L904">
        <v>0.34</v>
      </c>
      <c r="M904">
        <v>0.3881</v>
      </c>
      <c r="N904">
        <v>4</v>
      </c>
      <c r="O904">
        <v>65</v>
      </c>
      <c r="P904">
        <v>69</v>
      </c>
      <c r="Q904" t="str">
        <f t="shared" si="112"/>
        <v>Complete</v>
      </c>
      <c r="R904">
        <f t="shared" si="119"/>
        <v>0.13639999999999999</v>
      </c>
      <c r="S904">
        <f t="shared" si="113"/>
        <v>2011</v>
      </c>
      <c r="T904" t="str">
        <f t="shared" si="114"/>
        <v/>
      </c>
      <c r="U904" t="str">
        <f t="shared" si="115"/>
        <v>Weekday</v>
      </c>
      <c r="V904" t="str">
        <f t="shared" si="116"/>
        <v>Afternoon</v>
      </c>
      <c r="W904" t="str">
        <f t="shared" si="117"/>
        <v>Spring</v>
      </c>
      <c r="X904" t="str">
        <f t="shared" si="118"/>
        <v>Clear</v>
      </c>
    </row>
    <row r="905" spans="1:24">
      <c r="A905">
        <v>913</v>
      </c>
      <c r="B905" s="2">
        <v>40584</v>
      </c>
      <c r="C905">
        <v>1</v>
      </c>
      <c r="D905">
        <v>0</v>
      </c>
      <c r="E905">
        <v>2</v>
      </c>
      <c r="F905">
        <v>13</v>
      </c>
      <c r="G905" t="b">
        <v>0</v>
      </c>
      <c r="H905">
        <v>4</v>
      </c>
      <c r="I905">
        <v>1</v>
      </c>
      <c r="J905">
        <v>0.18</v>
      </c>
      <c r="K905">
        <v>0.16669999999999999</v>
      </c>
      <c r="L905">
        <v>0.28999999999999998</v>
      </c>
      <c r="M905">
        <v>0.29849999999999999</v>
      </c>
      <c r="N905">
        <v>3</v>
      </c>
      <c r="O905">
        <v>59</v>
      </c>
      <c r="P905">
        <v>62</v>
      </c>
      <c r="Q905" t="str">
        <f t="shared" si="112"/>
        <v>Complete</v>
      </c>
      <c r="R905">
        <f t="shared" si="119"/>
        <v>0.16669999999999999</v>
      </c>
      <c r="S905">
        <f t="shared" si="113"/>
        <v>2011</v>
      </c>
      <c r="T905" t="str">
        <f t="shared" si="114"/>
        <v/>
      </c>
      <c r="U905" t="str">
        <f t="shared" si="115"/>
        <v>Weekday</v>
      </c>
      <c r="V905" t="str">
        <f t="shared" si="116"/>
        <v>Afternoon</v>
      </c>
      <c r="W905" t="str">
        <f t="shared" si="117"/>
        <v>Spring</v>
      </c>
      <c r="X905" t="str">
        <f t="shared" si="118"/>
        <v>Clear</v>
      </c>
    </row>
    <row r="906" spans="1:24">
      <c r="A906">
        <v>914</v>
      </c>
      <c r="B906" s="2">
        <v>40584</v>
      </c>
      <c r="C906">
        <v>1</v>
      </c>
      <c r="D906">
        <v>0</v>
      </c>
      <c r="E906">
        <v>2</v>
      </c>
      <c r="F906">
        <v>14</v>
      </c>
      <c r="G906" t="b">
        <v>0</v>
      </c>
      <c r="H906">
        <v>4</v>
      </c>
      <c r="I906">
        <v>1</v>
      </c>
      <c r="J906">
        <v>0.2</v>
      </c>
      <c r="K906">
        <v>0.18179999999999999</v>
      </c>
      <c r="L906">
        <v>0.27</v>
      </c>
      <c r="M906">
        <v>0.28360000000000002</v>
      </c>
      <c r="N906">
        <v>6</v>
      </c>
      <c r="O906">
        <v>42</v>
      </c>
      <c r="P906">
        <v>48</v>
      </c>
      <c r="Q906" t="str">
        <f t="shared" si="112"/>
        <v>Complete</v>
      </c>
      <c r="R906">
        <f t="shared" si="119"/>
        <v>0.18179999999999999</v>
      </c>
      <c r="S906">
        <f t="shared" si="113"/>
        <v>2011</v>
      </c>
      <c r="T906" t="str">
        <f t="shared" si="114"/>
        <v/>
      </c>
      <c r="U906" t="str">
        <f t="shared" si="115"/>
        <v>Weekday</v>
      </c>
      <c r="V906" t="str">
        <f t="shared" si="116"/>
        <v>Afternoon</v>
      </c>
      <c r="W906" t="str">
        <f t="shared" si="117"/>
        <v>Spring</v>
      </c>
      <c r="X906" t="str">
        <f t="shared" si="118"/>
        <v>Clear</v>
      </c>
    </row>
    <row r="907" spans="1:24">
      <c r="A907">
        <v>915</v>
      </c>
      <c r="B907" s="2">
        <v>40584</v>
      </c>
      <c r="C907">
        <v>1</v>
      </c>
      <c r="D907">
        <v>0</v>
      </c>
      <c r="E907">
        <v>2</v>
      </c>
      <c r="F907">
        <v>15</v>
      </c>
      <c r="G907" t="b">
        <v>0</v>
      </c>
      <c r="H907">
        <v>4</v>
      </c>
      <c r="I907">
        <v>1</v>
      </c>
      <c r="J907">
        <v>0.2</v>
      </c>
      <c r="K907">
        <v>0.19700000000000001</v>
      </c>
      <c r="L907">
        <v>0.25</v>
      </c>
      <c r="M907">
        <v>0.25369999999999998</v>
      </c>
      <c r="N907">
        <v>0</v>
      </c>
      <c r="O907">
        <v>50</v>
      </c>
      <c r="P907">
        <v>50</v>
      </c>
      <c r="Q907" t="str">
        <f t="shared" si="112"/>
        <v>Complete</v>
      </c>
      <c r="R907">
        <f t="shared" si="119"/>
        <v>0.19700000000000001</v>
      </c>
      <c r="S907">
        <f t="shared" si="113"/>
        <v>2011</v>
      </c>
      <c r="T907" t="str">
        <f t="shared" si="114"/>
        <v/>
      </c>
      <c r="U907" t="str">
        <f t="shared" si="115"/>
        <v>Weekday</v>
      </c>
      <c r="V907" t="str">
        <f t="shared" si="116"/>
        <v>Afternoon</v>
      </c>
      <c r="W907" t="str">
        <f t="shared" si="117"/>
        <v>Spring</v>
      </c>
      <c r="X907" t="str">
        <f t="shared" si="118"/>
        <v>Clear</v>
      </c>
    </row>
    <row r="908" spans="1:24">
      <c r="A908">
        <v>916</v>
      </c>
      <c r="B908" s="2">
        <v>40584</v>
      </c>
      <c r="C908">
        <v>1</v>
      </c>
      <c r="D908">
        <v>0</v>
      </c>
      <c r="E908">
        <v>2</v>
      </c>
      <c r="F908">
        <v>16</v>
      </c>
      <c r="G908" t="b">
        <v>0</v>
      </c>
      <c r="H908">
        <v>4</v>
      </c>
      <c r="I908">
        <v>1</v>
      </c>
      <c r="J908">
        <v>0.2</v>
      </c>
      <c r="K908">
        <v>0.18179999999999999</v>
      </c>
      <c r="L908">
        <v>0.27</v>
      </c>
      <c r="M908">
        <v>0.29849999999999999</v>
      </c>
      <c r="N908">
        <v>4</v>
      </c>
      <c r="O908">
        <v>76</v>
      </c>
      <c r="P908">
        <v>80</v>
      </c>
      <c r="Q908" t="str">
        <f t="shared" si="112"/>
        <v>Complete</v>
      </c>
      <c r="R908">
        <f t="shared" si="119"/>
        <v>0.18179999999999999</v>
      </c>
      <c r="S908">
        <f t="shared" si="113"/>
        <v>2011</v>
      </c>
      <c r="T908" t="str">
        <f t="shared" si="114"/>
        <v/>
      </c>
      <c r="U908" t="str">
        <f t="shared" si="115"/>
        <v>Weekday</v>
      </c>
      <c r="V908" t="str">
        <f t="shared" si="116"/>
        <v>Afternoon</v>
      </c>
      <c r="W908" t="str">
        <f t="shared" si="117"/>
        <v>Spring</v>
      </c>
      <c r="X908" t="str">
        <f t="shared" si="118"/>
        <v>Clear</v>
      </c>
    </row>
    <row r="909" spans="1:24">
      <c r="A909">
        <v>917</v>
      </c>
      <c r="B909" s="2">
        <v>40584</v>
      </c>
      <c r="C909">
        <v>1</v>
      </c>
      <c r="D909">
        <v>0</v>
      </c>
      <c r="E909">
        <v>2</v>
      </c>
      <c r="F909">
        <v>17</v>
      </c>
      <c r="G909" t="b">
        <v>0</v>
      </c>
      <c r="H909">
        <v>4</v>
      </c>
      <c r="I909">
        <v>1</v>
      </c>
      <c r="J909">
        <v>0.18</v>
      </c>
      <c r="K909">
        <v>0.18179999999999999</v>
      </c>
      <c r="L909">
        <v>0.26</v>
      </c>
      <c r="M909">
        <v>0.19400000000000001</v>
      </c>
      <c r="N909">
        <v>6</v>
      </c>
      <c r="O909">
        <v>159</v>
      </c>
      <c r="P909">
        <v>165</v>
      </c>
      <c r="Q909" t="str">
        <f t="shared" si="112"/>
        <v>Complete</v>
      </c>
      <c r="R909">
        <f t="shared" si="119"/>
        <v>0.18179999999999999</v>
      </c>
      <c r="S909">
        <f t="shared" si="113"/>
        <v>2011</v>
      </c>
      <c r="T909" t="str">
        <f t="shared" si="114"/>
        <v/>
      </c>
      <c r="U909" t="str">
        <f t="shared" si="115"/>
        <v>Weekday</v>
      </c>
      <c r="V909" t="str">
        <f t="shared" si="116"/>
        <v>Afternoon</v>
      </c>
      <c r="W909" t="str">
        <f t="shared" si="117"/>
        <v>Spring</v>
      </c>
      <c r="X909" t="str">
        <f t="shared" si="118"/>
        <v>Clear</v>
      </c>
    </row>
    <row r="910" spans="1:24">
      <c r="A910">
        <v>918</v>
      </c>
      <c r="B910" s="2">
        <v>40584</v>
      </c>
      <c r="C910">
        <v>1</v>
      </c>
      <c r="D910">
        <v>0</v>
      </c>
      <c r="E910">
        <v>2</v>
      </c>
      <c r="F910">
        <v>18</v>
      </c>
      <c r="G910" t="b">
        <v>0</v>
      </c>
      <c r="H910">
        <v>4</v>
      </c>
      <c r="I910">
        <v>1</v>
      </c>
      <c r="J910">
        <v>0.16</v>
      </c>
      <c r="K910">
        <v>0.18179999999999999</v>
      </c>
      <c r="L910">
        <v>0.28000000000000003</v>
      </c>
      <c r="M910">
        <v>0.1343</v>
      </c>
      <c r="N910">
        <v>3</v>
      </c>
      <c r="O910">
        <v>157</v>
      </c>
      <c r="P910">
        <v>160</v>
      </c>
      <c r="Q910" t="str">
        <f t="shared" si="112"/>
        <v>Complete</v>
      </c>
      <c r="R910">
        <f t="shared" si="119"/>
        <v>0.18179999999999999</v>
      </c>
      <c r="S910">
        <f t="shared" si="113"/>
        <v>2011</v>
      </c>
      <c r="T910" t="str">
        <f t="shared" si="114"/>
        <v/>
      </c>
      <c r="U910" t="str">
        <f t="shared" si="115"/>
        <v>Weekday</v>
      </c>
      <c r="V910" t="str">
        <f t="shared" si="116"/>
        <v>Evening</v>
      </c>
      <c r="W910" t="str">
        <f t="shared" si="117"/>
        <v>Spring</v>
      </c>
      <c r="X910" t="str">
        <f t="shared" si="118"/>
        <v>Clear</v>
      </c>
    </row>
    <row r="911" spans="1:24">
      <c r="A911">
        <v>919</v>
      </c>
      <c r="B911" s="2">
        <v>40584</v>
      </c>
      <c r="C911">
        <v>1</v>
      </c>
      <c r="D911">
        <v>0</v>
      </c>
      <c r="E911">
        <v>2</v>
      </c>
      <c r="F911">
        <v>19</v>
      </c>
      <c r="G911" t="b">
        <v>0</v>
      </c>
      <c r="H911">
        <v>4</v>
      </c>
      <c r="I911">
        <v>1</v>
      </c>
      <c r="J911">
        <v>0.14000000000000001</v>
      </c>
      <c r="K911">
        <v>0.16669999999999999</v>
      </c>
      <c r="L911">
        <v>0.28000000000000003</v>
      </c>
      <c r="M911">
        <v>0.1045</v>
      </c>
      <c r="N911">
        <v>2</v>
      </c>
      <c r="O911">
        <v>110</v>
      </c>
      <c r="P911">
        <v>112</v>
      </c>
      <c r="Q911" t="str">
        <f t="shared" si="112"/>
        <v>Complete</v>
      </c>
      <c r="R911">
        <f t="shared" si="119"/>
        <v>0.16669999999999999</v>
      </c>
      <c r="S911">
        <f t="shared" si="113"/>
        <v>2011</v>
      </c>
      <c r="T911" t="str">
        <f t="shared" si="114"/>
        <v/>
      </c>
      <c r="U911" t="str">
        <f t="shared" si="115"/>
        <v>Weekday</v>
      </c>
      <c r="V911" t="str">
        <f t="shared" si="116"/>
        <v>Evening</v>
      </c>
      <c r="W911" t="str">
        <f t="shared" si="117"/>
        <v>Spring</v>
      </c>
      <c r="X911" t="str">
        <f t="shared" si="118"/>
        <v>Clear</v>
      </c>
    </row>
    <row r="912" spans="1:24">
      <c r="A912">
        <v>920</v>
      </c>
      <c r="B912" s="2">
        <v>40584</v>
      </c>
      <c r="C912">
        <v>1</v>
      </c>
      <c r="D912">
        <v>0</v>
      </c>
      <c r="E912">
        <v>2</v>
      </c>
      <c r="F912">
        <v>20</v>
      </c>
      <c r="G912" t="b">
        <v>0</v>
      </c>
      <c r="H912">
        <v>4</v>
      </c>
      <c r="I912">
        <v>1</v>
      </c>
      <c r="J912">
        <v>0.14000000000000001</v>
      </c>
      <c r="K912">
        <v>0.18179999999999999</v>
      </c>
      <c r="L912">
        <v>0.31</v>
      </c>
      <c r="M912">
        <v>8.9599999999999999E-2</v>
      </c>
      <c r="N912">
        <v>4</v>
      </c>
      <c r="O912">
        <v>93</v>
      </c>
      <c r="P912">
        <v>97</v>
      </c>
      <c r="Q912" t="str">
        <f t="shared" si="112"/>
        <v>Complete</v>
      </c>
      <c r="R912">
        <f t="shared" si="119"/>
        <v>0.18179999999999999</v>
      </c>
      <c r="S912">
        <f t="shared" si="113"/>
        <v>2011</v>
      </c>
      <c r="T912" t="str">
        <f t="shared" si="114"/>
        <v/>
      </c>
      <c r="U912" t="str">
        <f t="shared" si="115"/>
        <v>Weekday</v>
      </c>
      <c r="V912" t="str">
        <f t="shared" si="116"/>
        <v>Evening</v>
      </c>
      <c r="W912" t="str">
        <f t="shared" si="117"/>
        <v>Spring</v>
      </c>
      <c r="X912" t="str">
        <f t="shared" si="118"/>
        <v>Clear</v>
      </c>
    </row>
    <row r="913" spans="1:24">
      <c r="A913">
        <v>921</v>
      </c>
      <c r="B913" s="2">
        <v>40584</v>
      </c>
      <c r="C913">
        <v>1</v>
      </c>
      <c r="D913">
        <v>0</v>
      </c>
      <c r="E913">
        <v>2</v>
      </c>
      <c r="F913">
        <v>21</v>
      </c>
      <c r="G913" t="b">
        <v>0</v>
      </c>
      <c r="H913">
        <v>4</v>
      </c>
      <c r="I913">
        <v>1</v>
      </c>
      <c r="J913">
        <v>0.14000000000000001</v>
      </c>
      <c r="K913">
        <v>0.21210000000000001</v>
      </c>
      <c r="L913">
        <v>0.39</v>
      </c>
      <c r="M913">
        <v>0</v>
      </c>
      <c r="N913">
        <v>2</v>
      </c>
      <c r="O913">
        <v>70</v>
      </c>
      <c r="P913">
        <v>72</v>
      </c>
      <c r="Q913" t="str">
        <f t="shared" si="112"/>
        <v>Complete</v>
      </c>
      <c r="R913">
        <f t="shared" si="119"/>
        <v>0.21210000000000001</v>
      </c>
      <c r="S913">
        <f t="shared" si="113"/>
        <v>2011</v>
      </c>
      <c r="T913" t="str">
        <f t="shared" si="114"/>
        <v/>
      </c>
      <c r="U913" t="str">
        <f t="shared" si="115"/>
        <v>Weekday</v>
      </c>
      <c r="V913" t="str">
        <f t="shared" si="116"/>
        <v>Evening</v>
      </c>
      <c r="W913" t="str">
        <f t="shared" si="117"/>
        <v>Spring</v>
      </c>
      <c r="X913" t="str">
        <f t="shared" si="118"/>
        <v>Clear</v>
      </c>
    </row>
    <row r="914" spans="1:24">
      <c r="A914">
        <v>922</v>
      </c>
      <c r="B914" s="2">
        <v>40584</v>
      </c>
      <c r="C914">
        <v>1</v>
      </c>
      <c r="D914">
        <v>0</v>
      </c>
      <c r="E914">
        <v>2</v>
      </c>
      <c r="F914">
        <v>22</v>
      </c>
      <c r="G914" t="b">
        <v>0</v>
      </c>
      <c r="H914">
        <v>4</v>
      </c>
      <c r="I914">
        <v>1</v>
      </c>
      <c r="J914">
        <v>0.12</v>
      </c>
      <c r="K914">
        <v>0.19700000000000001</v>
      </c>
      <c r="L914">
        <v>0.39</v>
      </c>
      <c r="M914">
        <v>0</v>
      </c>
      <c r="N914">
        <v>4</v>
      </c>
      <c r="O914">
        <v>47</v>
      </c>
      <c r="P914">
        <v>51</v>
      </c>
      <c r="Q914" t="str">
        <f t="shared" si="112"/>
        <v>Complete</v>
      </c>
      <c r="R914">
        <f t="shared" si="119"/>
        <v>0.19700000000000001</v>
      </c>
      <c r="S914">
        <f t="shared" si="113"/>
        <v>2011</v>
      </c>
      <c r="T914" t="str">
        <f t="shared" si="114"/>
        <v/>
      </c>
      <c r="U914" t="str">
        <f t="shared" si="115"/>
        <v>Weekday</v>
      </c>
      <c r="V914" t="str">
        <f t="shared" si="116"/>
        <v>Evening</v>
      </c>
      <c r="W914" t="str">
        <f t="shared" si="117"/>
        <v>Spring</v>
      </c>
      <c r="X914" t="str">
        <f t="shared" si="118"/>
        <v>Clear</v>
      </c>
    </row>
    <row r="915" spans="1:24">
      <c r="A915">
        <v>923</v>
      </c>
      <c r="B915" s="2">
        <v>40584</v>
      </c>
      <c r="C915">
        <v>1</v>
      </c>
      <c r="D915">
        <v>0</v>
      </c>
      <c r="E915">
        <v>2</v>
      </c>
      <c r="F915">
        <v>23</v>
      </c>
      <c r="G915" t="b">
        <v>0</v>
      </c>
      <c r="H915">
        <v>4</v>
      </c>
      <c r="I915">
        <v>1</v>
      </c>
      <c r="J915">
        <v>0.12</v>
      </c>
      <c r="K915">
        <v>0.1515</v>
      </c>
      <c r="L915">
        <v>0.42</v>
      </c>
      <c r="M915">
        <v>0.1045</v>
      </c>
      <c r="N915">
        <v>1</v>
      </c>
      <c r="O915">
        <v>33</v>
      </c>
      <c r="P915">
        <v>34</v>
      </c>
      <c r="Q915" t="str">
        <f t="shared" si="112"/>
        <v>Complete</v>
      </c>
      <c r="R915">
        <f t="shared" si="119"/>
        <v>0.1515</v>
      </c>
      <c r="S915">
        <f t="shared" si="113"/>
        <v>2011</v>
      </c>
      <c r="T915" t="str">
        <f t="shared" si="114"/>
        <v/>
      </c>
      <c r="U915" t="str">
        <f t="shared" si="115"/>
        <v>Weekday</v>
      </c>
      <c r="V915" t="str">
        <f t="shared" si="116"/>
        <v>Evening</v>
      </c>
      <c r="W915" t="str">
        <f t="shared" si="117"/>
        <v>Spring</v>
      </c>
      <c r="X915" t="str">
        <f t="shared" si="118"/>
        <v>Clear</v>
      </c>
    </row>
    <row r="916" spans="1:24">
      <c r="A916">
        <v>924</v>
      </c>
      <c r="B916" s="2">
        <v>40585</v>
      </c>
      <c r="C916">
        <v>1</v>
      </c>
      <c r="D916">
        <v>0</v>
      </c>
      <c r="E916">
        <v>2</v>
      </c>
      <c r="F916">
        <v>0</v>
      </c>
      <c r="G916" t="b">
        <v>0</v>
      </c>
      <c r="H916">
        <v>5</v>
      </c>
      <c r="I916">
        <v>1</v>
      </c>
      <c r="J916">
        <v>0.1</v>
      </c>
      <c r="K916">
        <v>0.13639999999999999</v>
      </c>
      <c r="L916">
        <v>0.49</v>
      </c>
      <c r="M916">
        <v>0.1045</v>
      </c>
      <c r="N916">
        <v>2</v>
      </c>
      <c r="O916">
        <v>12</v>
      </c>
      <c r="P916">
        <v>14</v>
      </c>
      <c r="Q916" t="str">
        <f t="shared" si="112"/>
        <v>Complete</v>
      </c>
      <c r="R916">
        <f t="shared" si="119"/>
        <v>0.13639999999999999</v>
      </c>
      <c r="S916">
        <f t="shared" si="113"/>
        <v>2011</v>
      </c>
      <c r="T916" t="str">
        <f t="shared" si="114"/>
        <v/>
      </c>
      <c r="U916" t="str">
        <f t="shared" si="115"/>
        <v>Weekday</v>
      </c>
      <c r="V916" t="str">
        <f t="shared" si="116"/>
        <v>Night</v>
      </c>
      <c r="W916" t="str">
        <f t="shared" si="117"/>
        <v>Spring</v>
      </c>
      <c r="X916" t="str">
        <f t="shared" si="118"/>
        <v>Clear</v>
      </c>
    </row>
    <row r="917" spans="1:24">
      <c r="A917">
        <v>925</v>
      </c>
      <c r="B917" s="2">
        <v>40585</v>
      </c>
      <c r="C917">
        <v>1</v>
      </c>
      <c r="D917">
        <v>0</v>
      </c>
      <c r="E917">
        <v>2</v>
      </c>
      <c r="F917">
        <v>1</v>
      </c>
      <c r="G917" t="b">
        <v>0</v>
      </c>
      <c r="H917">
        <v>5</v>
      </c>
      <c r="I917">
        <v>1</v>
      </c>
      <c r="J917">
        <v>0.1</v>
      </c>
      <c r="K917">
        <v>0.13639999999999999</v>
      </c>
      <c r="L917">
        <v>0.54</v>
      </c>
      <c r="M917">
        <v>8.9599999999999999E-2</v>
      </c>
      <c r="N917">
        <v>1</v>
      </c>
      <c r="O917">
        <v>6</v>
      </c>
      <c r="P917">
        <v>7</v>
      </c>
      <c r="Q917" t="str">
        <f t="shared" si="112"/>
        <v>Complete</v>
      </c>
      <c r="R917">
        <f t="shared" si="119"/>
        <v>0.13639999999999999</v>
      </c>
      <c r="S917">
        <f t="shared" si="113"/>
        <v>2011</v>
      </c>
      <c r="T917" t="str">
        <f t="shared" si="114"/>
        <v/>
      </c>
      <c r="U917" t="str">
        <f t="shared" si="115"/>
        <v>Weekday</v>
      </c>
      <c r="V917" t="str">
        <f t="shared" si="116"/>
        <v>Night</v>
      </c>
      <c r="W917" t="str">
        <f t="shared" si="117"/>
        <v>Spring</v>
      </c>
      <c r="X917" t="str">
        <f t="shared" si="118"/>
        <v>Clear</v>
      </c>
    </row>
    <row r="918" spans="1:24">
      <c r="A918">
        <v>926</v>
      </c>
      <c r="B918" s="2">
        <v>40585</v>
      </c>
      <c r="C918">
        <v>1</v>
      </c>
      <c r="D918">
        <v>0</v>
      </c>
      <c r="E918">
        <v>2</v>
      </c>
      <c r="F918">
        <v>2</v>
      </c>
      <c r="G918" t="b">
        <v>0</v>
      </c>
      <c r="H918">
        <v>5</v>
      </c>
      <c r="I918">
        <v>1</v>
      </c>
      <c r="J918">
        <v>0.1</v>
      </c>
      <c r="K918">
        <v>0.13639999999999999</v>
      </c>
      <c r="L918">
        <v>0.54</v>
      </c>
      <c r="M918">
        <v>8.9599999999999999E-2</v>
      </c>
      <c r="N918">
        <v>0</v>
      </c>
      <c r="O918">
        <v>3</v>
      </c>
      <c r="P918">
        <v>3</v>
      </c>
      <c r="Q918" t="str">
        <f t="shared" si="112"/>
        <v>Complete</v>
      </c>
      <c r="R918">
        <f t="shared" si="119"/>
        <v>0.13639999999999999</v>
      </c>
      <c r="S918">
        <f t="shared" si="113"/>
        <v>2011</v>
      </c>
      <c r="T918" t="str">
        <f t="shared" si="114"/>
        <v/>
      </c>
      <c r="U918" t="str">
        <f t="shared" si="115"/>
        <v>Weekday</v>
      </c>
      <c r="V918" t="str">
        <f t="shared" si="116"/>
        <v>Night</v>
      </c>
      <c r="W918" t="str">
        <f t="shared" si="117"/>
        <v>Spring</v>
      </c>
      <c r="X918" t="str">
        <f t="shared" si="118"/>
        <v>Clear</v>
      </c>
    </row>
    <row r="919" spans="1:24">
      <c r="A919">
        <v>927</v>
      </c>
      <c r="B919" s="2">
        <v>40585</v>
      </c>
      <c r="C919">
        <v>1</v>
      </c>
      <c r="D919">
        <v>0</v>
      </c>
      <c r="E919">
        <v>2</v>
      </c>
      <c r="F919">
        <v>5</v>
      </c>
      <c r="G919" t="b">
        <v>0</v>
      </c>
      <c r="H919">
        <v>5</v>
      </c>
      <c r="I919">
        <v>1</v>
      </c>
      <c r="J919">
        <v>0.08</v>
      </c>
      <c r="K919">
        <v>0.1212</v>
      </c>
      <c r="L919">
        <v>0.63</v>
      </c>
      <c r="M919">
        <v>8.9599999999999999E-2</v>
      </c>
      <c r="N919">
        <v>0</v>
      </c>
      <c r="O919">
        <v>4</v>
      </c>
      <c r="P919">
        <v>4</v>
      </c>
      <c r="Q919" t="str">
        <f t="shared" si="112"/>
        <v>Complete</v>
      </c>
      <c r="R919">
        <f t="shared" si="119"/>
        <v>0.1212</v>
      </c>
      <c r="S919">
        <f t="shared" si="113"/>
        <v>2011</v>
      </c>
      <c r="T919" t="str">
        <f t="shared" si="114"/>
        <v/>
      </c>
      <c r="U919" t="str">
        <f t="shared" si="115"/>
        <v>Weekday</v>
      </c>
      <c r="V919" t="str">
        <f t="shared" si="116"/>
        <v>Night</v>
      </c>
      <c r="W919" t="str">
        <f t="shared" si="117"/>
        <v>Spring</v>
      </c>
      <c r="X919" t="str">
        <f t="shared" si="118"/>
        <v>Clear</v>
      </c>
    </row>
    <row r="920" spans="1:24">
      <c r="A920">
        <v>928</v>
      </c>
      <c r="B920" s="2">
        <v>40585</v>
      </c>
      <c r="C920">
        <v>1</v>
      </c>
      <c r="D920">
        <v>0</v>
      </c>
      <c r="E920">
        <v>2</v>
      </c>
      <c r="F920">
        <v>6</v>
      </c>
      <c r="G920" t="b">
        <v>0</v>
      </c>
      <c r="H920">
        <v>5</v>
      </c>
      <c r="I920">
        <v>1</v>
      </c>
      <c r="J920">
        <v>0.1</v>
      </c>
      <c r="K920">
        <v>0.18179999999999999</v>
      </c>
      <c r="L920">
        <v>0.68</v>
      </c>
      <c r="M920">
        <v>0</v>
      </c>
      <c r="N920">
        <v>1</v>
      </c>
      <c r="O920">
        <v>23</v>
      </c>
      <c r="P920">
        <v>24</v>
      </c>
      <c r="Q920" t="str">
        <f t="shared" si="112"/>
        <v>Complete</v>
      </c>
      <c r="R920">
        <f t="shared" si="119"/>
        <v>0.18179999999999999</v>
      </c>
      <c r="S920">
        <f t="shared" si="113"/>
        <v>2011</v>
      </c>
      <c r="T920" t="str">
        <f t="shared" si="114"/>
        <v/>
      </c>
      <c r="U920" t="str">
        <f t="shared" si="115"/>
        <v>Weekday</v>
      </c>
      <c r="V920" t="str">
        <f t="shared" si="116"/>
        <v>Morning</v>
      </c>
      <c r="W920" t="str">
        <f t="shared" si="117"/>
        <v>Spring</v>
      </c>
      <c r="X920" t="str">
        <f t="shared" si="118"/>
        <v>Clear</v>
      </c>
    </row>
    <row r="921" spans="1:24">
      <c r="A921">
        <v>929</v>
      </c>
      <c r="B921" s="2">
        <v>40585</v>
      </c>
      <c r="C921">
        <v>1</v>
      </c>
      <c r="D921">
        <v>0</v>
      </c>
      <c r="E921">
        <v>2</v>
      </c>
      <c r="F921">
        <v>7</v>
      </c>
      <c r="G921" t="b">
        <v>0</v>
      </c>
      <c r="H921">
        <v>5</v>
      </c>
      <c r="I921">
        <v>1</v>
      </c>
      <c r="J921">
        <v>0.08</v>
      </c>
      <c r="K921">
        <v>0.16669999999999999</v>
      </c>
      <c r="L921">
        <v>0.73</v>
      </c>
      <c r="M921">
        <v>0</v>
      </c>
      <c r="N921">
        <v>1</v>
      </c>
      <c r="O921">
        <v>73</v>
      </c>
      <c r="P921">
        <v>74</v>
      </c>
      <c r="Q921" t="str">
        <f t="shared" si="112"/>
        <v>Complete</v>
      </c>
      <c r="R921">
        <f t="shared" si="119"/>
        <v>0.16669999999999999</v>
      </c>
      <c r="S921">
        <f t="shared" si="113"/>
        <v>2011</v>
      </c>
      <c r="T921" t="str">
        <f t="shared" si="114"/>
        <v/>
      </c>
      <c r="U921" t="str">
        <f t="shared" si="115"/>
        <v>Weekday</v>
      </c>
      <c r="V921" t="str">
        <f t="shared" si="116"/>
        <v>Morning</v>
      </c>
      <c r="W921" t="str">
        <f t="shared" si="117"/>
        <v>Spring</v>
      </c>
      <c r="X921" t="str">
        <f t="shared" si="118"/>
        <v>Clear</v>
      </c>
    </row>
    <row r="922" spans="1:24">
      <c r="A922">
        <v>930</v>
      </c>
      <c r="B922" s="2">
        <v>40585</v>
      </c>
      <c r="C922">
        <v>1</v>
      </c>
      <c r="D922">
        <v>0</v>
      </c>
      <c r="E922">
        <v>2</v>
      </c>
      <c r="F922">
        <v>8</v>
      </c>
      <c r="G922" t="b">
        <v>0</v>
      </c>
      <c r="H922">
        <v>5</v>
      </c>
      <c r="I922">
        <v>1</v>
      </c>
      <c r="J922">
        <v>0.1</v>
      </c>
      <c r="K922">
        <v>0.1212</v>
      </c>
      <c r="L922">
        <v>0.74</v>
      </c>
      <c r="M922">
        <v>0.16420000000000001</v>
      </c>
      <c r="N922">
        <v>4</v>
      </c>
      <c r="O922">
        <v>212</v>
      </c>
      <c r="P922">
        <v>216</v>
      </c>
      <c r="Q922" t="str">
        <f t="shared" si="112"/>
        <v>Complete</v>
      </c>
      <c r="R922">
        <f t="shared" si="119"/>
        <v>0.1212</v>
      </c>
      <c r="S922">
        <f t="shared" si="113"/>
        <v>2011</v>
      </c>
      <c r="T922" t="str">
        <f t="shared" si="114"/>
        <v/>
      </c>
      <c r="U922" t="str">
        <f t="shared" si="115"/>
        <v>Weekday</v>
      </c>
      <c r="V922" t="str">
        <f t="shared" si="116"/>
        <v>Morning</v>
      </c>
      <c r="W922" t="str">
        <f t="shared" si="117"/>
        <v>Spring</v>
      </c>
      <c r="X922" t="str">
        <f t="shared" si="118"/>
        <v>Clear</v>
      </c>
    </row>
    <row r="923" spans="1:24">
      <c r="A923">
        <v>931</v>
      </c>
      <c r="B923" s="2">
        <v>40585</v>
      </c>
      <c r="C923">
        <v>1</v>
      </c>
      <c r="D923">
        <v>0</v>
      </c>
      <c r="E923">
        <v>2</v>
      </c>
      <c r="F923">
        <v>9</v>
      </c>
      <c r="G923" t="b">
        <v>0</v>
      </c>
      <c r="H923">
        <v>5</v>
      </c>
      <c r="I923">
        <v>1</v>
      </c>
      <c r="J923">
        <v>0.12</v>
      </c>
      <c r="K923">
        <v>0.1212</v>
      </c>
      <c r="L923">
        <v>0.74</v>
      </c>
      <c r="M923">
        <v>0.22389999999999999</v>
      </c>
      <c r="N923">
        <v>8</v>
      </c>
      <c r="O923">
        <v>132</v>
      </c>
      <c r="P923">
        <v>140</v>
      </c>
      <c r="Q923" t="str">
        <f t="shared" si="112"/>
        <v>Complete</v>
      </c>
      <c r="R923">
        <f t="shared" si="119"/>
        <v>0.1212</v>
      </c>
      <c r="S923">
        <f t="shared" si="113"/>
        <v>2011</v>
      </c>
      <c r="T923" t="str">
        <f t="shared" si="114"/>
        <v/>
      </c>
      <c r="U923" t="str">
        <f t="shared" si="115"/>
        <v>Weekday</v>
      </c>
      <c r="V923" t="str">
        <f t="shared" si="116"/>
        <v>Morning</v>
      </c>
      <c r="W923" t="str">
        <f t="shared" si="117"/>
        <v>Spring</v>
      </c>
      <c r="X923" t="str">
        <f t="shared" si="118"/>
        <v>Clear</v>
      </c>
    </row>
    <row r="924" spans="1:24">
      <c r="A924">
        <v>932</v>
      </c>
      <c r="B924" s="2">
        <v>40585</v>
      </c>
      <c r="C924">
        <v>1</v>
      </c>
      <c r="D924">
        <v>0</v>
      </c>
      <c r="E924">
        <v>2</v>
      </c>
      <c r="F924">
        <v>10</v>
      </c>
      <c r="G924" t="b">
        <v>0</v>
      </c>
      <c r="H924">
        <v>5</v>
      </c>
      <c r="I924">
        <v>1</v>
      </c>
      <c r="J924">
        <v>0.14000000000000001</v>
      </c>
      <c r="K924">
        <v>0.13639999999999999</v>
      </c>
      <c r="L924">
        <v>0.69</v>
      </c>
      <c r="M924">
        <v>0.19400000000000001</v>
      </c>
      <c r="N924">
        <v>5</v>
      </c>
      <c r="O924">
        <v>39</v>
      </c>
      <c r="P924">
        <v>44</v>
      </c>
      <c r="Q924" t="str">
        <f t="shared" si="112"/>
        <v>Complete</v>
      </c>
      <c r="R924">
        <f t="shared" si="119"/>
        <v>0.13639999999999999</v>
      </c>
      <c r="S924">
        <f t="shared" si="113"/>
        <v>2011</v>
      </c>
      <c r="T924" t="str">
        <f t="shared" si="114"/>
        <v/>
      </c>
      <c r="U924" t="str">
        <f t="shared" si="115"/>
        <v>Weekday</v>
      </c>
      <c r="V924" t="str">
        <f t="shared" si="116"/>
        <v>Morning</v>
      </c>
      <c r="W924" t="str">
        <f t="shared" si="117"/>
        <v>Spring</v>
      </c>
      <c r="X924" t="str">
        <f t="shared" si="118"/>
        <v>Clear</v>
      </c>
    </row>
    <row r="925" spans="1:24">
      <c r="A925">
        <v>933</v>
      </c>
      <c r="B925" s="2">
        <v>40585</v>
      </c>
      <c r="C925">
        <v>1</v>
      </c>
      <c r="D925">
        <v>0</v>
      </c>
      <c r="E925">
        <v>2</v>
      </c>
      <c r="F925">
        <v>11</v>
      </c>
      <c r="G925" t="b">
        <v>0</v>
      </c>
      <c r="H925">
        <v>5</v>
      </c>
      <c r="I925">
        <v>1</v>
      </c>
      <c r="J925">
        <v>0.22</v>
      </c>
      <c r="K925">
        <v>0.2273</v>
      </c>
      <c r="L925">
        <v>0.47</v>
      </c>
      <c r="M925">
        <v>0.1343</v>
      </c>
      <c r="N925">
        <v>12</v>
      </c>
      <c r="O925">
        <v>52</v>
      </c>
      <c r="P925">
        <v>64</v>
      </c>
      <c r="Q925" t="str">
        <f t="shared" si="112"/>
        <v>Complete</v>
      </c>
      <c r="R925">
        <f t="shared" si="119"/>
        <v>0.2273</v>
      </c>
      <c r="S925">
        <f t="shared" si="113"/>
        <v>2011</v>
      </c>
      <c r="T925" t="str">
        <f t="shared" si="114"/>
        <v/>
      </c>
      <c r="U925" t="str">
        <f t="shared" si="115"/>
        <v>Weekday</v>
      </c>
      <c r="V925" t="str">
        <f t="shared" si="116"/>
        <v>Morning</v>
      </c>
      <c r="W925" t="str">
        <f t="shared" si="117"/>
        <v>Spring</v>
      </c>
      <c r="X925" t="str">
        <f t="shared" si="118"/>
        <v>Clear</v>
      </c>
    </row>
    <row r="926" spans="1:24">
      <c r="A926">
        <v>934</v>
      </c>
      <c r="B926" s="2">
        <v>40585</v>
      </c>
      <c r="C926">
        <v>1</v>
      </c>
      <c r="D926">
        <v>0</v>
      </c>
      <c r="E926">
        <v>2</v>
      </c>
      <c r="F926">
        <v>12</v>
      </c>
      <c r="G926" t="b">
        <v>0</v>
      </c>
      <c r="H926">
        <v>5</v>
      </c>
      <c r="I926">
        <v>1</v>
      </c>
      <c r="J926">
        <v>0.22</v>
      </c>
      <c r="K926">
        <v>0.2273</v>
      </c>
      <c r="L926">
        <v>0.47</v>
      </c>
      <c r="M926">
        <v>0.1343</v>
      </c>
      <c r="N926">
        <v>7</v>
      </c>
      <c r="O926">
        <v>64</v>
      </c>
      <c r="P926">
        <v>71</v>
      </c>
      <c r="Q926" t="str">
        <f t="shared" si="112"/>
        <v>Complete</v>
      </c>
      <c r="R926">
        <f t="shared" si="119"/>
        <v>0.2273</v>
      </c>
      <c r="S926">
        <f t="shared" si="113"/>
        <v>2011</v>
      </c>
      <c r="T926" t="str">
        <f t="shared" si="114"/>
        <v/>
      </c>
      <c r="U926" t="str">
        <f t="shared" si="115"/>
        <v>Weekday</v>
      </c>
      <c r="V926" t="str">
        <f t="shared" si="116"/>
        <v>Afternoon</v>
      </c>
      <c r="W926" t="str">
        <f t="shared" si="117"/>
        <v>Spring</v>
      </c>
      <c r="X926" t="str">
        <f t="shared" si="118"/>
        <v>Clear</v>
      </c>
    </row>
    <row r="927" spans="1:24">
      <c r="A927">
        <v>935</v>
      </c>
      <c r="B927" s="2">
        <v>40585</v>
      </c>
      <c r="C927">
        <v>1</v>
      </c>
      <c r="D927">
        <v>0</v>
      </c>
      <c r="E927">
        <v>2</v>
      </c>
      <c r="F927">
        <v>13</v>
      </c>
      <c r="G927" t="b">
        <v>0</v>
      </c>
      <c r="H927">
        <v>5</v>
      </c>
      <c r="I927">
        <v>1</v>
      </c>
      <c r="J927">
        <v>0.24</v>
      </c>
      <c r="K927">
        <v>0.2273</v>
      </c>
      <c r="L927">
        <v>0.35</v>
      </c>
      <c r="M927">
        <v>0.19400000000000001</v>
      </c>
      <c r="N927">
        <v>21</v>
      </c>
      <c r="O927">
        <v>89</v>
      </c>
      <c r="P927">
        <v>110</v>
      </c>
      <c r="Q927" t="str">
        <f t="shared" si="112"/>
        <v>Complete</v>
      </c>
      <c r="R927">
        <f t="shared" si="119"/>
        <v>0.2273</v>
      </c>
      <c r="S927">
        <f t="shared" si="113"/>
        <v>2011</v>
      </c>
      <c r="T927" t="str">
        <f t="shared" si="114"/>
        <v/>
      </c>
      <c r="U927" t="str">
        <f t="shared" si="115"/>
        <v>Weekday</v>
      </c>
      <c r="V927" t="str">
        <f t="shared" si="116"/>
        <v>Afternoon</v>
      </c>
      <c r="W927" t="str">
        <f t="shared" si="117"/>
        <v>Spring</v>
      </c>
      <c r="X927" t="str">
        <f t="shared" si="118"/>
        <v>Clear</v>
      </c>
    </row>
    <row r="928" spans="1:24">
      <c r="A928">
        <v>936</v>
      </c>
      <c r="B928" s="2">
        <v>40585</v>
      </c>
      <c r="C928">
        <v>1</v>
      </c>
      <c r="D928">
        <v>0</v>
      </c>
      <c r="E928">
        <v>2</v>
      </c>
      <c r="F928">
        <v>14</v>
      </c>
      <c r="G928" t="b">
        <v>0</v>
      </c>
      <c r="H928">
        <v>5</v>
      </c>
      <c r="I928">
        <v>1</v>
      </c>
      <c r="J928">
        <v>0.3</v>
      </c>
      <c r="K928">
        <v>0.28789999999999999</v>
      </c>
      <c r="L928">
        <v>0.26</v>
      </c>
      <c r="M928">
        <v>0.25369999999999998</v>
      </c>
      <c r="N928">
        <v>17</v>
      </c>
      <c r="O928">
        <v>67</v>
      </c>
      <c r="P928">
        <v>84</v>
      </c>
      <c r="Q928" t="str">
        <f t="shared" si="112"/>
        <v>Complete</v>
      </c>
      <c r="R928">
        <f t="shared" si="119"/>
        <v>0.28789999999999999</v>
      </c>
      <c r="S928">
        <f t="shared" si="113"/>
        <v>2011</v>
      </c>
      <c r="T928" t="str">
        <f t="shared" si="114"/>
        <v/>
      </c>
      <c r="U928" t="str">
        <f t="shared" si="115"/>
        <v>Weekday</v>
      </c>
      <c r="V928" t="str">
        <f t="shared" si="116"/>
        <v>Afternoon</v>
      </c>
      <c r="W928" t="str">
        <f t="shared" si="117"/>
        <v>Spring</v>
      </c>
      <c r="X928" t="str">
        <f t="shared" si="118"/>
        <v>Clear</v>
      </c>
    </row>
    <row r="929" spans="1:24">
      <c r="A929">
        <v>937</v>
      </c>
      <c r="B929" s="2">
        <v>40585</v>
      </c>
      <c r="C929">
        <v>1</v>
      </c>
      <c r="D929">
        <v>0</v>
      </c>
      <c r="E929">
        <v>2</v>
      </c>
      <c r="F929">
        <v>15</v>
      </c>
      <c r="G929" t="b">
        <v>0</v>
      </c>
      <c r="H929">
        <v>5</v>
      </c>
      <c r="I929">
        <v>1</v>
      </c>
      <c r="J929">
        <v>0.32</v>
      </c>
      <c r="K929">
        <v>0.31819999999999998</v>
      </c>
      <c r="L929">
        <v>0.21</v>
      </c>
      <c r="M929">
        <v>0.16420000000000001</v>
      </c>
      <c r="N929">
        <v>12</v>
      </c>
      <c r="O929">
        <v>62</v>
      </c>
      <c r="P929">
        <v>74</v>
      </c>
      <c r="Q929" t="str">
        <f t="shared" si="112"/>
        <v>Complete</v>
      </c>
      <c r="R929">
        <f t="shared" si="119"/>
        <v>0.31819999999999998</v>
      </c>
      <c r="S929">
        <f t="shared" si="113"/>
        <v>2011</v>
      </c>
      <c r="T929" t="str">
        <f t="shared" si="114"/>
        <v/>
      </c>
      <c r="U929" t="str">
        <f t="shared" si="115"/>
        <v>Weekday</v>
      </c>
      <c r="V929" t="str">
        <f t="shared" si="116"/>
        <v>Afternoon</v>
      </c>
      <c r="W929" t="str">
        <f t="shared" si="117"/>
        <v>Spring</v>
      </c>
      <c r="X929" t="str">
        <f t="shared" si="118"/>
        <v>Clear</v>
      </c>
    </row>
    <row r="930" spans="1:24">
      <c r="A930">
        <v>938</v>
      </c>
      <c r="B930" s="2">
        <v>40585</v>
      </c>
      <c r="C930">
        <v>1</v>
      </c>
      <c r="D930">
        <v>0</v>
      </c>
      <c r="E930">
        <v>2</v>
      </c>
      <c r="F930">
        <v>16</v>
      </c>
      <c r="G930" t="b">
        <v>0</v>
      </c>
      <c r="H930">
        <v>5</v>
      </c>
      <c r="I930">
        <v>1</v>
      </c>
      <c r="J930">
        <v>0.3</v>
      </c>
      <c r="K930">
        <v>0.28789999999999999</v>
      </c>
      <c r="L930">
        <v>0.28000000000000003</v>
      </c>
      <c r="M930">
        <v>0.19400000000000001</v>
      </c>
      <c r="N930">
        <v>14</v>
      </c>
      <c r="O930">
        <v>111</v>
      </c>
      <c r="P930">
        <v>125</v>
      </c>
      <c r="Q930" t="str">
        <f t="shared" si="112"/>
        <v>Complete</v>
      </c>
      <c r="R930">
        <f t="shared" si="119"/>
        <v>0.28789999999999999</v>
      </c>
      <c r="S930">
        <f t="shared" si="113"/>
        <v>2011</v>
      </c>
      <c r="T930" t="str">
        <f t="shared" si="114"/>
        <v/>
      </c>
      <c r="U930" t="str">
        <f t="shared" si="115"/>
        <v>Weekday</v>
      </c>
      <c r="V930" t="str">
        <f t="shared" si="116"/>
        <v>Afternoon</v>
      </c>
      <c r="W930" t="str">
        <f t="shared" si="117"/>
        <v>Spring</v>
      </c>
      <c r="X930" t="str">
        <f t="shared" si="118"/>
        <v>Clear</v>
      </c>
    </row>
    <row r="931" spans="1:24">
      <c r="A931">
        <v>939</v>
      </c>
      <c r="B931" s="2">
        <v>40585</v>
      </c>
      <c r="C931">
        <v>1</v>
      </c>
      <c r="D931">
        <v>0</v>
      </c>
      <c r="E931">
        <v>2</v>
      </c>
      <c r="F931">
        <v>17</v>
      </c>
      <c r="G931" t="b">
        <v>0</v>
      </c>
      <c r="H931">
        <v>5</v>
      </c>
      <c r="I931">
        <v>1</v>
      </c>
      <c r="J931">
        <v>0.3</v>
      </c>
      <c r="K931">
        <v>0.33329999999999999</v>
      </c>
      <c r="L931">
        <v>0.24</v>
      </c>
      <c r="M931">
        <v>0</v>
      </c>
      <c r="N931">
        <v>18</v>
      </c>
      <c r="O931">
        <v>193</v>
      </c>
      <c r="P931">
        <v>211</v>
      </c>
      <c r="Q931" t="str">
        <f t="shared" si="112"/>
        <v>Complete</v>
      </c>
      <c r="R931">
        <f t="shared" si="119"/>
        <v>0.33329999999999999</v>
      </c>
      <c r="S931">
        <f t="shared" si="113"/>
        <v>2011</v>
      </c>
      <c r="T931" t="str">
        <f t="shared" si="114"/>
        <v/>
      </c>
      <c r="U931" t="str">
        <f t="shared" si="115"/>
        <v>Weekday</v>
      </c>
      <c r="V931" t="str">
        <f t="shared" si="116"/>
        <v>Afternoon</v>
      </c>
      <c r="W931" t="str">
        <f t="shared" si="117"/>
        <v>Spring</v>
      </c>
      <c r="X931" t="str">
        <f t="shared" si="118"/>
        <v>Clear</v>
      </c>
    </row>
    <row r="932" spans="1:24">
      <c r="A932">
        <v>940</v>
      </c>
      <c r="B932" s="2">
        <v>40585</v>
      </c>
      <c r="C932">
        <v>1</v>
      </c>
      <c r="D932">
        <v>0</v>
      </c>
      <c r="E932">
        <v>2</v>
      </c>
      <c r="F932">
        <v>18</v>
      </c>
      <c r="G932" t="b">
        <v>0</v>
      </c>
      <c r="H932">
        <v>5</v>
      </c>
      <c r="I932">
        <v>1</v>
      </c>
      <c r="J932">
        <v>0.28000000000000003</v>
      </c>
      <c r="K932">
        <v>0.31819999999999998</v>
      </c>
      <c r="L932">
        <v>0.28000000000000003</v>
      </c>
      <c r="M932">
        <v>0</v>
      </c>
      <c r="N932">
        <v>9</v>
      </c>
      <c r="O932">
        <v>165</v>
      </c>
      <c r="P932">
        <v>174</v>
      </c>
      <c r="Q932" t="str">
        <f t="shared" si="112"/>
        <v>Complete</v>
      </c>
      <c r="R932">
        <f t="shared" si="119"/>
        <v>0.31819999999999998</v>
      </c>
      <c r="S932">
        <f t="shared" si="113"/>
        <v>2011</v>
      </c>
      <c r="T932" t="str">
        <f t="shared" si="114"/>
        <v/>
      </c>
      <c r="U932" t="str">
        <f t="shared" si="115"/>
        <v>Weekday</v>
      </c>
      <c r="V932" t="str">
        <f t="shared" si="116"/>
        <v>Evening</v>
      </c>
      <c r="W932" t="str">
        <f t="shared" si="117"/>
        <v>Spring</v>
      </c>
      <c r="X932" t="str">
        <f t="shared" si="118"/>
        <v>Clear</v>
      </c>
    </row>
    <row r="933" spans="1:24">
      <c r="A933">
        <v>941</v>
      </c>
      <c r="B933" s="2">
        <v>40585</v>
      </c>
      <c r="C933">
        <v>1</v>
      </c>
      <c r="D933">
        <v>0</v>
      </c>
      <c r="E933">
        <v>2</v>
      </c>
      <c r="F933">
        <v>19</v>
      </c>
      <c r="G933" t="b">
        <v>0</v>
      </c>
      <c r="H933">
        <v>5</v>
      </c>
      <c r="I933">
        <v>1</v>
      </c>
      <c r="J933">
        <v>0.26</v>
      </c>
      <c r="K933">
        <v>0.30299999999999999</v>
      </c>
      <c r="L933">
        <v>0.33</v>
      </c>
      <c r="M933">
        <v>0</v>
      </c>
      <c r="N933">
        <v>7</v>
      </c>
      <c r="O933">
        <v>94</v>
      </c>
      <c r="P933">
        <v>101</v>
      </c>
      <c r="Q933" t="str">
        <f t="shared" si="112"/>
        <v>Complete</v>
      </c>
      <c r="R933">
        <f t="shared" si="119"/>
        <v>0.30299999999999999</v>
      </c>
      <c r="S933">
        <f t="shared" si="113"/>
        <v>2011</v>
      </c>
      <c r="T933" t="str">
        <f t="shared" si="114"/>
        <v/>
      </c>
      <c r="U933" t="str">
        <f t="shared" si="115"/>
        <v>Weekday</v>
      </c>
      <c r="V933" t="str">
        <f t="shared" si="116"/>
        <v>Evening</v>
      </c>
      <c r="W933" t="str">
        <f t="shared" si="117"/>
        <v>Spring</v>
      </c>
      <c r="X933" t="str">
        <f t="shared" si="118"/>
        <v>Clear</v>
      </c>
    </row>
    <row r="934" spans="1:24">
      <c r="A934">
        <v>942</v>
      </c>
      <c r="B934" s="2">
        <v>40585</v>
      </c>
      <c r="C934">
        <v>1</v>
      </c>
      <c r="D934">
        <v>0</v>
      </c>
      <c r="E934">
        <v>2</v>
      </c>
      <c r="F934">
        <v>20</v>
      </c>
      <c r="G934" t="b">
        <v>0</v>
      </c>
      <c r="H934">
        <v>5</v>
      </c>
      <c r="I934">
        <v>1</v>
      </c>
      <c r="J934">
        <v>0.22</v>
      </c>
      <c r="K934">
        <v>0.2273</v>
      </c>
      <c r="L934">
        <v>0.55000000000000004</v>
      </c>
      <c r="M934">
        <v>0.1343</v>
      </c>
      <c r="N934">
        <v>2</v>
      </c>
      <c r="O934">
        <v>61</v>
      </c>
      <c r="P934">
        <v>63</v>
      </c>
      <c r="Q934" t="str">
        <f t="shared" si="112"/>
        <v>Complete</v>
      </c>
      <c r="R934">
        <f t="shared" si="119"/>
        <v>0.2273</v>
      </c>
      <c r="S934">
        <f t="shared" si="113"/>
        <v>2011</v>
      </c>
      <c r="T934" t="str">
        <f t="shared" si="114"/>
        <v/>
      </c>
      <c r="U934" t="str">
        <f t="shared" si="115"/>
        <v>Weekday</v>
      </c>
      <c r="V934" t="str">
        <f t="shared" si="116"/>
        <v>Evening</v>
      </c>
      <c r="W934" t="str">
        <f t="shared" si="117"/>
        <v>Spring</v>
      </c>
      <c r="X934" t="str">
        <f t="shared" si="118"/>
        <v>Clear</v>
      </c>
    </row>
    <row r="935" spans="1:24">
      <c r="A935">
        <v>943</v>
      </c>
      <c r="B935" s="2">
        <v>40585</v>
      </c>
      <c r="C935">
        <v>1</v>
      </c>
      <c r="D935">
        <v>0</v>
      </c>
      <c r="E935">
        <v>2</v>
      </c>
      <c r="F935">
        <v>21</v>
      </c>
      <c r="G935" t="b">
        <v>0</v>
      </c>
      <c r="H935">
        <v>5</v>
      </c>
      <c r="I935">
        <v>1</v>
      </c>
      <c r="J935">
        <v>0.2</v>
      </c>
      <c r="K935">
        <v>0.21210000000000001</v>
      </c>
      <c r="L935">
        <v>0.59</v>
      </c>
      <c r="M935">
        <v>0.1343</v>
      </c>
      <c r="N935">
        <v>1</v>
      </c>
      <c r="O935">
        <v>46</v>
      </c>
      <c r="P935">
        <v>47</v>
      </c>
      <c r="Q935" t="str">
        <f t="shared" si="112"/>
        <v>Complete</v>
      </c>
      <c r="R935">
        <f t="shared" si="119"/>
        <v>0.21210000000000001</v>
      </c>
      <c r="S935">
        <f t="shared" si="113"/>
        <v>2011</v>
      </c>
      <c r="T935" t="str">
        <f t="shared" si="114"/>
        <v/>
      </c>
      <c r="U935" t="str">
        <f t="shared" si="115"/>
        <v>Weekday</v>
      </c>
      <c r="V935" t="str">
        <f t="shared" si="116"/>
        <v>Evening</v>
      </c>
      <c r="W935" t="str">
        <f t="shared" si="117"/>
        <v>Spring</v>
      </c>
      <c r="X935" t="str">
        <f t="shared" si="118"/>
        <v>Clear</v>
      </c>
    </row>
    <row r="936" spans="1:24">
      <c r="A936">
        <v>944</v>
      </c>
      <c r="B936" s="2">
        <v>40585</v>
      </c>
      <c r="C936">
        <v>1</v>
      </c>
      <c r="D936">
        <v>0</v>
      </c>
      <c r="E936">
        <v>2</v>
      </c>
      <c r="F936">
        <v>22</v>
      </c>
      <c r="G936" t="b">
        <v>0</v>
      </c>
      <c r="H936">
        <v>5</v>
      </c>
      <c r="I936">
        <v>1</v>
      </c>
      <c r="J936">
        <v>0.2</v>
      </c>
      <c r="K936">
        <v>0.2273</v>
      </c>
      <c r="L936">
        <v>0.64</v>
      </c>
      <c r="M936">
        <v>8.9599999999999999E-2</v>
      </c>
      <c r="N936">
        <v>2</v>
      </c>
      <c r="O936">
        <v>41</v>
      </c>
      <c r="P936">
        <v>43</v>
      </c>
      <c r="Q936" t="str">
        <f t="shared" si="112"/>
        <v>Complete</v>
      </c>
      <c r="R936">
        <f t="shared" si="119"/>
        <v>0.2273</v>
      </c>
      <c r="S936">
        <f t="shared" si="113"/>
        <v>2011</v>
      </c>
      <c r="T936" t="str">
        <f t="shared" si="114"/>
        <v/>
      </c>
      <c r="U936" t="str">
        <f t="shared" si="115"/>
        <v>Weekday</v>
      </c>
      <c r="V936" t="str">
        <f t="shared" si="116"/>
        <v>Evening</v>
      </c>
      <c r="W936" t="str">
        <f t="shared" si="117"/>
        <v>Spring</v>
      </c>
      <c r="X936" t="str">
        <f t="shared" si="118"/>
        <v>Clear</v>
      </c>
    </row>
    <row r="937" spans="1:24">
      <c r="A937">
        <v>945</v>
      </c>
      <c r="B937" s="2">
        <v>40585</v>
      </c>
      <c r="C937">
        <v>1</v>
      </c>
      <c r="D937">
        <v>0</v>
      </c>
      <c r="E937">
        <v>2</v>
      </c>
      <c r="F937">
        <v>23</v>
      </c>
      <c r="G937" t="b">
        <v>0</v>
      </c>
      <c r="H937">
        <v>5</v>
      </c>
      <c r="I937">
        <v>1</v>
      </c>
      <c r="J937">
        <v>0.18</v>
      </c>
      <c r="K937">
        <v>0.2424</v>
      </c>
      <c r="L937">
        <v>0.69</v>
      </c>
      <c r="M937">
        <v>0</v>
      </c>
      <c r="N937">
        <v>5</v>
      </c>
      <c r="O937">
        <v>48</v>
      </c>
      <c r="P937">
        <v>53</v>
      </c>
      <c r="Q937" t="str">
        <f t="shared" si="112"/>
        <v>Complete</v>
      </c>
      <c r="R937">
        <f t="shared" si="119"/>
        <v>0.2424</v>
      </c>
      <c r="S937">
        <f t="shared" si="113"/>
        <v>2011</v>
      </c>
      <c r="T937" t="str">
        <f t="shared" si="114"/>
        <v/>
      </c>
      <c r="U937" t="str">
        <f t="shared" si="115"/>
        <v>Weekday</v>
      </c>
      <c r="V937" t="str">
        <f t="shared" si="116"/>
        <v>Evening</v>
      </c>
      <c r="W937" t="str">
        <f t="shared" si="117"/>
        <v>Spring</v>
      </c>
      <c r="X937" t="str">
        <f t="shared" si="118"/>
        <v>Clear</v>
      </c>
    </row>
    <row r="938" spans="1:24">
      <c r="A938">
        <v>946</v>
      </c>
      <c r="B938" s="2">
        <v>40586</v>
      </c>
      <c r="C938">
        <v>1</v>
      </c>
      <c r="D938">
        <v>0</v>
      </c>
      <c r="E938">
        <v>2</v>
      </c>
      <c r="F938">
        <v>0</v>
      </c>
      <c r="G938" t="b">
        <v>0</v>
      </c>
      <c r="H938">
        <v>6</v>
      </c>
      <c r="I938">
        <v>1</v>
      </c>
      <c r="J938">
        <v>0.16</v>
      </c>
      <c r="K938">
        <v>0.19700000000000001</v>
      </c>
      <c r="L938">
        <v>0.69</v>
      </c>
      <c r="M938">
        <v>8.9599999999999999E-2</v>
      </c>
      <c r="N938">
        <v>3</v>
      </c>
      <c r="O938">
        <v>27</v>
      </c>
      <c r="P938">
        <v>30</v>
      </c>
      <c r="Q938" t="str">
        <f t="shared" si="112"/>
        <v>Complete</v>
      </c>
      <c r="R938">
        <f t="shared" si="119"/>
        <v>0.19700000000000001</v>
      </c>
      <c r="S938">
        <f t="shared" si="113"/>
        <v>2011</v>
      </c>
      <c r="T938" t="str">
        <f t="shared" si="114"/>
        <v/>
      </c>
      <c r="U938" t="str">
        <f t="shared" si="115"/>
        <v>Saturday</v>
      </c>
      <c r="V938" t="str">
        <f t="shared" si="116"/>
        <v>Night</v>
      </c>
      <c r="W938" t="str">
        <f t="shared" si="117"/>
        <v>Spring</v>
      </c>
      <c r="X938" t="str">
        <f t="shared" si="118"/>
        <v>Clear</v>
      </c>
    </row>
    <row r="939" spans="1:24">
      <c r="A939">
        <v>947</v>
      </c>
      <c r="B939" s="2">
        <v>40586</v>
      </c>
      <c r="C939">
        <v>1</v>
      </c>
      <c r="D939">
        <v>0</v>
      </c>
      <c r="E939">
        <v>2</v>
      </c>
      <c r="F939">
        <v>1</v>
      </c>
      <c r="G939" t="b">
        <v>0</v>
      </c>
      <c r="H939">
        <v>6</v>
      </c>
      <c r="I939">
        <v>1</v>
      </c>
      <c r="J939">
        <v>0.14000000000000001</v>
      </c>
      <c r="K939">
        <v>0.21210000000000001</v>
      </c>
      <c r="L939">
        <v>0.86</v>
      </c>
      <c r="M939">
        <v>0</v>
      </c>
      <c r="N939">
        <v>2</v>
      </c>
      <c r="O939">
        <v>22</v>
      </c>
      <c r="P939">
        <v>24</v>
      </c>
      <c r="Q939" t="str">
        <f t="shared" si="112"/>
        <v>Complete</v>
      </c>
      <c r="R939">
        <f t="shared" si="119"/>
        <v>0.21210000000000001</v>
      </c>
      <c r="S939">
        <f t="shared" si="113"/>
        <v>2011</v>
      </c>
      <c r="T939" t="str">
        <f t="shared" si="114"/>
        <v/>
      </c>
      <c r="U939" t="str">
        <f t="shared" si="115"/>
        <v>Saturday</v>
      </c>
      <c r="V939" t="str">
        <f t="shared" si="116"/>
        <v>Night</v>
      </c>
      <c r="W939" t="str">
        <f t="shared" si="117"/>
        <v>Spring</v>
      </c>
      <c r="X939" t="str">
        <f t="shared" si="118"/>
        <v>Clear</v>
      </c>
    </row>
    <row r="940" spans="1:24">
      <c r="A940">
        <v>948</v>
      </c>
      <c r="B940" s="2">
        <v>40586</v>
      </c>
      <c r="C940">
        <v>1</v>
      </c>
      <c r="D940">
        <v>0</v>
      </c>
      <c r="E940">
        <v>2</v>
      </c>
      <c r="F940">
        <v>2</v>
      </c>
      <c r="G940" t="b">
        <v>0</v>
      </c>
      <c r="H940">
        <v>6</v>
      </c>
      <c r="I940">
        <v>1</v>
      </c>
      <c r="J940">
        <v>0.14000000000000001</v>
      </c>
      <c r="K940">
        <v>0.21210000000000001</v>
      </c>
      <c r="L940">
        <v>0.8</v>
      </c>
      <c r="M940">
        <v>0</v>
      </c>
      <c r="N940">
        <v>2</v>
      </c>
      <c r="O940">
        <v>13</v>
      </c>
      <c r="P940">
        <v>15</v>
      </c>
      <c r="Q940" t="str">
        <f t="shared" si="112"/>
        <v>Complete</v>
      </c>
      <c r="R940">
        <f t="shared" si="119"/>
        <v>0.21210000000000001</v>
      </c>
      <c r="S940">
        <f t="shared" si="113"/>
        <v>2011</v>
      </c>
      <c r="T940" t="str">
        <f t="shared" si="114"/>
        <v/>
      </c>
      <c r="U940" t="str">
        <f t="shared" si="115"/>
        <v>Saturday</v>
      </c>
      <c r="V940" t="str">
        <f t="shared" si="116"/>
        <v>Night</v>
      </c>
      <c r="W940" t="str">
        <f t="shared" si="117"/>
        <v>Spring</v>
      </c>
      <c r="X940" t="str">
        <f t="shared" si="118"/>
        <v>Clear</v>
      </c>
    </row>
    <row r="941" spans="1:24">
      <c r="A941">
        <v>949</v>
      </c>
      <c r="B941" s="2">
        <v>40586</v>
      </c>
      <c r="C941">
        <v>1</v>
      </c>
      <c r="D941">
        <v>0</v>
      </c>
      <c r="E941">
        <v>2</v>
      </c>
      <c r="F941">
        <v>3</v>
      </c>
      <c r="G941" t="b">
        <v>0</v>
      </c>
      <c r="H941">
        <v>6</v>
      </c>
      <c r="I941">
        <v>1</v>
      </c>
      <c r="J941">
        <v>0.12</v>
      </c>
      <c r="K941">
        <v>0.19700000000000001</v>
      </c>
      <c r="L941">
        <v>0.8</v>
      </c>
      <c r="M941">
        <v>0</v>
      </c>
      <c r="N941">
        <v>3</v>
      </c>
      <c r="O941">
        <v>7</v>
      </c>
      <c r="P941">
        <v>10</v>
      </c>
      <c r="Q941" t="str">
        <f t="shared" si="112"/>
        <v>Complete</v>
      </c>
      <c r="R941">
        <f t="shared" si="119"/>
        <v>0.19700000000000001</v>
      </c>
      <c r="S941">
        <f t="shared" si="113"/>
        <v>2011</v>
      </c>
      <c r="T941" t="str">
        <f t="shared" si="114"/>
        <v/>
      </c>
      <c r="U941" t="str">
        <f t="shared" si="115"/>
        <v>Saturday</v>
      </c>
      <c r="V941" t="str">
        <f t="shared" si="116"/>
        <v>Night</v>
      </c>
      <c r="W941" t="str">
        <f t="shared" si="117"/>
        <v>Spring</v>
      </c>
      <c r="X941" t="str">
        <f t="shared" si="118"/>
        <v>Clear</v>
      </c>
    </row>
    <row r="942" spans="1:24">
      <c r="A942">
        <v>950</v>
      </c>
      <c r="B942" s="2">
        <v>40586</v>
      </c>
      <c r="C942">
        <v>1</v>
      </c>
      <c r="D942">
        <v>0</v>
      </c>
      <c r="E942">
        <v>2</v>
      </c>
      <c r="F942">
        <v>4</v>
      </c>
      <c r="G942" t="b">
        <v>0</v>
      </c>
      <c r="H942">
        <v>6</v>
      </c>
      <c r="I942">
        <v>1</v>
      </c>
      <c r="J942">
        <v>0.12</v>
      </c>
      <c r="K942">
        <v>0.16669999999999999</v>
      </c>
      <c r="L942">
        <v>0.74</v>
      </c>
      <c r="M942">
        <v>8.9599999999999999E-2</v>
      </c>
      <c r="N942">
        <v>0</v>
      </c>
      <c r="O942">
        <v>4</v>
      </c>
      <c r="P942">
        <v>4</v>
      </c>
      <c r="Q942" t="str">
        <f t="shared" si="112"/>
        <v>Complete</v>
      </c>
      <c r="R942">
        <f t="shared" si="119"/>
        <v>0.16669999999999999</v>
      </c>
      <c r="S942">
        <f t="shared" si="113"/>
        <v>2011</v>
      </c>
      <c r="T942" t="str">
        <f t="shared" si="114"/>
        <v/>
      </c>
      <c r="U942" t="str">
        <f t="shared" si="115"/>
        <v>Saturday</v>
      </c>
      <c r="V942" t="str">
        <f t="shared" si="116"/>
        <v>Night</v>
      </c>
      <c r="W942" t="str">
        <f t="shared" si="117"/>
        <v>Spring</v>
      </c>
      <c r="X942" t="str">
        <f t="shared" si="118"/>
        <v>Clear</v>
      </c>
    </row>
    <row r="943" spans="1:24">
      <c r="A943">
        <v>951</v>
      </c>
      <c r="B943" s="2">
        <v>40586</v>
      </c>
      <c r="C943">
        <v>1</v>
      </c>
      <c r="D943">
        <v>0</v>
      </c>
      <c r="E943">
        <v>2</v>
      </c>
      <c r="F943">
        <v>5</v>
      </c>
      <c r="G943" t="b">
        <v>0</v>
      </c>
      <c r="H943">
        <v>6</v>
      </c>
      <c r="I943">
        <v>1</v>
      </c>
      <c r="J943">
        <v>0.12</v>
      </c>
      <c r="K943">
        <v>0.16669999999999999</v>
      </c>
      <c r="L943">
        <v>0.74</v>
      </c>
      <c r="M943">
        <v>8.9599999999999999E-2</v>
      </c>
      <c r="N943">
        <v>0</v>
      </c>
      <c r="O943">
        <v>1</v>
      </c>
      <c r="P943">
        <v>1</v>
      </c>
      <c r="Q943" t="str">
        <f t="shared" si="112"/>
        <v>Complete</v>
      </c>
      <c r="R943">
        <f t="shared" si="119"/>
        <v>0.16669999999999999</v>
      </c>
      <c r="S943">
        <f t="shared" si="113"/>
        <v>2011</v>
      </c>
      <c r="T943" t="str">
        <f t="shared" si="114"/>
        <v/>
      </c>
      <c r="U943" t="str">
        <f t="shared" si="115"/>
        <v>Saturday</v>
      </c>
      <c r="V943" t="str">
        <f t="shared" si="116"/>
        <v>Night</v>
      </c>
      <c r="W943" t="str">
        <f t="shared" si="117"/>
        <v>Spring</v>
      </c>
      <c r="X943" t="str">
        <f t="shared" si="118"/>
        <v>Clear</v>
      </c>
    </row>
    <row r="944" spans="1:24">
      <c r="A944">
        <v>952</v>
      </c>
      <c r="B944" s="2">
        <v>40586</v>
      </c>
      <c r="C944">
        <v>1</v>
      </c>
      <c r="D944">
        <v>0</v>
      </c>
      <c r="E944">
        <v>2</v>
      </c>
      <c r="F944">
        <v>6</v>
      </c>
      <c r="G944" t="b">
        <v>0</v>
      </c>
      <c r="H944">
        <v>6</v>
      </c>
      <c r="I944">
        <v>1</v>
      </c>
      <c r="J944">
        <v>0.12</v>
      </c>
      <c r="K944">
        <v>0.13639999999999999</v>
      </c>
      <c r="L944">
        <v>0.93</v>
      </c>
      <c r="M944">
        <v>0.19400000000000001</v>
      </c>
      <c r="N944">
        <v>1</v>
      </c>
      <c r="O944">
        <v>1</v>
      </c>
      <c r="P944">
        <v>2</v>
      </c>
      <c r="Q944" t="str">
        <f t="shared" si="112"/>
        <v>Complete</v>
      </c>
      <c r="R944">
        <f t="shared" si="119"/>
        <v>0.13639999999999999</v>
      </c>
      <c r="S944">
        <f t="shared" si="113"/>
        <v>2011</v>
      </c>
      <c r="T944" t="str">
        <f t="shared" si="114"/>
        <v/>
      </c>
      <c r="U944" t="str">
        <f t="shared" si="115"/>
        <v>Saturday</v>
      </c>
      <c r="V944" t="str">
        <f t="shared" si="116"/>
        <v>Morning</v>
      </c>
      <c r="W944" t="str">
        <f t="shared" si="117"/>
        <v>Spring</v>
      </c>
      <c r="X944" t="str">
        <f t="shared" si="118"/>
        <v>Clear</v>
      </c>
    </row>
    <row r="945" spans="1:24">
      <c r="A945">
        <v>953</v>
      </c>
      <c r="B945" s="2">
        <v>40586</v>
      </c>
      <c r="C945">
        <v>1</v>
      </c>
      <c r="D945">
        <v>0</v>
      </c>
      <c r="E945">
        <v>2</v>
      </c>
      <c r="F945">
        <v>7</v>
      </c>
      <c r="G945" t="b">
        <v>0</v>
      </c>
      <c r="H945">
        <v>6</v>
      </c>
      <c r="I945">
        <v>1</v>
      </c>
      <c r="J945">
        <v>0.12</v>
      </c>
      <c r="K945">
        <v>0.1515</v>
      </c>
      <c r="L945">
        <v>0.8</v>
      </c>
      <c r="M945">
        <v>0.1045</v>
      </c>
      <c r="N945">
        <v>2</v>
      </c>
      <c r="O945">
        <v>9</v>
      </c>
      <c r="P945">
        <v>11</v>
      </c>
      <c r="Q945" t="str">
        <f t="shared" si="112"/>
        <v>Complete</v>
      </c>
      <c r="R945">
        <f t="shared" si="119"/>
        <v>0.1515</v>
      </c>
      <c r="S945">
        <f t="shared" si="113"/>
        <v>2011</v>
      </c>
      <c r="T945" t="str">
        <f t="shared" si="114"/>
        <v/>
      </c>
      <c r="U945" t="str">
        <f t="shared" si="115"/>
        <v>Saturday</v>
      </c>
      <c r="V945" t="str">
        <f t="shared" si="116"/>
        <v>Morning</v>
      </c>
      <c r="W945" t="str">
        <f t="shared" si="117"/>
        <v>Spring</v>
      </c>
      <c r="X945" t="str">
        <f t="shared" si="118"/>
        <v>Clear</v>
      </c>
    </row>
    <row r="946" spans="1:24">
      <c r="A946">
        <v>954</v>
      </c>
      <c r="B946" s="2">
        <v>40586</v>
      </c>
      <c r="C946">
        <v>1</v>
      </c>
      <c r="D946">
        <v>0</v>
      </c>
      <c r="E946">
        <v>2</v>
      </c>
      <c r="F946">
        <v>8</v>
      </c>
      <c r="G946" t="b">
        <v>0</v>
      </c>
      <c r="H946">
        <v>6</v>
      </c>
      <c r="I946">
        <v>1</v>
      </c>
      <c r="J946">
        <v>0.14000000000000001</v>
      </c>
      <c r="K946">
        <v>0.1515</v>
      </c>
      <c r="L946">
        <v>0.86</v>
      </c>
      <c r="M946">
        <v>0.1343</v>
      </c>
      <c r="N946">
        <v>2</v>
      </c>
      <c r="O946">
        <v>28</v>
      </c>
      <c r="P946">
        <v>30</v>
      </c>
      <c r="Q946" t="str">
        <f t="shared" si="112"/>
        <v>Complete</v>
      </c>
      <c r="R946">
        <f t="shared" si="119"/>
        <v>0.1515</v>
      </c>
      <c r="S946">
        <f t="shared" si="113"/>
        <v>2011</v>
      </c>
      <c r="T946" t="str">
        <f t="shared" si="114"/>
        <v/>
      </c>
      <c r="U946" t="str">
        <f t="shared" si="115"/>
        <v>Saturday</v>
      </c>
      <c r="V946" t="str">
        <f t="shared" si="116"/>
        <v>Morning</v>
      </c>
      <c r="W946" t="str">
        <f t="shared" si="117"/>
        <v>Spring</v>
      </c>
      <c r="X946" t="str">
        <f t="shared" si="118"/>
        <v>Clear</v>
      </c>
    </row>
    <row r="947" spans="1:24">
      <c r="A947">
        <v>955</v>
      </c>
      <c r="B947" s="2">
        <v>40586</v>
      </c>
      <c r="C947">
        <v>1</v>
      </c>
      <c r="D947">
        <v>0</v>
      </c>
      <c r="E947">
        <v>2</v>
      </c>
      <c r="F947">
        <v>9</v>
      </c>
      <c r="G947" t="b">
        <v>0</v>
      </c>
      <c r="H947">
        <v>6</v>
      </c>
      <c r="I947">
        <v>1</v>
      </c>
      <c r="J947">
        <v>0.16</v>
      </c>
      <c r="K947">
        <v>0.18179999999999999</v>
      </c>
      <c r="L947">
        <v>0.64</v>
      </c>
      <c r="M947">
        <v>0.1343</v>
      </c>
      <c r="N947">
        <v>5</v>
      </c>
      <c r="O947">
        <v>38</v>
      </c>
      <c r="P947">
        <v>43</v>
      </c>
      <c r="Q947" t="str">
        <f t="shared" si="112"/>
        <v>Complete</v>
      </c>
      <c r="R947">
        <f t="shared" si="119"/>
        <v>0.18179999999999999</v>
      </c>
      <c r="S947">
        <f t="shared" si="113"/>
        <v>2011</v>
      </c>
      <c r="T947" t="str">
        <f t="shared" si="114"/>
        <v/>
      </c>
      <c r="U947" t="str">
        <f t="shared" si="115"/>
        <v>Saturday</v>
      </c>
      <c r="V947" t="str">
        <f t="shared" si="116"/>
        <v>Morning</v>
      </c>
      <c r="W947" t="str">
        <f t="shared" si="117"/>
        <v>Spring</v>
      </c>
      <c r="X947" t="str">
        <f t="shared" si="118"/>
        <v>Clear</v>
      </c>
    </row>
    <row r="948" spans="1:24">
      <c r="A948">
        <v>956</v>
      </c>
      <c r="B948" s="2">
        <v>40586</v>
      </c>
      <c r="C948">
        <v>1</v>
      </c>
      <c r="D948">
        <v>0</v>
      </c>
      <c r="E948">
        <v>2</v>
      </c>
      <c r="F948">
        <v>10</v>
      </c>
      <c r="G948" t="b">
        <v>0</v>
      </c>
      <c r="H948">
        <v>6</v>
      </c>
      <c r="I948">
        <v>1</v>
      </c>
      <c r="J948">
        <v>0.22</v>
      </c>
      <c r="K948">
        <v>0.21210000000000001</v>
      </c>
      <c r="L948">
        <v>0.41</v>
      </c>
      <c r="M948">
        <v>0.25369999999999998</v>
      </c>
      <c r="N948">
        <v>13</v>
      </c>
      <c r="O948">
        <v>71</v>
      </c>
      <c r="P948">
        <v>84</v>
      </c>
      <c r="Q948" t="str">
        <f t="shared" si="112"/>
        <v>Complete</v>
      </c>
      <c r="R948">
        <f t="shared" si="119"/>
        <v>0.21210000000000001</v>
      </c>
      <c r="S948">
        <f t="shared" si="113"/>
        <v>2011</v>
      </c>
      <c r="T948" t="str">
        <f t="shared" si="114"/>
        <v/>
      </c>
      <c r="U948" t="str">
        <f t="shared" si="115"/>
        <v>Saturday</v>
      </c>
      <c r="V948" t="str">
        <f t="shared" si="116"/>
        <v>Morning</v>
      </c>
      <c r="W948" t="str">
        <f t="shared" si="117"/>
        <v>Spring</v>
      </c>
      <c r="X948" t="str">
        <f t="shared" si="118"/>
        <v>Clear</v>
      </c>
    </row>
    <row r="949" spans="1:24">
      <c r="A949">
        <v>957</v>
      </c>
      <c r="B949" s="2">
        <v>40586</v>
      </c>
      <c r="C949">
        <v>1</v>
      </c>
      <c r="D949">
        <v>0</v>
      </c>
      <c r="E949">
        <v>2</v>
      </c>
      <c r="F949">
        <v>11</v>
      </c>
      <c r="G949" t="b">
        <v>0</v>
      </c>
      <c r="H949">
        <v>6</v>
      </c>
      <c r="I949">
        <v>1</v>
      </c>
      <c r="J949">
        <v>0.3</v>
      </c>
      <c r="K949">
        <v>0.2727</v>
      </c>
      <c r="L949">
        <v>0.28000000000000003</v>
      </c>
      <c r="M949">
        <v>0.32840000000000003</v>
      </c>
      <c r="N949">
        <v>30</v>
      </c>
      <c r="O949">
        <v>84</v>
      </c>
      <c r="P949">
        <v>114</v>
      </c>
      <c r="Q949" t="str">
        <f t="shared" si="112"/>
        <v>Complete</v>
      </c>
      <c r="R949">
        <f t="shared" si="119"/>
        <v>0.2727</v>
      </c>
      <c r="S949">
        <f t="shared" si="113"/>
        <v>2011</v>
      </c>
      <c r="T949" t="str">
        <f t="shared" si="114"/>
        <v/>
      </c>
      <c r="U949" t="str">
        <f t="shared" si="115"/>
        <v>Saturday</v>
      </c>
      <c r="V949" t="str">
        <f t="shared" si="116"/>
        <v>Morning</v>
      </c>
      <c r="W949" t="str">
        <f t="shared" si="117"/>
        <v>Spring</v>
      </c>
      <c r="X949" t="str">
        <f t="shared" si="118"/>
        <v>Clear</v>
      </c>
    </row>
    <row r="950" spans="1:24">
      <c r="A950">
        <v>958</v>
      </c>
      <c r="B950" s="2">
        <v>40586</v>
      </c>
      <c r="C950">
        <v>1</v>
      </c>
      <c r="D950">
        <v>0</v>
      </c>
      <c r="E950">
        <v>2</v>
      </c>
      <c r="F950">
        <v>12</v>
      </c>
      <c r="G950" t="b">
        <v>0</v>
      </c>
      <c r="H950">
        <v>6</v>
      </c>
      <c r="I950">
        <v>1</v>
      </c>
      <c r="J950">
        <v>0.3</v>
      </c>
      <c r="K950">
        <v>0.2727</v>
      </c>
      <c r="L950">
        <v>0.39</v>
      </c>
      <c r="M950">
        <v>0.4627</v>
      </c>
      <c r="N950">
        <v>27</v>
      </c>
      <c r="O950">
        <v>93</v>
      </c>
      <c r="P950">
        <v>120</v>
      </c>
      <c r="Q950" t="str">
        <f t="shared" si="112"/>
        <v>Complete</v>
      </c>
      <c r="R950">
        <f t="shared" si="119"/>
        <v>0.2727</v>
      </c>
      <c r="S950">
        <f t="shared" si="113"/>
        <v>2011</v>
      </c>
      <c r="T950" t="str">
        <f t="shared" si="114"/>
        <v/>
      </c>
      <c r="U950" t="str">
        <f t="shared" si="115"/>
        <v>Saturday</v>
      </c>
      <c r="V950" t="str">
        <f t="shared" si="116"/>
        <v>Afternoon</v>
      </c>
      <c r="W950" t="str">
        <f t="shared" si="117"/>
        <v>Spring</v>
      </c>
      <c r="X950" t="str">
        <f t="shared" si="118"/>
        <v>Clear</v>
      </c>
    </row>
    <row r="951" spans="1:24">
      <c r="A951">
        <v>959</v>
      </c>
      <c r="B951" s="2">
        <v>40586</v>
      </c>
      <c r="C951">
        <v>1</v>
      </c>
      <c r="D951">
        <v>0</v>
      </c>
      <c r="E951">
        <v>2</v>
      </c>
      <c r="F951">
        <v>13</v>
      </c>
      <c r="G951" t="b">
        <v>0</v>
      </c>
      <c r="H951">
        <v>6</v>
      </c>
      <c r="I951">
        <v>1</v>
      </c>
      <c r="J951">
        <v>0.3</v>
      </c>
      <c r="K951">
        <v>0.2727</v>
      </c>
      <c r="L951">
        <v>0.39</v>
      </c>
      <c r="M951">
        <v>0.41789999999999999</v>
      </c>
      <c r="N951">
        <v>32</v>
      </c>
      <c r="O951">
        <v>103</v>
      </c>
      <c r="P951">
        <v>135</v>
      </c>
      <c r="Q951" t="str">
        <f t="shared" si="112"/>
        <v>Complete</v>
      </c>
      <c r="R951">
        <f t="shared" si="119"/>
        <v>0.2727</v>
      </c>
      <c r="S951">
        <f t="shared" si="113"/>
        <v>2011</v>
      </c>
      <c r="T951" t="str">
        <f t="shared" si="114"/>
        <v/>
      </c>
      <c r="U951" t="str">
        <f t="shared" si="115"/>
        <v>Saturday</v>
      </c>
      <c r="V951" t="str">
        <f t="shared" si="116"/>
        <v>Afternoon</v>
      </c>
      <c r="W951" t="str">
        <f t="shared" si="117"/>
        <v>Spring</v>
      </c>
      <c r="X951" t="str">
        <f t="shared" si="118"/>
        <v>Clear</v>
      </c>
    </row>
    <row r="952" spans="1:24">
      <c r="A952">
        <v>960</v>
      </c>
      <c r="B952" s="2">
        <v>40586</v>
      </c>
      <c r="C952">
        <v>1</v>
      </c>
      <c r="D952">
        <v>0</v>
      </c>
      <c r="E952">
        <v>2</v>
      </c>
      <c r="F952">
        <v>14</v>
      </c>
      <c r="G952" t="b">
        <v>0</v>
      </c>
      <c r="H952">
        <v>6</v>
      </c>
      <c r="I952">
        <v>1</v>
      </c>
      <c r="J952">
        <v>0.34</v>
      </c>
      <c r="K952">
        <v>0.31819999999999998</v>
      </c>
      <c r="L952">
        <v>0.31</v>
      </c>
      <c r="M952">
        <v>0.28360000000000002</v>
      </c>
      <c r="N952">
        <v>30</v>
      </c>
      <c r="O952">
        <v>90</v>
      </c>
      <c r="P952">
        <v>120</v>
      </c>
      <c r="Q952" t="str">
        <f t="shared" si="112"/>
        <v>Complete</v>
      </c>
      <c r="R952">
        <f t="shared" si="119"/>
        <v>0.31819999999999998</v>
      </c>
      <c r="S952">
        <f t="shared" si="113"/>
        <v>2011</v>
      </c>
      <c r="T952" t="str">
        <f t="shared" si="114"/>
        <v/>
      </c>
      <c r="U952" t="str">
        <f t="shared" si="115"/>
        <v>Saturday</v>
      </c>
      <c r="V952" t="str">
        <f t="shared" si="116"/>
        <v>Afternoon</v>
      </c>
      <c r="W952" t="str">
        <f t="shared" si="117"/>
        <v>Spring</v>
      </c>
      <c r="X952" t="str">
        <f t="shared" si="118"/>
        <v>Clear</v>
      </c>
    </row>
    <row r="953" spans="1:24">
      <c r="A953">
        <v>961</v>
      </c>
      <c r="B953" s="2">
        <v>40586</v>
      </c>
      <c r="C953">
        <v>1</v>
      </c>
      <c r="D953">
        <v>0</v>
      </c>
      <c r="E953">
        <v>2</v>
      </c>
      <c r="F953">
        <v>15</v>
      </c>
      <c r="G953" t="b">
        <v>0</v>
      </c>
      <c r="H953">
        <v>6</v>
      </c>
      <c r="I953">
        <v>1</v>
      </c>
      <c r="J953">
        <v>0.34</v>
      </c>
      <c r="K953">
        <v>0.30299999999999999</v>
      </c>
      <c r="L953">
        <v>0.28999999999999998</v>
      </c>
      <c r="M953">
        <v>0.41789999999999999</v>
      </c>
      <c r="N953">
        <v>47</v>
      </c>
      <c r="O953">
        <v>127</v>
      </c>
      <c r="P953">
        <v>174</v>
      </c>
      <c r="Q953" t="str">
        <f t="shared" si="112"/>
        <v>Complete</v>
      </c>
      <c r="R953">
        <f t="shared" si="119"/>
        <v>0.30299999999999999</v>
      </c>
      <c r="S953">
        <f t="shared" si="113"/>
        <v>2011</v>
      </c>
      <c r="T953" t="str">
        <f t="shared" si="114"/>
        <v/>
      </c>
      <c r="U953" t="str">
        <f t="shared" si="115"/>
        <v>Saturday</v>
      </c>
      <c r="V953" t="str">
        <f t="shared" si="116"/>
        <v>Afternoon</v>
      </c>
      <c r="W953" t="str">
        <f t="shared" si="117"/>
        <v>Spring</v>
      </c>
      <c r="X953" t="str">
        <f t="shared" si="118"/>
        <v>Clear</v>
      </c>
    </row>
    <row r="954" spans="1:24">
      <c r="A954">
        <v>962</v>
      </c>
      <c r="B954" s="2">
        <v>40586</v>
      </c>
      <c r="C954">
        <v>1</v>
      </c>
      <c r="D954">
        <v>0</v>
      </c>
      <c r="E954">
        <v>2</v>
      </c>
      <c r="F954">
        <v>16</v>
      </c>
      <c r="G954" t="b">
        <v>0</v>
      </c>
      <c r="H954">
        <v>6</v>
      </c>
      <c r="I954">
        <v>1</v>
      </c>
      <c r="J954">
        <v>0.34</v>
      </c>
      <c r="K954">
        <v>0.30299999999999999</v>
      </c>
      <c r="L954">
        <v>0.28999999999999998</v>
      </c>
      <c r="M954">
        <v>0.41789999999999999</v>
      </c>
      <c r="N954">
        <v>42</v>
      </c>
      <c r="O954">
        <v>103</v>
      </c>
      <c r="P954">
        <v>145</v>
      </c>
      <c r="Q954" t="str">
        <f t="shared" si="112"/>
        <v>Complete</v>
      </c>
      <c r="R954">
        <f t="shared" si="119"/>
        <v>0.30299999999999999</v>
      </c>
      <c r="S954">
        <f t="shared" si="113"/>
        <v>2011</v>
      </c>
      <c r="T954" t="str">
        <f t="shared" si="114"/>
        <v/>
      </c>
      <c r="U954" t="str">
        <f t="shared" si="115"/>
        <v>Saturday</v>
      </c>
      <c r="V954" t="str">
        <f t="shared" si="116"/>
        <v>Afternoon</v>
      </c>
      <c r="W954" t="str">
        <f t="shared" si="117"/>
        <v>Spring</v>
      </c>
      <c r="X954" t="str">
        <f t="shared" si="118"/>
        <v>Clear</v>
      </c>
    </row>
    <row r="955" spans="1:24">
      <c r="A955">
        <v>963</v>
      </c>
      <c r="B955" s="2">
        <v>40586</v>
      </c>
      <c r="C955">
        <v>1</v>
      </c>
      <c r="D955">
        <v>0</v>
      </c>
      <c r="E955">
        <v>2</v>
      </c>
      <c r="F955">
        <v>17</v>
      </c>
      <c r="G955" t="b">
        <v>0</v>
      </c>
      <c r="H955">
        <v>6</v>
      </c>
      <c r="I955">
        <v>1</v>
      </c>
      <c r="J955">
        <v>0.32</v>
      </c>
      <c r="K955">
        <v>0.28789999999999999</v>
      </c>
      <c r="L955">
        <v>0.31</v>
      </c>
      <c r="M955">
        <v>0.52239999999999998</v>
      </c>
      <c r="N955">
        <v>24</v>
      </c>
      <c r="O955">
        <v>113</v>
      </c>
      <c r="P955">
        <v>137</v>
      </c>
      <c r="Q955" t="str">
        <f t="shared" si="112"/>
        <v>Complete</v>
      </c>
      <c r="R955">
        <f t="shared" si="119"/>
        <v>0.28789999999999999</v>
      </c>
      <c r="S955">
        <f t="shared" si="113"/>
        <v>2011</v>
      </c>
      <c r="T955" t="str">
        <f t="shared" si="114"/>
        <v/>
      </c>
      <c r="U955" t="str">
        <f t="shared" si="115"/>
        <v>Saturday</v>
      </c>
      <c r="V955" t="str">
        <f t="shared" si="116"/>
        <v>Afternoon</v>
      </c>
      <c r="W955" t="str">
        <f t="shared" si="117"/>
        <v>Spring</v>
      </c>
      <c r="X955" t="str">
        <f t="shared" si="118"/>
        <v>Clear</v>
      </c>
    </row>
    <row r="956" spans="1:24">
      <c r="A956">
        <v>964</v>
      </c>
      <c r="B956" s="2">
        <v>40586</v>
      </c>
      <c r="C956">
        <v>1</v>
      </c>
      <c r="D956">
        <v>0</v>
      </c>
      <c r="E956">
        <v>2</v>
      </c>
      <c r="F956">
        <v>18</v>
      </c>
      <c r="G956" t="b">
        <v>0</v>
      </c>
      <c r="H956">
        <v>6</v>
      </c>
      <c r="I956">
        <v>1</v>
      </c>
      <c r="J956">
        <v>0.28000000000000003</v>
      </c>
      <c r="K956">
        <v>0.2576</v>
      </c>
      <c r="L956">
        <v>0.38</v>
      </c>
      <c r="M956">
        <v>0.32840000000000003</v>
      </c>
      <c r="N956">
        <v>4</v>
      </c>
      <c r="O956">
        <v>60</v>
      </c>
      <c r="P956">
        <v>64</v>
      </c>
      <c r="Q956" t="str">
        <f t="shared" si="112"/>
        <v>Complete</v>
      </c>
      <c r="R956">
        <f t="shared" si="119"/>
        <v>0.2576</v>
      </c>
      <c r="S956">
        <f t="shared" si="113"/>
        <v>2011</v>
      </c>
      <c r="T956" t="str">
        <f t="shared" si="114"/>
        <v/>
      </c>
      <c r="U956" t="str">
        <f t="shared" si="115"/>
        <v>Saturday</v>
      </c>
      <c r="V956" t="str">
        <f t="shared" si="116"/>
        <v>Evening</v>
      </c>
      <c r="W956" t="str">
        <f t="shared" si="117"/>
        <v>Spring</v>
      </c>
      <c r="X956" t="str">
        <f t="shared" si="118"/>
        <v>Clear</v>
      </c>
    </row>
    <row r="957" spans="1:24">
      <c r="A957">
        <v>965</v>
      </c>
      <c r="B957" s="2">
        <v>40586</v>
      </c>
      <c r="C957">
        <v>1</v>
      </c>
      <c r="D957">
        <v>0</v>
      </c>
      <c r="E957">
        <v>2</v>
      </c>
      <c r="F957">
        <v>19</v>
      </c>
      <c r="G957" t="b">
        <v>0</v>
      </c>
      <c r="H957">
        <v>6</v>
      </c>
      <c r="I957">
        <v>1</v>
      </c>
      <c r="J957">
        <v>0.28000000000000003</v>
      </c>
      <c r="K957">
        <v>0.2727</v>
      </c>
      <c r="L957">
        <v>0.38</v>
      </c>
      <c r="M957">
        <v>0.16420000000000001</v>
      </c>
      <c r="N957">
        <v>2</v>
      </c>
      <c r="O957">
        <v>39</v>
      </c>
      <c r="P957">
        <v>41</v>
      </c>
      <c r="Q957" t="str">
        <f t="shared" si="112"/>
        <v>Complete</v>
      </c>
      <c r="R957">
        <f t="shared" si="119"/>
        <v>0.2727</v>
      </c>
      <c r="S957">
        <f t="shared" si="113"/>
        <v>2011</v>
      </c>
      <c r="T957" t="str">
        <f t="shared" si="114"/>
        <v/>
      </c>
      <c r="U957" t="str">
        <f t="shared" si="115"/>
        <v>Saturday</v>
      </c>
      <c r="V957" t="str">
        <f t="shared" si="116"/>
        <v>Evening</v>
      </c>
      <c r="W957" t="str">
        <f t="shared" si="117"/>
        <v>Spring</v>
      </c>
      <c r="X957" t="str">
        <f t="shared" si="118"/>
        <v>Clear</v>
      </c>
    </row>
    <row r="958" spans="1:24">
      <c r="A958">
        <v>966</v>
      </c>
      <c r="B958" s="2">
        <v>40586</v>
      </c>
      <c r="C958">
        <v>1</v>
      </c>
      <c r="D958">
        <v>0</v>
      </c>
      <c r="E958">
        <v>2</v>
      </c>
      <c r="F958">
        <v>20</v>
      </c>
      <c r="G958" t="b">
        <v>0</v>
      </c>
      <c r="H958">
        <v>6</v>
      </c>
      <c r="I958">
        <v>1</v>
      </c>
      <c r="J958">
        <v>0.26</v>
      </c>
      <c r="K958">
        <v>0.2576</v>
      </c>
      <c r="L958">
        <v>0.41</v>
      </c>
      <c r="M958">
        <v>0.22389999999999999</v>
      </c>
      <c r="N958">
        <v>1</v>
      </c>
      <c r="O958">
        <v>39</v>
      </c>
      <c r="P958">
        <v>40</v>
      </c>
      <c r="Q958" t="str">
        <f t="shared" si="112"/>
        <v>Complete</v>
      </c>
      <c r="R958">
        <f t="shared" si="119"/>
        <v>0.2576</v>
      </c>
      <c r="S958">
        <f t="shared" si="113"/>
        <v>2011</v>
      </c>
      <c r="T958" t="str">
        <f t="shared" si="114"/>
        <v/>
      </c>
      <c r="U958" t="str">
        <f t="shared" si="115"/>
        <v>Saturday</v>
      </c>
      <c r="V958" t="str">
        <f t="shared" si="116"/>
        <v>Evening</v>
      </c>
      <c r="W958" t="str">
        <f t="shared" si="117"/>
        <v>Spring</v>
      </c>
      <c r="X958" t="str">
        <f t="shared" si="118"/>
        <v>Clear</v>
      </c>
    </row>
    <row r="959" spans="1:24">
      <c r="A959">
        <v>967</v>
      </c>
      <c r="B959" s="2">
        <v>40586</v>
      </c>
      <c r="C959">
        <v>1</v>
      </c>
      <c r="D959">
        <v>0</v>
      </c>
      <c r="E959">
        <v>2</v>
      </c>
      <c r="F959">
        <v>21</v>
      </c>
      <c r="G959" t="b">
        <v>0</v>
      </c>
      <c r="H959">
        <v>6</v>
      </c>
      <c r="I959">
        <v>1</v>
      </c>
      <c r="J959">
        <v>0.26</v>
      </c>
      <c r="K959">
        <v>0.30299999999999999</v>
      </c>
      <c r="L959">
        <v>0.41</v>
      </c>
      <c r="M959">
        <v>0</v>
      </c>
      <c r="N959">
        <v>9</v>
      </c>
      <c r="O959">
        <v>42</v>
      </c>
      <c r="P959">
        <v>51</v>
      </c>
      <c r="Q959" t="str">
        <f t="shared" si="112"/>
        <v>Complete</v>
      </c>
      <c r="R959">
        <f t="shared" si="119"/>
        <v>0.30299999999999999</v>
      </c>
      <c r="S959">
        <f t="shared" si="113"/>
        <v>2011</v>
      </c>
      <c r="T959" t="str">
        <f t="shared" si="114"/>
        <v/>
      </c>
      <c r="U959" t="str">
        <f t="shared" si="115"/>
        <v>Saturday</v>
      </c>
      <c r="V959" t="str">
        <f t="shared" si="116"/>
        <v>Evening</v>
      </c>
      <c r="W959" t="str">
        <f t="shared" si="117"/>
        <v>Spring</v>
      </c>
      <c r="X959" t="str">
        <f t="shared" si="118"/>
        <v>Clear</v>
      </c>
    </row>
    <row r="960" spans="1:24">
      <c r="A960">
        <v>968</v>
      </c>
      <c r="B960" s="2">
        <v>40586</v>
      </c>
      <c r="C960">
        <v>1</v>
      </c>
      <c r="D960">
        <v>0</v>
      </c>
      <c r="E960">
        <v>2</v>
      </c>
      <c r="F960">
        <v>22</v>
      </c>
      <c r="G960" t="b">
        <v>0</v>
      </c>
      <c r="H960">
        <v>6</v>
      </c>
      <c r="I960">
        <v>1</v>
      </c>
      <c r="J960">
        <v>0.24</v>
      </c>
      <c r="K960">
        <v>0.2576</v>
      </c>
      <c r="L960">
        <v>0.44</v>
      </c>
      <c r="M960">
        <v>8.9599999999999999E-2</v>
      </c>
      <c r="N960">
        <v>6</v>
      </c>
      <c r="O960">
        <v>39</v>
      </c>
      <c r="P960">
        <v>45</v>
      </c>
      <c r="Q960" t="str">
        <f t="shared" si="112"/>
        <v>Complete</v>
      </c>
      <c r="R960">
        <f t="shared" si="119"/>
        <v>0.2576</v>
      </c>
      <c r="S960">
        <f t="shared" si="113"/>
        <v>2011</v>
      </c>
      <c r="T960" t="str">
        <f t="shared" si="114"/>
        <v/>
      </c>
      <c r="U960" t="str">
        <f t="shared" si="115"/>
        <v>Saturday</v>
      </c>
      <c r="V960" t="str">
        <f t="shared" si="116"/>
        <v>Evening</v>
      </c>
      <c r="W960" t="str">
        <f t="shared" si="117"/>
        <v>Spring</v>
      </c>
      <c r="X960" t="str">
        <f t="shared" si="118"/>
        <v>Clear</v>
      </c>
    </row>
    <row r="961" spans="1:24">
      <c r="A961">
        <v>969</v>
      </c>
      <c r="B961" s="2">
        <v>40586</v>
      </c>
      <c r="C961">
        <v>1</v>
      </c>
      <c r="D961">
        <v>0</v>
      </c>
      <c r="E961">
        <v>2</v>
      </c>
      <c r="F961">
        <v>23</v>
      </c>
      <c r="G961" t="b">
        <v>0</v>
      </c>
      <c r="H961">
        <v>6</v>
      </c>
      <c r="I961">
        <v>1</v>
      </c>
      <c r="J961">
        <v>0.22</v>
      </c>
      <c r="K961">
        <v>0.2273</v>
      </c>
      <c r="L961">
        <v>0.51</v>
      </c>
      <c r="M961">
        <v>0.1343</v>
      </c>
      <c r="N961">
        <v>1</v>
      </c>
      <c r="O961">
        <v>31</v>
      </c>
      <c r="P961">
        <v>32</v>
      </c>
      <c r="Q961" t="str">
        <f t="shared" si="112"/>
        <v>Complete</v>
      </c>
      <c r="R961">
        <f t="shared" si="119"/>
        <v>0.2273</v>
      </c>
      <c r="S961">
        <f t="shared" si="113"/>
        <v>2011</v>
      </c>
      <c r="T961" t="str">
        <f t="shared" si="114"/>
        <v/>
      </c>
      <c r="U961" t="str">
        <f t="shared" si="115"/>
        <v>Saturday</v>
      </c>
      <c r="V961" t="str">
        <f t="shared" si="116"/>
        <v>Evening</v>
      </c>
      <c r="W961" t="str">
        <f t="shared" si="117"/>
        <v>Spring</v>
      </c>
      <c r="X961" t="str">
        <f t="shared" si="118"/>
        <v>Clear</v>
      </c>
    </row>
    <row r="962" spans="1:24">
      <c r="A962">
        <v>970</v>
      </c>
      <c r="B962" s="2">
        <v>40587</v>
      </c>
      <c r="C962">
        <v>1</v>
      </c>
      <c r="D962">
        <v>0</v>
      </c>
      <c r="E962">
        <v>2</v>
      </c>
      <c r="F962">
        <v>0</v>
      </c>
      <c r="G962" t="b">
        <v>0</v>
      </c>
      <c r="H962">
        <v>0</v>
      </c>
      <c r="I962">
        <v>1</v>
      </c>
      <c r="J962">
        <v>0.2</v>
      </c>
      <c r="K962">
        <v>0.2273</v>
      </c>
      <c r="L962">
        <v>0.64</v>
      </c>
      <c r="M962">
        <v>0.1045</v>
      </c>
      <c r="N962">
        <v>5</v>
      </c>
      <c r="O962">
        <v>34</v>
      </c>
      <c r="P962">
        <v>39</v>
      </c>
      <c r="Q962" t="str">
        <f t="shared" ref="Q962:Q1001" si="120">IF(K962="","Missing atemp","Complete")</f>
        <v>Complete</v>
      </c>
      <c r="R962">
        <f t="shared" si="119"/>
        <v>0.2273</v>
      </c>
      <c r="S962">
        <f t="shared" ref="S962:S1001" si="121">IF(D962=0,2011,"")</f>
        <v>2011</v>
      </c>
      <c r="T962" t="str">
        <f t="shared" ref="T962:T1001" si="122">IF(E962=1,"January","")</f>
        <v/>
      </c>
      <c r="U962" t="str">
        <f t="shared" ref="U962:U1001" si="123">IF(G962=TRUE,"Holiday",IF(H962=0,"Sunday",IF(H962=6,"Saturday","Weekday")))</f>
        <v>Sunday</v>
      </c>
      <c r="V962" t="str">
        <f t="shared" ref="V962:V1001" si="124">IF(F962&lt;6,"Night",IF(F962&lt;12,"Morning",IF(F962&lt;18,"Afternoon","Evening")))</f>
        <v>Night</v>
      </c>
      <c r="W962" t="str">
        <f t="shared" ref="W962:W1001" si="125">IF(C962=1,"Spring","")</f>
        <v>Spring</v>
      </c>
      <c r="X962" t="str">
        <f t="shared" ref="X962:X1001" si="126">IF(I962=1,"Clear",IF(I962=2,"Mist/Cloudy",IF(I962=3,"Light Rain/Snow",IF(I962=4,"Heavy Rain/Snow","Unknown"))))</f>
        <v>Clear</v>
      </c>
    </row>
    <row r="963" spans="1:24">
      <c r="A963">
        <v>971</v>
      </c>
      <c r="B963" s="2">
        <v>40587</v>
      </c>
      <c r="C963">
        <v>1</v>
      </c>
      <c r="D963">
        <v>0</v>
      </c>
      <c r="E963">
        <v>2</v>
      </c>
      <c r="F963">
        <v>1</v>
      </c>
      <c r="G963" t="b">
        <v>0</v>
      </c>
      <c r="H963">
        <v>0</v>
      </c>
      <c r="I963">
        <v>1</v>
      </c>
      <c r="J963">
        <v>0.2</v>
      </c>
      <c r="K963">
        <v>0.2273</v>
      </c>
      <c r="L963">
        <v>0.59</v>
      </c>
      <c r="M963">
        <v>8.9599999999999999E-2</v>
      </c>
      <c r="N963">
        <v>1</v>
      </c>
      <c r="O963">
        <v>23</v>
      </c>
      <c r="P963">
        <v>24</v>
      </c>
      <c r="Q963" t="str">
        <f t="shared" si="120"/>
        <v>Complete</v>
      </c>
      <c r="R963">
        <f t="shared" ref="R963:R1001" si="127">IF(K963="",J963,K963)</f>
        <v>0.2273</v>
      </c>
      <c r="S963">
        <f t="shared" si="121"/>
        <v>2011</v>
      </c>
      <c r="T963" t="str">
        <f t="shared" si="122"/>
        <v/>
      </c>
      <c r="U963" t="str">
        <f t="shared" si="123"/>
        <v>Sunday</v>
      </c>
      <c r="V963" t="str">
        <f t="shared" si="124"/>
        <v>Night</v>
      </c>
      <c r="W963" t="str">
        <f t="shared" si="125"/>
        <v>Spring</v>
      </c>
      <c r="X963" t="str">
        <f t="shared" si="126"/>
        <v>Clear</v>
      </c>
    </row>
    <row r="964" spans="1:24">
      <c r="A964">
        <v>972</v>
      </c>
      <c r="B964" s="2">
        <v>40587</v>
      </c>
      <c r="C964">
        <v>1</v>
      </c>
      <c r="D964">
        <v>0</v>
      </c>
      <c r="E964">
        <v>2</v>
      </c>
      <c r="F964">
        <v>2</v>
      </c>
      <c r="G964" t="b">
        <v>0</v>
      </c>
      <c r="H964">
        <v>0</v>
      </c>
      <c r="I964">
        <v>2</v>
      </c>
      <c r="J964">
        <v>0.2</v>
      </c>
      <c r="K964">
        <v>0.2273</v>
      </c>
      <c r="L964">
        <v>0.75</v>
      </c>
      <c r="M964">
        <v>8.9599999999999999E-2</v>
      </c>
      <c r="N964">
        <v>1</v>
      </c>
      <c r="O964">
        <v>19</v>
      </c>
      <c r="P964">
        <v>20</v>
      </c>
      <c r="Q964" t="str">
        <f t="shared" si="120"/>
        <v>Complete</v>
      </c>
      <c r="R964">
        <f t="shared" si="127"/>
        <v>0.2273</v>
      </c>
      <c r="S964">
        <f t="shared" si="121"/>
        <v>2011</v>
      </c>
      <c r="T964" t="str">
        <f t="shared" si="122"/>
        <v/>
      </c>
      <c r="U964" t="str">
        <f t="shared" si="123"/>
        <v>Sunday</v>
      </c>
      <c r="V964" t="str">
        <f t="shared" si="124"/>
        <v>Night</v>
      </c>
      <c r="W964" t="str">
        <f t="shared" si="125"/>
        <v>Spring</v>
      </c>
      <c r="X964" t="str">
        <f t="shared" si="126"/>
        <v>Mist/Cloudy</v>
      </c>
    </row>
    <row r="965" spans="1:24">
      <c r="A965">
        <v>973</v>
      </c>
      <c r="B965" s="2">
        <v>40587</v>
      </c>
      <c r="C965">
        <v>1</v>
      </c>
      <c r="D965">
        <v>0</v>
      </c>
      <c r="E965">
        <v>2</v>
      </c>
      <c r="F965">
        <v>3</v>
      </c>
      <c r="G965" t="b">
        <v>0</v>
      </c>
      <c r="H965">
        <v>0</v>
      </c>
      <c r="I965">
        <v>2</v>
      </c>
      <c r="J965">
        <v>0.2</v>
      </c>
      <c r="K965">
        <v>0.2273</v>
      </c>
      <c r="L965">
        <v>0.69</v>
      </c>
      <c r="M965">
        <v>0.1045</v>
      </c>
      <c r="N965">
        <v>4</v>
      </c>
      <c r="O965">
        <v>8</v>
      </c>
      <c r="P965">
        <v>12</v>
      </c>
      <c r="Q965" t="str">
        <f t="shared" si="120"/>
        <v>Complete</v>
      </c>
      <c r="R965">
        <f t="shared" si="127"/>
        <v>0.2273</v>
      </c>
      <c r="S965">
        <f t="shared" si="121"/>
        <v>2011</v>
      </c>
      <c r="T965" t="str">
        <f t="shared" si="122"/>
        <v/>
      </c>
      <c r="U965" t="str">
        <f t="shared" si="123"/>
        <v>Sunday</v>
      </c>
      <c r="V965" t="str">
        <f t="shared" si="124"/>
        <v>Night</v>
      </c>
      <c r="W965" t="str">
        <f t="shared" si="125"/>
        <v>Spring</v>
      </c>
      <c r="X965" t="str">
        <f t="shared" si="126"/>
        <v>Mist/Cloudy</v>
      </c>
    </row>
    <row r="966" spans="1:24">
      <c r="A966">
        <v>974</v>
      </c>
      <c r="B966" s="2">
        <v>40587</v>
      </c>
      <c r="C966">
        <v>1</v>
      </c>
      <c r="D966">
        <v>0</v>
      </c>
      <c r="E966">
        <v>2</v>
      </c>
      <c r="F966">
        <v>4</v>
      </c>
      <c r="G966" t="b">
        <v>0</v>
      </c>
      <c r="H966">
        <v>0</v>
      </c>
      <c r="I966">
        <v>2</v>
      </c>
      <c r="J966">
        <v>0.2</v>
      </c>
      <c r="K966">
        <v>0.21210000000000001</v>
      </c>
      <c r="L966">
        <v>0.69</v>
      </c>
      <c r="M966">
        <v>0.16420000000000001</v>
      </c>
      <c r="N966">
        <v>0</v>
      </c>
      <c r="O966">
        <v>2</v>
      </c>
      <c r="P966">
        <v>2</v>
      </c>
      <c r="Q966" t="str">
        <f t="shared" si="120"/>
        <v>Complete</v>
      </c>
      <c r="R966">
        <f t="shared" si="127"/>
        <v>0.21210000000000001</v>
      </c>
      <c r="S966">
        <f t="shared" si="121"/>
        <v>2011</v>
      </c>
      <c r="T966" t="str">
        <f t="shared" si="122"/>
        <v/>
      </c>
      <c r="U966" t="str">
        <f t="shared" si="123"/>
        <v>Sunday</v>
      </c>
      <c r="V966" t="str">
        <f t="shared" si="124"/>
        <v>Night</v>
      </c>
      <c r="W966" t="str">
        <f t="shared" si="125"/>
        <v>Spring</v>
      </c>
      <c r="X966" t="str">
        <f t="shared" si="126"/>
        <v>Mist/Cloudy</v>
      </c>
    </row>
    <row r="967" spans="1:24">
      <c r="A967">
        <v>975</v>
      </c>
      <c r="B967" s="2">
        <v>40587</v>
      </c>
      <c r="C967">
        <v>1</v>
      </c>
      <c r="D967">
        <v>0</v>
      </c>
      <c r="E967">
        <v>2</v>
      </c>
      <c r="F967">
        <v>6</v>
      </c>
      <c r="G967" t="b">
        <v>0</v>
      </c>
      <c r="H967">
        <v>0</v>
      </c>
      <c r="I967">
        <v>2</v>
      </c>
      <c r="J967">
        <v>0.2</v>
      </c>
      <c r="K967">
        <v>0.21210000000000001</v>
      </c>
      <c r="L967">
        <v>0.69</v>
      </c>
      <c r="M967">
        <v>0.1343</v>
      </c>
      <c r="N967">
        <v>2</v>
      </c>
      <c r="O967">
        <v>3</v>
      </c>
      <c r="P967">
        <v>5</v>
      </c>
      <c r="Q967" t="str">
        <f t="shared" si="120"/>
        <v>Complete</v>
      </c>
      <c r="R967">
        <f t="shared" si="127"/>
        <v>0.21210000000000001</v>
      </c>
      <c r="S967">
        <f t="shared" si="121"/>
        <v>2011</v>
      </c>
      <c r="T967" t="str">
        <f t="shared" si="122"/>
        <v/>
      </c>
      <c r="U967" t="str">
        <f t="shared" si="123"/>
        <v>Sunday</v>
      </c>
      <c r="V967" t="str">
        <f t="shared" si="124"/>
        <v>Morning</v>
      </c>
      <c r="W967" t="str">
        <f t="shared" si="125"/>
        <v>Spring</v>
      </c>
      <c r="X967" t="str">
        <f t="shared" si="126"/>
        <v>Mist/Cloudy</v>
      </c>
    </row>
    <row r="968" spans="1:24">
      <c r="A968">
        <v>976</v>
      </c>
      <c r="B968" s="2">
        <v>40587</v>
      </c>
      <c r="C968">
        <v>1</v>
      </c>
      <c r="D968">
        <v>0</v>
      </c>
      <c r="E968">
        <v>2</v>
      </c>
      <c r="F968">
        <v>7</v>
      </c>
      <c r="G968" t="b">
        <v>0</v>
      </c>
      <c r="H968">
        <v>0</v>
      </c>
      <c r="I968">
        <v>2</v>
      </c>
      <c r="J968">
        <v>0.22</v>
      </c>
      <c r="K968">
        <v>0.2727</v>
      </c>
      <c r="L968">
        <v>0.55000000000000004</v>
      </c>
      <c r="M968">
        <v>0</v>
      </c>
      <c r="N968">
        <v>0</v>
      </c>
      <c r="O968">
        <v>3</v>
      </c>
      <c r="P968">
        <v>3</v>
      </c>
      <c r="Q968" t="str">
        <f t="shared" si="120"/>
        <v>Complete</v>
      </c>
      <c r="R968">
        <f t="shared" si="127"/>
        <v>0.2727</v>
      </c>
      <c r="S968">
        <f t="shared" si="121"/>
        <v>2011</v>
      </c>
      <c r="T968" t="str">
        <f t="shared" si="122"/>
        <v/>
      </c>
      <c r="U968" t="str">
        <f t="shared" si="123"/>
        <v>Sunday</v>
      </c>
      <c r="V968" t="str">
        <f t="shared" si="124"/>
        <v>Morning</v>
      </c>
      <c r="W968" t="str">
        <f t="shared" si="125"/>
        <v>Spring</v>
      </c>
      <c r="X968" t="str">
        <f t="shared" si="126"/>
        <v>Mist/Cloudy</v>
      </c>
    </row>
    <row r="969" spans="1:24">
      <c r="A969">
        <v>977</v>
      </c>
      <c r="B969" s="2">
        <v>40587</v>
      </c>
      <c r="C969">
        <v>1</v>
      </c>
      <c r="D969">
        <v>0</v>
      </c>
      <c r="E969">
        <v>2</v>
      </c>
      <c r="F969">
        <v>8</v>
      </c>
      <c r="G969" t="b">
        <v>0</v>
      </c>
      <c r="H969">
        <v>0</v>
      </c>
      <c r="I969">
        <v>2</v>
      </c>
      <c r="J969">
        <v>0.22</v>
      </c>
      <c r="K969">
        <v>0.2273</v>
      </c>
      <c r="L969">
        <v>0.64</v>
      </c>
      <c r="M969">
        <v>0.19400000000000001</v>
      </c>
      <c r="N969">
        <v>1</v>
      </c>
      <c r="O969">
        <v>11</v>
      </c>
      <c r="P969">
        <v>12</v>
      </c>
      <c r="Q969" t="str">
        <f t="shared" si="120"/>
        <v>Complete</v>
      </c>
      <c r="R969">
        <f t="shared" si="127"/>
        <v>0.2273</v>
      </c>
      <c r="S969">
        <f t="shared" si="121"/>
        <v>2011</v>
      </c>
      <c r="T969" t="str">
        <f t="shared" si="122"/>
        <v/>
      </c>
      <c r="U969" t="str">
        <f t="shared" si="123"/>
        <v>Sunday</v>
      </c>
      <c r="V969" t="str">
        <f t="shared" si="124"/>
        <v>Morning</v>
      </c>
      <c r="W969" t="str">
        <f t="shared" si="125"/>
        <v>Spring</v>
      </c>
      <c r="X969" t="str">
        <f t="shared" si="126"/>
        <v>Mist/Cloudy</v>
      </c>
    </row>
    <row r="970" spans="1:24">
      <c r="A970">
        <v>978</v>
      </c>
      <c r="B970" s="2">
        <v>40587</v>
      </c>
      <c r="C970">
        <v>1</v>
      </c>
      <c r="D970">
        <v>0</v>
      </c>
      <c r="E970">
        <v>2</v>
      </c>
      <c r="F970">
        <v>9</v>
      </c>
      <c r="G970" t="b">
        <v>0</v>
      </c>
      <c r="H970">
        <v>0</v>
      </c>
      <c r="I970">
        <v>2</v>
      </c>
      <c r="J970">
        <v>0.24</v>
      </c>
      <c r="K970">
        <v>0.2273</v>
      </c>
      <c r="L970">
        <v>0.6</v>
      </c>
      <c r="M970">
        <v>0.22389999999999999</v>
      </c>
      <c r="N970">
        <v>12</v>
      </c>
      <c r="O970">
        <v>35</v>
      </c>
      <c r="P970">
        <v>47</v>
      </c>
      <c r="Q970" t="str">
        <f t="shared" si="120"/>
        <v>Complete</v>
      </c>
      <c r="R970">
        <f t="shared" si="127"/>
        <v>0.2273</v>
      </c>
      <c r="S970">
        <f t="shared" si="121"/>
        <v>2011</v>
      </c>
      <c r="T970" t="str">
        <f t="shared" si="122"/>
        <v/>
      </c>
      <c r="U970" t="str">
        <f t="shared" si="123"/>
        <v>Sunday</v>
      </c>
      <c r="V970" t="str">
        <f t="shared" si="124"/>
        <v>Morning</v>
      </c>
      <c r="W970" t="str">
        <f t="shared" si="125"/>
        <v>Spring</v>
      </c>
      <c r="X970" t="str">
        <f t="shared" si="126"/>
        <v>Mist/Cloudy</v>
      </c>
    </row>
    <row r="971" spans="1:24">
      <c r="A971">
        <v>979</v>
      </c>
      <c r="B971" s="2">
        <v>40587</v>
      </c>
      <c r="C971">
        <v>1</v>
      </c>
      <c r="D971">
        <v>0</v>
      </c>
      <c r="E971">
        <v>2</v>
      </c>
      <c r="F971">
        <v>10</v>
      </c>
      <c r="G971" t="b">
        <v>0</v>
      </c>
      <c r="H971">
        <v>0</v>
      </c>
      <c r="I971">
        <v>1</v>
      </c>
      <c r="J971">
        <v>0.3</v>
      </c>
      <c r="K971">
        <v>0.2727</v>
      </c>
      <c r="L971">
        <v>0.45</v>
      </c>
      <c r="M971">
        <v>0.32840000000000003</v>
      </c>
      <c r="N971">
        <v>19</v>
      </c>
      <c r="O971">
        <v>86</v>
      </c>
      <c r="P971">
        <v>105</v>
      </c>
      <c r="Q971" t="str">
        <f t="shared" si="120"/>
        <v>Complete</v>
      </c>
      <c r="R971">
        <f t="shared" si="127"/>
        <v>0.2727</v>
      </c>
      <c r="S971">
        <f t="shared" si="121"/>
        <v>2011</v>
      </c>
      <c r="T971" t="str">
        <f t="shared" si="122"/>
        <v/>
      </c>
      <c r="U971" t="str">
        <f t="shared" si="123"/>
        <v>Sunday</v>
      </c>
      <c r="V971" t="str">
        <f t="shared" si="124"/>
        <v>Morning</v>
      </c>
      <c r="W971" t="str">
        <f t="shared" si="125"/>
        <v>Spring</v>
      </c>
      <c r="X971" t="str">
        <f t="shared" si="126"/>
        <v>Clear</v>
      </c>
    </row>
    <row r="972" spans="1:24">
      <c r="A972">
        <v>980</v>
      </c>
      <c r="B972" s="2">
        <v>40587</v>
      </c>
      <c r="C972">
        <v>1</v>
      </c>
      <c r="D972">
        <v>0</v>
      </c>
      <c r="E972">
        <v>2</v>
      </c>
      <c r="F972">
        <v>11</v>
      </c>
      <c r="G972" t="b">
        <v>0</v>
      </c>
      <c r="H972">
        <v>0</v>
      </c>
      <c r="I972">
        <v>1</v>
      </c>
      <c r="J972">
        <v>0.32</v>
      </c>
      <c r="K972">
        <v>0.28789999999999999</v>
      </c>
      <c r="L972">
        <v>0.39</v>
      </c>
      <c r="M972">
        <v>0.44779999999999998</v>
      </c>
      <c r="N972">
        <v>26</v>
      </c>
      <c r="O972">
        <v>86</v>
      </c>
      <c r="P972">
        <v>112</v>
      </c>
      <c r="Q972" t="str">
        <f t="shared" si="120"/>
        <v>Complete</v>
      </c>
      <c r="R972">
        <f t="shared" si="127"/>
        <v>0.28789999999999999</v>
      </c>
      <c r="S972">
        <f t="shared" si="121"/>
        <v>2011</v>
      </c>
      <c r="T972" t="str">
        <f t="shared" si="122"/>
        <v/>
      </c>
      <c r="U972" t="str">
        <f t="shared" si="123"/>
        <v>Sunday</v>
      </c>
      <c r="V972" t="str">
        <f t="shared" si="124"/>
        <v>Morning</v>
      </c>
      <c r="W972" t="str">
        <f t="shared" si="125"/>
        <v>Spring</v>
      </c>
      <c r="X972" t="str">
        <f t="shared" si="126"/>
        <v>Clear</v>
      </c>
    </row>
    <row r="973" spans="1:24">
      <c r="A973">
        <v>981</v>
      </c>
      <c r="B973" s="2">
        <v>40587</v>
      </c>
      <c r="C973">
        <v>1</v>
      </c>
      <c r="D973">
        <v>0</v>
      </c>
      <c r="E973">
        <v>2</v>
      </c>
      <c r="F973">
        <v>12</v>
      </c>
      <c r="G973" t="b">
        <v>0</v>
      </c>
      <c r="H973">
        <v>0</v>
      </c>
      <c r="I973">
        <v>1</v>
      </c>
      <c r="J973">
        <v>0.36</v>
      </c>
      <c r="K973">
        <v>0.31819999999999998</v>
      </c>
      <c r="L973">
        <v>0.32</v>
      </c>
      <c r="M973">
        <v>0.4627</v>
      </c>
      <c r="N973">
        <v>58</v>
      </c>
      <c r="O973">
        <v>94</v>
      </c>
      <c r="P973">
        <v>152</v>
      </c>
      <c r="Q973" t="str">
        <f t="shared" si="120"/>
        <v>Complete</v>
      </c>
      <c r="R973">
        <f t="shared" si="127"/>
        <v>0.31819999999999998</v>
      </c>
      <c r="S973">
        <f t="shared" si="121"/>
        <v>2011</v>
      </c>
      <c r="T973" t="str">
        <f t="shared" si="122"/>
        <v/>
      </c>
      <c r="U973" t="str">
        <f t="shared" si="123"/>
        <v>Sunday</v>
      </c>
      <c r="V973" t="str">
        <f t="shared" si="124"/>
        <v>Afternoon</v>
      </c>
      <c r="W973" t="str">
        <f t="shared" si="125"/>
        <v>Spring</v>
      </c>
      <c r="X973" t="str">
        <f t="shared" si="126"/>
        <v>Clear</v>
      </c>
    </row>
    <row r="974" spans="1:24">
      <c r="A974">
        <v>982</v>
      </c>
      <c r="B974" s="2">
        <v>40587</v>
      </c>
      <c r="C974">
        <v>1</v>
      </c>
      <c r="D974">
        <v>0</v>
      </c>
      <c r="E974">
        <v>2</v>
      </c>
      <c r="F974">
        <v>13</v>
      </c>
      <c r="G974" t="b">
        <v>0</v>
      </c>
      <c r="H974">
        <v>0</v>
      </c>
      <c r="I974">
        <v>1</v>
      </c>
      <c r="J974">
        <v>0.38</v>
      </c>
      <c r="K974">
        <v>0.39389999999999997</v>
      </c>
      <c r="L974">
        <v>0.28999999999999998</v>
      </c>
      <c r="M974">
        <v>0.35820000000000002</v>
      </c>
      <c r="N974">
        <v>62</v>
      </c>
      <c r="O974">
        <v>92</v>
      </c>
      <c r="P974">
        <v>154</v>
      </c>
      <c r="Q974" t="str">
        <f t="shared" si="120"/>
        <v>Complete</v>
      </c>
      <c r="R974">
        <f t="shared" si="127"/>
        <v>0.39389999999999997</v>
      </c>
      <c r="S974">
        <f t="shared" si="121"/>
        <v>2011</v>
      </c>
      <c r="T974" t="str">
        <f t="shared" si="122"/>
        <v/>
      </c>
      <c r="U974" t="str">
        <f t="shared" si="123"/>
        <v>Sunday</v>
      </c>
      <c r="V974" t="str">
        <f t="shared" si="124"/>
        <v>Afternoon</v>
      </c>
      <c r="W974" t="str">
        <f t="shared" si="125"/>
        <v>Spring</v>
      </c>
      <c r="X974" t="str">
        <f t="shared" si="126"/>
        <v>Clear</v>
      </c>
    </row>
    <row r="975" spans="1:24">
      <c r="A975">
        <v>983</v>
      </c>
      <c r="B975" s="2">
        <v>40587</v>
      </c>
      <c r="C975">
        <v>1</v>
      </c>
      <c r="D975">
        <v>0</v>
      </c>
      <c r="E975">
        <v>2</v>
      </c>
      <c r="F975">
        <v>14</v>
      </c>
      <c r="G975" t="b">
        <v>0</v>
      </c>
      <c r="H975">
        <v>0</v>
      </c>
      <c r="I975">
        <v>2</v>
      </c>
      <c r="J975">
        <v>0.4</v>
      </c>
      <c r="K975">
        <v>0.40910000000000002</v>
      </c>
      <c r="L975">
        <v>0.3</v>
      </c>
      <c r="M975">
        <v>0.41789999999999999</v>
      </c>
      <c r="N975">
        <v>51</v>
      </c>
      <c r="O975">
        <v>110</v>
      </c>
      <c r="P975">
        <v>161</v>
      </c>
      <c r="Q975" t="str">
        <f t="shared" si="120"/>
        <v>Complete</v>
      </c>
      <c r="R975">
        <f t="shared" si="127"/>
        <v>0.40910000000000002</v>
      </c>
      <c r="S975">
        <f t="shared" si="121"/>
        <v>2011</v>
      </c>
      <c r="T975" t="str">
        <f t="shared" si="122"/>
        <v/>
      </c>
      <c r="U975" t="str">
        <f t="shared" si="123"/>
        <v>Sunday</v>
      </c>
      <c r="V975" t="str">
        <f t="shared" si="124"/>
        <v>Afternoon</v>
      </c>
      <c r="W975" t="str">
        <f t="shared" si="125"/>
        <v>Spring</v>
      </c>
      <c r="X975" t="str">
        <f t="shared" si="126"/>
        <v>Mist/Cloudy</v>
      </c>
    </row>
    <row r="976" spans="1:24">
      <c r="A976">
        <v>984</v>
      </c>
      <c r="B976" s="2">
        <v>40587</v>
      </c>
      <c r="C976">
        <v>1</v>
      </c>
      <c r="D976">
        <v>0</v>
      </c>
      <c r="E976">
        <v>2</v>
      </c>
      <c r="F976">
        <v>15</v>
      </c>
      <c r="G976" t="b">
        <v>0</v>
      </c>
      <c r="H976">
        <v>0</v>
      </c>
      <c r="I976">
        <v>2</v>
      </c>
      <c r="J976">
        <v>0.4</v>
      </c>
      <c r="K976">
        <v>0.40910000000000002</v>
      </c>
      <c r="L976">
        <v>0.3</v>
      </c>
      <c r="M976">
        <v>0.29849999999999999</v>
      </c>
      <c r="N976">
        <v>40</v>
      </c>
      <c r="O976">
        <v>122</v>
      </c>
      <c r="P976">
        <v>162</v>
      </c>
      <c r="Q976" t="str">
        <f t="shared" si="120"/>
        <v>Complete</v>
      </c>
      <c r="R976">
        <f t="shared" si="127"/>
        <v>0.40910000000000002</v>
      </c>
      <c r="S976">
        <f t="shared" si="121"/>
        <v>2011</v>
      </c>
      <c r="T976" t="str">
        <f t="shared" si="122"/>
        <v/>
      </c>
      <c r="U976" t="str">
        <f t="shared" si="123"/>
        <v>Sunday</v>
      </c>
      <c r="V976" t="str">
        <f t="shared" si="124"/>
        <v>Afternoon</v>
      </c>
      <c r="W976" t="str">
        <f t="shared" si="125"/>
        <v>Spring</v>
      </c>
      <c r="X976" t="str">
        <f t="shared" si="126"/>
        <v>Mist/Cloudy</v>
      </c>
    </row>
    <row r="977" spans="1:24">
      <c r="A977">
        <v>985</v>
      </c>
      <c r="B977" s="2">
        <v>40587</v>
      </c>
      <c r="C977">
        <v>1</v>
      </c>
      <c r="D977">
        <v>0</v>
      </c>
      <c r="E977">
        <v>2</v>
      </c>
      <c r="F977">
        <v>16</v>
      </c>
      <c r="G977" t="b">
        <v>0</v>
      </c>
      <c r="H977">
        <v>0</v>
      </c>
      <c r="I977">
        <v>2</v>
      </c>
      <c r="J977">
        <v>0.42</v>
      </c>
      <c r="K977">
        <v>0.42420000000000002</v>
      </c>
      <c r="L977">
        <v>0.28000000000000003</v>
      </c>
      <c r="M977">
        <v>0.32840000000000003</v>
      </c>
      <c r="N977">
        <v>28</v>
      </c>
      <c r="O977">
        <v>106</v>
      </c>
      <c r="P977">
        <v>134</v>
      </c>
      <c r="Q977" t="str">
        <f t="shared" si="120"/>
        <v>Complete</v>
      </c>
      <c r="R977">
        <f t="shared" si="127"/>
        <v>0.42420000000000002</v>
      </c>
      <c r="S977">
        <f t="shared" si="121"/>
        <v>2011</v>
      </c>
      <c r="T977" t="str">
        <f t="shared" si="122"/>
        <v/>
      </c>
      <c r="U977" t="str">
        <f t="shared" si="123"/>
        <v>Sunday</v>
      </c>
      <c r="V977" t="str">
        <f t="shared" si="124"/>
        <v>Afternoon</v>
      </c>
      <c r="W977" t="str">
        <f t="shared" si="125"/>
        <v>Spring</v>
      </c>
      <c r="X977" t="str">
        <f t="shared" si="126"/>
        <v>Mist/Cloudy</v>
      </c>
    </row>
    <row r="978" spans="1:24">
      <c r="A978">
        <v>986</v>
      </c>
      <c r="B978" s="2">
        <v>40587</v>
      </c>
      <c r="C978">
        <v>1</v>
      </c>
      <c r="D978">
        <v>0</v>
      </c>
      <c r="E978">
        <v>2</v>
      </c>
      <c r="F978">
        <v>17</v>
      </c>
      <c r="G978" t="b">
        <v>0</v>
      </c>
      <c r="H978">
        <v>0</v>
      </c>
      <c r="I978">
        <v>1</v>
      </c>
      <c r="J978">
        <v>0.42</v>
      </c>
      <c r="K978">
        <v>0.42420000000000002</v>
      </c>
      <c r="L978">
        <v>0.28000000000000003</v>
      </c>
      <c r="M978">
        <v>0.32840000000000003</v>
      </c>
      <c r="N978">
        <v>30</v>
      </c>
      <c r="O978">
        <v>95</v>
      </c>
      <c r="P978">
        <v>125</v>
      </c>
      <c r="Q978" t="str">
        <f t="shared" si="120"/>
        <v>Complete</v>
      </c>
      <c r="R978">
        <f t="shared" si="127"/>
        <v>0.42420000000000002</v>
      </c>
      <c r="S978">
        <f t="shared" si="121"/>
        <v>2011</v>
      </c>
      <c r="T978" t="str">
        <f t="shared" si="122"/>
        <v/>
      </c>
      <c r="U978" t="str">
        <f t="shared" si="123"/>
        <v>Sunday</v>
      </c>
      <c r="V978" t="str">
        <f t="shared" si="124"/>
        <v>Afternoon</v>
      </c>
      <c r="W978" t="str">
        <f t="shared" si="125"/>
        <v>Spring</v>
      </c>
      <c r="X978" t="str">
        <f t="shared" si="126"/>
        <v>Clear</v>
      </c>
    </row>
    <row r="979" spans="1:24">
      <c r="A979">
        <v>987</v>
      </c>
      <c r="B979" s="2">
        <v>40587</v>
      </c>
      <c r="C979">
        <v>1</v>
      </c>
      <c r="D979">
        <v>0</v>
      </c>
      <c r="E979">
        <v>2</v>
      </c>
      <c r="F979">
        <v>18</v>
      </c>
      <c r="G979" t="b">
        <v>0</v>
      </c>
      <c r="H979">
        <v>0</v>
      </c>
      <c r="I979">
        <v>1</v>
      </c>
      <c r="J979">
        <v>0.4</v>
      </c>
      <c r="K979">
        <v>0.40910000000000002</v>
      </c>
      <c r="L979">
        <v>0.32</v>
      </c>
      <c r="M979">
        <v>0.29849999999999999</v>
      </c>
      <c r="N979">
        <v>17</v>
      </c>
      <c r="O979">
        <v>78</v>
      </c>
      <c r="P979">
        <v>95</v>
      </c>
      <c r="Q979" t="str">
        <f t="shared" si="120"/>
        <v>Complete</v>
      </c>
      <c r="R979">
        <f t="shared" si="127"/>
        <v>0.40910000000000002</v>
      </c>
      <c r="S979">
        <f t="shared" si="121"/>
        <v>2011</v>
      </c>
      <c r="T979" t="str">
        <f t="shared" si="122"/>
        <v/>
      </c>
      <c r="U979" t="str">
        <f t="shared" si="123"/>
        <v>Sunday</v>
      </c>
      <c r="V979" t="str">
        <f t="shared" si="124"/>
        <v>Evening</v>
      </c>
      <c r="W979" t="str">
        <f t="shared" si="125"/>
        <v>Spring</v>
      </c>
      <c r="X979" t="str">
        <f t="shared" si="126"/>
        <v>Clear</v>
      </c>
    </row>
    <row r="980" spans="1:24">
      <c r="A980">
        <v>988</v>
      </c>
      <c r="B980" s="2">
        <v>40587</v>
      </c>
      <c r="C980">
        <v>1</v>
      </c>
      <c r="D980">
        <v>0</v>
      </c>
      <c r="E980">
        <v>2</v>
      </c>
      <c r="F980">
        <v>19</v>
      </c>
      <c r="G980" t="b">
        <v>0</v>
      </c>
      <c r="H980">
        <v>0</v>
      </c>
      <c r="I980">
        <v>1</v>
      </c>
      <c r="J980">
        <v>0.4</v>
      </c>
      <c r="K980">
        <v>0.40910000000000002</v>
      </c>
      <c r="L980">
        <v>0.35</v>
      </c>
      <c r="M980">
        <v>0.28360000000000002</v>
      </c>
      <c r="N980">
        <v>11</v>
      </c>
      <c r="O980">
        <v>50</v>
      </c>
      <c r="P980">
        <v>61</v>
      </c>
      <c r="Q980" t="str">
        <f t="shared" si="120"/>
        <v>Complete</v>
      </c>
      <c r="R980">
        <f t="shared" si="127"/>
        <v>0.40910000000000002</v>
      </c>
      <c r="S980">
        <f t="shared" si="121"/>
        <v>2011</v>
      </c>
      <c r="T980" t="str">
        <f t="shared" si="122"/>
        <v/>
      </c>
      <c r="U980" t="str">
        <f t="shared" si="123"/>
        <v>Sunday</v>
      </c>
      <c r="V980" t="str">
        <f t="shared" si="124"/>
        <v>Evening</v>
      </c>
      <c r="W980" t="str">
        <f t="shared" si="125"/>
        <v>Spring</v>
      </c>
      <c r="X980" t="str">
        <f t="shared" si="126"/>
        <v>Clear</v>
      </c>
    </row>
    <row r="981" spans="1:24">
      <c r="A981">
        <v>989</v>
      </c>
      <c r="B981" s="2">
        <v>40587</v>
      </c>
      <c r="C981">
        <v>1</v>
      </c>
      <c r="D981">
        <v>0</v>
      </c>
      <c r="E981">
        <v>2</v>
      </c>
      <c r="F981">
        <v>20</v>
      </c>
      <c r="G981" t="b">
        <v>0</v>
      </c>
      <c r="H981">
        <v>0</v>
      </c>
      <c r="I981">
        <v>1</v>
      </c>
      <c r="J981">
        <v>0.4</v>
      </c>
      <c r="K981">
        <v>0.40910000000000002</v>
      </c>
      <c r="L981">
        <v>0.35</v>
      </c>
      <c r="M981">
        <v>0.32840000000000003</v>
      </c>
      <c r="N981">
        <v>15</v>
      </c>
      <c r="O981">
        <v>32</v>
      </c>
      <c r="P981">
        <v>47</v>
      </c>
      <c r="Q981" t="str">
        <f t="shared" si="120"/>
        <v>Complete</v>
      </c>
      <c r="R981">
        <f t="shared" si="127"/>
        <v>0.40910000000000002</v>
      </c>
      <c r="S981">
        <f t="shared" si="121"/>
        <v>2011</v>
      </c>
      <c r="T981" t="str">
        <f t="shared" si="122"/>
        <v/>
      </c>
      <c r="U981" t="str">
        <f t="shared" si="123"/>
        <v>Sunday</v>
      </c>
      <c r="V981" t="str">
        <f t="shared" si="124"/>
        <v>Evening</v>
      </c>
      <c r="W981" t="str">
        <f t="shared" si="125"/>
        <v>Spring</v>
      </c>
      <c r="X981" t="str">
        <f t="shared" si="126"/>
        <v>Clear</v>
      </c>
    </row>
    <row r="982" spans="1:24">
      <c r="A982">
        <v>990</v>
      </c>
      <c r="B982" s="2">
        <v>40587</v>
      </c>
      <c r="C982">
        <v>1</v>
      </c>
      <c r="D982">
        <v>0</v>
      </c>
      <c r="E982">
        <v>2</v>
      </c>
      <c r="F982">
        <v>21</v>
      </c>
      <c r="G982" t="b">
        <v>0</v>
      </c>
      <c r="H982">
        <v>0</v>
      </c>
      <c r="I982">
        <v>1</v>
      </c>
      <c r="J982">
        <v>0.4</v>
      </c>
      <c r="K982">
        <v>0.40910000000000002</v>
      </c>
      <c r="L982">
        <v>0.35</v>
      </c>
      <c r="M982">
        <v>0.35820000000000002</v>
      </c>
      <c r="N982">
        <v>6</v>
      </c>
      <c r="O982">
        <v>45</v>
      </c>
      <c r="P982">
        <v>51</v>
      </c>
      <c r="Q982" t="str">
        <f t="shared" si="120"/>
        <v>Complete</v>
      </c>
      <c r="R982">
        <f t="shared" si="127"/>
        <v>0.40910000000000002</v>
      </c>
      <c r="S982">
        <f t="shared" si="121"/>
        <v>2011</v>
      </c>
      <c r="T982" t="str">
        <f t="shared" si="122"/>
        <v/>
      </c>
      <c r="U982" t="str">
        <f t="shared" si="123"/>
        <v>Sunday</v>
      </c>
      <c r="V982" t="str">
        <f t="shared" si="124"/>
        <v>Evening</v>
      </c>
      <c r="W982" t="str">
        <f t="shared" si="125"/>
        <v>Spring</v>
      </c>
      <c r="X982" t="str">
        <f t="shared" si="126"/>
        <v>Clear</v>
      </c>
    </row>
    <row r="983" spans="1:24">
      <c r="A983">
        <v>991</v>
      </c>
      <c r="B983" s="2">
        <v>40587</v>
      </c>
      <c r="C983">
        <v>1</v>
      </c>
      <c r="D983">
        <v>0</v>
      </c>
      <c r="E983">
        <v>2</v>
      </c>
      <c r="F983">
        <v>22</v>
      </c>
      <c r="G983" t="b">
        <v>0</v>
      </c>
      <c r="H983">
        <v>0</v>
      </c>
      <c r="I983">
        <v>1</v>
      </c>
      <c r="J983">
        <v>0.4</v>
      </c>
      <c r="K983">
        <v>0.40910000000000002</v>
      </c>
      <c r="L983">
        <v>0.35</v>
      </c>
      <c r="M983">
        <v>0.29849999999999999</v>
      </c>
      <c r="N983">
        <v>5</v>
      </c>
      <c r="O983">
        <v>31</v>
      </c>
      <c r="P983">
        <v>36</v>
      </c>
      <c r="Q983" t="str">
        <f t="shared" si="120"/>
        <v>Complete</v>
      </c>
      <c r="R983">
        <f t="shared" si="127"/>
        <v>0.40910000000000002</v>
      </c>
      <c r="S983">
        <f t="shared" si="121"/>
        <v>2011</v>
      </c>
      <c r="T983" t="str">
        <f t="shared" si="122"/>
        <v/>
      </c>
      <c r="U983" t="str">
        <f t="shared" si="123"/>
        <v>Sunday</v>
      </c>
      <c r="V983" t="str">
        <f t="shared" si="124"/>
        <v>Evening</v>
      </c>
      <c r="W983" t="str">
        <f t="shared" si="125"/>
        <v>Spring</v>
      </c>
      <c r="X983" t="str">
        <f t="shared" si="126"/>
        <v>Clear</v>
      </c>
    </row>
    <row r="984" spans="1:24">
      <c r="A984">
        <v>992</v>
      </c>
      <c r="B984" s="2">
        <v>40587</v>
      </c>
      <c r="C984">
        <v>1</v>
      </c>
      <c r="D984">
        <v>0</v>
      </c>
      <c r="E984">
        <v>2</v>
      </c>
      <c r="F984">
        <v>23</v>
      </c>
      <c r="G984" t="b">
        <v>0</v>
      </c>
      <c r="H984">
        <v>0</v>
      </c>
      <c r="I984">
        <v>1</v>
      </c>
      <c r="J984">
        <v>0.4</v>
      </c>
      <c r="K984">
        <v>0.40910000000000002</v>
      </c>
      <c r="L984">
        <v>0.35</v>
      </c>
      <c r="M984">
        <v>0.35820000000000002</v>
      </c>
      <c r="N984">
        <v>3</v>
      </c>
      <c r="O984">
        <v>27</v>
      </c>
      <c r="P984">
        <v>30</v>
      </c>
      <c r="Q984" t="str">
        <f t="shared" si="120"/>
        <v>Complete</v>
      </c>
      <c r="R984">
        <f t="shared" si="127"/>
        <v>0.40910000000000002</v>
      </c>
      <c r="S984">
        <f t="shared" si="121"/>
        <v>2011</v>
      </c>
      <c r="T984" t="str">
        <f t="shared" si="122"/>
        <v/>
      </c>
      <c r="U984" t="str">
        <f t="shared" si="123"/>
        <v>Sunday</v>
      </c>
      <c r="V984" t="str">
        <f t="shared" si="124"/>
        <v>Evening</v>
      </c>
      <c r="W984" t="str">
        <f t="shared" si="125"/>
        <v>Spring</v>
      </c>
      <c r="X984" t="str">
        <f t="shared" si="126"/>
        <v>Clear</v>
      </c>
    </row>
    <row r="985" spans="1:24">
      <c r="A985">
        <v>993</v>
      </c>
      <c r="B985" s="2">
        <v>40588</v>
      </c>
      <c r="C985">
        <v>1</v>
      </c>
      <c r="D985">
        <v>0</v>
      </c>
      <c r="E985">
        <v>2</v>
      </c>
      <c r="F985">
        <v>0</v>
      </c>
      <c r="G985" t="b">
        <v>0</v>
      </c>
      <c r="H985">
        <v>1</v>
      </c>
      <c r="I985">
        <v>1</v>
      </c>
      <c r="J985">
        <v>0.38</v>
      </c>
      <c r="K985">
        <v>0.39389999999999997</v>
      </c>
      <c r="L985">
        <v>0.37</v>
      </c>
      <c r="M985">
        <v>0.35820000000000002</v>
      </c>
      <c r="N985">
        <v>3</v>
      </c>
      <c r="O985">
        <v>8</v>
      </c>
      <c r="P985">
        <v>11</v>
      </c>
      <c r="Q985" t="str">
        <f t="shared" si="120"/>
        <v>Complete</v>
      </c>
      <c r="R985">
        <f t="shared" si="127"/>
        <v>0.39389999999999997</v>
      </c>
      <c r="S985">
        <f t="shared" si="121"/>
        <v>2011</v>
      </c>
      <c r="T985" t="str">
        <f t="shared" si="122"/>
        <v/>
      </c>
      <c r="U985" t="str">
        <f t="shared" si="123"/>
        <v>Weekday</v>
      </c>
      <c r="V985" t="str">
        <f t="shared" si="124"/>
        <v>Night</v>
      </c>
      <c r="W985" t="str">
        <f t="shared" si="125"/>
        <v>Spring</v>
      </c>
      <c r="X985" t="str">
        <f t="shared" si="126"/>
        <v>Clear</v>
      </c>
    </row>
    <row r="986" spans="1:24">
      <c r="A986">
        <v>994</v>
      </c>
      <c r="B986" s="2">
        <v>40588</v>
      </c>
      <c r="C986">
        <v>1</v>
      </c>
      <c r="D986">
        <v>0</v>
      </c>
      <c r="E986">
        <v>2</v>
      </c>
      <c r="F986">
        <v>1</v>
      </c>
      <c r="G986" t="b">
        <v>0</v>
      </c>
      <c r="H986">
        <v>1</v>
      </c>
      <c r="I986">
        <v>1</v>
      </c>
      <c r="J986">
        <v>0.38</v>
      </c>
      <c r="K986">
        <v>0.39389999999999997</v>
      </c>
      <c r="L986">
        <v>0.37</v>
      </c>
      <c r="M986">
        <v>0.35820000000000002</v>
      </c>
      <c r="N986">
        <v>1</v>
      </c>
      <c r="O986">
        <v>6</v>
      </c>
      <c r="P986">
        <v>7</v>
      </c>
      <c r="Q986" t="str">
        <f t="shared" si="120"/>
        <v>Complete</v>
      </c>
      <c r="R986">
        <f t="shared" si="127"/>
        <v>0.39389999999999997</v>
      </c>
      <c r="S986">
        <f t="shared" si="121"/>
        <v>2011</v>
      </c>
      <c r="T986" t="str">
        <f t="shared" si="122"/>
        <v/>
      </c>
      <c r="U986" t="str">
        <f t="shared" si="123"/>
        <v>Weekday</v>
      </c>
      <c r="V986" t="str">
        <f t="shared" si="124"/>
        <v>Night</v>
      </c>
      <c r="W986" t="str">
        <f t="shared" si="125"/>
        <v>Spring</v>
      </c>
      <c r="X986" t="str">
        <f t="shared" si="126"/>
        <v>Clear</v>
      </c>
    </row>
    <row r="987" spans="1:24">
      <c r="A987">
        <v>995</v>
      </c>
      <c r="B987" s="2">
        <v>40588</v>
      </c>
      <c r="C987">
        <v>1</v>
      </c>
      <c r="D987">
        <v>0</v>
      </c>
      <c r="E987">
        <v>2</v>
      </c>
      <c r="F987">
        <v>2</v>
      </c>
      <c r="G987" t="b">
        <v>0</v>
      </c>
      <c r="H987">
        <v>1</v>
      </c>
      <c r="I987">
        <v>1</v>
      </c>
      <c r="J987">
        <v>0.36</v>
      </c>
      <c r="K987">
        <v>0.33329999999999999</v>
      </c>
      <c r="L987">
        <v>0.4</v>
      </c>
      <c r="M987">
        <v>0.29849999999999999</v>
      </c>
      <c r="N987">
        <v>0</v>
      </c>
      <c r="O987">
        <v>2</v>
      </c>
      <c r="P987">
        <v>2</v>
      </c>
      <c r="Q987" t="str">
        <f t="shared" si="120"/>
        <v>Complete</v>
      </c>
      <c r="R987">
        <f t="shared" si="127"/>
        <v>0.33329999999999999</v>
      </c>
      <c r="S987">
        <f t="shared" si="121"/>
        <v>2011</v>
      </c>
      <c r="T987" t="str">
        <f t="shared" si="122"/>
        <v/>
      </c>
      <c r="U987" t="str">
        <f t="shared" si="123"/>
        <v>Weekday</v>
      </c>
      <c r="V987" t="str">
        <f t="shared" si="124"/>
        <v>Night</v>
      </c>
      <c r="W987" t="str">
        <f t="shared" si="125"/>
        <v>Spring</v>
      </c>
      <c r="X987" t="str">
        <f t="shared" si="126"/>
        <v>Clear</v>
      </c>
    </row>
    <row r="988" spans="1:24">
      <c r="A988">
        <v>996</v>
      </c>
      <c r="B988" s="2">
        <v>40588</v>
      </c>
      <c r="C988">
        <v>1</v>
      </c>
      <c r="D988">
        <v>0</v>
      </c>
      <c r="E988">
        <v>2</v>
      </c>
      <c r="F988">
        <v>3</v>
      </c>
      <c r="G988" t="b">
        <v>0</v>
      </c>
      <c r="H988">
        <v>1</v>
      </c>
      <c r="I988">
        <v>1</v>
      </c>
      <c r="J988">
        <v>0.34</v>
      </c>
      <c r="K988">
        <v>0.31819999999999998</v>
      </c>
      <c r="L988">
        <v>0.46</v>
      </c>
      <c r="M988">
        <v>0.22389999999999999</v>
      </c>
      <c r="N988">
        <v>1</v>
      </c>
      <c r="O988">
        <v>1</v>
      </c>
      <c r="P988">
        <v>2</v>
      </c>
      <c r="Q988" t="str">
        <f t="shared" si="120"/>
        <v>Complete</v>
      </c>
      <c r="R988">
        <f t="shared" si="127"/>
        <v>0.31819999999999998</v>
      </c>
      <c r="S988">
        <f t="shared" si="121"/>
        <v>2011</v>
      </c>
      <c r="T988" t="str">
        <f t="shared" si="122"/>
        <v/>
      </c>
      <c r="U988" t="str">
        <f t="shared" si="123"/>
        <v>Weekday</v>
      </c>
      <c r="V988" t="str">
        <f t="shared" si="124"/>
        <v>Night</v>
      </c>
      <c r="W988" t="str">
        <f t="shared" si="125"/>
        <v>Spring</v>
      </c>
      <c r="X988" t="str">
        <f t="shared" si="126"/>
        <v>Clear</v>
      </c>
    </row>
    <row r="989" spans="1:24">
      <c r="A989">
        <v>997</v>
      </c>
      <c r="B989" s="2">
        <v>40588</v>
      </c>
      <c r="C989">
        <v>1</v>
      </c>
      <c r="D989">
        <v>0</v>
      </c>
      <c r="E989">
        <v>2</v>
      </c>
      <c r="F989">
        <v>4</v>
      </c>
      <c r="G989" t="b">
        <v>0</v>
      </c>
      <c r="H989">
        <v>1</v>
      </c>
      <c r="I989">
        <v>1</v>
      </c>
      <c r="J989">
        <v>0.32</v>
      </c>
      <c r="K989">
        <v>0.30299999999999999</v>
      </c>
      <c r="L989">
        <v>0.53</v>
      </c>
      <c r="M989">
        <v>0.28360000000000002</v>
      </c>
      <c r="N989">
        <v>0</v>
      </c>
      <c r="O989">
        <v>2</v>
      </c>
      <c r="P989">
        <v>2</v>
      </c>
      <c r="Q989" t="str">
        <f t="shared" si="120"/>
        <v>Complete</v>
      </c>
      <c r="R989">
        <f t="shared" si="127"/>
        <v>0.30299999999999999</v>
      </c>
      <c r="S989">
        <f t="shared" si="121"/>
        <v>2011</v>
      </c>
      <c r="T989" t="str">
        <f t="shared" si="122"/>
        <v/>
      </c>
      <c r="U989" t="str">
        <f t="shared" si="123"/>
        <v>Weekday</v>
      </c>
      <c r="V989" t="str">
        <f t="shared" si="124"/>
        <v>Night</v>
      </c>
      <c r="W989" t="str">
        <f t="shared" si="125"/>
        <v>Spring</v>
      </c>
      <c r="X989" t="str">
        <f t="shared" si="126"/>
        <v>Clear</v>
      </c>
    </row>
    <row r="990" spans="1:24">
      <c r="A990">
        <v>998</v>
      </c>
      <c r="B990" s="2">
        <v>40588</v>
      </c>
      <c r="C990">
        <v>1</v>
      </c>
      <c r="D990">
        <v>0</v>
      </c>
      <c r="E990">
        <v>2</v>
      </c>
      <c r="F990">
        <v>5</v>
      </c>
      <c r="G990" t="b">
        <v>0</v>
      </c>
      <c r="H990">
        <v>1</v>
      </c>
      <c r="I990">
        <v>1</v>
      </c>
      <c r="J990">
        <v>0.32</v>
      </c>
      <c r="K990">
        <v>0.30299999999999999</v>
      </c>
      <c r="L990">
        <v>0.53</v>
      </c>
      <c r="M990">
        <v>0.28360000000000002</v>
      </c>
      <c r="N990">
        <v>0</v>
      </c>
      <c r="O990">
        <v>3</v>
      </c>
      <c r="P990">
        <v>3</v>
      </c>
      <c r="Q990" t="str">
        <f t="shared" si="120"/>
        <v>Complete</v>
      </c>
      <c r="R990">
        <f t="shared" si="127"/>
        <v>0.30299999999999999</v>
      </c>
      <c r="S990">
        <f t="shared" si="121"/>
        <v>2011</v>
      </c>
      <c r="T990" t="str">
        <f t="shared" si="122"/>
        <v/>
      </c>
      <c r="U990" t="str">
        <f t="shared" si="123"/>
        <v>Weekday</v>
      </c>
      <c r="V990" t="str">
        <f t="shared" si="124"/>
        <v>Night</v>
      </c>
      <c r="W990" t="str">
        <f t="shared" si="125"/>
        <v>Spring</v>
      </c>
      <c r="X990" t="str">
        <f t="shared" si="126"/>
        <v>Clear</v>
      </c>
    </row>
    <row r="991" spans="1:24">
      <c r="A991">
        <v>999</v>
      </c>
      <c r="B991" s="2">
        <v>40588</v>
      </c>
      <c r="C991">
        <v>1</v>
      </c>
      <c r="D991">
        <v>0</v>
      </c>
      <c r="E991">
        <v>2</v>
      </c>
      <c r="F991">
        <v>6</v>
      </c>
      <c r="G991" t="b">
        <v>0</v>
      </c>
      <c r="H991">
        <v>1</v>
      </c>
      <c r="I991">
        <v>1</v>
      </c>
      <c r="J991">
        <v>0.34</v>
      </c>
      <c r="K991">
        <v>0.30299999999999999</v>
      </c>
      <c r="L991">
        <v>0.46</v>
      </c>
      <c r="M991">
        <v>0.29849999999999999</v>
      </c>
      <c r="N991">
        <v>1</v>
      </c>
      <c r="O991">
        <v>25</v>
      </c>
      <c r="P991">
        <v>26</v>
      </c>
      <c r="Q991" t="str">
        <f t="shared" si="120"/>
        <v>Complete</v>
      </c>
      <c r="R991">
        <f t="shared" si="127"/>
        <v>0.30299999999999999</v>
      </c>
      <c r="S991">
        <f t="shared" si="121"/>
        <v>2011</v>
      </c>
      <c r="T991" t="str">
        <f t="shared" si="122"/>
        <v/>
      </c>
      <c r="U991" t="str">
        <f t="shared" si="123"/>
        <v>Weekday</v>
      </c>
      <c r="V991" t="str">
        <f t="shared" si="124"/>
        <v>Morning</v>
      </c>
      <c r="W991" t="str">
        <f t="shared" si="125"/>
        <v>Spring</v>
      </c>
      <c r="X991" t="str">
        <f t="shared" si="126"/>
        <v>Clear</v>
      </c>
    </row>
    <row r="992" spans="1:24">
      <c r="A992">
        <v>1000</v>
      </c>
      <c r="B992" s="2">
        <v>40588</v>
      </c>
      <c r="C992">
        <v>1</v>
      </c>
      <c r="D992">
        <v>0</v>
      </c>
      <c r="E992">
        <v>2</v>
      </c>
      <c r="F992">
        <v>7</v>
      </c>
      <c r="G992" t="b">
        <v>0</v>
      </c>
      <c r="H992">
        <v>1</v>
      </c>
      <c r="I992">
        <v>1</v>
      </c>
      <c r="J992">
        <v>0.34</v>
      </c>
      <c r="K992">
        <v>0.30299999999999999</v>
      </c>
      <c r="L992">
        <v>0.46</v>
      </c>
      <c r="M992">
        <v>0.29849999999999999</v>
      </c>
      <c r="N992">
        <v>2</v>
      </c>
      <c r="O992">
        <v>96</v>
      </c>
      <c r="P992">
        <v>98</v>
      </c>
      <c r="Q992" t="str">
        <f t="shared" si="120"/>
        <v>Complete</v>
      </c>
      <c r="R992">
        <f t="shared" si="127"/>
        <v>0.30299999999999999</v>
      </c>
      <c r="S992">
        <f t="shared" si="121"/>
        <v>2011</v>
      </c>
      <c r="T992" t="str">
        <f t="shared" si="122"/>
        <v/>
      </c>
      <c r="U992" t="str">
        <f t="shared" si="123"/>
        <v>Weekday</v>
      </c>
      <c r="V992" t="str">
        <f t="shared" si="124"/>
        <v>Morning</v>
      </c>
      <c r="W992" t="str">
        <f t="shared" si="125"/>
        <v>Spring</v>
      </c>
      <c r="X992" t="str">
        <f t="shared" si="126"/>
        <v>Clear</v>
      </c>
    </row>
    <row r="993" spans="1:24">
      <c r="A993">
        <v>611</v>
      </c>
      <c r="B993" s="2">
        <v>40571</v>
      </c>
      <c r="C993">
        <v>1</v>
      </c>
      <c r="D993">
        <v>0</v>
      </c>
      <c r="E993">
        <v>1</v>
      </c>
      <c r="F993">
        <v>16</v>
      </c>
      <c r="G993" t="b">
        <v>0</v>
      </c>
      <c r="H993">
        <v>5</v>
      </c>
      <c r="I993">
        <v>1</v>
      </c>
      <c r="J993">
        <v>0.22</v>
      </c>
      <c r="K993">
        <v>0.2727</v>
      </c>
      <c r="L993">
        <v>0.8</v>
      </c>
      <c r="M993">
        <v>0</v>
      </c>
      <c r="N993">
        <v>10</v>
      </c>
      <c r="O993">
        <v>70</v>
      </c>
      <c r="P993">
        <v>80</v>
      </c>
      <c r="Q993" t="str">
        <f t="shared" si="120"/>
        <v>Complete</v>
      </c>
      <c r="R993">
        <f t="shared" si="127"/>
        <v>0.2727</v>
      </c>
      <c r="S993">
        <f t="shared" si="121"/>
        <v>2011</v>
      </c>
      <c r="T993" t="str">
        <f t="shared" si="122"/>
        <v>January</v>
      </c>
      <c r="U993" t="str">
        <f t="shared" si="123"/>
        <v>Weekday</v>
      </c>
      <c r="V993" t="str">
        <f t="shared" si="124"/>
        <v>Afternoon</v>
      </c>
      <c r="W993" t="str">
        <f t="shared" si="125"/>
        <v>Spring</v>
      </c>
      <c r="X993" t="str">
        <f t="shared" si="126"/>
        <v>Clear</v>
      </c>
    </row>
    <row r="994" spans="1:24">
      <c r="A994">
        <v>612</v>
      </c>
      <c r="B994" s="2">
        <v>40571</v>
      </c>
      <c r="C994">
        <v>1</v>
      </c>
      <c r="D994">
        <v>0</v>
      </c>
      <c r="E994">
        <v>1</v>
      </c>
      <c r="F994">
        <v>17</v>
      </c>
      <c r="G994" t="b">
        <v>0</v>
      </c>
      <c r="H994">
        <v>5</v>
      </c>
      <c r="I994">
        <v>1</v>
      </c>
      <c r="J994">
        <v>0.24</v>
      </c>
      <c r="K994">
        <v>0.2424</v>
      </c>
      <c r="L994">
        <v>0.75</v>
      </c>
      <c r="M994">
        <v>0.1343</v>
      </c>
      <c r="N994">
        <v>2</v>
      </c>
      <c r="O994">
        <v>147</v>
      </c>
      <c r="P994">
        <v>149</v>
      </c>
      <c r="Q994" t="str">
        <f t="shared" si="120"/>
        <v>Complete</v>
      </c>
      <c r="R994">
        <f t="shared" si="127"/>
        <v>0.2424</v>
      </c>
      <c r="S994">
        <f t="shared" si="121"/>
        <v>2011</v>
      </c>
      <c r="T994" t="str">
        <f t="shared" si="122"/>
        <v>January</v>
      </c>
      <c r="U994" t="str">
        <f t="shared" si="123"/>
        <v>Weekday</v>
      </c>
      <c r="V994" t="str">
        <f t="shared" si="124"/>
        <v>Afternoon</v>
      </c>
      <c r="W994" t="str">
        <f t="shared" si="125"/>
        <v>Spring</v>
      </c>
      <c r="X994" t="str">
        <f t="shared" si="126"/>
        <v>Clear</v>
      </c>
    </row>
    <row r="995" spans="1:24">
      <c r="A995">
        <v>613</v>
      </c>
      <c r="B995" s="2">
        <v>40571</v>
      </c>
      <c r="C995">
        <v>1</v>
      </c>
      <c r="D995">
        <v>0</v>
      </c>
      <c r="E995">
        <v>1</v>
      </c>
      <c r="F995">
        <v>18</v>
      </c>
      <c r="G995" t="b">
        <v>0</v>
      </c>
      <c r="H995">
        <v>5</v>
      </c>
      <c r="I995">
        <v>1</v>
      </c>
      <c r="J995">
        <v>0.24</v>
      </c>
      <c r="K995">
        <v>0.2273</v>
      </c>
      <c r="L995">
        <v>0.75</v>
      </c>
      <c r="M995">
        <v>0.19400000000000001</v>
      </c>
      <c r="N995">
        <v>2</v>
      </c>
      <c r="O995">
        <v>107</v>
      </c>
      <c r="P995">
        <v>109</v>
      </c>
      <c r="Q995" t="str">
        <f t="shared" si="120"/>
        <v>Complete</v>
      </c>
      <c r="R995">
        <f t="shared" si="127"/>
        <v>0.2273</v>
      </c>
      <c r="S995">
        <f t="shared" si="121"/>
        <v>2011</v>
      </c>
      <c r="T995" t="str">
        <f t="shared" si="122"/>
        <v>January</v>
      </c>
      <c r="U995" t="str">
        <f t="shared" si="123"/>
        <v>Weekday</v>
      </c>
      <c r="V995" t="str">
        <f t="shared" si="124"/>
        <v>Evening</v>
      </c>
      <c r="W995" t="str">
        <f t="shared" si="125"/>
        <v>Spring</v>
      </c>
      <c r="X995" t="str">
        <f t="shared" si="126"/>
        <v>Clear</v>
      </c>
    </row>
    <row r="996" spans="1:24">
      <c r="A996">
        <v>614</v>
      </c>
      <c r="B996" s="2">
        <v>40571</v>
      </c>
      <c r="C996">
        <v>1</v>
      </c>
      <c r="D996">
        <v>0</v>
      </c>
      <c r="E996">
        <v>1</v>
      </c>
      <c r="F996">
        <v>19</v>
      </c>
      <c r="G996" t="b">
        <v>0</v>
      </c>
      <c r="H996">
        <v>5</v>
      </c>
      <c r="I996">
        <v>2</v>
      </c>
      <c r="J996">
        <v>0.24</v>
      </c>
      <c r="K996">
        <v>0.2424</v>
      </c>
      <c r="L996">
        <v>0.75</v>
      </c>
      <c r="M996">
        <v>0.1343</v>
      </c>
      <c r="N996">
        <v>5</v>
      </c>
      <c r="O996">
        <v>84</v>
      </c>
      <c r="P996">
        <v>89</v>
      </c>
      <c r="Q996" t="str">
        <f t="shared" si="120"/>
        <v>Complete</v>
      </c>
      <c r="R996">
        <f t="shared" si="127"/>
        <v>0.2424</v>
      </c>
      <c r="S996">
        <f t="shared" si="121"/>
        <v>2011</v>
      </c>
      <c r="T996" t="str">
        <f t="shared" si="122"/>
        <v>January</v>
      </c>
      <c r="U996" t="str">
        <f t="shared" si="123"/>
        <v>Weekday</v>
      </c>
      <c r="V996" t="str">
        <f t="shared" si="124"/>
        <v>Evening</v>
      </c>
      <c r="W996" t="str">
        <f t="shared" si="125"/>
        <v>Spring</v>
      </c>
      <c r="X996" t="str">
        <f t="shared" si="126"/>
        <v>Mist/Cloudy</v>
      </c>
    </row>
    <row r="997" spans="1:24">
      <c r="A997">
        <v>615</v>
      </c>
      <c r="B997" s="2">
        <v>40571</v>
      </c>
      <c r="C997">
        <v>1</v>
      </c>
      <c r="D997">
        <v>0</v>
      </c>
      <c r="E997">
        <v>1</v>
      </c>
      <c r="F997">
        <v>20</v>
      </c>
      <c r="G997" t="b">
        <v>0</v>
      </c>
      <c r="H997">
        <v>5</v>
      </c>
      <c r="I997">
        <v>2</v>
      </c>
      <c r="J997">
        <v>0.24</v>
      </c>
      <c r="K997">
        <v>0.2273</v>
      </c>
      <c r="L997">
        <v>0.7</v>
      </c>
      <c r="M997">
        <v>0.19400000000000001</v>
      </c>
      <c r="N997">
        <v>1</v>
      </c>
      <c r="O997">
        <v>61</v>
      </c>
      <c r="P997">
        <v>62</v>
      </c>
      <c r="Q997" t="str">
        <f t="shared" si="120"/>
        <v>Complete</v>
      </c>
      <c r="R997">
        <f t="shared" si="127"/>
        <v>0.2273</v>
      </c>
      <c r="S997">
        <f t="shared" si="121"/>
        <v>2011</v>
      </c>
      <c r="T997" t="str">
        <f t="shared" si="122"/>
        <v>January</v>
      </c>
      <c r="U997" t="str">
        <f t="shared" si="123"/>
        <v>Weekday</v>
      </c>
      <c r="V997" t="str">
        <f t="shared" si="124"/>
        <v>Evening</v>
      </c>
      <c r="W997" t="str">
        <f t="shared" si="125"/>
        <v>Spring</v>
      </c>
      <c r="X997" t="str">
        <f t="shared" si="126"/>
        <v>Mist/Cloudy</v>
      </c>
    </row>
    <row r="998" spans="1:24">
      <c r="A998">
        <v>616</v>
      </c>
      <c r="B998" s="2">
        <v>40571</v>
      </c>
      <c r="C998">
        <v>1</v>
      </c>
      <c r="D998">
        <v>0</v>
      </c>
      <c r="E998">
        <v>1</v>
      </c>
      <c r="F998">
        <v>21</v>
      </c>
      <c r="G998" t="b">
        <v>0</v>
      </c>
      <c r="H998">
        <v>5</v>
      </c>
      <c r="I998">
        <v>2</v>
      </c>
      <c r="J998">
        <v>0.22</v>
      </c>
      <c r="K998">
        <v>0.2273</v>
      </c>
      <c r="L998">
        <v>0.75</v>
      </c>
      <c r="M998">
        <v>0.1343</v>
      </c>
      <c r="N998">
        <v>1</v>
      </c>
      <c r="O998">
        <v>57</v>
      </c>
      <c r="P998">
        <v>58</v>
      </c>
      <c r="Q998" t="str">
        <f t="shared" si="120"/>
        <v>Complete</v>
      </c>
      <c r="R998">
        <f t="shared" si="127"/>
        <v>0.2273</v>
      </c>
      <c r="S998">
        <f t="shared" si="121"/>
        <v>2011</v>
      </c>
      <c r="T998" t="str">
        <f t="shared" si="122"/>
        <v>January</v>
      </c>
      <c r="U998" t="str">
        <f t="shared" si="123"/>
        <v>Weekday</v>
      </c>
      <c r="V998" t="str">
        <f t="shared" si="124"/>
        <v>Evening</v>
      </c>
      <c r="W998" t="str">
        <f t="shared" si="125"/>
        <v>Spring</v>
      </c>
      <c r="X998" t="str">
        <f t="shared" si="126"/>
        <v>Mist/Cloudy</v>
      </c>
    </row>
    <row r="999" spans="1:24">
      <c r="A999">
        <v>617</v>
      </c>
      <c r="B999" s="2">
        <v>40571</v>
      </c>
      <c r="C999">
        <v>1</v>
      </c>
      <c r="D999">
        <v>0</v>
      </c>
      <c r="E999">
        <v>1</v>
      </c>
      <c r="F999">
        <v>22</v>
      </c>
      <c r="G999" t="b">
        <v>0</v>
      </c>
      <c r="H999">
        <v>5</v>
      </c>
      <c r="I999">
        <v>1</v>
      </c>
      <c r="J999">
        <v>0.24</v>
      </c>
      <c r="K999">
        <v>0.21210000000000001</v>
      </c>
      <c r="L999">
        <v>0.65</v>
      </c>
      <c r="M999">
        <v>0.35820000000000002</v>
      </c>
      <c r="N999">
        <v>0</v>
      </c>
      <c r="O999">
        <v>26</v>
      </c>
      <c r="P999">
        <v>26</v>
      </c>
      <c r="Q999" t="str">
        <f t="shared" si="120"/>
        <v>Complete</v>
      </c>
      <c r="R999">
        <f t="shared" si="127"/>
        <v>0.21210000000000001</v>
      </c>
      <c r="S999">
        <f t="shared" si="121"/>
        <v>2011</v>
      </c>
      <c r="T999" t="str">
        <f t="shared" si="122"/>
        <v>January</v>
      </c>
      <c r="U999" t="str">
        <f t="shared" si="123"/>
        <v>Weekday</v>
      </c>
      <c r="V999" t="str">
        <f t="shared" si="124"/>
        <v>Evening</v>
      </c>
      <c r="W999" t="str">
        <f t="shared" si="125"/>
        <v>Spring</v>
      </c>
      <c r="X999" t="str">
        <f t="shared" si="126"/>
        <v>Clear</v>
      </c>
    </row>
    <row r="1000" spans="1:24">
      <c r="A1000">
        <v>618</v>
      </c>
      <c r="B1000" s="2">
        <v>40571</v>
      </c>
      <c r="C1000">
        <v>1</v>
      </c>
      <c r="D1000">
        <v>0</v>
      </c>
      <c r="E1000">
        <v>1</v>
      </c>
      <c r="F1000">
        <v>23</v>
      </c>
      <c r="G1000" t="b">
        <v>0</v>
      </c>
      <c r="H1000">
        <v>5</v>
      </c>
      <c r="I1000">
        <v>1</v>
      </c>
      <c r="J1000">
        <v>0.24</v>
      </c>
      <c r="K1000">
        <v>0.2273</v>
      </c>
      <c r="L1000">
        <v>0.6</v>
      </c>
      <c r="M1000">
        <v>0.22389999999999999</v>
      </c>
      <c r="N1000">
        <v>1</v>
      </c>
      <c r="O1000">
        <v>22</v>
      </c>
      <c r="P1000">
        <v>23</v>
      </c>
      <c r="Q1000" t="str">
        <f t="shared" si="120"/>
        <v>Complete</v>
      </c>
      <c r="R1000">
        <f t="shared" si="127"/>
        <v>0.2273</v>
      </c>
      <c r="S1000">
        <f t="shared" si="121"/>
        <v>2011</v>
      </c>
      <c r="T1000" t="str">
        <f t="shared" si="122"/>
        <v>January</v>
      </c>
      <c r="U1000" t="str">
        <f t="shared" si="123"/>
        <v>Weekday</v>
      </c>
      <c r="V1000" t="str">
        <f t="shared" si="124"/>
        <v>Evening</v>
      </c>
      <c r="W1000" t="str">
        <f t="shared" si="125"/>
        <v>Spring</v>
      </c>
      <c r="X1000" t="str">
        <f t="shared" si="126"/>
        <v>Clear</v>
      </c>
    </row>
    <row r="1001" spans="1:24">
      <c r="A1001">
        <v>619</v>
      </c>
      <c r="B1001" s="2">
        <v>40572</v>
      </c>
      <c r="C1001">
        <v>1</v>
      </c>
      <c r="D1001">
        <v>0</v>
      </c>
      <c r="E1001">
        <v>1</v>
      </c>
      <c r="F1001">
        <v>0</v>
      </c>
      <c r="G1001" t="b">
        <v>0</v>
      </c>
      <c r="H1001">
        <v>6</v>
      </c>
      <c r="I1001">
        <v>1</v>
      </c>
      <c r="J1001">
        <v>0.22</v>
      </c>
      <c r="K1001">
        <v>0.19700000000000001</v>
      </c>
      <c r="L1001">
        <v>0.64</v>
      </c>
      <c r="M1001">
        <v>0.35820000000000002</v>
      </c>
      <c r="N1001">
        <v>2</v>
      </c>
      <c r="O1001">
        <v>26</v>
      </c>
      <c r="P1001">
        <v>28</v>
      </c>
      <c r="Q1001" t="str">
        <f t="shared" si="120"/>
        <v>Complete</v>
      </c>
      <c r="R1001">
        <f t="shared" si="127"/>
        <v>0.19700000000000001</v>
      </c>
      <c r="S1001">
        <f t="shared" si="121"/>
        <v>2011</v>
      </c>
      <c r="T1001" t="str">
        <f t="shared" si="122"/>
        <v>January</v>
      </c>
      <c r="U1001" t="str">
        <f t="shared" si="123"/>
        <v>Saturday</v>
      </c>
      <c r="V1001" t="str">
        <f t="shared" si="124"/>
        <v>Night</v>
      </c>
      <c r="W1001" t="str">
        <f t="shared" si="125"/>
        <v>Spring</v>
      </c>
      <c r="X1001" t="str">
        <f t="shared" si="126"/>
        <v>Clear</v>
      </c>
    </row>
  </sheetData>
  <conditionalFormatting sqref="A1:Q1001">
    <cfRule type="containsText" dxfId="9" priority="1" operator="containsText" text="Missing atemp">
      <formula>NOT(ISERROR(SEARCH("Missing atemp",A1)))</formula>
    </cfRule>
    <cfRule type="containsBlanks" dxfId="8" priority="2">
      <formula>LEN(TRIM(A1))=0</formula>
    </cfRule>
  </conditionalFormatting>
  <conditionalFormatting sqref="K2:K1001">
    <cfRule type="colorScale" priority="3">
      <colorScale>
        <cfvo type="min"/>
        <cfvo type="percentile" val="50"/>
        <cfvo type="max"/>
        <color rgb="FFFCE4D6"/>
        <color rgb="FFFFF2CC"/>
        <color rgb="FFE2F0D9"/>
      </colorScale>
    </cfRule>
  </conditionalFormatting>
  <pageMargins left="0.75" right="0.75" top="1" bottom="1" header="0.5" footer="0.5"/>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C10"/>
  <sheetViews>
    <sheetView workbookViewId="0">
      <pane ySplit="1" topLeftCell="A2" activePane="bottomLeft" state="frozen"/>
      <selection pane="bottomLeft"/>
    </sheetView>
  </sheetViews>
  <sheetFormatPr defaultRowHeight="14.4"/>
  <cols>
    <col min="1" max="1" width="30" customWidth="1"/>
    <col min="2" max="2" width="24" customWidth="1"/>
    <col min="3" max="3" width="55" customWidth="1"/>
  </cols>
  <sheetData>
    <row r="1" spans="1:3">
      <c r="A1" s="3" t="s">
        <v>51</v>
      </c>
      <c r="B1" s="3" t="s">
        <v>52</v>
      </c>
      <c r="C1" s="3" t="s">
        <v>53</v>
      </c>
    </row>
    <row r="2" spans="1:3">
      <c r="A2" t="s">
        <v>54</v>
      </c>
      <c r="B2">
        <v>0</v>
      </c>
      <c r="C2" t="s">
        <v>55</v>
      </c>
    </row>
    <row r="3" spans="1:3">
      <c r="A3" t="s">
        <v>56</v>
      </c>
      <c r="B3">
        <v>0</v>
      </c>
      <c r="C3" t="s">
        <v>57</v>
      </c>
    </row>
    <row r="4" spans="1:3">
      <c r="A4" t="s">
        <v>58</v>
      </c>
      <c r="B4">
        <v>11</v>
      </c>
      <c r="C4" t="s">
        <v>59</v>
      </c>
    </row>
    <row r="5" spans="1:3">
      <c r="A5" t="s">
        <v>60</v>
      </c>
      <c r="B5">
        <v>0</v>
      </c>
      <c r="C5" t="s">
        <v>57</v>
      </c>
    </row>
    <row r="6" spans="1:3">
      <c r="A6" t="s">
        <v>61</v>
      </c>
      <c r="B6" t="s">
        <v>44</v>
      </c>
      <c r="C6" t="s">
        <v>62</v>
      </c>
    </row>
    <row r="7" spans="1:3">
      <c r="A7" t="s">
        <v>63</v>
      </c>
      <c r="B7">
        <v>0</v>
      </c>
      <c r="C7" t="s">
        <v>55</v>
      </c>
    </row>
    <row r="8" spans="1:3">
      <c r="A8" t="s">
        <v>64</v>
      </c>
      <c r="B8">
        <v>0</v>
      </c>
      <c r="C8" t="s">
        <v>57</v>
      </c>
    </row>
    <row r="9" spans="1:3">
      <c r="A9" t="s">
        <v>65</v>
      </c>
      <c r="B9">
        <v>1000</v>
      </c>
      <c r="C9" t="s">
        <v>66</v>
      </c>
    </row>
    <row r="10" spans="1:3">
      <c r="A10" t="s">
        <v>67</v>
      </c>
      <c r="B10">
        <v>0</v>
      </c>
      <c r="C10" t="s">
        <v>68</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V1001"/>
  <sheetViews>
    <sheetView topLeftCell="HU1" workbookViewId="0">
      <pane ySplit="1" topLeftCell="A2" activePane="bottomLeft" state="frozen"/>
      <selection pane="bottomLeft" activeCell="G23" sqref="G23"/>
    </sheetView>
  </sheetViews>
  <sheetFormatPr defaultRowHeight="14.4"/>
  <cols>
    <col min="1" max="22" width="16" customWidth="1"/>
  </cols>
  <sheetData>
    <row r="1" spans="1:22">
      <c r="A1" s="3" t="s">
        <v>34</v>
      </c>
      <c r="B1" s="3" t="s">
        <v>35</v>
      </c>
      <c r="C1" s="3" t="s">
        <v>36</v>
      </c>
      <c r="D1" s="3" t="s">
        <v>37</v>
      </c>
      <c r="E1" s="3" t="s">
        <v>38</v>
      </c>
      <c r="F1" s="3" t="s">
        <v>39</v>
      </c>
      <c r="G1" s="3" t="s">
        <v>40</v>
      </c>
      <c r="H1" s="3" t="s">
        <v>41</v>
      </c>
      <c r="I1" s="3" t="s">
        <v>42</v>
      </c>
      <c r="J1" s="3" t="s">
        <v>43</v>
      </c>
      <c r="K1" s="3" t="s">
        <v>45</v>
      </c>
      <c r="L1" s="3" t="s">
        <v>46</v>
      </c>
      <c r="M1" s="3" t="s">
        <v>47</v>
      </c>
      <c r="N1" s="3" t="s">
        <v>48</v>
      </c>
      <c r="O1" s="3" t="s">
        <v>49</v>
      </c>
      <c r="P1" s="3" t="s">
        <v>50</v>
      </c>
      <c r="Q1" s="3" t="s">
        <v>69</v>
      </c>
      <c r="R1" s="3" t="s">
        <v>70</v>
      </c>
      <c r="S1" s="3" t="s">
        <v>71</v>
      </c>
      <c r="T1" s="3" t="s">
        <v>72</v>
      </c>
      <c r="U1" s="3" t="s">
        <v>73</v>
      </c>
      <c r="V1" s="3" t="s">
        <v>74</v>
      </c>
    </row>
    <row r="2" spans="1:22">
      <c r="A2">
        <f>Master_Data!A2</f>
        <v>1</v>
      </c>
      <c r="B2">
        <f>Master_Data!B2</f>
        <v>40544</v>
      </c>
      <c r="C2">
        <f>Master_Data!C2</f>
        <v>1</v>
      </c>
      <c r="D2">
        <f>Master_Data!D2</f>
        <v>0</v>
      </c>
      <c r="E2">
        <f>Master_Data!E2</f>
        <v>1</v>
      </c>
      <c r="F2">
        <f>Master_Data!F2</f>
        <v>0</v>
      </c>
      <c r="G2" t="b">
        <f>Master_Data!G2</f>
        <v>0</v>
      </c>
      <c r="H2">
        <f>Master_Data!H2</f>
        <v>6</v>
      </c>
      <c r="I2">
        <f>Master_Data!I2</f>
        <v>1</v>
      </c>
      <c r="J2">
        <f>Master_Data!J2</f>
        <v>0.24</v>
      </c>
      <c r="K2">
        <f>Master_Data!K2</f>
        <v>0.28789999999999999</v>
      </c>
      <c r="L2">
        <f>Master_Data!L2</f>
        <v>0.81</v>
      </c>
      <c r="M2">
        <f>Master_Data!M2</f>
        <v>0</v>
      </c>
      <c r="N2">
        <f>Master_Data!N2</f>
        <v>3</v>
      </c>
      <c r="O2">
        <f>Master_Data!O2</f>
        <v>13</v>
      </c>
      <c r="P2">
        <f>Master_Data!P2</f>
        <v>16</v>
      </c>
      <c r="Q2" t="str">
        <f t="shared" ref="Q2:Q65" si="0">IF(D2=0,"2011","2012")</f>
        <v>2011</v>
      </c>
      <c r="R2" t="str">
        <f t="shared" ref="R2:R65" si="1">TEXT(B2,"mmmm")</f>
        <v>January</v>
      </c>
      <c r="S2" t="str">
        <f t="shared" ref="S2:S65" si="2">IF(G2=TRUE,"Holiday",IF(H2=0,"Sunday",IF(H2=6,"Saturday","Weekday")))</f>
        <v>Saturday</v>
      </c>
      <c r="T2" t="str">
        <f t="shared" ref="T2:T65" si="3">IF(F2&lt;6,"Night",IF(F2&lt;12,"Morning",IF(F2&lt;17,"Afternoon",IF(F2&lt;21,"Evening","Night"))))</f>
        <v>Night</v>
      </c>
      <c r="U2" t="str">
        <f t="shared" ref="U2:U65" si="4">CHOOSE(C2,"Spring","Summer","Fall","Winter")</f>
        <v>Spring</v>
      </c>
      <c r="V2" t="str">
        <f t="shared" ref="V2:V65" si="5">CHOOSE(I2,"Clear","Mist/Cloudy","Light Rain/Snow","Heavy Rain/Snow")</f>
        <v>Clear</v>
      </c>
    </row>
    <row r="3" spans="1:22">
      <c r="A3">
        <f>Master_Data!A3</f>
        <v>2</v>
      </c>
      <c r="B3">
        <f>Master_Data!B3</f>
        <v>40544</v>
      </c>
      <c r="C3">
        <f>Master_Data!C3</f>
        <v>1</v>
      </c>
      <c r="D3">
        <f>Master_Data!D3</f>
        <v>0</v>
      </c>
      <c r="E3">
        <f>Master_Data!E3</f>
        <v>1</v>
      </c>
      <c r="F3">
        <f>Master_Data!F3</f>
        <v>1</v>
      </c>
      <c r="G3" t="b">
        <f>Master_Data!G3</f>
        <v>0</v>
      </c>
      <c r="H3">
        <f>Master_Data!H3</f>
        <v>6</v>
      </c>
      <c r="I3">
        <f>Master_Data!I3</f>
        <v>1</v>
      </c>
      <c r="J3">
        <f>Master_Data!J3</f>
        <v>0.22</v>
      </c>
      <c r="K3">
        <f>Master_Data!K3</f>
        <v>0.2727</v>
      </c>
      <c r="L3">
        <f>Master_Data!L3</f>
        <v>0.8</v>
      </c>
      <c r="M3">
        <f>Master_Data!M3</f>
        <v>0</v>
      </c>
      <c r="N3">
        <f>Master_Data!N3</f>
        <v>8</v>
      </c>
      <c r="O3">
        <f>Master_Data!O3</f>
        <v>32</v>
      </c>
      <c r="P3">
        <f>Master_Data!P3</f>
        <v>40</v>
      </c>
      <c r="Q3" t="str">
        <f t="shared" si="0"/>
        <v>2011</v>
      </c>
      <c r="R3" t="str">
        <f t="shared" si="1"/>
        <v>January</v>
      </c>
      <c r="S3" t="str">
        <f t="shared" si="2"/>
        <v>Saturday</v>
      </c>
      <c r="T3" t="str">
        <f t="shared" si="3"/>
        <v>Night</v>
      </c>
      <c r="U3" t="str">
        <f t="shared" si="4"/>
        <v>Spring</v>
      </c>
      <c r="V3" t="str">
        <f t="shared" si="5"/>
        <v>Clear</v>
      </c>
    </row>
    <row r="4" spans="1:22">
      <c r="A4">
        <f>Master_Data!A4</f>
        <v>3</v>
      </c>
      <c r="B4">
        <f>Master_Data!B4</f>
        <v>40544</v>
      </c>
      <c r="C4">
        <f>Master_Data!C4</f>
        <v>1</v>
      </c>
      <c r="D4">
        <f>Master_Data!D4</f>
        <v>0</v>
      </c>
      <c r="E4">
        <f>Master_Data!E4</f>
        <v>1</v>
      </c>
      <c r="F4">
        <f>Master_Data!F4</f>
        <v>2</v>
      </c>
      <c r="G4" t="b">
        <f>Master_Data!G4</f>
        <v>0</v>
      </c>
      <c r="H4">
        <f>Master_Data!H4</f>
        <v>6</v>
      </c>
      <c r="I4">
        <f>Master_Data!I4</f>
        <v>1</v>
      </c>
      <c r="J4">
        <f>Master_Data!J4</f>
        <v>0.22</v>
      </c>
      <c r="K4">
        <f>Master_Data!K4</f>
        <v>0.2727</v>
      </c>
      <c r="L4">
        <f>Master_Data!L4</f>
        <v>0.8</v>
      </c>
      <c r="M4">
        <f>Master_Data!M4</f>
        <v>0</v>
      </c>
      <c r="N4">
        <f>Master_Data!N4</f>
        <v>5</v>
      </c>
      <c r="O4">
        <f>Master_Data!O4</f>
        <v>27</v>
      </c>
      <c r="P4">
        <f>Master_Data!P4</f>
        <v>32</v>
      </c>
      <c r="Q4" t="str">
        <f t="shared" si="0"/>
        <v>2011</v>
      </c>
      <c r="R4" t="str">
        <f t="shared" si="1"/>
        <v>January</v>
      </c>
      <c r="S4" t="str">
        <f t="shared" si="2"/>
        <v>Saturday</v>
      </c>
      <c r="T4" t="str">
        <f t="shared" si="3"/>
        <v>Night</v>
      </c>
      <c r="U4" t="str">
        <f t="shared" si="4"/>
        <v>Spring</v>
      </c>
      <c r="V4" t="str">
        <f t="shared" si="5"/>
        <v>Clear</v>
      </c>
    </row>
    <row r="5" spans="1:22">
      <c r="A5">
        <f>Master_Data!A5</f>
        <v>4</v>
      </c>
      <c r="B5">
        <f>Master_Data!B5</f>
        <v>40544</v>
      </c>
      <c r="C5">
        <f>Master_Data!C5</f>
        <v>1</v>
      </c>
      <c r="D5">
        <f>Master_Data!D5</f>
        <v>0</v>
      </c>
      <c r="E5">
        <f>Master_Data!E5</f>
        <v>1</v>
      </c>
      <c r="F5">
        <f>Master_Data!F5</f>
        <v>3</v>
      </c>
      <c r="G5" t="b">
        <f>Master_Data!G5</f>
        <v>0</v>
      </c>
      <c r="H5">
        <f>Master_Data!H5</f>
        <v>6</v>
      </c>
      <c r="I5">
        <f>Master_Data!I5</f>
        <v>1</v>
      </c>
      <c r="J5">
        <f>Master_Data!J5</f>
        <v>0.24</v>
      </c>
      <c r="K5">
        <f>Master_Data!K5</f>
        <v>0.28789999999999999</v>
      </c>
      <c r="L5">
        <f>Master_Data!L5</f>
        <v>0.75</v>
      </c>
      <c r="M5">
        <f>Master_Data!M5</f>
        <v>0</v>
      </c>
      <c r="N5">
        <f>Master_Data!N5</f>
        <v>3</v>
      </c>
      <c r="O5">
        <f>Master_Data!O5</f>
        <v>10</v>
      </c>
      <c r="P5">
        <f>Master_Data!P5</f>
        <v>13</v>
      </c>
      <c r="Q5" t="str">
        <f t="shared" si="0"/>
        <v>2011</v>
      </c>
      <c r="R5" t="str">
        <f t="shared" si="1"/>
        <v>January</v>
      </c>
      <c r="S5" t="str">
        <f t="shared" si="2"/>
        <v>Saturday</v>
      </c>
      <c r="T5" t="str">
        <f t="shared" si="3"/>
        <v>Night</v>
      </c>
      <c r="U5" t="str">
        <f t="shared" si="4"/>
        <v>Spring</v>
      </c>
      <c r="V5" t="str">
        <f t="shared" si="5"/>
        <v>Clear</v>
      </c>
    </row>
    <row r="6" spans="1:22">
      <c r="A6">
        <f>Master_Data!A6</f>
        <v>5</v>
      </c>
      <c r="B6">
        <f>Master_Data!B6</f>
        <v>40544</v>
      </c>
      <c r="C6">
        <f>Master_Data!C6</f>
        <v>1</v>
      </c>
      <c r="D6">
        <f>Master_Data!D6</f>
        <v>0</v>
      </c>
      <c r="E6">
        <f>Master_Data!E6</f>
        <v>1</v>
      </c>
      <c r="F6">
        <f>Master_Data!F6</f>
        <v>4</v>
      </c>
      <c r="G6" t="b">
        <f>Master_Data!G6</f>
        <v>0</v>
      </c>
      <c r="H6">
        <f>Master_Data!H6</f>
        <v>6</v>
      </c>
      <c r="I6">
        <f>Master_Data!I6</f>
        <v>1</v>
      </c>
      <c r="J6">
        <f>Master_Data!J6</f>
        <v>0.24</v>
      </c>
      <c r="K6">
        <f>Master_Data!K6</f>
        <v>0.28789999999999999</v>
      </c>
      <c r="L6">
        <f>Master_Data!L6</f>
        <v>0.75</v>
      </c>
      <c r="M6">
        <f>Master_Data!M6</f>
        <v>0</v>
      </c>
      <c r="N6">
        <f>Master_Data!N6</f>
        <v>0</v>
      </c>
      <c r="O6">
        <f>Master_Data!O6</f>
        <v>1</v>
      </c>
      <c r="P6">
        <f>Master_Data!P6</f>
        <v>1</v>
      </c>
      <c r="Q6" t="str">
        <f t="shared" si="0"/>
        <v>2011</v>
      </c>
      <c r="R6" t="str">
        <f t="shared" si="1"/>
        <v>January</v>
      </c>
      <c r="S6" t="str">
        <f t="shared" si="2"/>
        <v>Saturday</v>
      </c>
      <c r="T6" t="str">
        <f t="shared" si="3"/>
        <v>Night</v>
      </c>
      <c r="U6" t="str">
        <f t="shared" si="4"/>
        <v>Spring</v>
      </c>
      <c r="V6" t="str">
        <f t="shared" si="5"/>
        <v>Clear</v>
      </c>
    </row>
    <row r="7" spans="1:22">
      <c r="A7">
        <f>Master_Data!A7</f>
        <v>6</v>
      </c>
      <c r="B7">
        <f>Master_Data!B7</f>
        <v>40544</v>
      </c>
      <c r="C7">
        <f>Master_Data!C7</f>
        <v>1</v>
      </c>
      <c r="D7">
        <f>Master_Data!D7</f>
        <v>0</v>
      </c>
      <c r="E7">
        <f>Master_Data!E7</f>
        <v>1</v>
      </c>
      <c r="F7">
        <f>Master_Data!F7</f>
        <v>5</v>
      </c>
      <c r="G7" t="b">
        <f>Master_Data!G7</f>
        <v>0</v>
      </c>
      <c r="H7">
        <f>Master_Data!H7</f>
        <v>6</v>
      </c>
      <c r="I7">
        <f>Master_Data!I7</f>
        <v>2</v>
      </c>
      <c r="J7">
        <f>Master_Data!J7</f>
        <v>0.24</v>
      </c>
      <c r="K7">
        <f>Master_Data!K7</f>
        <v>0.2576</v>
      </c>
      <c r="L7">
        <f>Master_Data!L7</f>
        <v>0.75</v>
      </c>
      <c r="M7">
        <f>Master_Data!M7</f>
        <v>8.9599999999999999E-2</v>
      </c>
      <c r="N7">
        <f>Master_Data!N7</f>
        <v>0</v>
      </c>
      <c r="O7">
        <f>Master_Data!O7</f>
        <v>1</v>
      </c>
      <c r="P7">
        <f>Master_Data!P7</f>
        <v>1</v>
      </c>
      <c r="Q7" t="str">
        <f t="shared" si="0"/>
        <v>2011</v>
      </c>
      <c r="R7" t="str">
        <f t="shared" si="1"/>
        <v>January</v>
      </c>
      <c r="S7" t="str">
        <f t="shared" si="2"/>
        <v>Saturday</v>
      </c>
      <c r="T7" t="str">
        <f t="shared" si="3"/>
        <v>Night</v>
      </c>
      <c r="U7" t="str">
        <f t="shared" si="4"/>
        <v>Spring</v>
      </c>
      <c r="V7" t="str">
        <f t="shared" si="5"/>
        <v>Mist/Cloudy</v>
      </c>
    </row>
    <row r="8" spans="1:22">
      <c r="A8">
        <f>Master_Data!A8</f>
        <v>7</v>
      </c>
      <c r="B8">
        <f>Master_Data!B8</f>
        <v>40544</v>
      </c>
      <c r="C8">
        <f>Master_Data!C8</f>
        <v>1</v>
      </c>
      <c r="D8">
        <f>Master_Data!D8</f>
        <v>0</v>
      </c>
      <c r="E8">
        <f>Master_Data!E8</f>
        <v>1</v>
      </c>
      <c r="F8">
        <f>Master_Data!F8</f>
        <v>6</v>
      </c>
      <c r="G8" t="b">
        <f>Master_Data!G8</f>
        <v>0</v>
      </c>
      <c r="H8">
        <f>Master_Data!H8</f>
        <v>6</v>
      </c>
      <c r="I8">
        <f>Master_Data!I8</f>
        <v>1</v>
      </c>
      <c r="J8">
        <f>Master_Data!J8</f>
        <v>0.22</v>
      </c>
      <c r="K8">
        <f>Master_Data!K8</f>
        <v>0.2727</v>
      </c>
      <c r="L8">
        <f>Master_Data!L8</f>
        <v>0.8</v>
      </c>
      <c r="M8">
        <f>Master_Data!M8</f>
        <v>0</v>
      </c>
      <c r="N8">
        <f>Master_Data!N8</f>
        <v>2</v>
      </c>
      <c r="O8">
        <f>Master_Data!O8</f>
        <v>0</v>
      </c>
      <c r="P8">
        <f>Master_Data!P8</f>
        <v>2</v>
      </c>
      <c r="Q8" t="str">
        <f t="shared" si="0"/>
        <v>2011</v>
      </c>
      <c r="R8" t="str">
        <f t="shared" si="1"/>
        <v>January</v>
      </c>
      <c r="S8" t="str">
        <f t="shared" si="2"/>
        <v>Saturday</v>
      </c>
      <c r="T8" t="str">
        <f t="shared" si="3"/>
        <v>Morning</v>
      </c>
      <c r="U8" t="str">
        <f t="shared" si="4"/>
        <v>Spring</v>
      </c>
      <c r="V8" t="str">
        <f t="shared" si="5"/>
        <v>Clear</v>
      </c>
    </row>
    <row r="9" spans="1:22">
      <c r="A9">
        <f>Master_Data!A9</f>
        <v>8</v>
      </c>
      <c r="B9">
        <f>Master_Data!B9</f>
        <v>40544</v>
      </c>
      <c r="C9">
        <f>Master_Data!C9</f>
        <v>1</v>
      </c>
      <c r="D9">
        <f>Master_Data!D9</f>
        <v>0</v>
      </c>
      <c r="E9">
        <f>Master_Data!E9</f>
        <v>1</v>
      </c>
      <c r="F9">
        <f>Master_Data!F9</f>
        <v>7</v>
      </c>
      <c r="G9" t="b">
        <f>Master_Data!G9</f>
        <v>0</v>
      </c>
      <c r="H9">
        <f>Master_Data!H9</f>
        <v>6</v>
      </c>
      <c r="I9">
        <f>Master_Data!I9</f>
        <v>1</v>
      </c>
      <c r="J9">
        <f>Master_Data!J9</f>
        <v>0.2</v>
      </c>
      <c r="K9">
        <f>Master_Data!K9</f>
        <v>0.2576</v>
      </c>
      <c r="L9">
        <f>Master_Data!L9</f>
        <v>0.86</v>
      </c>
      <c r="M9">
        <f>Master_Data!M9</f>
        <v>0</v>
      </c>
      <c r="N9">
        <f>Master_Data!N9</f>
        <v>1</v>
      </c>
      <c r="O9">
        <f>Master_Data!O9</f>
        <v>2</v>
      </c>
      <c r="P9">
        <f>Master_Data!P9</f>
        <v>3</v>
      </c>
      <c r="Q9" t="str">
        <f t="shared" si="0"/>
        <v>2011</v>
      </c>
      <c r="R9" t="str">
        <f t="shared" si="1"/>
        <v>January</v>
      </c>
      <c r="S9" t="str">
        <f t="shared" si="2"/>
        <v>Saturday</v>
      </c>
      <c r="T9" t="str">
        <f t="shared" si="3"/>
        <v>Morning</v>
      </c>
      <c r="U9" t="str">
        <f t="shared" si="4"/>
        <v>Spring</v>
      </c>
      <c r="V9" t="str">
        <f t="shared" si="5"/>
        <v>Clear</v>
      </c>
    </row>
    <row r="10" spans="1:22">
      <c r="A10">
        <f>Master_Data!A10</f>
        <v>9</v>
      </c>
      <c r="B10">
        <f>Master_Data!B10</f>
        <v>40544</v>
      </c>
      <c r="C10">
        <f>Master_Data!C10</f>
        <v>1</v>
      </c>
      <c r="D10">
        <f>Master_Data!D10</f>
        <v>0</v>
      </c>
      <c r="E10">
        <f>Master_Data!E10</f>
        <v>1</v>
      </c>
      <c r="F10">
        <f>Master_Data!F10</f>
        <v>8</v>
      </c>
      <c r="G10" t="b">
        <f>Master_Data!G10</f>
        <v>0</v>
      </c>
      <c r="H10">
        <f>Master_Data!H10</f>
        <v>6</v>
      </c>
      <c r="I10">
        <f>Master_Data!I10</f>
        <v>1</v>
      </c>
      <c r="J10">
        <f>Master_Data!J10</f>
        <v>0.24</v>
      </c>
      <c r="K10">
        <f>Master_Data!K10</f>
        <v>0</v>
      </c>
      <c r="L10">
        <f>Master_Data!L10</f>
        <v>0.75</v>
      </c>
      <c r="M10">
        <f>Master_Data!M10</f>
        <v>0</v>
      </c>
      <c r="N10">
        <f>Master_Data!N10</f>
        <v>1</v>
      </c>
      <c r="O10">
        <f>Master_Data!O10</f>
        <v>7</v>
      </c>
      <c r="P10">
        <f>Master_Data!P10</f>
        <v>8</v>
      </c>
      <c r="Q10" t="str">
        <f t="shared" si="0"/>
        <v>2011</v>
      </c>
      <c r="R10" t="str">
        <f t="shared" si="1"/>
        <v>January</v>
      </c>
      <c r="S10" t="str">
        <f t="shared" si="2"/>
        <v>Saturday</v>
      </c>
      <c r="T10" t="str">
        <f t="shared" si="3"/>
        <v>Morning</v>
      </c>
      <c r="U10" t="str">
        <f t="shared" si="4"/>
        <v>Spring</v>
      </c>
      <c r="V10" t="str">
        <f t="shared" si="5"/>
        <v>Clear</v>
      </c>
    </row>
    <row r="11" spans="1:22">
      <c r="A11">
        <f>Master_Data!A11</f>
        <v>10</v>
      </c>
      <c r="B11">
        <f>Master_Data!B11</f>
        <v>40544</v>
      </c>
      <c r="C11">
        <f>Master_Data!C11</f>
        <v>1</v>
      </c>
      <c r="D11">
        <f>Master_Data!D11</f>
        <v>0</v>
      </c>
      <c r="E11">
        <f>Master_Data!E11</f>
        <v>1</v>
      </c>
      <c r="F11">
        <f>Master_Data!F11</f>
        <v>9</v>
      </c>
      <c r="G11" t="b">
        <f>Master_Data!G11</f>
        <v>0</v>
      </c>
      <c r="H11">
        <f>Master_Data!H11</f>
        <v>6</v>
      </c>
      <c r="I11">
        <f>Master_Data!I11</f>
        <v>1</v>
      </c>
      <c r="J11">
        <f>Master_Data!J11</f>
        <v>0.32</v>
      </c>
      <c r="K11">
        <f>Master_Data!K11</f>
        <v>0.34849999999999998</v>
      </c>
      <c r="L11">
        <f>Master_Data!L11</f>
        <v>0.76</v>
      </c>
      <c r="M11">
        <f>Master_Data!M11</f>
        <v>0</v>
      </c>
      <c r="N11">
        <f>Master_Data!N11</f>
        <v>8</v>
      </c>
      <c r="O11">
        <f>Master_Data!O11</f>
        <v>6</v>
      </c>
      <c r="P11">
        <f>Master_Data!P11</f>
        <v>14</v>
      </c>
      <c r="Q11" t="str">
        <f t="shared" si="0"/>
        <v>2011</v>
      </c>
      <c r="R11" t="str">
        <f t="shared" si="1"/>
        <v>January</v>
      </c>
      <c r="S11" t="str">
        <f t="shared" si="2"/>
        <v>Saturday</v>
      </c>
      <c r="T11" t="str">
        <f t="shared" si="3"/>
        <v>Morning</v>
      </c>
      <c r="U11" t="str">
        <f t="shared" si="4"/>
        <v>Spring</v>
      </c>
      <c r="V11" t="str">
        <f t="shared" si="5"/>
        <v>Clear</v>
      </c>
    </row>
    <row r="12" spans="1:22">
      <c r="A12">
        <f>Master_Data!A12</f>
        <v>11</v>
      </c>
      <c r="B12">
        <f>Master_Data!B12</f>
        <v>40544</v>
      </c>
      <c r="C12">
        <f>Master_Data!C12</f>
        <v>1</v>
      </c>
      <c r="D12">
        <f>Master_Data!D12</f>
        <v>0</v>
      </c>
      <c r="E12">
        <f>Master_Data!E12</f>
        <v>1</v>
      </c>
      <c r="F12">
        <f>Master_Data!F12</f>
        <v>10</v>
      </c>
      <c r="G12" t="b">
        <f>Master_Data!G12</f>
        <v>0</v>
      </c>
      <c r="H12">
        <f>Master_Data!H12</f>
        <v>6</v>
      </c>
      <c r="I12">
        <f>Master_Data!I12</f>
        <v>1</v>
      </c>
      <c r="J12">
        <f>Master_Data!J12</f>
        <v>0.38</v>
      </c>
      <c r="K12">
        <f>Master_Data!K12</f>
        <v>0.39389999999999997</v>
      </c>
      <c r="L12">
        <f>Master_Data!L12</f>
        <v>0.76</v>
      </c>
      <c r="M12">
        <f>Master_Data!M12</f>
        <v>0.25369999999999998</v>
      </c>
      <c r="N12">
        <f>Master_Data!N12</f>
        <v>12</v>
      </c>
      <c r="O12">
        <f>Master_Data!O12</f>
        <v>24</v>
      </c>
      <c r="P12">
        <f>Master_Data!P12</f>
        <v>36</v>
      </c>
      <c r="Q12" t="str">
        <f t="shared" si="0"/>
        <v>2011</v>
      </c>
      <c r="R12" t="str">
        <f t="shared" si="1"/>
        <v>January</v>
      </c>
      <c r="S12" t="str">
        <f t="shared" si="2"/>
        <v>Saturday</v>
      </c>
      <c r="T12" t="str">
        <f t="shared" si="3"/>
        <v>Morning</v>
      </c>
      <c r="U12" t="str">
        <f t="shared" si="4"/>
        <v>Spring</v>
      </c>
      <c r="V12" t="str">
        <f t="shared" si="5"/>
        <v>Clear</v>
      </c>
    </row>
    <row r="13" spans="1:22">
      <c r="A13">
        <f>Master_Data!A13</f>
        <v>12</v>
      </c>
      <c r="B13">
        <f>Master_Data!B13</f>
        <v>40544</v>
      </c>
      <c r="C13">
        <f>Master_Data!C13</f>
        <v>1</v>
      </c>
      <c r="D13">
        <f>Master_Data!D13</f>
        <v>0</v>
      </c>
      <c r="E13">
        <f>Master_Data!E13</f>
        <v>1</v>
      </c>
      <c r="F13">
        <f>Master_Data!F13</f>
        <v>11</v>
      </c>
      <c r="G13" t="b">
        <f>Master_Data!G13</f>
        <v>0</v>
      </c>
      <c r="H13">
        <f>Master_Data!H13</f>
        <v>6</v>
      </c>
      <c r="I13">
        <f>Master_Data!I13</f>
        <v>1</v>
      </c>
      <c r="J13">
        <f>Master_Data!J13</f>
        <v>0.36</v>
      </c>
      <c r="K13">
        <f>Master_Data!K13</f>
        <v>0.33329999999999999</v>
      </c>
      <c r="L13">
        <f>Master_Data!L13</f>
        <v>0.81</v>
      </c>
      <c r="M13">
        <f>Master_Data!M13</f>
        <v>0.28360000000000002</v>
      </c>
      <c r="N13">
        <f>Master_Data!N13</f>
        <v>26</v>
      </c>
      <c r="O13">
        <f>Master_Data!O13</f>
        <v>30</v>
      </c>
      <c r="P13">
        <f>Master_Data!P13</f>
        <v>56</v>
      </c>
      <c r="Q13" t="str">
        <f t="shared" si="0"/>
        <v>2011</v>
      </c>
      <c r="R13" t="str">
        <f t="shared" si="1"/>
        <v>January</v>
      </c>
      <c r="S13" t="str">
        <f t="shared" si="2"/>
        <v>Saturday</v>
      </c>
      <c r="T13" t="str">
        <f t="shared" si="3"/>
        <v>Morning</v>
      </c>
      <c r="U13" t="str">
        <f t="shared" si="4"/>
        <v>Spring</v>
      </c>
      <c r="V13" t="str">
        <f t="shared" si="5"/>
        <v>Clear</v>
      </c>
    </row>
    <row r="14" spans="1:22">
      <c r="A14">
        <f>Master_Data!A14</f>
        <v>13</v>
      </c>
      <c r="B14">
        <f>Master_Data!B14</f>
        <v>40544</v>
      </c>
      <c r="C14">
        <f>Master_Data!C14</f>
        <v>1</v>
      </c>
      <c r="D14">
        <f>Master_Data!D14</f>
        <v>0</v>
      </c>
      <c r="E14">
        <f>Master_Data!E14</f>
        <v>1</v>
      </c>
      <c r="F14">
        <f>Master_Data!F14</f>
        <v>12</v>
      </c>
      <c r="G14" t="b">
        <f>Master_Data!G14</f>
        <v>0</v>
      </c>
      <c r="H14">
        <f>Master_Data!H14</f>
        <v>6</v>
      </c>
      <c r="I14">
        <f>Master_Data!I14</f>
        <v>1</v>
      </c>
      <c r="J14">
        <f>Master_Data!J14</f>
        <v>0.42</v>
      </c>
      <c r="K14">
        <f>Master_Data!K14</f>
        <v>0.42420000000000002</v>
      </c>
      <c r="L14">
        <f>Master_Data!L14</f>
        <v>0.77</v>
      </c>
      <c r="M14">
        <f>Master_Data!M14</f>
        <v>0.28360000000000002</v>
      </c>
      <c r="N14">
        <f>Master_Data!N14</f>
        <v>29</v>
      </c>
      <c r="O14">
        <f>Master_Data!O14</f>
        <v>55</v>
      </c>
      <c r="P14">
        <f>Master_Data!P14</f>
        <v>84</v>
      </c>
      <c r="Q14" t="str">
        <f t="shared" si="0"/>
        <v>2011</v>
      </c>
      <c r="R14" t="str">
        <f t="shared" si="1"/>
        <v>January</v>
      </c>
      <c r="S14" t="str">
        <f t="shared" si="2"/>
        <v>Saturday</v>
      </c>
      <c r="T14" t="str">
        <f t="shared" si="3"/>
        <v>Afternoon</v>
      </c>
      <c r="U14" t="str">
        <f t="shared" si="4"/>
        <v>Spring</v>
      </c>
      <c r="V14" t="str">
        <f t="shared" si="5"/>
        <v>Clear</v>
      </c>
    </row>
    <row r="15" spans="1:22">
      <c r="A15">
        <f>Master_Data!A15</f>
        <v>14</v>
      </c>
      <c r="B15">
        <f>Master_Data!B15</f>
        <v>40544</v>
      </c>
      <c r="C15">
        <f>Master_Data!C15</f>
        <v>1</v>
      </c>
      <c r="D15">
        <f>Master_Data!D15</f>
        <v>0</v>
      </c>
      <c r="E15">
        <f>Master_Data!E15</f>
        <v>1</v>
      </c>
      <c r="F15">
        <f>Master_Data!F15</f>
        <v>13</v>
      </c>
      <c r="G15" t="b">
        <f>Master_Data!G15</f>
        <v>0</v>
      </c>
      <c r="H15">
        <f>Master_Data!H15</f>
        <v>6</v>
      </c>
      <c r="I15">
        <f>Master_Data!I15</f>
        <v>2</v>
      </c>
      <c r="J15">
        <f>Master_Data!J15</f>
        <v>0.46</v>
      </c>
      <c r="K15">
        <f>Master_Data!K15</f>
        <v>0.45450000000000002</v>
      </c>
      <c r="L15">
        <f>Master_Data!L15</f>
        <v>0.72</v>
      </c>
      <c r="M15">
        <f>Master_Data!M15</f>
        <v>0.29849999999999999</v>
      </c>
      <c r="N15">
        <f>Master_Data!N15</f>
        <v>47</v>
      </c>
      <c r="O15">
        <f>Master_Data!O15</f>
        <v>47</v>
      </c>
      <c r="P15">
        <f>Master_Data!P15</f>
        <v>94</v>
      </c>
      <c r="Q15" t="str">
        <f t="shared" si="0"/>
        <v>2011</v>
      </c>
      <c r="R15" t="str">
        <f t="shared" si="1"/>
        <v>January</v>
      </c>
      <c r="S15" t="str">
        <f t="shared" si="2"/>
        <v>Saturday</v>
      </c>
      <c r="T15" t="str">
        <f t="shared" si="3"/>
        <v>Afternoon</v>
      </c>
      <c r="U15" t="str">
        <f t="shared" si="4"/>
        <v>Spring</v>
      </c>
      <c r="V15" t="str">
        <f t="shared" si="5"/>
        <v>Mist/Cloudy</v>
      </c>
    </row>
    <row r="16" spans="1:22">
      <c r="A16">
        <f>Master_Data!A16</f>
        <v>15</v>
      </c>
      <c r="B16">
        <f>Master_Data!B16</f>
        <v>40544</v>
      </c>
      <c r="C16">
        <f>Master_Data!C16</f>
        <v>1</v>
      </c>
      <c r="D16">
        <f>Master_Data!D16</f>
        <v>0</v>
      </c>
      <c r="E16">
        <f>Master_Data!E16</f>
        <v>1</v>
      </c>
      <c r="F16">
        <f>Master_Data!F16</f>
        <v>14</v>
      </c>
      <c r="G16" t="b">
        <f>Master_Data!G16</f>
        <v>0</v>
      </c>
      <c r="H16">
        <f>Master_Data!H16</f>
        <v>6</v>
      </c>
      <c r="I16">
        <f>Master_Data!I16</f>
        <v>2</v>
      </c>
      <c r="J16">
        <f>Master_Data!J16</f>
        <v>0.46</v>
      </c>
      <c r="K16">
        <f>Master_Data!K16</f>
        <v>0.45450000000000002</v>
      </c>
      <c r="L16">
        <f>Master_Data!L16</f>
        <v>0.72</v>
      </c>
      <c r="M16">
        <f>Master_Data!M16</f>
        <v>0.28360000000000002</v>
      </c>
      <c r="N16">
        <f>Master_Data!N16</f>
        <v>35</v>
      </c>
      <c r="O16">
        <f>Master_Data!O16</f>
        <v>71</v>
      </c>
      <c r="P16">
        <f>Master_Data!P16</f>
        <v>106</v>
      </c>
      <c r="Q16" t="str">
        <f t="shared" si="0"/>
        <v>2011</v>
      </c>
      <c r="R16" t="str">
        <f t="shared" si="1"/>
        <v>January</v>
      </c>
      <c r="S16" t="str">
        <f t="shared" si="2"/>
        <v>Saturday</v>
      </c>
      <c r="T16" t="str">
        <f t="shared" si="3"/>
        <v>Afternoon</v>
      </c>
      <c r="U16" t="str">
        <f t="shared" si="4"/>
        <v>Spring</v>
      </c>
      <c r="V16" t="str">
        <f t="shared" si="5"/>
        <v>Mist/Cloudy</v>
      </c>
    </row>
    <row r="17" spans="1:22">
      <c r="A17">
        <f>Master_Data!A17</f>
        <v>16</v>
      </c>
      <c r="B17">
        <f>Master_Data!B17</f>
        <v>40544</v>
      </c>
      <c r="C17">
        <f>Master_Data!C17</f>
        <v>1</v>
      </c>
      <c r="D17">
        <f>Master_Data!D17</f>
        <v>0</v>
      </c>
      <c r="E17">
        <f>Master_Data!E17</f>
        <v>1</v>
      </c>
      <c r="F17">
        <f>Master_Data!F17</f>
        <v>15</v>
      </c>
      <c r="G17" t="b">
        <f>Master_Data!G17</f>
        <v>0</v>
      </c>
      <c r="H17">
        <f>Master_Data!H17</f>
        <v>6</v>
      </c>
      <c r="I17">
        <f>Master_Data!I17</f>
        <v>2</v>
      </c>
      <c r="J17">
        <f>Master_Data!J17</f>
        <v>0.44</v>
      </c>
      <c r="K17">
        <f>Master_Data!K17</f>
        <v>0.43940000000000001</v>
      </c>
      <c r="L17">
        <f>Master_Data!L17</f>
        <v>0.77</v>
      </c>
      <c r="M17">
        <f>Master_Data!M17</f>
        <v>0.29849999999999999</v>
      </c>
      <c r="N17">
        <f>Master_Data!N17</f>
        <v>40</v>
      </c>
      <c r="O17">
        <f>Master_Data!O17</f>
        <v>70</v>
      </c>
      <c r="P17">
        <f>Master_Data!P17</f>
        <v>110</v>
      </c>
      <c r="Q17" t="str">
        <f t="shared" si="0"/>
        <v>2011</v>
      </c>
      <c r="R17" t="str">
        <f t="shared" si="1"/>
        <v>January</v>
      </c>
      <c r="S17" t="str">
        <f t="shared" si="2"/>
        <v>Saturday</v>
      </c>
      <c r="T17" t="str">
        <f t="shared" si="3"/>
        <v>Afternoon</v>
      </c>
      <c r="U17" t="str">
        <f t="shared" si="4"/>
        <v>Spring</v>
      </c>
      <c r="V17" t="str">
        <f t="shared" si="5"/>
        <v>Mist/Cloudy</v>
      </c>
    </row>
    <row r="18" spans="1:22">
      <c r="A18">
        <f>Master_Data!A18</f>
        <v>17</v>
      </c>
      <c r="B18">
        <f>Master_Data!B18</f>
        <v>40544</v>
      </c>
      <c r="C18">
        <f>Master_Data!C18</f>
        <v>1</v>
      </c>
      <c r="D18">
        <f>Master_Data!D18</f>
        <v>0</v>
      </c>
      <c r="E18">
        <f>Master_Data!E18</f>
        <v>1</v>
      </c>
      <c r="F18">
        <f>Master_Data!F18</f>
        <v>16</v>
      </c>
      <c r="G18" t="b">
        <f>Master_Data!G18</f>
        <v>0</v>
      </c>
      <c r="H18">
        <f>Master_Data!H18</f>
        <v>6</v>
      </c>
      <c r="I18">
        <f>Master_Data!I18</f>
        <v>2</v>
      </c>
      <c r="J18">
        <f>Master_Data!J18</f>
        <v>0.42</v>
      </c>
      <c r="K18">
        <f>Master_Data!K18</f>
        <v>0.42420000000000002</v>
      </c>
      <c r="L18">
        <f>Master_Data!L18</f>
        <v>0.82</v>
      </c>
      <c r="M18">
        <f>Master_Data!M18</f>
        <v>0.29849999999999999</v>
      </c>
      <c r="N18">
        <f>Master_Data!N18</f>
        <v>41</v>
      </c>
      <c r="O18">
        <f>Master_Data!O18</f>
        <v>52</v>
      </c>
      <c r="P18">
        <f>Master_Data!P18</f>
        <v>93</v>
      </c>
      <c r="Q18" t="str">
        <f t="shared" si="0"/>
        <v>2011</v>
      </c>
      <c r="R18" t="str">
        <f t="shared" si="1"/>
        <v>January</v>
      </c>
      <c r="S18" t="str">
        <f t="shared" si="2"/>
        <v>Saturday</v>
      </c>
      <c r="T18" t="str">
        <f t="shared" si="3"/>
        <v>Afternoon</v>
      </c>
      <c r="U18" t="str">
        <f t="shared" si="4"/>
        <v>Spring</v>
      </c>
      <c r="V18" t="str">
        <f t="shared" si="5"/>
        <v>Mist/Cloudy</v>
      </c>
    </row>
    <row r="19" spans="1:22">
      <c r="A19">
        <f>Master_Data!A19</f>
        <v>18</v>
      </c>
      <c r="B19">
        <f>Master_Data!B19</f>
        <v>40544</v>
      </c>
      <c r="C19">
        <f>Master_Data!C19</f>
        <v>1</v>
      </c>
      <c r="D19">
        <f>Master_Data!D19</f>
        <v>0</v>
      </c>
      <c r="E19">
        <f>Master_Data!E19</f>
        <v>1</v>
      </c>
      <c r="F19">
        <f>Master_Data!F19</f>
        <v>17</v>
      </c>
      <c r="G19" t="b">
        <f>Master_Data!G19</f>
        <v>0</v>
      </c>
      <c r="H19">
        <f>Master_Data!H19</f>
        <v>6</v>
      </c>
      <c r="I19">
        <f>Master_Data!I19</f>
        <v>2</v>
      </c>
      <c r="J19">
        <f>Master_Data!J19</f>
        <v>0.44</v>
      </c>
      <c r="K19">
        <f>Master_Data!K19</f>
        <v>0</v>
      </c>
      <c r="L19">
        <f>Master_Data!L19</f>
        <v>0.82</v>
      </c>
      <c r="M19">
        <f>Master_Data!M19</f>
        <v>0.28360000000000002</v>
      </c>
      <c r="N19">
        <f>Master_Data!N19</f>
        <v>15</v>
      </c>
      <c r="O19">
        <f>Master_Data!O19</f>
        <v>52</v>
      </c>
      <c r="P19">
        <f>Master_Data!P19</f>
        <v>67</v>
      </c>
      <c r="Q19" t="str">
        <f t="shared" si="0"/>
        <v>2011</v>
      </c>
      <c r="R19" t="str">
        <f t="shared" si="1"/>
        <v>January</v>
      </c>
      <c r="S19" t="str">
        <f t="shared" si="2"/>
        <v>Saturday</v>
      </c>
      <c r="T19" t="str">
        <f t="shared" si="3"/>
        <v>Evening</v>
      </c>
      <c r="U19" t="str">
        <f t="shared" si="4"/>
        <v>Spring</v>
      </c>
      <c r="V19" t="str">
        <f t="shared" si="5"/>
        <v>Mist/Cloudy</v>
      </c>
    </row>
    <row r="20" spans="1:22">
      <c r="A20">
        <f>Master_Data!A20</f>
        <v>19</v>
      </c>
      <c r="B20">
        <f>Master_Data!B20</f>
        <v>40544</v>
      </c>
      <c r="C20">
        <f>Master_Data!C20</f>
        <v>1</v>
      </c>
      <c r="D20">
        <f>Master_Data!D20</f>
        <v>0</v>
      </c>
      <c r="E20">
        <f>Master_Data!E20</f>
        <v>1</v>
      </c>
      <c r="F20">
        <f>Master_Data!F20</f>
        <v>18</v>
      </c>
      <c r="G20" t="b">
        <f>Master_Data!G20</f>
        <v>0</v>
      </c>
      <c r="H20">
        <f>Master_Data!H20</f>
        <v>6</v>
      </c>
      <c r="I20">
        <f>Master_Data!I20</f>
        <v>3</v>
      </c>
      <c r="J20">
        <f>Master_Data!J20</f>
        <v>0.42</v>
      </c>
      <c r="K20">
        <f>Master_Data!K20</f>
        <v>0.42420000000000002</v>
      </c>
      <c r="L20">
        <f>Master_Data!L20</f>
        <v>0.88</v>
      </c>
      <c r="M20">
        <f>Master_Data!M20</f>
        <v>0.25369999999999998</v>
      </c>
      <c r="N20">
        <f>Master_Data!N20</f>
        <v>9</v>
      </c>
      <c r="O20">
        <f>Master_Data!O20</f>
        <v>26</v>
      </c>
      <c r="P20">
        <f>Master_Data!P20</f>
        <v>35</v>
      </c>
      <c r="Q20" t="str">
        <f t="shared" si="0"/>
        <v>2011</v>
      </c>
      <c r="R20" t="str">
        <f t="shared" si="1"/>
        <v>January</v>
      </c>
      <c r="S20" t="str">
        <f t="shared" si="2"/>
        <v>Saturday</v>
      </c>
      <c r="T20" t="str">
        <f t="shared" si="3"/>
        <v>Evening</v>
      </c>
      <c r="U20" t="str">
        <f t="shared" si="4"/>
        <v>Spring</v>
      </c>
      <c r="V20" t="str">
        <f t="shared" si="5"/>
        <v>Light Rain/Snow</v>
      </c>
    </row>
    <row r="21" spans="1:22">
      <c r="A21">
        <f>Master_Data!A21</f>
        <v>20</v>
      </c>
      <c r="B21">
        <f>Master_Data!B21</f>
        <v>40544</v>
      </c>
      <c r="C21">
        <f>Master_Data!C21</f>
        <v>1</v>
      </c>
      <c r="D21">
        <f>Master_Data!D21</f>
        <v>0</v>
      </c>
      <c r="E21">
        <f>Master_Data!E21</f>
        <v>1</v>
      </c>
      <c r="F21">
        <f>Master_Data!F21</f>
        <v>19</v>
      </c>
      <c r="G21" t="b">
        <f>Master_Data!G21</f>
        <v>0</v>
      </c>
      <c r="H21">
        <f>Master_Data!H21</f>
        <v>6</v>
      </c>
      <c r="I21">
        <f>Master_Data!I21</f>
        <v>3</v>
      </c>
      <c r="J21">
        <f>Master_Data!J21</f>
        <v>0.42</v>
      </c>
      <c r="K21">
        <f>Master_Data!K21</f>
        <v>0.42420000000000002</v>
      </c>
      <c r="L21">
        <f>Master_Data!L21</f>
        <v>0.88</v>
      </c>
      <c r="M21">
        <f>Master_Data!M21</f>
        <v>0.25369999999999998</v>
      </c>
      <c r="N21">
        <f>Master_Data!N21</f>
        <v>6</v>
      </c>
      <c r="O21">
        <f>Master_Data!O21</f>
        <v>31</v>
      </c>
      <c r="P21">
        <f>Master_Data!P21</f>
        <v>37</v>
      </c>
      <c r="Q21" t="str">
        <f t="shared" si="0"/>
        <v>2011</v>
      </c>
      <c r="R21" t="str">
        <f t="shared" si="1"/>
        <v>January</v>
      </c>
      <c r="S21" t="str">
        <f t="shared" si="2"/>
        <v>Saturday</v>
      </c>
      <c r="T21" t="str">
        <f t="shared" si="3"/>
        <v>Evening</v>
      </c>
      <c r="U21" t="str">
        <f t="shared" si="4"/>
        <v>Spring</v>
      </c>
      <c r="V21" t="str">
        <f t="shared" si="5"/>
        <v>Light Rain/Snow</v>
      </c>
    </row>
    <row r="22" spans="1:22">
      <c r="A22">
        <f>Master_Data!A22</f>
        <v>21</v>
      </c>
      <c r="B22">
        <f>Master_Data!B22</f>
        <v>40544</v>
      </c>
      <c r="C22">
        <f>Master_Data!C22</f>
        <v>1</v>
      </c>
      <c r="D22">
        <f>Master_Data!D22</f>
        <v>0</v>
      </c>
      <c r="E22">
        <f>Master_Data!E22</f>
        <v>1</v>
      </c>
      <c r="F22">
        <f>Master_Data!F22</f>
        <v>20</v>
      </c>
      <c r="G22" t="b">
        <f>Master_Data!G22</f>
        <v>0</v>
      </c>
      <c r="H22">
        <f>Master_Data!H22</f>
        <v>6</v>
      </c>
      <c r="I22">
        <f>Master_Data!I22</f>
        <v>2</v>
      </c>
      <c r="J22">
        <f>Master_Data!J22</f>
        <v>0.4</v>
      </c>
      <c r="K22">
        <f>Master_Data!K22</f>
        <v>0.40910000000000002</v>
      </c>
      <c r="L22">
        <f>Master_Data!L22</f>
        <v>0.87</v>
      </c>
      <c r="M22">
        <f>Master_Data!M22</f>
        <v>0.25369999999999998</v>
      </c>
      <c r="N22">
        <f>Master_Data!N22</f>
        <v>11</v>
      </c>
      <c r="O22">
        <f>Master_Data!O22</f>
        <v>25</v>
      </c>
      <c r="P22">
        <f>Master_Data!P22</f>
        <v>36</v>
      </c>
      <c r="Q22" t="str">
        <f t="shared" si="0"/>
        <v>2011</v>
      </c>
      <c r="R22" t="str">
        <f t="shared" si="1"/>
        <v>January</v>
      </c>
      <c r="S22" t="str">
        <f t="shared" si="2"/>
        <v>Saturday</v>
      </c>
      <c r="T22" t="str">
        <f t="shared" si="3"/>
        <v>Evening</v>
      </c>
      <c r="U22" t="str">
        <f t="shared" si="4"/>
        <v>Spring</v>
      </c>
      <c r="V22" t="str">
        <f t="shared" si="5"/>
        <v>Mist/Cloudy</v>
      </c>
    </row>
    <row r="23" spans="1:22">
      <c r="A23">
        <f>Master_Data!A23</f>
        <v>22</v>
      </c>
      <c r="B23">
        <f>Master_Data!B23</f>
        <v>40544</v>
      </c>
      <c r="C23">
        <f>Master_Data!C23</f>
        <v>1</v>
      </c>
      <c r="D23">
        <f>Master_Data!D23</f>
        <v>0</v>
      </c>
      <c r="E23">
        <f>Master_Data!E23</f>
        <v>1</v>
      </c>
      <c r="F23">
        <f>Master_Data!F23</f>
        <v>21</v>
      </c>
      <c r="G23" t="b">
        <f>Master_Data!G23</f>
        <v>0</v>
      </c>
      <c r="H23">
        <f>Master_Data!H23</f>
        <v>6</v>
      </c>
      <c r="I23">
        <f>Master_Data!I23</f>
        <v>2</v>
      </c>
      <c r="J23">
        <f>Master_Data!J23</f>
        <v>0.4</v>
      </c>
      <c r="K23">
        <f>Master_Data!K23</f>
        <v>0.40910000000000002</v>
      </c>
      <c r="L23">
        <f>Master_Data!L23</f>
        <v>0.87</v>
      </c>
      <c r="M23">
        <f>Master_Data!M23</f>
        <v>0.19400000000000001</v>
      </c>
      <c r="N23">
        <f>Master_Data!N23</f>
        <v>3</v>
      </c>
      <c r="O23">
        <f>Master_Data!O23</f>
        <v>31</v>
      </c>
      <c r="P23">
        <f>Master_Data!P23</f>
        <v>34</v>
      </c>
      <c r="Q23" t="str">
        <f t="shared" si="0"/>
        <v>2011</v>
      </c>
      <c r="R23" t="str">
        <f t="shared" si="1"/>
        <v>January</v>
      </c>
      <c r="S23" t="str">
        <f t="shared" si="2"/>
        <v>Saturday</v>
      </c>
      <c r="T23" t="str">
        <f t="shared" si="3"/>
        <v>Night</v>
      </c>
      <c r="U23" t="str">
        <f t="shared" si="4"/>
        <v>Spring</v>
      </c>
      <c r="V23" t="str">
        <f t="shared" si="5"/>
        <v>Mist/Cloudy</v>
      </c>
    </row>
    <row r="24" spans="1:22">
      <c r="A24">
        <f>Master_Data!A24</f>
        <v>23</v>
      </c>
      <c r="B24">
        <f>Master_Data!B24</f>
        <v>40544</v>
      </c>
      <c r="C24">
        <f>Master_Data!C24</f>
        <v>1</v>
      </c>
      <c r="D24">
        <f>Master_Data!D24</f>
        <v>0</v>
      </c>
      <c r="E24">
        <f>Master_Data!E24</f>
        <v>1</v>
      </c>
      <c r="F24">
        <f>Master_Data!F24</f>
        <v>22</v>
      </c>
      <c r="G24" t="b">
        <f>Master_Data!G24</f>
        <v>0</v>
      </c>
      <c r="H24">
        <f>Master_Data!H24</f>
        <v>6</v>
      </c>
      <c r="I24">
        <f>Master_Data!I24</f>
        <v>2</v>
      </c>
      <c r="J24">
        <f>Master_Data!J24</f>
        <v>0.4</v>
      </c>
      <c r="K24">
        <f>Master_Data!K24</f>
        <v>0.40910000000000002</v>
      </c>
      <c r="L24">
        <f>Master_Data!L24</f>
        <v>0.94</v>
      </c>
      <c r="M24">
        <f>Master_Data!M24</f>
        <v>0.22389999999999999</v>
      </c>
      <c r="N24">
        <f>Master_Data!N24</f>
        <v>11</v>
      </c>
      <c r="O24">
        <f>Master_Data!O24</f>
        <v>17</v>
      </c>
      <c r="P24">
        <f>Master_Data!P24</f>
        <v>28</v>
      </c>
      <c r="Q24" t="str">
        <f t="shared" si="0"/>
        <v>2011</v>
      </c>
      <c r="R24" t="str">
        <f t="shared" si="1"/>
        <v>January</v>
      </c>
      <c r="S24" t="str">
        <f t="shared" si="2"/>
        <v>Saturday</v>
      </c>
      <c r="T24" t="str">
        <f t="shared" si="3"/>
        <v>Night</v>
      </c>
      <c r="U24" t="str">
        <f t="shared" si="4"/>
        <v>Spring</v>
      </c>
      <c r="V24" t="str">
        <f t="shared" si="5"/>
        <v>Mist/Cloudy</v>
      </c>
    </row>
    <row r="25" spans="1:22">
      <c r="A25">
        <f>Master_Data!A25</f>
        <v>24</v>
      </c>
      <c r="B25">
        <f>Master_Data!B25</f>
        <v>40544</v>
      </c>
      <c r="C25">
        <f>Master_Data!C25</f>
        <v>1</v>
      </c>
      <c r="D25">
        <f>Master_Data!D25</f>
        <v>0</v>
      </c>
      <c r="E25">
        <f>Master_Data!E25</f>
        <v>1</v>
      </c>
      <c r="F25">
        <f>Master_Data!F25</f>
        <v>23</v>
      </c>
      <c r="G25" t="b">
        <f>Master_Data!G25</f>
        <v>0</v>
      </c>
      <c r="H25">
        <f>Master_Data!H25</f>
        <v>6</v>
      </c>
      <c r="I25">
        <f>Master_Data!I25</f>
        <v>2</v>
      </c>
      <c r="J25">
        <f>Master_Data!J25</f>
        <v>0.46</v>
      </c>
      <c r="K25">
        <f>Master_Data!K25</f>
        <v>0</v>
      </c>
      <c r="L25">
        <f>Master_Data!L25</f>
        <v>0.88</v>
      </c>
      <c r="M25">
        <f>Master_Data!M25</f>
        <v>0.29849999999999999</v>
      </c>
      <c r="N25">
        <f>Master_Data!N25</f>
        <v>15</v>
      </c>
      <c r="O25">
        <f>Master_Data!O25</f>
        <v>24</v>
      </c>
      <c r="P25">
        <f>Master_Data!P25</f>
        <v>39</v>
      </c>
      <c r="Q25" t="str">
        <f t="shared" si="0"/>
        <v>2011</v>
      </c>
      <c r="R25" t="str">
        <f t="shared" si="1"/>
        <v>January</v>
      </c>
      <c r="S25" t="str">
        <f t="shared" si="2"/>
        <v>Saturday</v>
      </c>
      <c r="T25" t="str">
        <f t="shared" si="3"/>
        <v>Night</v>
      </c>
      <c r="U25" t="str">
        <f t="shared" si="4"/>
        <v>Spring</v>
      </c>
      <c r="V25" t="str">
        <f t="shared" si="5"/>
        <v>Mist/Cloudy</v>
      </c>
    </row>
    <row r="26" spans="1:22">
      <c r="A26">
        <f>Master_Data!A26</f>
        <v>25</v>
      </c>
      <c r="B26">
        <f>Master_Data!B26</f>
        <v>40545</v>
      </c>
      <c r="C26">
        <f>Master_Data!C26</f>
        <v>1</v>
      </c>
      <c r="D26">
        <f>Master_Data!D26</f>
        <v>0</v>
      </c>
      <c r="E26">
        <f>Master_Data!E26</f>
        <v>1</v>
      </c>
      <c r="F26">
        <f>Master_Data!F26</f>
        <v>0</v>
      </c>
      <c r="G26" t="b">
        <f>Master_Data!G26</f>
        <v>0</v>
      </c>
      <c r="H26">
        <f>Master_Data!H26</f>
        <v>0</v>
      </c>
      <c r="I26">
        <f>Master_Data!I26</f>
        <v>2</v>
      </c>
      <c r="J26">
        <f>Master_Data!J26</f>
        <v>0.46</v>
      </c>
      <c r="K26">
        <f>Master_Data!K26</f>
        <v>0.45450000000000002</v>
      </c>
      <c r="L26">
        <f>Master_Data!L26</f>
        <v>0.88</v>
      </c>
      <c r="M26">
        <f>Master_Data!M26</f>
        <v>0.29849999999999999</v>
      </c>
      <c r="N26">
        <f>Master_Data!N26</f>
        <v>4</v>
      </c>
      <c r="O26">
        <f>Master_Data!O26</f>
        <v>13</v>
      </c>
      <c r="P26">
        <f>Master_Data!P26</f>
        <v>17</v>
      </c>
      <c r="Q26" t="str">
        <f t="shared" si="0"/>
        <v>2011</v>
      </c>
      <c r="R26" t="str">
        <f t="shared" si="1"/>
        <v>January</v>
      </c>
      <c r="S26" t="str">
        <f t="shared" si="2"/>
        <v>Sunday</v>
      </c>
      <c r="T26" t="str">
        <f t="shared" si="3"/>
        <v>Night</v>
      </c>
      <c r="U26" t="str">
        <f t="shared" si="4"/>
        <v>Spring</v>
      </c>
      <c r="V26" t="str">
        <f t="shared" si="5"/>
        <v>Mist/Cloudy</v>
      </c>
    </row>
    <row r="27" spans="1:22">
      <c r="A27">
        <f>Master_Data!A27</f>
        <v>26</v>
      </c>
      <c r="B27">
        <f>Master_Data!B27</f>
        <v>40545</v>
      </c>
      <c r="C27">
        <f>Master_Data!C27</f>
        <v>1</v>
      </c>
      <c r="D27">
        <f>Master_Data!D27</f>
        <v>0</v>
      </c>
      <c r="E27">
        <f>Master_Data!E27</f>
        <v>1</v>
      </c>
      <c r="F27">
        <f>Master_Data!F27</f>
        <v>1</v>
      </c>
      <c r="G27" t="b">
        <f>Master_Data!G27</f>
        <v>0</v>
      </c>
      <c r="H27">
        <f>Master_Data!H27</f>
        <v>0</v>
      </c>
      <c r="I27">
        <f>Master_Data!I27</f>
        <v>2</v>
      </c>
      <c r="J27">
        <f>Master_Data!J27</f>
        <v>0.44</v>
      </c>
      <c r="K27">
        <f>Master_Data!K27</f>
        <v>0.43940000000000001</v>
      </c>
      <c r="L27">
        <f>Master_Data!L27</f>
        <v>0.94</v>
      </c>
      <c r="M27">
        <f>Master_Data!M27</f>
        <v>0.25369999999999998</v>
      </c>
      <c r="N27">
        <f>Master_Data!N27</f>
        <v>1</v>
      </c>
      <c r="O27">
        <f>Master_Data!O27</f>
        <v>16</v>
      </c>
      <c r="P27">
        <f>Master_Data!P27</f>
        <v>17</v>
      </c>
      <c r="Q27" t="str">
        <f t="shared" si="0"/>
        <v>2011</v>
      </c>
      <c r="R27" t="str">
        <f t="shared" si="1"/>
        <v>January</v>
      </c>
      <c r="S27" t="str">
        <f t="shared" si="2"/>
        <v>Sunday</v>
      </c>
      <c r="T27" t="str">
        <f t="shared" si="3"/>
        <v>Night</v>
      </c>
      <c r="U27" t="str">
        <f t="shared" si="4"/>
        <v>Spring</v>
      </c>
      <c r="V27" t="str">
        <f t="shared" si="5"/>
        <v>Mist/Cloudy</v>
      </c>
    </row>
    <row r="28" spans="1:22">
      <c r="A28">
        <f>Master_Data!A28</f>
        <v>27</v>
      </c>
      <c r="B28">
        <f>Master_Data!B28</f>
        <v>40545</v>
      </c>
      <c r="C28">
        <f>Master_Data!C28</f>
        <v>1</v>
      </c>
      <c r="D28">
        <f>Master_Data!D28</f>
        <v>0</v>
      </c>
      <c r="E28">
        <f>Master_Data!E28</f>
        <v>1</v>
      </c>
      <c r="F28">
        <f>Master_Data!F28</f>
        <v>2</v>
      </c>
      <c r="G28" t="b">
        <f>Master_Data!G28</f>
        <v>0</v>
      </c>
      <c r="H28">
        <f>Master_Data!H28</f>
        <v>0</v>
      </c>
      <c r="I28">
        <f>Master_Data!I28</f>
        <v>2</v>
      </c>
      <c r="J28">
        <f>Master_Data!J28</f>
        <v>0.42</v>
      </c>
      <c r="K28">
        <f>Master_Data!K28</f>
        <v>0.42420000000000002</v>
      </c>
      <c r="L28">
        <f>Master_Data!L28</f>
        <v>1</v>
      </c>
      <c r="M28">
        <f>Master_Data!M28</f>
        <v>0.28360000000000002</v>
      </c>
      <c r="N28">
        <f>Master_Data!N28</f>
        <v>1</v>
      </c>
      <c r="O28">
        <f>Master_Data!O28</f>
        <v>8</v>
      </c>
      <c r="P28">
        <f>Master_Data!P28</f>
        <v>9</v>
      </c>
      <c r="Q28" t="str">
        <f t="shared" si="0"/>
        <v>2011</v>
      </c>
      <c r="R28" t="str">
        <f t="shared" si="1"/>
        <v>January</v>
      </c>
      <c r="S28" t="str">
        <f t="shared" si="2"/>
        <v>Sunday</v>
      </c>
      <c r="T28" t="str">
        <f t="shared" si="3"/>
        <v>Night</v>
      </c>
      <c r="U28" t="str">
        <f t="shared" si="4"/>
        <v>Spring</v>
      </c>
      <c r="V28" t="str">
        <f t="shared" si="5"/>
        <v>Mist/Cloudy</v>
      </c>
    </row>
    <row r="29" spans="1:22">
      <c r="A29">
        <f>Master_Data!A29</f>
        <v>28</v>
      </c>
      <c r="B29">
        <f>Master_Data!B29</f>
        <v>40545</v>
      </c>
      <c r="C29">
        <f>Master_Data!C29</f>
        <v>1</v>
      </c>
      <c r="D29">
        <f>Master_Data!D29</f>
        <v>0</v>
      </c>
      <c r="E29">
        <f>Master_Data!E29</f>
        <v>1</v>
      </c>
      <c r="F29">
        <f>Master_Data!F29</f>
        <v>3</v>
      </c>
      <c r="G29" t="b">
        <f>Master_Data!G29</f>
        <v>0</v>
      </c>
      <c r="H29">
        <f>Master_Data!H29</f>
        <v>0</v>
      </c>
      <c r="I29">
        <f>Master_Data!I29</f>
        <v>2</v>
      </c>
      <c r="J29">
        <f>Master_Data!J29</f>
        <v>0.46</v>
      </c>
      <c r="K29">
        <f>Master_Data!K29</f>
        <v>0.45450000000000002</v>
      </c>
      <c r="L29">
        <f>Master_Data!L29</f>
        <v>0.94</v>
      </c>
      <c r="M29">
        <f>Master_Data!M29</f>
        <v>0.19400000000000001</v>
      </c>
      <c r="N29">
        <f>Master_Data!N29</f>
        <v>2</v>
      </c>
      <c r="O29">
        <f>Master_Data!O29</f>
        <v>4</v>
      </c>
      <c r="P29">
        <f>Master_Data!P29</f>
        <v>6</v>
      </c>
      <c r="Q29" t="str">
        <f t="shared" si="0"/>
        <v>2011</v>
      </c>
      <c r="R29" t="str">
        <f t="shared" si="1"/>
        <v>January</v>
      </c>
      <c r="S29" t="str">
        <f t="shared" si="2"/>
        <v>Sunday</v>
      </c>
      <c r="T29" t="str">
        <f t="shared" si="3"/>
        <v>Night</v>
      </c>
      <c r="U29" t="str">
        <f t="shared" si="4"/>
        <v>Spring</v>
      </c>
      <c r="V29" t="str">
        <f t="shared" si="5"/>
        <v>Mist/Cloudy</v>
      </c>
    </row>
    <row r="30" spans="1:22">
      <c r="A30">
        <f>Master_Data!A30</f>
        <v>29</v>
      </c>
      <c r="B30">
        <f>Master_Data!B30</f>
        <v>40545</v>
      </c>
      <c r="C30">
        <f>Master_Data!C30</f>
        <v>1</v>
      </c>
      <c r="D30">
        <f>Master_Data!D30</f>
        <v>0</v>
      </c>
      <c r="E30">
        <f>Master_Data!E30</f>
        <v>1</v>
      </c>
      <c r="F30">
        <f>Master_Data!F30</f>
        <v>4</v>
      </c>
      <c r="G30" t="b">
        <f>Master_Data!G30</f>
        <v>0</v>
      </c>
      <c r="H30">
        <f>Master_Data!H30</f>
        <v>0</v>
      </c>
      <c r="I30">
        <f>Master_Data!I30</f>
        <v>2</v>
      </c>
      <c r="J30">
        <f>Master_Data!J30</f>
        <v>0.46</v>
      </c>
      <c r="K30">
        <f>Master_Data!K30</f>
        <v>0</v>
      </c>
      <c r="L30">
        <f>Master_Data!L30</f>
        <v>0.94</v>
      </c>
      <c r="M30">
        <f>Master_Data!M30</f>
        <v>0.19400000000000001</v>
      </c>
      <c r="N30">
        <f>Master_Data!N30</f>
        <v>2</v>
      </c>
      <c r="O30">
        <f>Master_Data!O30</f>
        <v>1</v>
      </c>
      <c r="P30">
        <f>Master_Data!P30</f>
        <v>3</v>
      </c>
      <c r="Q30" t="str">
        <f t="shared" si="0"/>
        <v>2011</v>
      </c>
      <c r="R30" t="str">
        <f t="shared" si="1"/>
        <v>January</v>
      </c>
      <c r="S30" t="str">
        <f t="shared" si="2"/>
        <v>Sunday</v>
      </c>
      <c r="T30" t="str">
        <f t="shared" si="3"/>
        <v>Night</v>
      </c>
      <c r="U30" t="str">
        <f t="shared" si="4"/>
        <v>Spring</v>
      </c>
      <c r="V30" t="str">
        <f t="shared" si="5"/>
        <v>Mist/Cloudy</v>
      </c>
    </row>
    <row r="31" spans="1:22">
      <c r="A31">
        <f>Master_Data!A31</f>
        <v>30</v>
      </c>
      <c r="B31">
        <f>Master_Data!B31</f>
        <v>40545</v>
      </c>
      <c r="C31">
        <f>Master_Data!C31</f>
        <v>1</v>
      </c>
      <c r="D31">
        <f>Master_Data!D31</f>
        <v>0</v>
      </c>
      <c r="E31">
        <f>Master_Data!E31</f>
        <v>1</v>
      </c>
      <c r="F31">
        <f>Master_Data!F31</f>
        <v>6</v>
      </c>
      <c r="G31" t="b">
        <f>Master_Data!G31</f>
        <v>0</v>
      </c>
      <c r="H31">
        <f>Master_Data!H31</f>
        <v>0</v>
      </c>
      <c r="I31">
        <f>Master_Data!I31</f>
        <v>3</v>
      </c>
      <c r="J31">
        <f>Master_Data!J31</f>
        <v>0.42</v>
      </c>
      <c r="K31">
        <f>Master_Data!K31</f>
        <v>0.42420000000000002</v>
      </c>
      <c r="L31">
        <f>Master_Data!L31</f>
        <v>0.77</v>
      </c>
      <c r="M31">
        <f>Master_Data!M31</f>
        <v>0.29849999999999999</v>
      </c>
      <c r="N31">
        <f>Master_Data!N31</f>
        <v>0</v>
      </c>
      <c r="O31">
        <f>Master_Data!O31</f>
        <v>2</v>
      </c>
      <c r="P31">
        <f>Master_Data!P31</f>
        <v>2</v>
      </c>
      <c r="Q31" t="str">
        <f t="shared" si="0"/>
        <v>2011</v>
      </c>
      <c r="R31" t="str">
        <f t="shared" si="1"/>
        <v>January</v>
      </c>
      <c r="S31" t="str">
        <f t="shared" si="2"/>
        <v>Sunday</v>
      </c>
      <c r="T31" t="str">
        <f t="shared" si="3"/>
        <v>Morning</v>
      </c>
      <c r="U31" t="str">
        <f t="shared" si="4"/>
        <v>Spring</v>
      </c>
      <c r="V31" t="str">
        <f t="shared" si="5"/>
        <v>Light Rain/Snow</v>
      </c>
    </row>
    <row r="32" spans="1:22">
      <c r="A32">
        <f>Master_Data!A32</f>
        <v>31</v>
      </c>
      <c r="B32">
        <f>Master_Data!B32</f>
        <v>40545</v>
      </c>
      <c r="C32">
        <f>Master_Data!C32</f>
        <v>1</v>
      </c>
      <c r="D32">
        <f>Master_Data!D32</f>
        <v>0</v>
      </c>
      <c r="E32">
        <f>Master_Data!E32</f>
        <v>1</v>
      </c>
      <c r="F32">
        <f>Master_Data!F32</f>
        <v>7</v>
      </c>
      <c r="G32" t="b">
        <f>Master_Data!G32</f>
        <v>0</v>
      </c>
      <c r="H32">
        <f>Master_Data!H32</f>
        <v>0</v>
      </c>
      <c r="I32">
        <f>Master_Data!I32</f>
        <v>2</v>
      </c>
      <c r="J32">
        <f>Master_Data!J32</f>
        <v>0.4</v>
      </c>
      <c r="K32">
        <f>Master_Data!K32</f>
        <v>0.40910000000000002</v>
      </c>
      <c r="L32">
        <f>Master_Data!L32</f>
        <v>0.76</v>
      </c>
      <c r="M32">
        <f>Master_Data!M32</f>
        <v>0.19400000000000001</v>
      </c>
      <c r="N32">
        <f>Master_Data!N32</f>
        <v>0</v>
      </c>
      <c r="O32">
        <f>Master_Data!O32</f>
        <v>1</v>
      </c>
      <c r="P32">
        <f>Master_Data!P32</f>
        <v>1</v>
      </c>
      <c r="Q32" t="str">
        <f t="shared" si="0"/>
        <v>2011</v>
      </c>
      <c r="R32" t="str">
        <f t="shared" si="1"/>
        <v>January</v>
      </c>
      <c r="S32" t="str">
        <f t="shared" si="2"/>
        <v>Sunday</v>
      </c>
      <c r="T32" t="str">
        <f t="shared" si="3"/>
        <v>Morning</v>
      </c>
      <c r="U32" t="str">
        <f t="shared" si="4"/>
        <v>Spring</v>
      </c>
      <c r="V32" t="str">
        <f t="shared" si="5"/>
        <v>Mist/Cloudy</v>
      </c>
    </row>
    <row r="33" spans="1:22">
      <c r="A33">
        <f>Master_Data!A33</f>
        <v>32</v>
      </c>
      <c r="B33">
        <f>Master_Data!B33</f>
        <v>40545</v>
      </c>
      <c r="C33">
        <f>Master_Data!C33</f>
        <v>1</v>
      </c>
      <c r="D33">
        <f>Master_Data!D33</f>
        <v>0</v>
      </c>
      <c r="E33">
        <f>Master_Data!E33</f>
        <v>1</v>
      </c>
      <c r="F33">
        <f>Master_Data!F33</f>
        <v>8</v>
      </c>
      <c r="G33" t="b">
        <f>Master_Data!G33</f>
        <v>0</v>
      </c>
      <c r="H33">
        <f>Master_Data!H33</f>
        <v>0</v>
      </c>
      <c r="I33">
        <f>Master_Data!I33</f>
        <v>3</v>
      </c>
      <c r="J33">
        <f>Master_Data!J33</f>
        <v>0.4</v>
      </c>
      <c r="K33">
        <f>Master_Data!K33</f>
        <v>0.40910000000000002</v>
      </c>
      <c r="L33">
        <f>Master_Data!L33</f>
        <v>0.71</v>
      </c>
      <c r="M33">
        <f>Master_Data!M33</f>
        <v>0.22389999999999999</v>
      </c>
      <c r="N33">
        <f>Master_Data!N33</f>
        <v>0</v>
      </c>
      <c r="O33">
        <f>Master_Data!O33</f>
        <v>8</v>
      </c>
      <c r="P33">
        <f>Master_Data!P33</f>
        <v>8</v>
      </c>
      <c r="Q33" t="str">
        <f t="shared" si="0"/>
        <v>2011</v>
      </c>
      <c r="R33" t="str">
        <f t="shared" si="1"/>
        <v>January</v>
      </c>
      <c r="S33" t="str">
        <f t="shared" si="2"/>
        <v>Sunday</v>
      </c>
      <c r="T33" t="str">
        <f t="shared" si="3"/>
        <v>Morning</v>
      </c>
      <c r="U33" t="str">
        <f t="shared" si="4"/>
        <v>Spring</v>
      </c>
      <c r="V33" t="str">
        <f t="shared" si="5"/>
        <v>Light Rain/Snow</v>
      </c>
    </row>
    <row r="34" spans="1:22">
      <c r="A34">
        <f>Master_Data!A34</f>
        <v>33</v>
      </c>
      <c r="B34">
        <f>Master_Data!B34</f>
        <v>40545</v>
      </c>
      <c r="C34">
        <f>Master_Data!C34</f>
        <v>1</v>
      </c>
      <c r="D34">
        <f>Master_Data!D34</f>
        <v>0</v>
      </c>
      <c r="E34">
        <f>Master_Data!E34</f>
        <v>1</v>
      </c>
      <c r="F34">
        <f>Master_Data!F34</f>
        <v>9</v>
      </c>
      <c r="G34" t="b">
        <f>Master_Data!G34</f>
        <v>0</v>
      </c>
      <c r="H34">
        <f>Master_Data!H34</f>
        <v>0</v>
      </c>
      <c r="I34">
        <f>Master_Data!I34</f>
        <v>2</v>
      </c>
      <c r="J34">
        <f>Master_Data!J34</f>
        <v>0.38</v>
      </c>
      <c r="K34">
        <f>Master_Data!K34</f>
        <v>0</v>
      </c>
      <c r="L34">
        <f>Master_Data!L34</f>
        <v>0.76</v>
      </c>
      <c r="M34">
        <f>Master_Data!M34</f>
        <v>0.22389999999999999</v>
      </c>
      <c r="N34">
        <f>Master_Data!N34</f>
        <v>1</v>
      </c>
      <c r="O34">
        <f>Master_Data!O34</f>
        <v>19</v>
      </c>
      <c r="P34">
        <f>Master_Data!P34</f>
        <v>20</v>
      </c>
      <c r="Q34" t="str">
        <f t="shared" si="0"/>
        <v>2011</v>
      </c>
      <c r="R34" t="str">
        <f t="shared" si="1"/>
        <v>January</v>
      </c>
      <c r="S34" t="str">
        <f t="shared" si="2"/>
        <v>Sunday</v>
      </c>
      <c r="T34" t="str">
        <f t="shared" si="3"/>
        <v>Morning</v>
      </c>
      <c r="U34" t="str">
        <f t="shared" si="4"/>
        <v>Spring</v>
      </c>
      <c r="V34" t="str">
        <f t="shared" si="5"/>
        <v>Mist/Cloudy</v>
      </c>
    </row>
    <row r="35" spans="1:22">
      <c r="A35">
        <f>Master_Data!A35</f>
        <v>34</v>
      </c>
      <c r="B35">
        <f>Master_Data!B35</f>
        <v>40545</v>
      </c>
      <c r="C35">
        <f>Master_Data!C35</f>
        <v>1</v>
      </c>
      <c r="D35">
        <f>Master_Data!D35</f>
        <v>0</v>
      </c>
      <c r="E35">
        <f>Master_Data!E35</f>
        <v>1</v>
      </c>
      <c r="F35">
        <f>Master_Data!F35</f>
        <v>10</v>
      </c>
      <c r="G35" t="b">
        <f>Master_Data!G35</f>
        <v>0</v>
      </c>
      <c r="H35">
        <f>Master_Data!H35</f>
        <v>0</v>
      </c>
      <c r="I35">
        <f>Master_Data!I35</f>
        <v>2</v>
      </c>
      <c r="J35">
        <f>Master_Data!J35</f>
        <v>0.36</v>
      </c>
      <c r="K35">
        <f>Master_Data!K35</f>
        <v>0.34849999999999998</v>
      </c>
      <c r="L35">
        <f>Master_Data!L35</f>
        <v>0.81</v>
      </c>
      <c r="M35">
        <f>Master_Data!M35</f>
        <v>0.22389999999999999</v>
      </c>
      <c r="N35">
        <f>Master_Data!N35</f>
        <v>7</v>
      </c>
      <c r="O35">
        <f>Master_Data!O35</f>
        <v>46</v>
      </c>
      <c r="P35">
        <f>Master_Data!P35</f>
        <v>53</v>
      </c>
      <c r="Q35" t="str">
        <f t="shared" si="0"/>
        <v>2011</v>
      </c>
      <c r="R35" t="str">
        <f t="shared" si="1"/>
        <v>January</v>
      </c>
      <c r="S35" t="str">
        <f t="shared" si="2"/>
        <v>Sunday</v>
      </c>
      <c r="T35" t="str">
        <f t="shared" si="3"/>
        <v>Morning</v>
      </c>
      <c r="U35" t="str">
        <f t="shared" si="4"/>
        <v>Spring</v>
      </c>
      <c r="V35" t="str">
        <f t="shared" si="5"/>
        <v>Mist/Cloudy</v>
      </c>
    </row>
    <row r="36" spans="1:22">
      <c r="A36">
        <f>Master_Data!A36</f>
        <v>35</v>
      </c>
      <c r="B36">
        <f>Master_Data!B36</f>
        <v>40545</v>
      </c>
      <c r="C36">
        <f>Master_Data!C36</f>
        <v>1</v>
      </c>
      <c r="D36">
        <f>Master_Data!D36</f>
        <v>0</v>
      </c>
      <c r="E36">
        <f>Master_Data!E36</f>
        <v>1</v>
      </c>
      <c r="F36">
        <f>Master_Data!F36</f>
        <v>11</v>
      </c>
      <c r="G36" t="b">
        <f>Master_Data!G36</f>
        <v>0</v>
      </c>
      <c r="H36">
        <f>Master_Data!H36</f>
        <v>0</v>
      </c>
      <c r="I36">
        <f>Master_Data!I36</f>
        <v>2</v>
      </c>
      <c r="J36">
        <f>Master_Data!J36</f>
        <v>0.36</v>
      </c>
      <c r="K36">
        <f>Master_Data!K36</f>
        <v>0.33329999999999999</v>
      </c>
      <c r="L36">
        <f>Master_Data!L36</f>
        <v>0.71</v>
      </c>
      <c r="M36">
        <f>Master_Data!M36</f>
        <v>0.25369999999999998</v>
      </c>
      <c r="N36">
        <f>Master_Data!N36</f>
        <v>16</v>
      </c>
      <c r="O36">
        <f>Master_Data!O36</f>
        <v>54</v>
      </c>
      <c r="P36">
        <f>Master_Data!P36</f>
        <v>70</v>
      </c>
      <c r="Q36" t="str">
        <f t="shared" si="0"/>
        <v>2011</v>
      </c>
      <c r="R36" t="str">
        <f t="shared" si="1"/>
        <v>January</v>
      </c>
      <c r="S36" t="str">
        <f t="shared" si="2"/>
        <v>Sunday</v>
      </c>
      <c r="T36" t="str">
        <f t="shared" si="3"/>
        <v>Morning</v>
      </c>
      <c r="U36" t="str">
        <f t="shared" si="4"/>
        <v>Spring</v>
      </c>
      <c r="V36" t="str">
        <f t="shared" si="5"/>
        <v>Mist/Cloudy</v>
      </c>
    </row>
    <row r="37" spans="1:22">
      <c r="A37">
        <f>Master_Data!A37</f>
        <v>36</v>
      </c>
      <c r="B37">
        <f>Master_Data!B37</f>
        <v>40545</v>
      </c>
      <c r="C37">
        <f>Master_Data!C37</f>
        <v>1</v>
      </c>
      <c r="D37">
        <f>Master_Data!D37</f>
        <v>0</v>
      </c>
      <c r="E37">
        <f>Master_Data!E37</f>
        <v>1</v>
      </c>
      <c r="F37">
        <f>Master_Data!F37</f>
        <v>12</v>
      </c>
      <c r="G37" t="b">
        <f>Master_Data!G37</f>
        <v>0</v>
      </c>
      <c r="H37">
        <f>Master_Data!H37</f>
        <v>0</v>
      </c>
      <c r="I37">
        <f>Master_Data!I37</f>
        <v>2</v>
      </c>
      <c r="J37">
        <f>Master_Data!J37</f>
        <v>0.36</v>
      </c>
      <c r="K37">
        <f>Master_Data!K37</f>
        <v>0.33329999999999999</v>
      </c>
      <c r="L37">
        <f>Master_Data!L37</f>
        <v>0.66</v>
      </c>
      <c r="M37">
        <f>Master_Data!M37</f>
        <v>0.29849999999999999</v>
      </c>
      <c r="N37">
        <f>Master_Data!N37</f>
        <v>20</v>
      </c>
      <c r="O37">
        <f>Master_Data!O37</f>
        <v>73</v>
      </c>
      <c r="P37">
        <f>Master_Data!P37</f>
        <v>93</v>
      </c>
      <c r="Q37" t="str">
        <f t="shared" si="0"/>
        <v>2011</v>
      </c>
      <c r="R37" t="str">
        <f t="shared" si="1"/>
        <v>January</v>
      </c>
      <c r="S37" t="str">
        <f t="shared" si="2"/>
        <v>Sunday</v>
      </c>
      <c r="T37" t="str">
        <f t="shared" si="3"/>
        <v>Afternoon</v>
      </c>
      <c r="U37" t="str">
        <f t="shared" si="4"/>
        <v>Spring</v>
      </c>
      <c r="V37" t="str">
        <f t="shared" si="5"/>
        <v>Mist/Cloudy</v>
      </c>
    </row>
    <row r="38" spans="1:22">
      <c r="A38">
        <f>Master_Data!A38</f>
        <v>37</v>
      </c>
      <c r="B38">
        <f>Master_Data!B38</f>
        <v>40545</v>
      </c>
      <c r="C38">
        <f>Master_Data!C38</f>
        <v>1</v>
      </c>
      <c r="D38">
        <f>Master_Data!D38</f>
        <v>0</v>
      </c>
      <c r="E38">
        <f>Master_Data!E38</f>
        <v>1</v>
      </c>
      <c r="F38">
        <f>Master_Data!F38</f>
        <v>13</v>
      </c>
      <c r="G38" t="b">
        <f>Master_Data!G38</f>
        <v>0</v>
      </c>
      <c r="H38">
        <f>Master_Data!H38</f>
        <v>0</v>
      </c>
      <c r="I38">
        <f>Master_Data!I38</f>
        <v>2</v>
      </c>
      <c r="J38">
        <f>Master_Data!J38</f>
        <v>0.36</v>
      </c>
      <c r="K38">
        <f>Master_Data!K38</f>
        <v>0.34849999999999998</v>
      </c>
      <c r="L38">
        <f>Master_Data!L38</f>
        <v>0.66</v>
      </c>
      <c r="M38">
        <f>Master_Data!M38</f>
        <v>0.1343</v>
      </c>
      <c r="N38">
        <f>Master_Data!N38</f>
        <v>11</v>
      </c>
      <c r="O38">
        <f>Master_Data!O38</f>
        <v>64</v>
      </c>
      <c r="P38">
        <f>Master_Data!P38</f>
        <v>75</v>
      </c>
      <c r="Q38" t="str">
        <f t="shared" si="0"/>
        <v>2011</v>
      </c>
      <c r="R38" t="str">
        <f t="shared" si="1"/>
        <v>January</v>
      </c>
      <c r="S38" t="str">
        <f t="shared" si="2"/>
        <v>Sunday</v>
      </c>
      <c r="T38" t="str">
        <f t="shared" si="3"/>
        <v>Afternoon</v>
      </c>
      <c r="U38" t="str">
        <f t="shared" si="4"/>
        <v>Spring</v>
      </c>
      <c r="V38" t="str">
        <f t="shared" si="5"/>
        <v>Mist/Cloudy</v>
      </c>
    </row>
    <row r="39" spans="1:22">
      <c r="A39">
        <f>Master_Data!A39</f>
        <v>38</v>
      </c>
      <c r="B39">
        <f>Master_Data!B39</f>
        <v>40545</v>
      </c>
      <c r="C39">
        <f>Master_Data!C39</f>
        <v>1</v>
      </c>
      <c r="D39">
        <f>Master_Data!D39</f>
        <v>0</v>
      </c>
      <c r="E39">
        <f>Master_Data!E39</f>
        <v>1</v>
      </c>
      <c r="F39">
        <f>Master_Data!F39</f>
        <v>14</v>
      </c>
      <c r="G39" t="b">
        <f>Master_Data!G39</f>
        <v>0</v>
      </c>
      <c r="H39">
        <f>Master_Data!H39</f>
        <v>0</v>
      </c>
      <c r="I39">
        <f>Master_Data!I39</f>
        <v>3</v>
      </c>
      <c r="J39">
        <f>Master_Data!J39</f>
        <v>0.36</v>
      </c>
      <c r="K39">
        <f>Master_Data!K39</f>
        <v>0</v>
      </c>
      <c r="L39">
        <f>Master_Data!L39</f>
        <v>0.76</v>
      </c>
      <c r="M39">
        <f>Master_Data!M39</f>
        <v>0.19400000000000001</v>
      </c>
      <c r="N39">
        <f>Master_Data!N39</f>
        <v>4</v>
      </c>
      <c r="O39">
        <f>Master_Data!O39</f>
        <v>55</v>
      </c>
      <c r="P39">
        <f>Master_Data!P39</f>
        <v>59</v>
      </c>
      <c r="Q39" t="str">
        <f t="shared" si="0"/>
        <v>2011</v>
      </c>
      <c r="R39" t="str">
        <f t="shared" si="1"/>
        <v>January</v>
      </c>
      <c r="S39" t="str">
        <f t="shared" si="2"/>
        <v>Sunday</v>
      </c>
      <c r="T39" t="str">
        <f t="shared" si="3"/>
        <v>Afternoon</v>
      </c>
      <c r="U39" t="str">
        <f t="shared" si="4"/>
        <v>Spring</v>
      </c>
      <c r="V39" t="str">
        <f t="shared" si="5"/>
        <v>Light Rain/Snow</v>
      </c>
    </row>
    <row r="40" spans="1:22">
      <c r="A40">
        <f>Master_Data!A40</f>
        <v>39</v>
      </c>
      <c r="B40">
        <f>Master_Data!B40</f>
        <v>40545</v>
      </c>
      <c r="C40">
        <f>Master_Data!C40</f>
        <v>1</v>
      </c>
      <c r="D40">
        <f>Master_Data!D40</f>
        <v>0</v>
      </c>
      <c r="E40">
        <f>Master_Data!E40</f>
        <v>1</v>
      </c>
      <c r="F40">
        <f>Master_Data!F40</f>
        <v>15</v>
      </c>
      <c r="G40" t="b">
        <f>Master_Data!G40</f>
        <v>0</v>
      </c>
      <c r="H40">
        <f>Master_Data!H40</f>
        <v>0</v>
      </c>
      <c r="I40">
        <f>Master_Data!I40</f>
        <v>3</v>
      </c>
      <c r="J40">
        <f>Master_Data!J40</f>
        <v>0.34</v>
      </c>
      <c r="K40">
        <f>Master_Data!K40</f>
        <v>0.33329999999999999</v>
      </c>
      <c r="L40">
        <f>Master_Data!L40</f>
        <v>0.81</v>
      </c>
      <c r="M40">
        <f>Master_Data!M40</f>
        <v>0.16420000000000001</v>
      </c>
      <c r="N40">
        <f>Master_Data!N40</f>
        <v>19</v>
      </c>
      <c r="O40">
        <f>Master_Data!O40</f>
        <v>55</v>
      </c>
      <c r="P40">
        <f>Master_Data!P40</f>
        <v>74</v>
      </c>
      <c r="Q40" t="str">
        <f t="shared" si="0"/>
        <v>2011</v>
      </c>
      <c r="R40" t="str">
        <f t="shared" si="1"/>
        <v>January</v>
      </c>
      <c r="S40" t="str">
        <f t="shared" si="2"/>
        <v>Sunday</v>
      </c>
      <c r="T40" t="str">
        <f t="shared" si="3"/>
        <v>Afternoon</v>
      </c>
      <c r="U40" t="str">
        <f t="shared" si="4"/>
        <v>Spring</v>
      </c>
      <c r="V40" t="str">
        <f t="shared" si="5"/>
        <v>Light Rain/Snow</v>
      </c>
    </row>
    <row r="41" spans="1:22">
      <c r="A41">
        <f>Master_Data!A41</f>
        <v>40</v>
      </c>
      <c r="B41">
        <f>Master_Data!B41</f>
        <v>40545</v>
      </c>
      <c r="C41">
        <f>Master_Data!C41</f>
        <v>1</v>
      </c>
      <c r="D41">
        <f>Master_Data!D41</f>
        <v>0</v>
      </c>
      <c r="E41">
        <f>Master_Data!E41</f>
        <v>1</v>
      </c>
      <c r="F41">
        <f>Master_Data!F41</f>
        <v>16</v>
      </c>
      <c r="G41" t="b">
        <f>Master_Data!G41</f>
        <v>0</v>
      </c>
      <c r="H41">
        <f>Master_Data!H41</f>
        <v>0</v>
      </c>
      <c r="I41">
        <f>Master_Data!I41</f>
        <v>3</v>
      </c>
      <c r="J41">
        <f>Master_Data!J41</f>
        <v>0.34</v>
      </c>
      <c r="K41">
        <f>Master_Data!K41</f>
        <v>0.33329999999999999</v>
      </c>
      <c r="L41">
        <f>Master_Data!L41</f>
        <v>0.71</v>
      </c>
      <c r="M41">
        <f>Master_Data!M41</f>
        <v>0.16420000000000001</v>
      </c>
      <c r="N41">
        <f>Master_Data!N41</f>
        <v>9</v>
      </c>
      <c r="O41">
        <f>Master_Data!O41</f>
        <v>67</v>
      </c>
      <c r="P41">
        <f>Master_Data!P41</f>
        <v>76</v>
      </c>
      <c r="Q41" t="str">
        <f t="shared" si="0"/>
        <v>2011</v>
      </c>
      <c r="R41" t="str">
        <f t="shared" si="1"/>
        <v>January</v>
      </c>
      <c r="S41" t="str">
        <f t="shared" si="2"/>
        <v>Sunday</v>
      </c>
      <c r="T41" t="str">
        <f t="shared" si="3"/>
        <v>Afternoon</v>
      </c>
      <c r="U41" t="str">
        <f t="shared" si="4"/>
        <v>Spring</v>
      </c>
      <c r="V41" t="str">
        <f t="shared" si="5"/>
        <v>Light Rain/Snow</v>
      </c>
    </row>
    <row r="42" spans="1:22">
      <c r="A42">
        <f>Master_Data!A42</f>
        <v>41</v>
      </c>
      <c r="B42">
        <f>Master_Data!B42</f>
        <v>40545</v>
      </c>
      <c r="C42">
        <f>Master_Data!C42</f>
        <v>1</v>
      </c>
      <c r="D42">
        <f>Master_Data!D42</f>
        <v>0</v>
      </c>
      <c r="E42">
        <f>Master_Data!E42</f>
        <v>1</v>
      </c>
      <c r="F42">
        <f>Master_Data!F42</f>
        <v>17</v>
      </c>
      <c r="G42" t="b">
        <f>Master_Data!G42</f>
        <v>0</v>
      </c>
      <c r="H42">
        <f>Master_Data!H42</f>
        <v>0</v>
      </c>
      <c r="I42">
        <f>Master_Data!I42</f>
        <v>1</v>
      </c>
      <c r="J42">
        <f>Master_Data!J42</f>
        <v>0.34</v>
      </c>
      <c r="K42">
        <f>Master_Data!K42</f>
        <v>0.33329999999999999</v>
      </c>
      <c r="L42">
        <f>Master_Data!L42</f>
        <v>0.56999999999999995</v>
      </c>
      <c r="M42">
        <f>Master_Data!M42</f>
        <v>0.19400000000000001</v>
      </c>
      <c r="N42">
        <f>Master_Data!N42</f>
        <v>7</v>
      </c>
      <c r="O42">
        <f>Master_Data!O42</f>
        <v>58</v>
      </c>
      <c r="P42">
        <f>Master_Data!P42</f>
        <v>65</v>
      </c>
      <c r="Q42" t="str">
        <f t="shared" si="0"/>
        <v>2011</v>
      </c>
      <c r="R42" t="str">
        <f t="shared" si="1"/>
        <v>January</v>
      </c>
      <c r="S42" t="str">
        <f t="shared" si="2"/>
        <v>Sunday</v>
      </c>
      <c r="T42" t="str">
        <f t="shared" si="3"/>
        <v>Evening</v>
      </c>
      <c r="U42" t="str">
        <f t="shared" si="4"/>
        <v>Spring</v>
      </c>
      <c r="V42" t="str">
        <f t="shared" si="5"/>
        <v>Clear</v>
      </c>
    </row>
    <row r="43" spans="1:22">
      <c r="A43">
        <f>Master_Data!A43</f>
        <v>42</v>
      </c>
      <c r="B43">
        <f>Master_Data!B43</f>
        <v>40545</v>
      </c>
      <c r="C43">
        <f>Master_Data!C43</f>
        <v>1</v>
      </c>
      <c r="D43">
        <f>Master_Data!D43</f>
        <v>0</v>
      </c>
      <c r="E43">
        <f>Master_Data!E43</f>
        <v>1</v>
      </c>
      <c r="F43">
        <f>Master_Data!F43</f>
        <v>18</v>
      </c>
      <c r="G43" t="b">
        <f>Master_Data!G43</f>
        <v>0</v>
      </c>
      <c r="H43">
        <f>Master_Data!H43</f>
        <v>0</v>
      </c>
      <c r="I43">
        <f>Master_Data!I43</f>
        <v>2</v>
      </c>
      <c r="J43">
        <f>Master_Data!J43</f>
        <v>0.36</v>
      </c>
      <c r="K43">
        <f>Master_Data!K43</f>
        <v>0.33329999999999999</v>
      </c>
      <c r="L43">
        <f>Master_Data!L43</f>
        <v>0.46</v>
      </c>
      <c r="M43">
        <f>Master_Data!M43</f>
        <v>0.32840000000000003</v>
      </c>
      <c r="N43">
        <f>Master_Data!N43</f>
        <v>10</v>
      </c>
      <c r="O43">
        <f>Master_Data!O43</f>
        <v>43</v>
      </c>
      <c r="P43">
        <f>Master_Data!P43</f>
        <v>53</v>
      </c>
      <c r="Q43" t="str">
        <f t="shared" si="0"/>
        <v>2011</v>
      </c>
      <c r="R43" t="str">
        <f t="shared" si="1"/>
        <v>January</v>
      </c>
      <c r="S43" t="str">
        <f t="shared" si="2"/>
        <v>Sunday</v>
      </c>
      <c r="T43" t="str">
        <f t="shared" si="3"/>
        <v>Evening</v>
      </c>
      <c r="U43" t="str">
        <f t="shared" si="4"/>
        <v>Spring</v>
      </c>
      <c r="V43" t="str">
        <f t="shared" si="5"/>
        <v>Mist/Cloudy</v>
      </c>
    </row>
    <row r="44" spans="1:22">
      <c r="A44">
        <f>Master_Data!A44</f>
        <v>43</v>
      </c>
      <c r="B44">
        <f>Master_Data!B44</f>
        <v>40545</v>
      </c>
      <c r="C44">
        <f>Master_Data!C44</f>
        <v>1</v>
      </c>
      <c r="D44">
        <f>Master_Data!D44</f>
        <v>0</v>
      </c>
      <c r="E44">
        <f>Master_Data!E44</f>
        <v>1</v>
      </c>
      <c r="F44">
        <f>Master_Data!F44</f>
        <v>19</v>
      </c>
      <c r="G44" t="b">
        <f>Master_Data!G44</f>
        <v>0</v>
      </c>
      <c r="H44">
        <f>Master_Data!H44</f>
        <v>0</v>
      </c>
      <c r="I44">
        <f>Master_Data!I44</f>
        <v>1</v>
      </c>
      <c r="J44">
        <f>Master_Data!J44</f>
        <v>0.32</v>
      </c>
      <c r="K44">
        <f>Master_Data!K44</f>
        <v>0.28789999999999999</v>
      </c>
      <c r="L44">
        <f>Master_Data!L44</f>
        <v>0.42</v>
      </c>
      <c r="M44">
        <f>Master_Data!M44</f>
        <v>0.44779999999999998</v>
      </c>
      <c r="N44">
        <f>Master_Data!N44</f>
        <v>1</v>
      </c>
      <c r="O44">
        <f>Master_Data!O44</f>
        <v>29</v>
      </c>
      <c r="P44">
        <f>Master_Data!P44</f>
        <v>30</v>
      </c>
      <c r="Q44" t="str">
        <f t="shared" si="0"/>
        <v>2011</v>
      </c>
      <c r="R44" t="str">
        <f t="shared" si="1"/>
        <v>January</v>
      </c>
      <c r="S44" t="str">
        <f t="shared" si="2"/>
        <v>Sunday</v>
      </c>
      <c r="T44" t="str">
        <f t="shared" si="3"/>
        <v>Evening</v>
      </c>
      <c r="U44" t="str">
        <f t="shared" si="4"/>
        <v>Spring</v>
      </c>
      <c r="V44" t="str">
        <f t="shared" si="5"/>
        <v>Clear</v>
      </c>
    </row>
    <row r="45" spans="1:22">
      <c r="A45">
        <f>Master_Data!A45</f>
        <v>44</v>
      </c>
      <c r="B45">
        <f>Master_Data!B45</f>
        <v>40545</v>
      </c>
      <c r="C45">
        <f>Master_Data!C45</f>
        <v>1</v>
      </c>
      <c r="D45">
        <f>Master_Data!D45</f>
        <v>0</v>
      </c>
      <c r="E45">
        <f>Master_Data!E45</f>
        <v>1</v>
      </c>
      <c r="F45">
        <f>Master_Data!F45</f>
        <v>20</v>
      </c>
      <c r="G45" t="b">
        <f>Master_Data!G45</f>
        <v>0</v>
      </c>
      <c r="H45">
        <f>Master_Data!H45</f>
        <v>0</v>
      </c>
      <c r="I45">
        <f>Master_Data!I45</f>
        <v>1</v>
      </c>
      <c r="J45">
        <f>Master_Data!J45</f>
        <v>0.3</v>
      </c>
      <c r="K45">
        <f>Master_Data!K45</f>
        <v>0</v>
      </c>
      <c r="L45">
        <f>Master_Data!L45</f>
        <v>0.39</v>
      </c>
      <c r="M45">
        <f>Master_Data!M45</f>
        <v>0.35820000000000002</v>
      </c>
      <c r="N45">
        <f>Master_Data!N45</f>
        <v>5</v>
      </c>
      <c r="O45">
        <f>Master_Data!O45</f>
        <v>17</v>
      </c>
      <c r="P45">
        <f>Master_Data!P45</f>
        <v>22</v>
      </c>
      <c r="Q45" t="str">
        <f t="shared" si="0"/>
        <v>2011</v>
      </c>
      <c r="R45" t="str">
        <f t="shared" si="1"/>
        <v>January</v>
      </c>
      <c r="S45" t="str">
        <f t="shared" si="2"/>
        <v>Sunday</v>
      </c>
      <c r="T45" t="str">
        <f t="shared" si="3"/>
        <v>Evening</v>
      </c>
      <c r="U45" t="str">
        <f t="shared" si="4"/>
        <v>Spring</v>
      </c>
      <c r="V45" t="str">
        <f t="shared" si="5"/>
        <v>Clear</v>
      </c>
    </row>
    <row r="46" spans="1:22">
      <c r="A46">
        <f>Master_Data!A46</f>
        <v>45</v>
      </c>
      <c r="B46">
        <f>Master_Data!B46</f>
        <v>40545</v>
      </c>
      <c r="C46">
        <f>Master_Data!C46</f>
        <v>1</v>
      </c>
      <c r="D46">
        <f>Master_Data!D46</f>
        <v>0</v>
      </c>
      <c r="E46">
        <f>Master_Data!E46</f>
        <v>1</v>
      </c>
      <c r="F46">
        <f>Master_Data!F46</f>
        <v>21</v>
      </c>
      <c r="G46" t="b">
        <f>Master_Data!G46</f>
        <v>0</v>
      </c>
      <c r="H46">
        <f>Master_Data!H46</f>
        <v>0</v>
      </c>
      <c r="I46">
        <f>Master_Data!I46</f>
        <v>1</v>
      </c>
      <c r="J46">
        <f>Master_Data!J46</f>
        <v>0.26</v>
      </c>
      <c r="K46">
        <f>Master_Data!K46</f>
        <v>0.2273</v>
      </c>
      <c r="L46">
        <f>Master_Data!L46</f>
        <v>0.44</v>
      </c>
      <c r="M46">
        <f>Master_Data!M46</f>
        <v>0.32840000000000003</v>
      </c>
      <c r="N46">
        <f>Master_Data!N46</f>
        <v>11</v>
      </c>
      <c r="O46">
        <f>Master_Data!O46</f>
        <v>20</v>
      </c>
      <c r="P46">
        <f>Master_Data!P46</f>
        <v>31</v>
      </c>
      <c r="Q46" t="str">
        <f t="shared" si="0"/>
        <v>2011</v>
      </c>
      <c r="R46" t="str">
        <f t="shared" si="1"/>
        <v>January</v>
      </c>
      <c r="S46" t="str">
        <f t="shared" si="2"/>
        <v>Sunday</v>
      </c>
      <c r="T46" t="str">
        <f t="shared" si="3"/>
        <v>Night</v>
      </c>
      <c r="U46" t="str">
        <f t="shared" si="4"/>
        <v>Spring</v>
      </c>
      <c r="V46" t="str">
        <f t="shared" si="5"/>
        <v>Clear</v>
      </c>
    </row>
    <row r="47" spans="1:22">
      <c r="A47">
        <f>Master_Data!A47</f>
        <v>46</v>
      </c>
      <c r="B47">
        <f>Master_Data!B47</f>
        <v>40545</v>
      </c>
      <c r="C47">
        <f>Master_Data!C47</f>
        <v>1</v>
      </c>
      <c r="D47">
        <f>Master_Data!D47</f>
        <v>0</v>
      </c>
      <c r="E47">
        <f>Master_Data!E47</f>
        <v>1</v>
      </c>
      <c r="F47">
        <f>Master_Data!F47</f>
        <v>22</v>
      </c>
      <c r="G47" t="b">
        <f>Master_Data!G47</f>
        <v>0</v>
      </c>
      <c r="H47">
        <f>Master_Data!H47</f>
        <v>0</v>
      </c>
      <c r="I47">
        <f>Master_Data!I47</f>
        <v>1</v>
      </c>
      <c r="J47">
        <f>Master_Data!J47</f>
        <v>0.24</v>
      </c>
      <c r="K47">
        <f>Master_Data!K47</f>
        <v>0.21210000000000001</v>
      </c>
      <c r="L47">
        <f>Master_Data!L47</f>
        <v>0.44</v>
      </c>
      <c r="M47">
        <f>Master_Data!M47</f>
        <v>0.29849999999999999</v>
      </c>
      <c r="N47">
        <f>Master_Data!N47</f>
        <v>0</v>
      </c>
      <c r="O47">
        <f>Master_Data!O47</f>
        <v>9</v>
      </c>
      <c r="P47">
        <f>Master_Data!P47</f>
        <v>9</v>
      </c>
      <c r="Q47" t="str">
        <f t="shared" si="0"/>
        <v>2011</v>
      </c>
      <c r="R47" t="str">
        <f t="shared" si="1"/>
        <v>January</v>
      </c>
      <c r="S47" t="str">
        <f t="shared" si="2"/>
        <v>Sunday</v>
      </c>
      <c r="T47" t="str">
        <f t="shared" si="3"/>
        <v>Night</v>
      </c>
      <c r="U47" t="str">
        <f t="shared" si="4"/>
        <v>Spring</v>
      </c>
      <c r="V47" t="str">
        <f t="shared" si="5"/>
        <v>Clear</v>
      </c>
    </row>
    <row r="48" spans="1:22">
      <c r="A48">
        <f>Master_Data!A48</f>
        <v>47</v>
      </c>
      <c r="B48">
        <f>Master_Data!B48</f>
        <v>40545</v>
      </c>
      <c r="C48">
        <f>Master_Data!C48</f>
        <v>1</v>
      </c>
      <c r="D48">
        <f>Master_Data!D48</f>
        <v>0</v>
      </c>
      <c r="E48">
        <f>Master_Data!E48</f>
        <v>1</v>
      </c>
      <c r="F48">
        <f>Master_Data!F48</f>
        <v>23</v>
      </c>
      <c r="G48" t="b">
        <f>Master_Data!G48</f>
        <v>0</v>
      </c>
      <c r="H48">
        <f>Master_Data!H48</f>
        <v>0</v>
      </c>
      <c r="I48">
        <f>Master_Data!I48</f>
        <v>1</v>
      </c>
      <c r="J48">
        <f>Master_Data!J48</f>
        <v>0.22</v>
      </c>
      <c r="K48">
        <f>Master_Data!K48</f>
        <v>0.2273</v>
      </c>
      <c r="L48">
        <f>Master_Data!L48</f>
        <v>0.47</v>
      </c>
      <c r="M48">
        <f>Master_Data!M48</f>
        <v>0.16420000000000001</v>
      </c>
      <c r="N48">
        <f>Master_Data!N48</f>
        <v>0</v>
      </c>
      <c r="O48">
        <f>Master_Data!O48</f>
        <v>8</v>
      </c>
      <c r="P48">
        <f>Master_Data!P48</f>
        <v>8</v>
      </c>
      <c r="Q48" t="str">
        <f t="shared" si="0"/>
        <v>2011</v>
      </c>
      <c r="R48" t="str">
        <f t="shared" si="1"/>
        <v>January</v>
      </c>
      <c r="S48" t="str">
        <f t="shared" si="2"/>
        <v>Sunday</v>
      </c>
      <c r="T48" t="str">
        <f t="shared" si="3"/>
        <v>Night</v>
      </c>
      <c r="U48" t="str">
        <f t="shared" si="4"/>
        <v>Spring</v>
      </c>
      <c r="V48" t="str">
        <f t="shared" si="5"/>
        <v>Clear</v>
      </c>
    </row>
    <row r="49" spans="1:22">
      <c r="A49">
        <f>Master_Data!A49</f>
        <v>48</v>
      </c>
      <c r="B49">
        <f>Master_Data!B49</f>
        <v>40546</v>
      </c>
      <c r="C49">
        <f>Master_Data!C49</f>
        <v>1</v>
      </c>
      <c r="D49">
        <f>Master_Data!D49</f>
        <v>0</v>
      </c>
      <c r="E49">
        <f>Master_Data!E49</f>
        <v>1</v>
      </c>
      <c r="F49">
        <f>Master_Data!F49</f>
        <v>0</v>
      </c>
      <c r="G49" t="b">
        <f>Master_Data!G49</f>
        <v>0</v>
      </c>
      <c r="H49">
        <f>Master_Data!H49</f>
        <v>1</v>
      </c>
      <c r="I49">
        <f>Master_Data!I49</f>
        <v>1</v>
      </c>
      <c r="J49">
        <f>Master_Data!J49</f>
        <v>0.22</v>
      </c>
      <c r="K49">
        <f>Master_Data!K49</f>
        <v>0.19700000000000001</v>
      </c>
      <c r="L49">
        <f>Master_Data!L49</f>
        <v>0.44</v>
      </c>
      <c r="M49">
        <f>Master_Data!M49</f>
        <v>0.35820000000000002</v>
      </c>
      <c r="N49">
        <f>Master_Data!N49</f>
        <v>0</v>
      </c>
      <c r="O49">
        <f>Master_Data!O49</f>
        <v>5</v>
      </c>
      <c r="P49">
        <f>Master_Data!P49</f>
        <v>5</v>
      </c>
      <c r="Q49" t="str">
        <f t="shared" si="0"/>
        <v>2011</v>
      </c>
      <c r="R49" t="str">
        <f t="shared" si="1"/>
        <v>January</v>
      </c>
      <c r="S49" t="str">
        <f t="shared" si="2"/>
        <v>Weekday</v>
      </c>
      <c r="T49" t="str">
        <f t="shared" si="3"/>
        <v>Night</v>
      </c>
      <c r="U49" t="str">
        <f t="shared" si="4"/>
        <v>Spring</v>
      </c>
      <c r="V49" t="str">
        <f t="shared" si="5"/>
        <v>Clear</v>
      </c>
    </row>
    <row r="50" spans="1:22">
      <c r="A50">
        <f>Master_Data!A50</f>
        <v>49</v>
      </c>
      <c r="B50">
        <f>Master_Data!B50</f>
        <v>40546</v>
      </c>
      <c r="C50">
        <f>Master_Data!C50</f>
        <v>1</v>
      </c>
      <c r="D50">
        <f>Master_Data!D50</f>
        <v>0</v>
      </c>
      <c r="E50">
        <f>Master_Data!E50</f>
        <v>1</v>
      </c>
      <c r="F50">
        <f>Master_Data!F50</f>
        <v>1</v>
      </c>
      <c r="G50" t="b">
        <f>Master_Data!G50</f>
        <v>0</v>
      </c>
      <c r="H50">
        <f>Master_Data!H50</f>
        <v>1</v>
      </c>
      <c r="I50">
        <f>Master_Data!I50</f>
        <v>1</v>
      </c>
      <c r="J50">
        <f>Master_Data!J50</f>
        <v>0.2</v>
      </c>
      <c r="K50">
        <f>Master_Data!K50</f>
        <v>0</v>
      </c>
      <c r="L50">
        <f>Master_Data!L50</f>
        <v>0.44</v>
      </c>
      <c r="M50">
        <f>Master_Data!M50</f>
        <v>0.41789999999999999</v>
      </c>
      <c r="N50">
        <f>Master_Data!N50</f>
        <v>0</v>
      </c>
      <c r="O50">
        <f>Master_Data!O50</f>
        <v>2</v>
      </c>
      <c r="P50">
        <f>Master_Data!P50</f>
        <v>2</v>
      </c>
      <c r="Q50" t="str">
        <f t="shared" si="0"/>
        <v>2011</v>
      </c>
      <c r="R50" t="str">
        <f t="shared" si="1"/>
        <v>January</v>
      </c>
      <c r="S50" t="str">
        <f t="shared" si="2"/>
        <v>Weekday</v>
      </c>
      <c r="T50" t="str">
        <f t="shared" si="3"/>
        <v>Night</v>
      </c>
      <c r="U50" t="str">
        <f t="shared" si="4"/>
        <v>Spring</v>
      </c>
      <c r="V50" t="str">
        <f t="shared" si="5"/>
        <v>Clear</v>
      </c>
    </row>
    <row r="51" spans="1:22">
      <c r="A51">
        <f>Master_Data!A51</f>
        <v>50</v>
      </c>
      <c r="B51">
        <f>Master_Data!B51</f>
        <v>40546</v>
      </c>
      <c r="C51">
        <f>Master_Data!C51</f>
        <v>1</v>
      </c>
      <c r="D51">
        <f>Master_Data!D51</f>
        <v>0</v>
      </c>
      <c r="E51">
        <f>Master_Data!E51</f>
        <v>1</v>
      </c>
      <c r="F51">
        <f>Master_Data!F51</f>
        <v>4</v>
      </c>
      <c r="G51" t="b">
        <f>Master_Data!G51</f>
        <v>0</v>
      </c>
      <c r="H51">
        <f>Master_Data!H51</f>
        <v>1</v>
      </c>
      <c r="I51">
        <f>Master_Data!I51</f>
        <v>1</v>
      </c>
      <c r="J51">
        <f>Master_Data!J51</f>
        <v>0.16</v>
      </c>
      <c r="K51">
        <f>Master_Data!K51</f>
        <v>0.13639999999999999</v>
      </c>
      <c r="L51">
        <f>Master_Data!L51</f>
        <v>0.47</v>
      </c>
      <c r="M51">
        <f>Master_Data!M51</f>
        <v>0.3881</v>
      </c>
      <c r="N51">
        <f>Master_Data!N51</f>
        <v>0</v>
      </c>
      <c r="O51">
        <f>Master_Data!O51</f>
        <v>1</v>
      </c>
      <c r="P51">
        <f>Master_Data!P51</f>
        <v>1</v>
      </c>
      <c r="Q51" t="str">
        <f t="shared" si="0"/>
        <v>2011</v>
      </c>
      <c r="R51" t="str">
        <f t="shared" si="1"/>
        <v>January</v>
      </c>
      <c r="S51" t="str">
        <f t="shared" si="2"/>
        <v>Weekday</v>
      </c>
      <c r="T51" t="str">
        <f t="shared" si="3"/>
        <v>Night</v>
      </c>
      <c r="U51" t="str">
        <f t="shared" si="4"/>
        <v>Spring</v>
      </c>
      <c r="V51" t="str">
        <f t="shared" si="5"/>
        <v>Clear</v>
      </c>
    </row>
    <row r="52" spans="1:22">
      <c r="A52">
        <f>Master_Data!A52</f>
        <v>51</v>
      </c>
      <c r="B52">
        <f>Master_Data!B52</f>
        <v>40546</v>
      </c>
      <c r="C52">
        <f>Master_Data!C52</f>
        <v>1</v>
      </c>
      <c r="D52">
        <f>Master_Data!D52</f>
        <v>0</v>
      </c>
      <c r="E52">
        <f>Master_Data!E52</f>
        <v>1</v>
      </c>
      <c r="F52">
        <f>Master_Data!F52</f>
        <v>5</v>
      </c>
      <c r="G52" t="b">
        <f>Master_Data!G52</f>
        <v>0</v>
      </c>
      <c r="H52">
        <f>Master_Data!H52</f>
        <v>1</v>
      </c>
      <c r="I52">
        <f>Master_Data!I52</f>
        <v>1</v>
      </c>
      <c r="J52">
        <f>Master_Data!J52</f>
        <v>0.16</v>
      </c>
      <c r="K52">
        <f>Master_Data!K52</f>
        <v>0.13639999999999999</v>
      </c>
      <c r="L52">
        <f>Master_Data!L52</f>
        <v>0.47</v>
      </c>
      <c r="M52">
        <f>Master_Data!M52</f>
        <v>0.28360000000000002</v>
      </c>
      <c r="N52">
        <f>Master_Data!N52</f>
        <v>0</v>
      </c>
      <c r="O52">
        <f>Master_Data!O52</f>
        <v>3</v>
      </c>
      <c r="P52">
        <f>Master_Data!P52</f>
        <v>3</v>
      </c>
      <c r="Q52" t="str">
        <f t="shared" si="0"/>
        <v>2011</v>
      </c>
      <c r="R52" t="str">
        <f t="shared" si="1"/>
        <v>January</v>
      </c>
      <c r="S52" t="str">
        <f t="shared" si="2"/>
        <v>Weekday</v>
      </c>
      <c r="T52" t="str">
        <f t="shared" si="3"/>
        <v>Night</v>
      </c>
      <c r="U52" t="str">
        <f t="shared" si="4"/>
        <v>Spring</v>
      </c>
      <c r="V52" t="str">
        <f t="shared" si="5"/>
        <v>Clear</v>
      </c>
    </row>
    <row r="53" spans="1:22">
      <c r="A53">
        <f>Master_Data!A53</f>
        <v>52</v>
      </c>
      <c r="B53">
        <f>Master_Data!B53</f>
        <v>40546</v>
      </c>
      <c r="C53">
        <f>Master_Data!C53</f>
        <v>1</v>
      </c>
      <c r="D53">
        <f>Master_Data!D53</f>
        <v>0</v>
      </c>
      <c r="E53">
        <f>Master_Data!E53</f>
        <v>1</v>
      </c>
      <c r="F53">
        <f>Master_Data!F53</f>
        <v>6</v>
      </c>
      <c r="G53" t="b">
        <f>Master_Data!G53</f>
        <v>0</v>
      </c>
      <c r="H53">
        <f>Master_Data!H53</f>
        <v>1</v>
      </c>
      <c r="I53">
        <f>Master_Data!I53</f>
        <v>1</v>
      </c>
      <c r="J53">
        <f>Master_Data!J53</f>
        <v>0.14000000000000001</v>
      </c>
      <c r="K53">
        <f>Master_Data!K53</f>
        <v>0.1061</v>
      </c>
      <c r="L53">
        <f>Master_Data!L53</f>
        <v>0.5</v>
      </c>
      <c r="M53">
        <f>Master_Data!M53</f>
        <v>0.3881</v>
      </c>
      <c r="N53">
        <f>Master_Data!N53</f>
        <v>0</v>
      </c>
      <c r="O53">
        <f>Master_Data!O53</f>
        <v>30</v>
      </c>
      <c r="P53">
        <f>Master_Data!P53</f>
        <v>30</v>
      </c>
      <c r="Q53" t="str">
        <f t="shared" si="0"/>
        <v>2011</v>
      </c>
      <c r="R53" t="str">
        <f t="shared" si="1"/>
        <v>January</v>
      </c>
      <c r="S53" t="str">
        <f t="shared" si="2"/>
        <v>Weekday</v>
      </c>
      <c r="T53" t="str">
        <f t="shared" si="3"/>
        <v>Morning</v>
      </c>
      <c r="U53" t="str">
        <f t="shared" si="4"/>
        <v>Spring</v>
      </c>
      <c r="V53" t="str">
        <f t="shared" si="5"/>
        <v>Clear</v>
      </c>
    </row>
    <row r="54" spans="1:22">
      <c r="A54">
        <f>Master_Data!A54</f>
        <v>53</v>
      </c>
      <c r="B54">
        <f>Master_Data!B54</f>
        <v>40546</v>
      </c>
      <c r="C54">
        <f>Master_Data!C54</f>
        <v>1</v>
      </c>
      <c r="D54">
        <f>Master_Data!D54</f>
        <v>0</v>
      </c>
      <c r="E54">
        <f>Master_Data!E54</f>
        <v>1</v>
      </c>
      <c r="F54">
        <f>Master_Data!F54</f>
        <v>7</v>
      </c>
      <c r="G54" t="b">
        <f>Master_Data!G54</f>
        <v>0</v>
      </c>
      <c r="H54">
        <f>Master_Data!H54</f>
        <v>1</v>
      </c>
      <c r="I54">
        <f>Master_Data!I54</f>
        <v>1</v>
      </c>
      <c r="J54">
        <f>Master_Data!J54</f>
        <v>0.14000000000000001</v>
      </c>
      <c r="K54">
        <f>Master_Data!K54</f>
        <v>0.13639999999999999</v>
      </c>
      <c r="L54">
        <f>Master_Data!L54</f>
        <v>0.5</v>
      </c>
      <c r="M54">
        <f>Master_Data!M54</f>
        <v>0.19400000000000001</v>
      </c>
      <c r="N54">
        <f>Master_Data!N54</f>
        <v>1</v>
      </c>
      <c r="O54">
        <f>Master_Data!O54</f>
        <v>63</v>
      </c>
      <c r="P54">
        <f>Master_Data!P54</f>
        <v>64</v>
      </c>
      <c r="Q54" t="str">
        <f t="shared" si="0"/>
        <v>2011</v>
      </c>
      <c r="R54" t="str">
        <f t="shared" si="1"/>
        <v>January</v>
      </c>
      <c r="S54" t="str">
        <f t="shared" si="2"/>
        <v>Weekday</v>
      </c>
      <c r="T54" t="str">
        <f t="shared" si="3"/>
        <v>Morning</v>
      </c>
      <c r="U54" t="str">
        <f t="shared" si="4"/>
        <v>Spring</v>
      </c>
      <c r="V54" t="str">
        <f t="shared" si="5"/>
        <v>Clear</v>
      </c>
    </row>
    <row r="55" spans="1:22">
      <c r="A55">
        <f>Master_Data!A55</f>
        <v>54</v>
      </c>
      <c r="B55">
        <f>Master_Data!B55</f>
        <v>40546</v>
      </c>
      <c r="C55">
        <f>Master_Data!C55</f>
        <v>1</v>
      </c>
      <c r="D55">
        <f>Master_Data!D55</f>
        <v>0</v>
      </c>
      <c r="E55">
        <f>Master_Data!E55</f>
        <v>1</v>
      </c>
      <c r="F55">
        <f>Master_Data!F55</f>
        <v>8</v>
      </c>
      <c r="G55" t="b">
        <f>Master_Data!G55</f>
        <v>0</v>
      </c>
      <c r="H55">
        <f>Master_Data!H55</f>
        <v>1</v>
      </c>
      <c r="I55">
        <f>Master_Data!I55</f>
        <v>1</v>
      </c>
      <c r="J55">
        <f>Master_Data!J55</f>
        <v>0.14000000000000001</v>
      </c>
      <c r="K55">
        <f>Master_Data!K55</f>
        <v>0.1212</v>
      </c>
      <c r="L55">
        <f>Master_Data!L55</f>
        <v>0.5</v>
      </c>
      <c r="M55">
        <f>Master_Data!M55</f>
        <v>0.28360000000000002</v>
      </c>
      <c r="N55">
        <f>Master_Data!N55</f>
        <v>1</v>
      </c>
      <c r="O55">
        <f>Master_Data!O55</f>
        <v>153</v>
      </c>
      <c r="P55">
        <f>Master_Data!P55</f>
        <v>154</v>
      </c>
      <c r="Q55" t="str">
        <f t="shared" si="0"/>
        <v>2011</v>
      </c>
      <c r="R55" t="str">
        <f t="shared" si="1"/>
        <v>January</v>
      </c>
      <c r="S55" t="str">
        <f t="shared" si="2"/>
        <v>Weekday</v>
      </c>
      <c r="T55" t="str">
        <f t="shared" si="3"/>
        <v>Morning</v>
      </c>
      <c r="U55" t="str">
        <f t="shared" si="4"/>
        <v>Spring</v>
      </c>
      <c r="V55" t="str">
        <f t="shared" si="5"/>
        <v>Clear</v>
      </c>
    </row>
    <row r="56" spans="1:22">
      <c r="A56">
        <f>Master_Data!A56</f>
        <v>55</v>
      </c>
      <c r="B56">
        <f>Master_Data!B56</f>
        <v>40546</v>
      </c>
      <c r="C56">
        <f>Master_Data!C56</f>
        <v>1</v>
      </c>
      <c r="D56">
        <f>Master_Data!D56</f>
        <v>0</v>
      </c>
      <c r="E56">
        <f>Master_Data!E56</f>
        <v>1</v>
      </c>
      <c r="F56">
        <f>Master_Data!F56</f>
        <v>9</v>
      </c>
      <c r="G56" t="b">
        <f>Master_Data!G56</f>
        <v>0</v>
      </c>
      <c r="H56">
        <f>Master_Data!H56</f>
        <v>1</v>
      </c>
      <c r="I56">
        <f>Master_Data!I56</f>
        <v>1</v>
      </c>
      <c r="J56">
        <f>Master_Data!J56</f>
        <v>0.16</v>
      </c>
      <c r="K56">
        <f>Master_Data!K56</f>
        <v>0.13639999999999999</v>
      </c>
      <c r="L56">
        <f>Master_Data!L56</f>
        <v>0.43</v>
      </c>
      <c r="M56">
        <f>Master_Data!M56</f>
        <v>0.3881</v>
      </c>
      <c r="N56">
        <f>Master_Data!N56</f>
        <v>7</v>
      </c>
      <c r="O56">
        <f>Master_Data!O56</f>
        <v>81</v>
      </c>
      <c r="P56">
        <f>Master_Data!P56</f>
        <v>88</v>
      </c>
      <c r="Q56" t="str">
        <f t="shared" si="0"/>
        <v>2011</v>
      </c>
      <c r="R56" t="str">
        <f t="shared" si="1"/>
        <v>January</v>
      </c>
      <c r="S56" t="str">
        <f t="shared" si="2"/>
        <v>Weekday</v>
      </c>
      <c r="T56" t="str">
        <f t="shared" si="3"/>
        <v>Morning</v>
      </c>
      <c r="U56" t="str">
        <f t="shared" si="4"/>
        <v>Spring</v>
      </c>
      <c r="V56" t="str">
        <f t="shared" si="5"/>
        <v>Clear</v>
      </c>
    </row>
    <row r="57" spans="1:22">
      <c r="A57">
        <f>Master_Data!A57</f>
        <v>56</v>
      </c>
      <c r="B57">
        <f>Master_Data!B57</f>
        <v>40546</v>
      </c>
      <c r="C57">
        <f>Master_Data!C57</f>
        <v>1</v>
      </c>
      <c r="D57">
        <f>Master_Data!D57</f>
        <v>0</v>
      </c>
      <c r="E57">
        <f>Master_Data!E57</f>
        <v>1</v>
      </c>
      <c r="F57">
        <f>Master_Data!F57</f>
        <v>10</v>
      </c>
      <c r="G57" t="b">
        <f>Master_Data!G57</f>
        <v>0</v>
      </c>
      <c r="H57">
        <f>Master_Data!H57</f>
        <v>1</v>
      </c>
      <c r="I57">
        <f>Master_Data!I57</f>
        <v>1</v>
      </c>
      <c r="J57">
        <f>Master_Data!J57</f>
        <v>0.18</v>
      </c>
      <c r="K57">
        <f>Master_Data!K57</f>
        <v>0.16669999999999999</v>
      </c>
      <c r="L57">
        <f>Master_Data!L57</f>
        <v>0.43</v>
      </c>
      <c r="M57">
        <f>Master_Data!M57</f>
        <v>0.25369999999999998</v>
      </c>
      <c r="N57">
        <f>Master_Data!N57</f>
        <v>11</v>
      </c>
      <c r="O57">
        <f>Master_Data!O57</f>
        <v>33</v>
      </c>
      <c r="P57">
        <f>Master_Data!P57</f>
        <v>44</v>
      </c>
      <c r="Q57" t="str">
        <f t="shared" si="0"/>
        <v>2011</v>
      </c>
      <c r="R57" t="str">
        <f t="shared" si="1"/>
        <v>January</v>
      </c>
      <c r="S57" t="str">
        <f t="shared" si="2"/>
        <v>Weekday</v>
      </c>
      <c r="T57" t="str">
        <f t="shared" si="3"/>
        <v>Morning</v>
      </c>
      <c r="U57" t="str">
        <f t="shared" si="4"/>
        <v>Spring</v>
      </c>
      <c r="V57" t="str">
        <f t="shared" si="5"/>
        <v>Clear</v>
      </c>
    </row>
    <row r="58" spans="1:22">
      <c r="A58">
        <f>Master_Data!A58</f>
        <v>57</v>
      </c>
      <c r="B58">
        <f>Master_Data!B58</f>
        <v>40546</v>
      </c>
      <c r="C58">
        <f>Master_Data!C58</f>
        <v>1</v>
      </c>
      <c r="D58">
        <f>Master_Data!D58</f>
        <v>0</v>
      </c>
      <c r="E58">
        <f>Master_Data!E58</f>
        <v>1</v>
      </c>
      <c r="F58">
        <f>Master_Data!F58</f>
        <v>11</v>
      </c>
      <c r="G58" t="b">
        <f>Master_Data!G58</f>
        <v>0</v>
      </c>
      <c r="H58">
        <f>Master_Data!H58</f>
        <v>1</v>
      </c>
      <c r="I58">
        <f>Master_Data!I58</f>
        <v>1</v>
      </c>
      <c r="J58">
        <f>Master_Data!J58</f>
        <v>0.2</v>
      </c>
      <c r="K58">
        <f>Master_Data!K58</f>
        <v>0.18179999999999999</v>
      </c>
      <c r="L58">
        <f>Master_Data!L58</f>
        <v>0.4</v>
      </c>
      <c r="M58">
        <f>Master_Data!M58</f>
        <v>0.32840000000000003</v>
      </c>
      <c r="N58">
        <f>Master_Data!N58</f>
        <v>10</v>
      </c>
      <c r="O58">
        <f>Master_Data!O58</f>
        <v>41</v>
      </c>
      <c r="P58">
        <f>Master_Data!P58</f>
        <v>51</v>
      </c>
      <c r="Q58" t="str">
        <f t="shared" si="0"/>
        <v>2011</v>
      </c>
      <c r="R58" t="str">
        <f t="shared" si="1"/>
        <v>January</v>
      </c>
      <c r="S58" t="str">
        <f t="shared" si="2"/>
        <v>Weekday</v>
      </c>
      <c r="T58" t="str">
        <f t="shared" si="3"/>
        <v>Morning</v>
      </c>
      <c r="U58" t="str">
        <f t="shared" si="4"/>
        <v>Spring</v>
      </c>
      <c r="V58" t="str">
        <f t="shared" si="5"/>
        <v>Clear</v>
      </c>
    </row>
    <row r="59" spans="1:22">
      <c r="A59">
        <f>Master_Data!A59</f>
        <v>58</v>
      </c>
      <c r="B59">
        <f>Master_Data!B59</f>
        <v>40546</v>
      </c>
      <c r="C59">
        <f>Master_Data!C59</f>
        <v>1</v>
      </c>
      <c r="D59">
        <f>Master_Data!D59</f>
        <v>0</v>
      </c>
      <c r="E59">
        <f>Master_Data!E59</f>
        <v>1</v>
      </c>
      <c r="F59">
        <f>Master_Data!F59</f>
        <v>12</v>
      </c>
      <c r="G59" t="b">
        <f>Master_Data!G59</f>
        <v>0</v>
      </c>
      <c r="H59">
        <f>Master_Data!H59</f>
        <v>1</v>
      </c>
      <c r="I59">
        <f>Master_Data!I59</f>
        <v>1</v>
      </c>
      <c r="J59">
        <f>Master_Data!J59</f>
        <v>0.22</v>
      </c>
      <c r="K59">
        <f>Master_Data!K59</f>
        <v>0.21210000000000001</v>
      </c>
      <c r="L59">
        <f>Master_Data!L59</f>
        <v>0.35</v>
      </c>
      <c r="M59">
        <f>Master_Data!M59</f>
        <v>0.29849999999999999</v>
      </c>
      <c r="N59">
        <f>Master_Data!N59</f>
        <v>13</v>
      </c>
      <c r="O59">
        <f>Master_Data!O59</f>
        <v>48</v>
      </c>
      <c r="P59">
        <f>Master_Data!P59</f>
        <v>61</v>
      </c>
      <c r="Q59" t="str">
        <f t="shared" si="0"/>
        <v>2011</v>
      </c>
      <c r="R59" t="str">
        <f t="shared" si="1"/>
        <v>January</v>
      </c>
      <c r="S59" t="str">
        <f t="shared" si="2"/>
        <v>Weekday</v>
      </c>
      <c r="T59" t="str">
        <f t="shared" si="3"/>
        <v>Afternoon</v>
      </c>
      <c r="U59" t="str">
        <f t="shared" si="4"/>
        <v>Spring</v>
      </c>
      <c r="V59" t="str">
        <f t="shared" si="5"/>
        <v>Clear</v>
      </c>
    </row>
    <row r="60" spans="1:22">
      <c r="A60">
        <f>Master_Data!A60</f>
        <v>59</v>
      </c>
      <c r="B60">
        <f>Master_Data!B60</f>
        <v>40546</v>
      </c>
      <c r="C60">
        <f>Master_Data!C60</f>
        <v>1</v>
      </c>
      <c r="D60">
        <f>Master_Data!D60</f>
        <v>0</v>
      </c>
      <c r="E60">
        <f>Master_Data!E60</f>
        <v>1</v>
      </c>
      <c r="F60">
        <f>Master_Data!F60</f>
        <v>13</v>
      </c>
      <c r="G60" t="b">
        <f>Master_Data!G60</f>
        <v>0</v>
      </c>
      <c r="H60">
        <f>Master_Data!H60</f>
        <v>1</v>
      </c>
      <c r="I60">
        <f>Master_Data!I60</f>
        <v>1</v>
      </c>
      <c r="J60">
        <f>Master_Data!J60</f>
        <v>0.24</v>
      </c>
      <c r="K60">
        <f>Master_Data!K60</f>
        <v>0</v>
      </c>
      <c r="L60">
        <f>Master_Data!L60</f>
        <v>0.35</v>
      </c>
      <c r="M60">
        <f>Master_Data!M60</f>
        <v>0.28360000000000002</v>
      </c>
      <c r="N60">
        <f>Master_Data!N60</f>
        <v>8</v>
      </c>
      <c r="O60">
        <f>Master_Data!O60</f>
        <v>53</v>
      </c>
      <c r="P60">
        <f>Master_Data!P60</f>
        <v>61</v>
      </c>
      <c r="Q60" t="str">
        <f t="shared" si="0"/>
        <v>2011</v>
      </c>
      <c r="R60" t="str">
        <f t="shared" si="1"/>
        <v>January</v>
      </c>
      <c r="S60" t="str">
        <f t="shared" si="2"/>
        <v>Weekday</v>
      </c>
      <c r="T60" t="str">
        <f t="shared" si="3"/>
        <v>Afternoon</v>
      </c>
      <c r="U60" t="str">
        <f t="shared" si="4"/>
        <v>Spring</v>
      </c>
      <c r="V60" t="str">
        <f t="shared" si="5"/>
        <v>Clear</v>
      </c>
    </row>
    <row r="61" spans="1:22">
      <c r="A61">
        <f>Master_Data!A61</f>
        <v>60</v>
      </c>
      <c r="B61">
        <f>Master_Data!B61</f>
        <v>40546</v>
      </c>
      <c r="C61">
        <f>Master_Data!C61</f>
        <v>1</v>
      </c>
      <c r="D61">
        <f>Master_Data!D61</f>
        <v>0</v>
      </c>
      <c r="E61">
        <f>Master_Data!E61</f>
        <v>1</v>
      </c>
      <c r="F61">
        <f>Master_Data!F61</f>
        <v>14</v>
      </c>
      <c r="G61" t="b">
        <f>Master_Data!G61</f>
        <v>0</v>
      </c>
      <c r="H61">
        <f>Master_Data!H61</f>
        <v>1</v>
      </c>
      <c r="I61">
        <f>Master_Data!I61</f>
        <v>1</v>
      </c>
      <c r="J61">
        <f>Master_Data!J61</f>
        <v>0.26</v>
      </c>
      <c r="K61">
        <f>Master_Data!K61</f>
        <v>0.2424</v>
      </c>
      <c r="L61">
        <f>Master_Data!L61</f>
        <v>0.3</v>
      </c>
      <c r="M61">
        <f>Master_Data!M61</f>
        <v>0.28360000000000002</v>
      </c>
      <c r="N61">
        <f>Master_Data!N61</f>
        <v>11</v>
      </c>
      <c r="O61">
        <f>Master_Data!O61</f>
        <v>66</v>
      </c>
      <c r="P61">
        <f>Master_Data!P61</f>
        <v>77</v>
      </c>
      <c r="Q61" t="str">
        <f t="shared" si="0"/>
        <v>2011</v>
      </c>
      <c r="R61" t="str">
        <f t="shared" si="1"/>
        <v>January</v>
      </c>
      <c r="S61" t="str">
        <f t="shared" si="2"/>
        <v>Weekday</v>
      </c>
      <c r="T61" t="str">
        <f t="shared" si="3"/>
        <v>Afternoon</v>
      </c>
      <c r="U61" t="str">
        <f t="shared" si="4"/>
        <v>Spring</v>
      </c>
      <c r="V61" t="str">
        <f t="shared" si="5"/>
        <v>Clear</v>
      </c>
    </row>
    <row r="62" spans="1:22">
      <c r="A62">
        <f>Master_Data!A62</f>
        <v>61</v>
      </c>
      <c r="B62">
        <f>Master_Data!B62</f>
        <v>40546</v>
      </c>
      <c r="C62">
        <f>Master_Data!C62</f>
        <v>1</v>
      </c>
      <c r="D62">
        <f>Master_Data!D62</f>
        <v>0</v>
      </c>
      <c r="E62">
        <f>Master_Data!E62</f>
        <v>1</v>
      </c>
      <c r="F62">
        <f>Master_Data!F62</f>
        <v>15</v>
      </c>
      <c r="G62" t="b">
        <f>Master_Data!G62</f>
        <v>0</v>
      </c>
      <c r="H62">
        <f>Master_Data!H62</f>
        <v>1</v>
      </c>
      <c r="I62">
        <f>Master_Data!I62</f>
        <v>1</v>
      </c>
      <c r="J62">
        <f>Master_Data!J62</f>
        <v>0.26</v>
      </c>
      <c r="K62">
        <f>Master_Data!K62</f>
        <v>0.2424</v>
      </c>
      <c r="L62">
        <f>Master_Data!L62</f>
        <v>0.3</v>
      </c>
      <c r="M62">
        <f>Master_Data!M62</f>
        <v>0.25369999999999998</v>
      </c>
      <c r="N62">
        <f>Master_Data!N62</f>
        <v>14</v>
      </c>
      <c r="O62">
        <f>Master_Data!O62</f>
        <v>58</v>
      </c>
      <c r="P62">
        <f>Master_Data!P62</f>
        <v>72</v>
      </c>
      <c r="Q62" t="str">
        <f t="shared" si="0"/>
        <v>2011</v>
      </c>
      <c r="R62" t="str">
        <f t="shared" si="1"/>
        <v>January</v>
      </c>
      <c r="S62" t="str">
        <f t="shared" si="2"/>
        <v>Weekday</v>
      </c>
      <c r="T62" t="str">
        <f t="shared" si="3"/>
        <v>Afternoon</v>
      </c>
      <c r="U62" t="str">
        <f t="shared" si="4"/>
        <v>Spring</v>
      </c>
      <c r="V62" t="str">
        <f t="shared" si="5"/>
        <v>Clear</v>
      </c>
    </row>
    <row r="63" spans="1:22">
      <c r="A63">
        <f>Master_Data!A63</f>
        <v>62</v>
      </c>
      <c r="B63">
        <f>Master_Data!B63</f>
        <v>40546</v>
      </c>
      <c r="C63">
        <f>Master_Data!C63</f>
        <v>1</v>
      </c>
      <c r="D63">
        <f>Master_Data!D63</f>
        <v>0</v>
      </c>
      <c r="E63">
        <f>Master_Data!E63</f>
        <v>1</v>
      </c>
      <c r="F63">
        <f>Master_Data!F63</f>
        <v>16</v>
      </c>
      <c r="G63" t="b">
        <f>Master_Data!G63</f>
        <v>0</v>
      </c>
      <c r="H63">
        <f>Master_Data!H63</f>
        <v>1</v>
      </c>
      <c r="I63">
        <f>Master_Data!I63</f>
        <v>1</v>
      </c>
      <c r="J63">
        <f>Master_Data!J63</f>
        <v>0.26</v>
      </c>
      <c r="K63">
        <f>Master_Data!K63</f>
        <v>0.2424</v>
      </c>
      <c r="L63">
        <f>Master_Data!L63</f>
        <v>0.3</v>
      </c>
      <c r="M63">
        <f>Master_Data!M63</f>
        <v>0.25369999999999998</v>
      </c>
      <c r="N63">
        <f>Master_Data!N63</f>
        <v>9</v>
      </c>
      <c r="O63">
        <f>Master_Data!O63</f>
        <v>67</v>
      </c>
      <c r="P63">
        <f>Master_Data!P63</f>
        <v>76</v>
      </c>
      <c r="Q63" t="str">
        <f t="shared" si="0"/>
        <v>2011</v>
      </c>
      <c r="R63" t="str">
        <f t="shared" si="1"/>
        <v>January</v>
      </c>
      <c r="S63" t="str">
        <f t="shared" si="2"/>
        <v>Weekday</v>
      </c>
      <c r="T63" t="str">
        <f t="shared" si="3"/>
        <v>Afternoon</v>
      </c>
      <c r="U63" t="str">
        <f t="shared" si="4"/>
        <v>Spring</v>
      </c>
      <c r="V63" t="str">
        <f t="shared" si="5"/>
        <v>Clear</v>
      </c>
    </row>
    <row r="64" spans="1:22">
      <c r="A64">
        <f>Master_Data!A64</f>
        <v>63</v>
      </c>
      <c r="B64">
        <f>Master_Data!B64</f>
        <v>40546</v>
      </c>
      <c r="C64">
        <f>Master_Data!C64</f>
        <v>1</v>
      </c>
      <c r="D64">
        <f>Master_Data!D64</f>
        <v>0</v>
      </c>
      <c r="E64">
        <f>Master_Data!E64</f>
        <v>1</v>
      </c>
      <c r="F64">
        <f>Master_Data!F64</f>
        <v>17</v>
      </c>
      <c r="G64" t="b">
        <f>Master_Data!G64</f>
        <v>0</v>
      </c>
      <c r="H64">
        <f>Master_Data!H64</f>
        <v>1</v>
      </c>
      <c r="I64">
        <f>Master_Data!I64</f>
        <v>1</v>
      </c>
      <c r="J64">
        <f>Master_Data!J64</f>
        <v>0.24</v>
      </c>
      <c r="K64">
        <f>Master_Data!K64</f>
        <v>0.2273</v>
      </c>
      <c r="L64">
        <f>Master_Data!L64</f>
        <v>0.3</v>
      </c>
      <c r="M64">
        <f>Master_Data!M64</f>
        <v>0.22389999999999999</v>
      </c>
      <c r="N64">
        <f>Master_Data!N64</f>
        <v>11</v>
      </c>
      <c r="O64">
        <f>Master_Data!O64</f>
        <v>146</v>
      </c>
      <c r="P64">
        <f>Master_Data!P64</f>
        <v>157</v>
      </c>
      <c r="Q64" t="str">
        <f t="shared" si="0"/>
        <v>2011</v>
      </c>
      <c r="R64" t="str">
        <f t="shared" si="1"/>
        <v>January</v>
      </c>
      <c r="S64" t="str">
        <f t="shared" si="2"/>
        <v>Weekday</v>
      </c>
      <c r="T64" t="str">
        <f t="shared" si="3"/>
        <v>Evening</v>
      </c>
      <c r="U64" t="str">
        <f t="shared" si="4"/>
        <v>Spring</v>
      </c>
      <c r="V64" t="str">
        <f t="shared" si="5"/>
        <v>Clear</v>
      </c>
    </row>
    <row r="65" spans="1:22">
      <c r="A65">
        <f>Master_Data!A65</f>
        <v>64</v>
      </c>
      <c r="B65">
        <f>Master_Data!B65</f>
        <v>40546</v>
      </c>
      <c r="C65">
        <f>Master_Data!C65</f>
        <v>1</v>
      </c>
      <c r="D65">
        <f>Master_Data!D65</f>
        <v>0</v>
      </c>
      <c r="E65">
        <f>Master_Data!E65</f>
        <v>1</v>
      </c>
      <c r="F65">
        <f>Master_Data!F65</f>
        <v>18</v>
      </c>
      <c r="G65" t="b">
        <f>Master_Data!G65</f>
        <v>0</v>
      </c>
      <c r="H65">
        <f>Master_Data!H65</f>
        <v>1</v>
      </c>
      <c r="I65">
        <f>Master_Data!I65</f>
        <v>1</v>
      </c>
      <c r="J65">
        <f>Master_Data!J65</f>
        <v>0.24</v>
      </c>
      <c r="K65">
        <f>Master_Data!K65</f>
        <v>0.2576</v>
      </c>
      <c r="L65">
        <f>Master_Data!L65</f>
        <v>0.32</v>
      </c>
      <c r="M65">
        <f>Master_Data!M65</f>
        <v>0.1045</v>
      </c>
      <c r="N65">
        <f>Master_Data!N65</f>
        <v>9</v>
      </c>
      <c r="O65">
        <f>Master_Data!O65</f>
        <v>148</v>
      </c>
      <c r="P65">
        <f>Master_Data!P65</f>
        <v>157</v>
      </c>
      <c r="Q65" t="str">
        <f t="shared" si="0"/>
        <v>2011</v>
      </c>
      <c r="R65" t="str">
        <f t="shared" si="1"/>
        <v>January</v>
      </c>
      <c r="S65" t="str">
        <f t="shared" si="2"/>
        <v>Weekday</v>
      </c>
      <c r="T65" t="str">
        <f t="shared" si="3"/>
        <v>Evening</v>
      </c>
      <c r="U65" t="str">
        <f t="shared" si="4"/>
        <v>Spring</v>
      </c>
      <c r="V65" t="str">
        <f t="shared" si="5"/>
        <v>Clear</v>
      </c>
    </row>
    <row r="66" spans="1:22">
      <c r="A66">
        <f>Master_Data!A66</f>
        <v>65</v>
      </c>
      <c r="B66">
        <f>Master_Data!B66</f>
        <v>40546</v>
      </c>
      <c r="C66">
        <f>Master_Data!C66</f>
        <v>1</v>
      </c>
      <c r="D66">
        <f>Master_Data!D66</f>
        <v>0</v>
      </c>
      <c r="E66">
        <f>Master_Data!E66</f>
        <v>1</v>
      </c>
      <c r="F66">
        <f>Master_Data!F66</f>
        <v>19</v>
      </c>
      <c r="G66" t="b">
        <f>Master_Data!G66</f>
        <v>0</v>
      </c>
      <c r="H66">
        <f>Master_Data!H66</f>
        <v>1</v>
      </c>
      <c r="I66">
        <f>Master_Data!I66</f>
        <v>1</v>
      </c>
      <c r="J66">
        <f>Master_Data!J66</f>
        <v>0.2</v>
      </c>
      <c r="K66">
        <f>Master_Data!K66</f>
        <v>0.2576</v>
      </c>
      <c r="L66">
        <f>Master_Data!L66</f>
        <v>0.47</v>
      </c>
      <c r="M66">
        <f>Master_Data!M66</f>
        <v>0</v>
      </c>
      <c r="N66">
        <f>Master_Data!N66</f>
        <v>8</v>
      </c>
      <c r="O66">
        <f>Master_Data!O66</f>
        <v>102</v>
      </c>
      <c r="P66">
        <f>Master_Data!P66</f>
        <v>110</v>
      </c>
      <c r="Q66" t="str">
        <f t="shared" ref="Q66:Q129" si="6">IF(D66=0,"2011","2012")</f>
        <v>2011</v>
      </c>
      <c r="R66" t="str">
        <f t="shared" ref="R66:R129" si="7">TEXT(B66,"mmmm")</f>
        <v>January</v>
      </c>
      <c r="S66" t="str">
        <f t="shared" ref="S66:S129" si="8">IF(G66=TRUE,"Holiday",IF(H66=0,"Sunday",IF(H66=6,"Saturday","Weekday")))</f>
        <v>Weekday</v>
      </c>
      <c r="T66" t="str">
        <f t="shared" ref="T66:T129" si="9">IF(F66&lt;6,"Night",IF(F66&lt;12,"Morning",IF(F66&lt;17,"Afternoon",IF(F66&lt;21,"Evening","Night"))))</f>
        <v>Evening</v>
      </c>
      <c r="U66" t="str">
        <f t="shared" ref="U66:U129" si="10">CHOOSE(C66,"Spring","Summer","Fall","Winter")</f>
        <v>Spring</v>
      </c>
      <c r="V66" t="str">
        <f t="shared" ref="V66:V129" si="11">CHOOSE(I66,"Clear","Mist/Cloudy","Light Rain/Snow","Heavy Rain/Snow")</f>
        <v>Clear</v>
      </c>
    </row>
    <row r="67" spans="1:22">
      <c r="A67">
        <f>Master_Data!A67</f>
        <v>66</v>
      </c>
      <c r="B67">
        <f>Master_Data!B67</f>
        <v>40546</v>
      </c>
      <c r="C67">
        <f>Master_Data!C67</f>
        <v>1</v>
      </c>
      <c r="D67">
        <f>Master_Data!D67</f>
        <v>0</v>
      </c>
      <c r="E67">
        <f>Master_Data!E67</f>
        <v>1</v>
      </c>
      <c r="F67">
        <f>Master_Data!F67</f>
        <v>20</v>
      </c>
      <c r="G67" t="b">
        <f>Master_Data!G67</f>
        <v>0</v>
      </c>
      <c r="H67">
        <f>Master_Data!H67</f>
        <v>1</v>
      </c>
      <c r="I67">
        <f>Master_Data!I67</f>
        <v>1</v>
      </c>
      <c r="J67">
        <f>Master_Data!J67</f>
        <v>0.2</v>
      </c>
      <c r="K67">
        <f>Master_Data!K67</f>
        <v>0</v>
      </c>
      <c r="L67">
        <f>Master_Data!L67</f>
        <v>0.47</v>
      </c>
      <c r="M67">
        <f>Master_Data!M67</f>
        <v>0.1045</v>
      </c>
      <c r="N67">
        <f>Master_Data!N67</f>
        <v>3</v>
      </c>
      <c r="O67">
        <f>Master_Data!O67</f>
        <v>49</v>
      </c>
      <c r="P67">
        <f>Master_Data!P67</f>
        <v>52</v>
      </c>
      <c r="Q67" t="str">
        <f t="shared" si="6"/>
        <v>2011</v>
      </c>
      <c r="R67" t="str">
        <f t="shared" si="7"/>
        <v>January</v>
      </c>
      <c r="S67" t="str">
        <f t="shared" si="8"/>
        <v>Weekday</v>
      </c>
      <c r="T67" t="str">
        <f t="shared" si="9"/>
        <v>Evening</v>
      </c>
      <c r="U67" t="str">
        <f t="shared" si="10"/>
        <v>Spring</v>
      </c>
      <c r="V67" t="str">
        <f t="shared" si="11"/>
        <v>Clear</v>
      </c>
    </row>
    <row r="68" spans="1:22">
      <c r="A68">
        <f>Master_Data!A68</f>
        <v>67</v>
      </c>
      <c r="B68">
        <f>Master_Data!B68</f>
        <v>40546</v>
      </c>
      <c r="C68">
        <f>Master_Data!C68</f>
        <v>1</v>
      </c>
      <c r="D68">
        <f>Master_Data!D68</f>
        <v>0</v>
      </c>
      <c r="E68">
        <f>Master_Data!E68</f>
        <v>1</v>
      </c>
      <c r="F68">
        <f>Master_Data!F68</f>
        <v>21</v>
      </c>
      <c r="G68" t="b">
        <f>Master_Data!G68</f>
        <v>0</v>
      </c>
      <c r="H68">
        <f>Master_Data!H68</f>
        <v>1</v>
      </c>
      <c r="I68">
        <f>Master_Data!I68</f>
        <v>1</v>
      </c>
      <c r="J68">
        <f>Master_Data!J68</f>
        <v>0.18</v>
      </c>
      <c r="K68">
        <f>Master_Data!K68</f>
        <v>0.19700000000000001</v>
      </c>
      <c r="L68">
        <f>Master_Data!L68</f>
        <v>0.64</v>
      </c>
      <c r="M68">
        <f>Master_Data!M68</f>
        <v>0.1343</v>
      </c>
      <c r="N68">
        <f>Master_Data!N68</f>
        <v>3</v>
      </c>
      <c r="O68">
        <f>Master_Data!O68</f>
        <v>49</v>
      </c>
      <c r="P68">
        <f>Master_Data!P68</f>
        <v>52</v>
      </c>
      <c r="Q68" t="str">
        <f t="shared" si="6"/>
        <v>2011</v>
      </c>
      <c r="R68" t="str">
        <f t="shared" si="7"/>
        <v>January</v>
      </c>
      <c r="S68" t="str">
        <f t="shared" si="8"/>
        <v>Weekday</v>
      </c>
      <c r="T68" t="str">
        <f t="shared" si="9"/>
        <v>Night</v>
      </c>
      <c r="U68" t="str">
        <f t="shared" si="10"/>
        <v>Spring</v>
      </c>
      <c r="V68" t="str">
        <f t="shared" si="11"/>
        <v>Clear</v>
      </c>
    </row>
    <row r="69" spans="1:22">
      <c r="A69">
        <f>Master_Data!A69</f>
        <v>68</v>
      </c>
      <c r="B69">
        <f>Master_Data!B69</f>
        <v>40546</v>
      </c>
      <c r="C69">
        <f>Master_Data!C69</f>
        <v>1</v>
      </c>
      <c r="D69">
        <f>Master_Data!D69</f>
        <v>0</v>
      </c>
      <c r="E69">
        <f>Master_Data!E69</f>
        <v>1</v>
      </c>
      <c r="F69">
        <f>Master_Data!F69</f>
        <v>22</v>
      </c>
      <c r="G69" t="b">
        <f>Master_Data!G69</f>
        <v>0</v>
      </c>
      <c r="H69">
        <f>Master_Data!H69</f>
        <v>1</v>
      </c>
      <c r="I69">
        <f>Master_Data!I69</f>
        <v>1</v>
      </c>
      <c r="J69">
        <f>Master_Data!J69</f>
        <v>0.14000000000000001</v>
      </c>
      <c r="K69">
        <f>Master_Data!K69</f>
        <v>0.1515</v>
      </c>
      <c r="L69">
        <f>Master_Data!L69</f>
        <v>0.69</v>
      </c>
      <c r="M69">
        <f>Master_Data!M69</f>
        <v>0.1343</v>
      </c>
      <c r="N69">
        <f>Master_Data!N69</f>
        <v>0</v>
      </c>
      <c r="O69">
        <f>Master_Data!O69</f>
        <v>20</v>
      </c>
      <c r="P69">
        <f>Master_Data!P69</f>
        <v>20</v>
      </c>
      <c r="Q69" t="str">
        <f t="shared" si="6"/>
        <v>2011</v>
      </c>
      <c r="R69" t="str">
        <f t="shared" si="7"/>
        <v>January</v>
      </c>
      <c r="S69" t="str">
        <f t="shared" si="8"/>
        <v>Weekday</v>
      </c>
      <c r="T69" t="str">
        <f t="shared" si="9"/>
        <v>Night</v>
      </c>
      <c r="U69" t="str">
        <f t="shared" si="10"/>
        <v>Spring</v>
      </c>
      <c r="V69" t="str">
        <f t="shared" si="11"/>
        <v>Clear</v>
      </c>
    </row>
    <row r="70" spans="1:22">
      <c r="A70">
        <f>Master_Data!A70</f>
        <v>69</v>
      </c>
      <c r="B70">
        <f>Master_Data!B70</f>
        <v>40546</v>
      </c>
      <c r="C70">
        <f>Master_Data!C70</f>
        <v>1</v>
      </c>
      <c r="D70">
        <f>Master_Data!D70</f>
        <v>0</v>
      </c>
      <c r="E70">
        <f>Master_Data!E70</f>
        <v>1</v>
      </c>
      <c r="F70">
        <f>Master_Data!F70</f>
        <v>23</v>
      </c>
      <c r="G70" t="b">
        <f>Master_Data!G70</f>
        <v>0</v>
      </c>
      <c r="H70">
        <f>Master_Data!H70</f>
        <v>1</v>
      </c>
      <c r="I70">
        <f>Master_Data!I70</f>
        <v>1</v>
      </c>
      <c r="J70">
        <f>Master_Data!J70</f>
        <v>0.18</v>
      </c>
      <c r="K70">
        <f>Master_Data!K70</f>
        <v>0.21210000000000001</v>
      </c>
      <c r="L70">
        <f>Master_Data!L70</f>
        <v>0.55000000000000004</v>
      </c>
      <c r="M70">
        <f>Master_Data!M70</f>
        <v>0.1045</v>
      </c>
      <c r="N70">
        <f>Master_Data!N70</f>
        <v>1</v>
      </c>
      <c r="O70">
        <f>Master_Data!O70</f>
        <v>11</v>
      </c>
      <c r="P70">
        <f>Master_Data!P70</f>
        <v>12</v>
      </c>
      <c r="Q70" t="str">
        <f t="shared" si="6"/>
        <v>2011</v>
      </c>
      <c r="R70" t="str">
        <f t="shared" si="7"/>
        <v>January</v>
      </c>
      <c r="S70" t="str">
        <f t="shared" si="8"/>
        <v>Weekday</v>
      </c>
      <c r="T70" t="str">
        <f t="shared" si="9"/>
        <v>Night</v>
      </c>
      <c r="U70" t="str">
        <f t="shared" si="10"/>
        <v>Spring</v>
      </c>
      <c r="V70" t="str">
        <f t="shared" si="11"/>
        <v>Clear</v>
      </c>
    </row>
    <row r="71" spans="1:22">
      <c r="A71">
        <f>Master_Data!A71</f>
        <v>70</v>
      </c>
      <c r="B71">
        <f>Master_Data!B71</f>
        <v>40547</v>
      </c>
      <c r="C71">
        <f>Master_Data!C71</f>
        <v>1</v>
      </c>
      <c r="D71">
        <f>Master_Data!D71</f>
        <v>0</v>
      </c>
      <c r="E71">
        <f>Master_Data!E71</f>
        <v>1</v>
      </c>
      <c r="F71">
        <f>Master_Data!F71</f>
        <v>0</v>
      </c>
      <c r="G71" t="b">
        <f>Master_Data!G71</f>
        <v>0</v>
      </c>
      <c r="H71">
        <f>Master_Data!H71</f>
        <v>2</v>
      </c>
      <c r="I71">
        <f>Master_Data!I71</f>
        <v>1</v>
      </c>
      <c r="J71">
        <f>Master_Data!J71</f>
        <v>0.16</v>
      </c>
      <c r="K71">
        <f>Master_Data!K71</f>
        <v>0</v>
      </c>
      <c r="L71">
        <f>Master_Data!L71</f>
        <v>0.55000000000000004</v>
      </c>
      <c r="M71">
        <f>Master_Data!M71</f>
        <v>0.1045</v>
      </c>
      <c r="N71">
        <f>Master_Data!N71</f>
        <v>0</v>
      </c>
      <c r="O71">
        <f>Master_Data!O71</f>
        <v>5</v>
      </c>
      <c r="P71">
        <f>Master_Data!P71</f>
        <v>5</v>
      </c>
      <c r="Q71" t="str">
        <f t="shared" si="6"/>
        <v>2011</v>
      </c>
      <c r="R71" t="str">
        <f t="shared" si="7"/>
        <v>January</v>
      </c>
      <c r="S71" t="str">
        <f t="shared" si="8"/>
        <v>Weekday</v>
      </c>
      <c r="T71" t="str">
        <f t="shared" si="9"/>
        <v>Night</v>
      </c>
      <c r="U71" t="str">
        <f t="shared" si="10"/>
        <v>Spring</v>
      </c>
      <c r="V71" t="str">
        <f t="shared" si="11"/>
        <v>Clear</v>
      </c>
    </row>
    <row r="72" spans="1:22">
      <c r="A72">
        <f>Master_Data!A72</f>
        <v>71</v>
      </c>
      <c r="B72">
        <f>Master_Data!B72</f>
        <v>40547</v>
      </c>
      <c r="C72">
        <f>Master_Data!C72</f>
        <v>1</v>
      </c>
      <c r="D72">
        <f>Master_Data!D72</f>
        <v>0</v>
      </c>
      <c r="E72">
        <f>Master_Data!E72</f>
        <v>1</v>
      </c>
      <c r="F72">
        <f>Master_Data!F72</f>
        <v>1</v>
      </c>
      <c r="G72" t="b">
        <f>Master_Data!G72</f>
        <v>0</v>
      </c>
      <c r="H72">
        <f>Master_Data!H72</f>
        <v>2</v>
      </c>
      <c r="I72">
        <f>Master_Data!I72</f>
        <v>1</v>
      </c>
      <c r="J72">
        <f>Master_Data!J72</f>
        <v>0.16</v>
      </c>
      <c r="K72">
        <f>Master_Data!K72</f>
        <v>0.18179999999999999</v>
      </c>
      <c r="L72">
        <f>Master_Data!L72</f>
        <v>0.59</v>
      </c>
      <c r="M72">
        <f>Master_Data!M72</f>
        <v>0.1045</v>
      </c>
      <c r="N72">
        <f>Master_Data!N72</f>
        <v>0</v>
      </c>
      <c r="O72">
        <f>Master_Data!O72</f>
        <v>2</v>
      </c>
      <c r="P72">
        <f>Master_Data!P72</f>
        <v>2</v>
      </c>
      <c r="Q72" t="str">
        <f t="shared" si="6"/>
        <v>2011</v>
      </c>
      <c r="R72" t="str">
        <f t="shared" si="7"/>
        <v>January</v>
      </c>
      <c r="S72" t="str">
        <f t="shared" si="8"/>
        <v>Weekday</v>
      </c>
      <c r="T72" t="str">
        <f t="shared" si="9"/>
        <v>Night</v>
      </c>
      <c r="U72" t="str">
        <f t="shared" si="10"/>
        <v>Spring</v>
      </c>
      <c r="V72" t="str">
        <f t="shared" si="11"/>
        <v>Clear</v>
      </c>
    </row>
    <row r="73" spans="1:22">
      <c r="A73">
        <f>Master_Data!A73</f>
        <v>72</v>
      </c>
      <c r="B73">
        <f>Master_Data!B73</f>
        <v>40547</v>
      </c>
      <c r="C73">
        <f>Master_Data!C73</f>
        <v>1</v>
      </c>
      <c r="D73">
        <f>Master_Data!D73</f>
        <v>0</v>
      </c>
      <c r="E73">
        <f>Master_Data!E73</f>
        <v>1</v>
      </c>
      <c r="F73">
        <f>Master_Data!F73</f>
        <v>2</v>
      </c>
      <c r="G73" t="b">
        <f>Master_Data!G73</f>
        <v>0</v>
      </c>
      <c r="H73">
        <f>Master_Data!H73</f>
        <v>2</v>
      </c>
      <c r="I73">
        <f>Master_Data!I73</f>
        <v>1</v>
      </c>
      <c r="J73">
        <f>Master_Data!J73</f>
        <v>0.14000000000000001</v>
      </c>
      <c r="K73">
        <f>Master_Data!K73</f>
        <v>0.1515</v>
      </c>
      <c r="L73">
        <f>Master_Data!L73</f>
        <v>0.63</v>
      </c>
      <c r="M73">
        <f>Master_Data!M73</f>
        <v>0.1343</v>
      </c>
      <c r="N73">
        <f>Master_Data!N73</f>
        <v>0</v>
      </c>
      <c r="O73">
        <f>Master_Data!O73</f>
        <v>1</v>
      </c>
      <c r="P73">
        <f>Master_Data!P73</f>
        <v>1</v>
      </c>
      <c r="Q73" t="str">
        <f t="shared" si="6"/>
        <v>2011</v>
      </c>
      <c r="R73" t="str">
        <f t="shared" si="7"/>
        <v>January</v>
      </c>
      <c r="S73" t="str">
        <f t="shared" si="8"/>
        <v>Weekday</v>
      </c>
      <c r="T73" t="str">
        <f t="shared" si="9"/>
        <v>Night</v>
      </c>
      <c r="U73" t="str">
        <f t="shared" si="10"/>
        <v>Spring</v>
      </c>
      <c r="V73" t="str">
        <f t="shared" si="11"/>
        <v>Clear</v>
      </c>
    </row>
    <row r="74" spans="1:22">
      <c r="A74">
        <f>Master_Data!A74</f>
        <v>73</v>
      </c>
      <c r="B74">
        <f>Master_Data!B74</f>
        <v>40547</v>
      </c>
      <c r="C74">
        <f>Master_Data!C74</f>
        <v>1</v>
      </c>
      <c r="D74">
        <f>Master_Data!D74</f>
        <v>0</v>
      </c>
      <c r="E74">
        <f>Master_Data!E74</f>
        <v>1</v>
      </c>
      <c r="F74">
        <f>Master_Data!F74</f>
        <v>4</v>
      </c>
      <c r="G74" t="b">
        <f>Master_Data!G74</f>
        <v>0</v>
      </c>
      <c r="H74">
        <f>Master_Data!H74</f>
        <v>2</v>
      </c>
      <c r="I74">
        <f>Master_Data!I74</f>
        <v>1</v>
      </c>
      <c r="J74">
        <f>Master_Data!J74</f>
        <v>0.14000000000000001</v>
      </c>
      <c r="K74">
        <f>Master_Data!K74</f>
        <v>0.18179999999999999</v>
      </c>
      <c r="L74">
        <f>Master_Data!L74</f>
        <v>0.63</v>
      </c>
      <c r="M74">
        <f>Master_Data!M74</f>
        <v>8.9599999999999999E-2</v>
      </c>
      <c r="N74">
        <f>Master_Data!N74</f>
        <v>0</v>
      </c>
      <c r="O74">
        <f>Master_Data!O74</f>
        <v>2</v>
      </c>
      <c r="P74">
        <f>Master_Data!P74</f>
        <v>2</v>
      </c>
      <c r="Q74" t="str">
        <f t="shared" si="6"/>
        <v>2011</v>
      </c>
      <c r="R74" t="str">
        <f t="shared" si="7"/>
        <v>January</v>
      </c>
      <c r="S74" t="str">
        <f t="shared" si="8"/>
        <v>Weekday</v>
      </c>
      <c r="T74" t="str">
        <f t="shared" si="9"/>
        <v>Night</v>
      </c>
      <c r="U74" t="str">
        <f t="shared" si="10"/>
        <v>Spring</v>
      </c>
      <c r="V74" t="str">
        <f t="shared" si="11"/>
        <v>Clear</v>
      </c>
    </row>
    <row r="75" spans="1:22">
      <c r="A75">
        <f>Master_Data!A75</f>
        <v>74</v>
      </c>
      <c r="B75">
        <f>Master_Data!B75</f>
        <v>40547</v>
      </c>
      <c r="C75">
        <f>Master_Data!C75</f>
        <v>1</v>
      </c>
      <c r="D75">
        <f>Master_Data!D75</f>
        <v>0</v>
      </c>
      <c r="E75">
        <f>Master_Data!E75</f>
        <v>1</v>
      </c>
      <c r="F75">
        <f>Master_Data!F75</f>
        <v>5</v>
      </c>
      <c r="G75" t="b">
        <f>Master_Data!G75</f>
        <v>0</v>
      </c>
      <c r="H75">
        <f>Master_Data!H75</f>
        <v>2</v>
      </c>
      <c r="I75">
        <f>Master_Data!I75</f>
        <v>1</v>
      </c>
      <c r="J75">
        <f>Master_Data!J75</f>
        <v>0.12</v>
      </c>
      <c r="K75">
        <f>Master_Data!K75</f>
        <v>0.1515</v>
      </c>
      <c r="L75">
        <f>Master_Data!L75</f>
        <v>0.68</v>
      </c>
      <c r="M75">
        <f>Master_Data!M75</f>
        <v>0.1045</v>
      </c>
      <c r="N75">
        <f>Master_Data!N75</f>
        <v>0</v>
      </c>
      <c r="O75">
        <f>Master_Data!O75</f>
        <v>4</v>
      </c>
      <c r="P75">
        <f>Master_Data!P75</f>
        <v>4</v>
      </c>
      <c r="Q75" t="str">
        <f t="shared" si="6"/>
        <v>2011</v>
      </c>
      <c r="R75" t="str">
        <f t="shared" si="7"/>
        <v>January</v>
      </c>
      <c r="S75" t="str">
        <f t="shared" si="8"/>
        <v>Weekday</v>
      </c>
      <c r="T75" t="str">
        <f t="shared" si="9"/>
        <v>Night</v>
      </c>
      <c r="U75" t="str">
        <f t="shared" si="10"/>
        <v>Spring</v>
      </c>
      <c r="V75" t="str">
        <f t="shared" si="11"/>
        <v>Clear</v>
      </c>
    </row>
    <row r="76" spans="1:22">
      <c r="A76">
        <f>Master_Data!A76</f>
        <v>75</v>
      </c>
      <c r="B76">
        <f>Master_Data!B76</f>
        <v>40547</v>
      </c>
      <c r="C76">
        <f>Master_Data!C76</f>
        <v>1</v>
      </c>
      <c r="D76">
        <f>Master_Data!D76</f>
        <v>0</v>
      </c>
      <c r="E76">
        <f>Master_Data!E76</f>
        <v>1</v>
      </c>
      <c r="F76">
        <f>Master_Data!F76</f>
        <v>6</v>
      </c>
      <c r="G76" t="b">
        <f>Master_Data!G76</f>
        <v>0</v>
      </c>
      <c r="H76">
        <f>Master_Data!H76</f>
        <v>2</v>
      </c>
      <c r="I76">
        <f>Master_Data!I76</f>
        <v>1</v>
      </c>
      <c r="J76">
        <f>Master_Data!J76</f>
        <v>0.12</v>
      </c>
      <c r="K76">
        <f>Master_Data!K76</f>
        <v>0.1515</v>
      </c>
      <c r="L76">
        <f>Master_Data!L76</f>
        <v>0.74</v>
      </c>
      <c r="M76">
        <f>Master_Data!M76</f>
        <v>0.1045</v>
      </c>
      <c r="N76">
        <f>Master_Data!N76</f>
        <v>0</v>
      </c>
      <c r="O76">
        <f>Master_Data!O76</f>
        <v>36</v>
      </c>
      <c r="P76">
        <f>Master_Data!P76</f>
        <v>36</v>
      </c>
      <c r="Q76" t="str">
        <f t="shared" si="6"/>
        <v>2011</v>
      </c>
      <c r="R76" t="str">
        <f t="shared" si="7"/>
        <v>January</v>
      </c>
      <c r="S76" t="str">
        <f t="shared" si="8"/>
        <v>Weekday</v>
      </c>
      <c r="T76" t="str">
        <f t="shared" si="9"/>
        <v>Morning</v>
      </c>
      <c r="U76" t="str">
        <f t="shared" si="10"/>
        <v>Spring</v>
      </c>
      <c r="V76" t="str">
        <f t="shared" si="11"/>
        <v>Clear</v>
      </c>
    </row>
    <row r="77" spans="1:22">
      <c r="A77">
        <f>Master_Data!A77</f>
        <v>76</v>
      </c>
      <c r="B77">
        <f>Master_Data!B77</f>
        <v>40547</v>
      </c>
      <c r="C77">
        <f>Master_Data!C77</f>
        <v>1</v>
      </c>
      <c r="D77">
        <f>Master_Data!D77</f>
        <v>0</v>
      </c>
      <c r="E77">
        <f>Master_Data!E77</f>
        <v>1</v>
      </c>
      <c r="F77">
        <f>Master_Data!F77</f>
        <v>7</v>
      </c>
      <c r="G77" t="b">
        <f>Master_Data!G77</f>
        <v>0</v>
      </c>
      <c r="H77">
        <f>Master_Data!H77</f>
        <v>2</v>
      </c>
      <c r="I77">
        <f>Master_Data!I77</f>
        <v>1</v>
      </c>
      <c r="J77">
        <f>Master_Data!J77</f>
        <v>0.12</v>
      </c>
      <c r="K77">
        <f>Master_Data!K77</f>
        <v>0.1515</v>
      </c>
      <c r="L77">
        <f>Master_Data!L77</f>
        <v>0.74</v>
      </c>
      <c r="M77">
        <f>Master_Data!M77</f>
        <v>0.1343</v>
      </c>
      <c r="N77">
        <f>Master_Data!N77</f>
        <v>2</v>
      </c>
      <c r="O77">
        <f>Master_Data!O77</f>
        <v>92</v>
      </c>
      <c r="P77">
        <f>Master_Data!P77</f>
        <v>94</v>
      </c>
      <c r="Q77" t="str">
        <f t="shared" si="6"/>
        <v>2011</v>
      </c>
      <c r="R77" t="str">
        <f t="shared" si="7"/>
        <v>January</v>
      </c>
      <c r="S77" t="str">
        <f t="shared" si="8"/>
        <v>Weekday</v>
      </c>
      <c r="T77" t="str">
        <f t="shared" si="9"/>
        <v>Morning</v>
      </c>
      <c r="U77" t="str">
        <f t="shared" si="10"/>
        <v>Spring</v>
      </c>
      <c r="V77" t="str">
        <f t="shared" si="11"/>
        <v>Clear</v>
      </c>
    </row>
    <row r="78" spans="1:22">
      <c r="A78">
        <f>Master_Data!A78</f>
        <v>77</v>
      </c>
      <c r="B78">
        <f>Master_Data!B78</f>
        <v>40547</v>
      </c>
      <c r="C78">
        <f>Master_Data!C78</f>
        <v>1</v>
      </c>
      <c r="D78">
        <f>Master_Data!D78</f>
        <v>0</v>
      </c>
      <c r="E78">
        <f>Master_Data!E78</f>
        <v>1</v>
      </c>
      <c r="F78">
        <f>Master_Data!F78</f>
        <v>8</v>
      </c>
      <c r="G78" t="b">
        <f>Master_Data!G78</f>
        <v>0</v>
      </c>
      <c r="H78">
        <f>Master_Data!H78</f>
        <v>2</v>
      </c>
      <c r="I78">
        <f>Master_Data!I78</f>
        <v>1</v>
      </c>
      <c r="J78">
        <f>Master_Data!J78</f>
        <v>0.14000000000000001</v>
      </c>
      <c r="K78">
        <f>Master_Data!K78</f>
        <v>0.1515</v>
      </c>
      <c r="L78">
        <f>Master_Data!L78</f>
        <v>0.69</v>
      </c>
      <c r="M78">
        <f>Master_Data!M78</f>
        <v>0.16420000000000001</v>
      </c>
      <c r="N78">
        <f>Master_Data!N78</f>
        <v>2</v>
      </c>
      <c r="O78">
        <f>Master_Data!O78</f>
        <v>177</v>
      </c>
      <c r="P78">
        <f>Master_Data!P78</f>
        <v>179</v>
      </c>
      <c r="Q78" t="str">
        <f t="shared" si="6"/>
        <v>2011</v>
      </c>
      <c r="R78" t="str">
        <f t="shared" si="7"/>
        <v>January</v>
      </c>
      <c r="S78" t="str">
        <f t="shared" si="8"/>
        <v>Weekday</v>
      </c>
      <c r="T78" t="str">
        <f t="shared" si="9"/>
        <v>Morning</v>
      </c>
      <c r="U78" t="str">
        <f t="shared" si="10"/>
        <v>Spring</v>
      </c>
      <c r="V78" t="str">
        <f t="shared" si="11"/>
        <v>Clear</v>
      </c>
    </row>
    <row r="79" spans="1:22">
      <c r="A79">
        <f>Master_Data!A79</f>
        <v>78</v>
      </c>
      <c r="B79">
        <f>Master_Data!B79</f>
        <v>40547</v>
      </c>
      <c r="C79">
        <f>Master_Data!C79</f>
        <v>1</v>
      </c>
      <c r="D79">
        <f>Master_Data!D79</f>
        <v>0</v>
      </c>
      <c r="E79">
        <f>Master_Data!E79</f>
        <v>1</v>
      </c>
      <c r="F79">
        <f>Master_Data!F79</f>
        <v>9</v>
      </c>
      <c r="G79" t="b">
        <f>Master_Data!G79</f>
        <v>0</v>
      </c>
      <c r="H79">
        <f>Master_Data!H79</f>
        <v>2</v>
      </c>
      <c r="I79">
        <f>Master_Data!I79</f>
        <v>1</v>
      </c>
      <c r="J79">
        <f>Master_Data!J79</f>
        <v>0.16</v>
      </c>
      <c r="K79">
        <f>Master_Data!K79</f>
        <v>0.1515</v>
      </c>
      <c r="L79">
        <f>Master_Data!L79</f>
        <v>0.64</v>
      </c>
      <c r="M79">
        <f>Master_Data!M79</f>
        <v>0.22389999999999999</v>
      </c>
      <c r="N79">
        <f>Master_Data!N79</f>
        <v>2</v>
      </c>
      <c r="O79">
        <f>Master_Data!O79</f>
        <v>98</v>
      </c>
      <c r="P79">
        <f>Master_Data!P79</f>
        <v>100</v>
      </c>
      <c r="Q79" t="str">
        <f t="shared" si="6"/>
        <v>2011</v>
      </c>
      <c r="R79" t="str">
        <f t="shared" si="7"/>
        <v>January</v>
      </c>
      <c r="S79" t="str">
        <f t="shared" si="8"/>
        <v>Weekday</v>
      </c>
      <c r="T79" t="str">
        <f t="shared" si="9"/>
        <v>Morning</v>
      </c>
      <c r="U79" t="str">
        <f t="shared" si="10"/>
        <v>Spring</v>
      </c>
      <c r="V79" t="str">
        <f t="shared" si="11"/>
        <v>Clear</v>
      </c>
    </row>
    <row r="80" spans="1:22">
      <c r="A80">
        <f>Master_Data!A80</f>
        <v>79</v>
      </c>
      <c r="B80">
        <f>Master_Data!B80</f>
        <v>40547</v>
      </c>
      <c r="C80">
        <f>Master_Data!C80</f>
        <v>1</v>
      </c>
      <c r="D80">
        <f>Master_Data!D80</f>
        <v>0</v>
      </c>
      <c r="E80">
        <f>Master_Data!E80</f>
        <v>1</v>
      </c>
      <c r="F80">
        <f>Master_Data!F80</f>
        <v>10</v>
      </c>
      <c r="G80" t="b">
        <f>Master_Data!G80</f>
        <v>0</v>
      </c>
      <c r="H80">
        <f>Master_Data!H80</f>
        <v>2</v>
      </c>
      <c r="I80">
        <f>Master_Data!I80</f>
        <v>2</v>
      </c>
      <c r="J80">
        <f>Master_Data!J80</f>
        <v>0.16</v>
      </c>
      <c r="K80">
        <f>Master_Data!K80</f>
        <v>0.13639999999999999</v>
      </c>
      <c r="L80">
        <f>Master_Data!L80</f>
        <v>0.69</v>
      </c>
      <c r="M80">
        <f>Master_Data!M80</f>
        <v>0.32840000000000003</v>
      </c>
      <c r="N80">
        <f>Master_Data!N80</f>
        <v>5</v>
      </c>
      <c r="O80">
        <f>Master_Data!O80</f>
        <v>37</v>
      </c>
      <c r="P80">
        <f>Master_Data!P80</f>
        <v>42</v>
      </c>
      <c r="Q80" t="str">
        <f t="shared" si="6"/>
        <v>2011</v>
      </c>
      <c r="R80" t="str">
        <f t="shared" si="7"/>
        <v>January</v>
      </c>
      <c r="S80" t="str">
        <f t="shared" si="8"/>
        <v>Weekday</v>
      </c>
      <c r="T80" t="str">
        <f t="shared" si="9"/>
        <v>Morning</v>
      </c>
      <c r="U80" t="str">
        <f t="shared" si="10"/>
        <v>Spring</v>
      </c>
      <c r="V80" t="str">
        <f t="shared" si="11"/>
        <v>Mist/Cloudy</v>
      </c>
    </row>
    <row r="81" spans="1:22">
      <c r="A81">
        <f>Master_Data!A81</f>
        <v>80</v>
      </c>
      <c r="B81">
        <f>Master_Data!B81</f>
        <v>40547</v>
      </c>
      <c r="C81">
        <f>Master_Data!C81</f>
        <v>1</v>
      </c>
      <c r="D81">
        <f>Master_Data!D81</f>
        <v>0</v>
      </c>
      <c r="E81">
        <f>Master_Data!E81</f>
        <v>1</v>
      </c>
      <c r="F81">
        <f>Master_Data!F81</f>
        <v>11</v>
      </c>
      <c r="G81" t="b">
        <f>Master_Data!G81</f>
        <v>0</v>
      </c>
      <c r="H81">
        <f>Master_Data!H81</f>
        <v>2</v>
      </c>
      <c r="I81">
        <f>Master_Data!I81</f>
        <v>1</v>
      </c>
      <c r="J81">
        <f>Master_Data!J81</f>
        <v>0.22</v>
      </c>
      <c r="K81">
        <f>Master_Data!K81</f>
        <v>0.21210000000000001</v>
      </c>
      <c r="L81">
        <f>Master_Data!L81</f>
        <v>0.51</v>
      </c>
      <c r="M81">
        <f>Master_Data!M81</f>
        <v>0.29849999999999999</v>
      </c>
      <c r="N81">
        <f>Master_Data!N81</f>
        <v>7</v>
      </c>
      <c r="O81">
        <f>Master_Data!O81</f>
        <v>50</v>
      </c>
      <c r="P81">
        <f>Master_Data!P81</f>
        <v>57</v>
      </c>
      <c r="Q81" t="str">
        <f t="shared" si="6"/>
        <v>2011</v>
      </c>
      <c r="R81" t="str">
        <f t="shared" si="7"/>
        <v>January</v>
      </c>
      <c r="S81" t="str">
        <f t="shared" si="8"/>
        <v>Weekday</v>
      </c>
      <c r="T81" t="str">
        <f t="shared" si="9"/>
        <v>Morning</v>
      </c>
      <c r="U81" t="str">
        <f t="shared" si="10"/>
        <v>Spring</v>
      </c>
      <c r="V81" t="str">
        <f t="shared" si="11"/>
        <v>Clear</v>
      </c>
    </row>
    <row r="82" spans="1:22">
      <c r="A82">
        <f>Master_Data!A82</f>
        <v>81</v>
      </c>
      <c r="B82">
        <f>Master_Data!B82</f>
        <v>40547</v>
      </c>
      <c r="C82">
        <f>Master_Data!C82</f>
        <v>1</v>
      </c>
      <c r="D82">
        <f>Master_Data!D82</f>
        <v>0</v>
      </c>
      <c r="E82">
        <f>Master_Data!E82</f>
        <v>1</v>
      </c>
      <c r="F82">
        <f>Master_Data!F82</f>
        <v>12</v>
      </c>
      <c r="G82" t="b">
        <f>Master_Data!G82</f>
        <v>0</v>
      </c>
      <c r="H82">
        <f>Master_Data!H82</f>
        <v>2</v>
      </c>
      <c r="I82">
        <f>Master_Data!I82</f>
        <v>1</v>
      </c>
      <c r="J82">
        <f>Master_Data!J82</f>
        <v>0.22</v>
      </c>
      <c r="K82">
        <f>Master_Data!K82</f>
        <v>0.2273</v>
      </c>
      <c r="L82">
        <f>Master_Data!L82</f>
        <v>0.51</v>
      </c>
      <c r="M82">
        <f>Master_Data!M82</f>
        <v>0.16420000000000001</v>
      </c>
      <c r="N82">
        <f>Master_Data!N82</f>
        <v>12</v>
      </c>
      <c r="O82">
        <f>Master_Data!O82</f>
        <v>66</v>
      </c>
      <c r="P82">
        <f>Master_Data!P82</f>
        <v>78</v>
      </c>
      <c r="Q82" t="str">
        <f t="shared" si="6"/>
        <v>2011</v>
      </c>
      <c r="R82" t="str">
        <f t="shared" si="7"/>
        <v>January</v>
      </c>
      <c r="S82" t="str">
        <f t="shared" si="8"/>
        <v>Weekday</v>
      </c>
      <c r="T82" t="str">
        <f t="shared" si="9"/>
        <v>Afternoon</v>
      </c>
      <c r="U82" t="str">
        <f t="shared" si="10"/>
        <v>Spring</v>
      </c>
      <c r="V82" t="str">
        <f t="shared" si="11"/>
        <v>Clear</v>
      </c>
    </row>
    <row r="83" spans="1:22">
      <c r="A83">
        <f>Master_Data!A83</f>
        <v>82</v>
      </c>
      <c r="B83">
        <f>Master_Data!B83</f>
        <v>40547</v>
      </c>
      <c r="C83">
        <f>Master_Data!C83</f>
        <v>1</v>
      </c>
      <c r="D83">
        <f>Master_Data!D83</f>
        <v>0</v>
      </c>
      <c r="E83">
        <f>Master_Data!E83</f>
        <v>1</v>
      </c>
      <c r="F83">
        <f>Master_Data!F83</f>
        <v>13</v>
      </c>
      <c r="G83" t="b">
        <f>Master_Data!G83</f>
        <v>0</v>
      </c>
      <c r="H83">
        <f>Master_Data!H83</f>
        <v>2</v>
      </c>
      <c r="I83">
        <f>Master_Data!I83</f>
        <v>1</v>
      </c>
      <c r="J83">
        <f>Master_Data!J83</f>
        <v>0.24</v>
      </c>
      <c r="K83">
        <f>Master_Data!K83</f>
        <v>0.2273</v>
      </c>
      <c r="L83">
        <f>Master_Data!L83</f>
        <v>0.56000000000000005</v>
      </c>
      <c r="M83">
        <f>Master_Data!M83</f>
        <v>0.19400000000000001</v>
      </c>
      <c r="N83">
        <f>Master_Data!N83</f>
        <v>18</v>
      </c>
      <c r="O83">
        <f>Master_Data!O83</f>
        <v>79</v>
      </c>
      <c r="P83">
        <f>Master_Data!P83</f>
        <v>97</v>
      </c>
      <c r="Q83" t="str">
        <f t="shared" si="6"/>
        <v>2011</v>
      </c>
      <c r="R83" t="str">
        <f t="shared" si="7"/>
        <v>January</v>
      </c>
      <c r="S83" t="str">
        <f t="shared" si="8"/>
        <v>Weekday</v>
      </c>
      <c r="T83" t="str">
        <f t="shared" si="9"/>
        <v>Afternoon</v>
      </c>
      <c r="U83" t="str">
        <f t="shared" si="10"/>
        <v>Spring</v>
      </c>
      <c r="V83" t="str">
        <f t="shared" si="11"/>
        <v>Clear</v>
      </c>
    </row>
    <row r="84" spans="1:22">
      <c r="A84">
        <f>Master_Data!A84</f>
        <v>83</v>
      </c>
      <c r="B84">
        <f>Master_Data!B84</f>
        <v>40547</v>
      </c>
      <c r="C84">
        <f>Master_Data!C84</f>
        <v>1</v>
      </c>
      <c r="D84">
        <f>Master_Data!D84</f>
        <v>0</v>
      </c>
      <c r="E84">
        <f>Master_Data!E84</f>
        <v>1</v>
      </c>
      <c r="F84">
        <f>Master_Data!F84</f>
        <v>14</v>
      </c>
      <c r="G84" t="b">
        <f>Master_Data!G84</f>
        <v>0</v>
      </c>
      <c r="H84">
        <f>Master_Data!H84</f>
        <v>2</v>
      </c>
      <c r="I84">
        <f>Master_Data!I84</f>
        <v>1</v>
      </c>
      <c r="J84">
        <f>Master_Data!J84</f>
        <v>0.26</v>
      </c>
      <c r="K84">
        <f>Master_Data!K84</f>
        <v>0.2576</v>
      </c>
      <c r="L84">
        <f>Master_Data!L84</f>
        <v>0.52</v>
      </c>
      <c r="M84">
        <f>Master_Data!M84</f>
        <v>0.22389999999999999</v>
      </c>
      <c r="N84">
        <f>Master_Data!N84</f>
        <v>9</v>
      </c>
      <c r="O84">
        <f>Master_Data!O84</f>
        <v>54</v>
      </c>
      <c r="P84">
        <f>Master_Data!P84</f>
        <v>63</v>
      </c>
      <c r="Q84" t="str">
        <f t="shared" si="6"/>
        <v>2011</v>
      </c>
      <c r="R84" t="str">
        <f t="shared" si="7"/>
        <v>January</v>
      </c>
      <c r="S84" t="str">
        <f t="shared" si="8"/>
        <v>Weekday</v>
      </c>
      <c r="T84" t="str">
        <f t="shared" si="9"/>
        <v>Afternoon</v>
      </c>
      <c r="U84" t="str">
        <f t="shared" si="10"/>
        <v>Spring</v>
      </c>
      <c r="V84" t="str">
        <f t="shared" si="11"/>
        <v>Clear</v>
      </c>
    </row>
    <row r="85" spans="1:22">
      <c r="A85">
        <f>Master_Data!A85</f>
        <v>84</v>
      </c>
      <c r="B85">
        <f>Master_Data!B85</f>
        <v>40547</v>
      </c>
      <c r="C85">
        <f>Master_Data!C85</f>
        <v>1</v>
      </c>
      <c r="D85">
        <f>Master_Data!D85</f>
        <v>0</v>
      </c>
      <c r="E85">
        <f>Master_Data!E85</f>
        <v>1</v>
      </c>
      <c r="F85">
        <f>Master_Data!F85</f>
        <v>15</v>
      </c>
      <c r="G85" t="b">
        <f>Master_Data!G85</f>
        <v>0</v>
      </c>
      <c r="H85">
        <f>Master_Data!H85</f>
        <v>2</v>
      </c>
      <c r="I85">
        <f>Master_Data!I85</f>
        <v>1</v>
      </c>
      <c r="J85">
        <f>Master_Data!J85</f>
        <v>0.28000000000000003</v>
      </c>
      <c r="K85">
        <f>Master_Data!K85</f>
        <v>0.2727</v>
      </c>
      <c r="L85">
        <f>Master_Data!L85</f>
        <v>0.52</v>
      </c>
      <c r="M85">
        <f>Master_Data!M85</f>
        <v>0.25369999999999998</v>
      </c>
      <c r="N85">
        <f>Master_Data!N85</f>
        <v>17</v>
      </c>
      <c r="O85">
        <f>Master_Data!O85</f>
        <v>48</v>
      </c>
      <c r="P85">
        <f>Master_Data!P85</f>
        <v>65</v>
      </c>
      <c r="Q85" t="str">
        <f t="shared" si="6"/>
        <v>2011</v>
      </c>
      <c r="R85" t="str">
        <f t="shared" si="7"/>
        <v>January</v>
      </c>
      <c r="S85" t="str">
        <f t="shared" si="8"/>
        <v>Weekday</v>
      </c>
      <c r="T85" t="str">
        <f t="shared" si="9"/>
        <v>Afternoon</v>
      </c>
      <c r="U85" t="str">
        <f t="shared" si="10"/>
        <v>Spring</v>
      </c>
      <c r="V85" t="str">
        <f t="shared" si="11"/>
        <v>Clear</v>
      </c>
    </row>
    <row r="86" spans="1:22">
      <c r="A86">
        <f>Master_Data!A86</f>
        <v>85</v>
      </c>
      <c r="B86">
        <f>Master_Data!B86</f>
        <v>40547</v>
      </c>
      <c r="C86">
        <f>Master_Data!C86</f>
        <v>1</v>
      </c>
      <c r="D86">
        <f>Master_Data!D86</f>
        <v>0</v>
      </c>
      <c r="E86">
        <f>Master_Data!E86</f>
        <v>1</v>
      </c>
      <c r="F86">
        <f>Master_Data!F86</f>
        <v>16</v>
      </c>
      <c r="G86" t="b">
        <f>Master_Data!G86</f>
        <v>0</v>
      </c>
      <c r="H86">
        <f>Master_Data!H86</f>
        <v>2</v>
      </c>
      <c r="I86">
        <f>Master_Data!I86</f>
        <v>1</v>
      </c>
      <c r="J86">
        <f>Master_Data!J86</f>
        <v>0.3</v>
      </c>
      <c r="K86">
        <f>Master_Data!K86</f>
        <v>0.28789999999999999</v>
      </c>
      <c r="L86">
        <f>Master_Data!L86</f>
        <v>0.49</v>
      </c>
      <c r="M86">
        <f>Master_Data!M86</f>
        <v>0.25369999999999998</v>
      </c>
      <c r="N86">
        <f>Master_Data!N86</f>
        <v>15</v>
      </c>
      <c r="O86">
        <f>Master_Data!O86</f>
        <v>68</v>
      </c>
      <c r="P86">
        <f>Master_Data!P86</f>
        <v>83</v>
      </c>
      <c r="Q86" t="str">
        <f t="shared" si="6"/>
        <v>2011</v>
      </c>
      <c r="R86" t="str">
        <f t="shared" si="7"/>
        <v>January</v>
      </c>
      <c r="S86" t="str">
        <f t="shared" si="8"/>
        <v>Weekday</v>
      </c>
      <c r="T86" t="str">
        <f t="shared" si="9"/>
        <v>Afternoon</v>
      </c>
      <c r="U86" t="str">
        <f t="shared" si="10"/>
        <v>Spring</v>
      </c>
      <c r="V86" t="str">
        <f t="shared" si="11"/>
        <v>Clear</v>
      </c>
    </row>
    <row r="87" spans="1:22">
      <c r="A87">
        <f>Master_Data!A87</f>
        <v>86</v>
      </c>
      <c r="B87">
        <f>Master_Data!B87</f>
        <v>40547</v>
      </c>
      <c r="C87">
        <f>Master_Data!C87</f>
        <v>1</v>
      </c>
      <c r="D87">
        <f>Master_Data!D87</f>
        <v>0</v>
      </c>
      <c r="E87">
        <f>Master_Data!E87</f>
        <v>1</v>
      </c>
      <c r="F87">
        <f>Master_Data!F87</f>
        <v>17</v>
      </c>
      <c r="G87" t="b">
        <f>Master_Data!G87</f>
        <v>0</v>
      </c>
      <c r="H87">
        <f>Master_Data!H87</f>
        <v>2</v>
      </c>
      <c r="I87">
        <f>Master_Data!I87</f>
        <v>1</v>
      </c>
      <c r="J87">
        <f>Master_Data!J87</f>
        <v>0.28000000000000003</v>
      </c>
      <c r="K87">
        <f>Master_Data!K87</f>
        <v>0.2727</v>
      </c>
      <c r="L87">
        <f>Master_Data!L87</f>
        <v>0.48</v>
      </c>
      <c r="M87">
        <f>Master_Data!M87</f>
        <v>0.22389999999999999</v>
      </c>
      <c r="N87">
        <f>Master_Data!N87</f>
        <v>10</v>
      </c>
      <c r="O87">
        <f>Master_Data!O87</f>
        <v>202</v>
      </c>
      <c r="P87">
        <f>Master_Data!P87</f>
        <v>212</v>
      </c>
      <c r="Q87" t="str">
        <f t="shared" si="6"/>
        <v>2011</v>
      </c>
      <c r="R87" t="str">
        <f t="shared" si="7"/>
        <v>January</v>
      </c>
      <c r="S87" t="str">
        <f t="shared" si="8"/>
        <v>Weekday</v>
      </c>
      <c r="T87" t="str">
        <f t="shared" si="9"/>
        <v>Evening</v>
      </c>
      <c r="U87" t="str">
        <f t="shared" si="10"/>
        <v>Spring</v>
      </c>
      <c r="V87" t="str">
        <f t="shared" si="11"/>
        <v>Clear</v>
      </c>
    </row>
    <row r="88" spans="1:22">
      <c r="A88">
        <f>Master_Data!A88</f>
        <v>87</v>
      </c>
      <c r="B88">
        <f>Master_Data!B88</f>
        <v>40547</v>
      </c>
      <c r="C88">
        <f>Master_Data!C88</f>
        <v>1</v>
      </c>
      <c r="D88">
        <f>Master_Data!D88</f>
        <v>0</v>
      </c>
      <c r="E88">
        <f>Master_Data!E88</f>
        <v>1</v>
      </c>
      <c r="F88">
        <f>Master_Data!F88</f>
        <v>18</v>
      </c>
      <c r="G88" t="b">
        <f>Master_Data!G88</f>
        <v>0</v>
      </c>
      <c r="H88">
        <f>Master_Data!H88</f>
        <v>2</v>
      </c>
      <c r="I88">
        <f>Master_Data!I88</f>
        <v>1</v>
      </c>
      <c r="J88">
        <f>Master_Data!J88</f>
        <v>0.26</v>
      </c>
      <c r="K88">
        <f>Master_Data!K88</f>
        <v>0.2576</v>
      </c>
      <c r="L88">
        <f>Master_Data!L88</f>
        <v>0.48</v>
      </c>
      <c r="M88">
        <f>Master_Data!M88</f>
        <v>0.19400000000000001</v>
      </c>
      <c r="N88">
        <f>Master_Data!N88</f>
        <v>3</v>
      </c>
      <c r="O88">
        <f>Master_Data!O88</f>
        <v>179</v>
      </c>
      <c r="P88">
        <f>Master_Data!P88</f>
        <v>182</v>
      </c>
      <c r="Q88" t="str">
        <f t="shared" si="6"/>
        <v>2011</v>
      </c>
      <c r="R88" t="str">
        <f t="shared" si="7"/>
        <v>January</v>
      </c>
      <c r="S88" t="str">
        <f t="shared" si="8"/>
        <v>Weekday</v>
      </c>
      <c r="T88" t="str">
        <f t="shared" si="9"/>
        <v>Evening</v>
      </c>
      <c r="U88" t="str">
        <f t="shared" si="10"/>
        <v>Spring</v>
      </c>
      <c r="V88" t="str">
        <f t="shared" si="11"/>
        <v>Clear</v>
      </c>
    </row>
    <row r="89" spans="1:22">
      <c r="A89">
        <f>Master_Data!A89</f>
        <v>88</v>
      </c>
      <c r="B89">
        <f>Master_Data!B89</f>
        <v>40547</v>
      </c>
      <c r="C89">
        <f>Master_Data!C89</f>
        <v>1</v>
      </c>
      <c r="D89">
        <f>Master_Data!D89</f>
        <v>0</v>
      </c>
      <c r="E89">
        <f>Master_Data!E89</f>
        <v>1</v>
      </c>
      <c r="F89">
        <f>Master_Data!F89</f>
        <v>19</v>
      </c>
      <c r="G89" t="b">
        <f>Master_Data!G89</f>
        <v>0</v>
      </c>
      <c r="H89">
        <f>Master_Data!H89</f>
        <v>2</v>
      </c>
      <c r="I89">
        <f>Master_Data!I89</f>
        <v>1</v>
      </c>
      <c r="J89">
        <f>Master_Data!J89</f>
        <v>0.24</v>
      </c>
      <c r="K89">
        <f>Master_Data!K89</f>
        <v>0.2576</v>
      </c>
      <c r="L89">
        <f>Master_Data!L89</f>
        <v>0.48</v>
      </c>
      <c r="M89">
        <f>Master_Data!M89</f>
        <v>0.1045</v>
      </c>
      <c r="N89">
        <f>Master_Data!N89</f>
        <v>2</v>
      </c>
      <c r="O89">
        <f>Master_Data!O89</f>
        <v>110</v>
      </c>
      <c r="P89">
        <f>Master_Data!P89</f>
        <v>112</v>
      </c>
      <c r="Q89" t="str">
        <f t="shared" si="6"/>
        <v>2011</v>
      </c>
      <c r="R89" t="str">
        <f t="shared" si="7"/>
        <v>January</v>
      </c>
      <c r="S89" t="str">
        <f t="shared" si="8"/>
        <v>Weekday</v>
      </c>
      <c r="T89" t="str">
        <f t="shared" si="9"/>
        <v>Evening</v>
      </c>
      <c r="U89" t="str">
        <f t="shared" si="10"/>
        <v>Spring</v>
      </c>
      <c r="V89" t="str">
        <f t="shared" si="11"/>
        <v>Clear</v>
      </c>
    </row>
    <row r="90" spans="1:22">
      <c r="A90">
        <f>Master_Data!A90</f>
        <v>89</v>
      </c>
      <c r="B90">
        <f>Master_Data!B90</f>
        <v>40547</v>
      </c>
      <c r="C90">
        <f>Master_Data!C90</f>
        <v>1</v>
      </c>
      <c r="D90">
        <f>Master_Data!D90</f>
        <v>0</v>
      </c>
      <c r="E90">
        <f>Master_Data!E90</f>
        <v>1</v>
      </c>
      <c r="F90">
        <f>Master_Data!F90</f>
        <v>20</v>
      </c>
      <c r="G90" t="b">
        <f>Master_Data!G90</f>
        <v>0</v>
      </c>
      <c r="H90">
        <f>Master_Data!H90</f>
        <v>2</v>
      </c>
      <c r="I90">
        <f>Master_Data!I90</f>
        <v>1</v>
      </c>
      <c r="J90">
        <f>Master_Data!J90</f>
        <v>0.24</v>
      </c>
      <c r="K90">
        <f>Master_Data!K90</f>
        <v>0.2576</v>
      </c>
      <c r="L90">
        <f>Master_Data!L90</f>
        <v>0.48</v>
      </c>
      <c r="M90">
        <f>Master_Data!M90</f>
        <v>0.1045</v>
      </c>
      <c r="N90">
        <f>Master_Data!N90</f>
        <v>1</v>
      </c>
      <c r="O90">
        <f>Master_Data!O90</f>
        <v>53</v>
      </c>
      <c r="P90">
        <f>Master_Data!P90</f>
        <v>54</v>
      </c>
      <c r="Q90" t="str">
        <f t="shared" si="6"/>
        <v>2011</v>
      </c>
      <c r="R90" t="str">
        <f t="shared" si="7"/>
        <v>January</v>
      </c>
      <c r="S90" t="str">
        <f t="shared" si="8"/>
        <v>Weekday</v>
      </c>
      <c r="T90" t="str">
        <f t="shared" si="9"/>
        <v>Evening</v>
      </c>
      <c r="U90" t="str">
        <f t="shared" si="10"/>
        <v>Spring</v>
      </c>
      <c r="V90" t="str">
        <f t="shared" si="11"/>
        <v>Clear</v>
      </c>
    </row>
    <row r="91" spans="1:22">
      <c r="A91">
        <f>Master_Data!A91</f>
        <v>90</v>
      </c>
      <c r="B91">
        <f>Master_Data!B91</f>
        <v>40547</v>
      </c>
      <c r="C91">
        <f>Master_Data!C91</f>
        <v>1</v>
      </c>
      <c r="D91">
        <f>Master_Data!D91</f>
        <v>0</v>
      </c>
      <c r="E91">
        <f>Master_Data!E91</f>
        <v>1</v>
      </c>
      <c r="F91">
        <f>Master_Data!F91</f>
        <v>21</v>
      </c>
      <c r="G91" t="b">
        <f>Master_Data!G91</f>
        <v>0</v>
      </c>
      <c r="H91">
        <f>Master_Data!H91</f>
        <v>2</v>
      </c>
      <c r="I91">
        <f>Master_Data!I91</f>
        <v>1</v>
      </c>
      <c r="J91">
        <f>Master_Data!J91</f>
        <v>0.22</v>
      </c>
      <c r="K91">
        <f>Master_Data!K91</f>
        <v>0.2727</v>
      </c>
      <c r="L91">
        <f>Master_Data!L91</f>
        <v>0.64</v>
      </c>
      <c r="M91">
        <f>Master_Data!M91</f>
        <v>0</v>
      </c>
      <c r="N91">
        <f>Master_Data!N91</f>
        <v>0</v>
      </c>
      <c r="O91">
        <f>Master_Data!O91</f>
        <v>48</v>
      </c>
      <c r="P91">
        <f>Master_Data!P91</f>
        <v>48</v>
      </c>
      <c r="Q91" t="str">
        <f t="shared" si="6"/>
        <v>2011</v>
      </c>
      <c r="R91" t="str">
        <f t="shared" si="7"/>
        <v>January</v>
      </c>
      <c r="S91" t="str">
        <f t="shared" si="8"/>
        <v>Weekday</v>
      </c>
      <c r="T91" t="str">
        <f t="shared" si="9"/>
        <v>Night</v>
      </c>
      <c r="U91" t="str">
        <f t="shared" si="10"/>
        <v>Spring</v>
      </c>
      <c r="V91" t="str">
        <f t="shared" si="11"/>
        <v>Clear</v>
      </c>
    </row>
    <row r="92" spans="1:22">
      <c r="A92">
        <f>Master_Data!A92</f>
        <v>91</v>
      </c>
      <c r="B92">
        <f>Master_Data!B92</f>
        <v>40547</v>
      </c>
      <c r="C92">
        <f>Master_Data!C92</f>
        <v>1</v>
      </c>
      <c r="D92">
        <f>Master_Data!D92</f>
        <v>0</v>
      </c>
      <c r="E92">
        <f>Master_Data!E92</f>
        <v>1</v>
      </c>
      <c r="F92">
        <f>Master_Data!F92</f>
        <v>22</v>
      </c>
      <c r="G92" t="b">
        <f>Master_Data!G92</f>
        <v>0</v>
      </c>
      <c r="H92">
        <f>Master_Data!H92</f>
        <v>2</v>
      </c>
      <c r="I92">
        <f>Master_Data!I92</f>
        <v>1</v>
      </c>
      <c r="J92">
        <f>Master_Data!J92</f>
        <v>0.22</v>
      </c>
      <c r="K92">
        <f>Master_Data!K92</f>
        <v>0.2576</v>
      </c>
      <c r="L92">
        <f>Master_Data!L92</f>
        <v>0.64</v>
      </c>
      <c r="M92">
        <f>Master_Data!M92</f>
        <v>8.9599999999999999E-2</v>
      </c>
      <c r="N92">
        <f>Master_Data!N92</f>
        <v>1</v>
      </c>
      <c r="O92">
        <f>Master_Data!O92</f>
        <v>34</v>
      </c>
      <c r="P92">
        <f>Master_Data!P92</f>
        <v>35</v>
      </c>
      <c r="Q92" t="str">
        <f t="shared" si="6"/>
        <v>2011</v>
      </c>
      <c r="R92" t="str">
        <f t="shared" si="7"/>
        <v>January</v>
      </c>
      <c r="S92" t="str">
        <f t="shared" si="8"/>
        <v>Weekday</v>
      </c>
      <c r="T92" t="str">
        <f t="shared" si="9"/>
        <v>Night</v>
      </c>
      <c r="U92" t="str">
        <f t="shared" si="10"/>
        <v>Spring</v>
      </c>
      <c r="V92" t="str">
        <f t="shared" si="11"/>
        <v>Clear</v>
      </c>
    </row>
    <row r="93" spans="1:22">
      <c r="A93">
        <f>Master_Data!A93</f>
        <v>92</v>
      </c>
      <c r="B93">
        <f>Master_Data!B93</f>
        <v>40547</v>
      </c>
      <c r="C93">
        <f>Master_Data!C93</f>
        <v>1</v>
      </c>
      <c r="D93">
        <f>Master_Data!D93</f>
        <v>0</v>
      </c>
      <c r="E93">
        <f>Master_Data!E93</f>
        <v>1</v>
      </c>
      <c r="F93">
        <f>Master_Data!F93</f>
        <v>23</v>
      </c>
      <c r="G93" t="b">
        <f>Master_Data!G93</f>
        <v>0</v>
      </c>
      <c r="H93">
        <f>Master_Data!H93</f>
        <v>2</v>
      </c>
      <c r="I93">
        <f>Master_Data!I93</f>
        <v>1</v>
      </c>
      <c r="J93">
        <f>Master_Data!J93</f>
        <v>0.2</v>
      </c>
      <c r="K93">
        <f>Master_Data!K93</f>
        <v>0.2273</v>
      </c>
      <c r="L93">
        <f>Master_Data!L93</f>
        <v>0.69</v>
      </c>
      <c r="M93">
        <f>Master_Data!M93</f>
        <v>8.9599999999999999E-2</v>
      </c>
      <c r="N93">
        <f>Master_Data!N93</f>
        <v>2</v>
      </c>
      <c r="O93">
        <f>Master_Data!O93</f>
        <v>9</v>
      </c>
      <c r="P93">
        <f>Master_Data!P93</f>
        <v>11</v>
      </c>
      <c r="Q93" t="str">
        <f t="shared" si="6"/>
        <v>2011</v>
      </c>
      <c r="R93" t="str">
        <f t="shared" si="7"/>
        <v>January</v>
      </c>
      <c r="S93" t="str">
        <f t="shared" si="8"/>
        <v>Weekday</v>
      </c>
      <c r="T93" t="str">
        <f t="shared" si="9"/>
        <v>Night</v>
      </c>
      <c r="U93" t="str">
        <f t="shared" si="10"/>
        <v>Spring</v>
      </c>
      <c r="V93" t="str">
        <f t="shared" si="11"/>
        <v>Clear</v>
      </c>
    </row>
    <row r="94" spans="1:22">
      <c r="A94">
        <f>Master_Data!A94</f>
        <v>93</v>
      </c>
      <c r="B94">
        <f>Master_Data!B94</f>
        <v>40548</v>
      </c>
      <c r="C94">
        <f>Master_Data!C94</f>
        <v>1</v>
      </c>
      <c r="D94">
        <f>Master_Data!D94</f>
        <v>0</v>
      </c>
      <c r="E94">
        <f>Master_Data!E94</f>
        <v>1</v>
      </c>
      <c r="F94">
        <f>Master_Data!F94</f>
        <v>0</v>
      </c>
      <c r="G94" t="b">
        <f>Master_Data!G94</f>
        <v>0</v>
      </c>
      <c r="H94">
        <f>Master_Data!H94</f>
        <v>3</v>
      </c>
      <c r="I94">
        <f>Master_Data!I94</f>
        <v>1</v>
      </c>
      <c r="J94">
        <f>Master_Data!J94</f>
        <v>0.2</v>
      </c>
      <c r="K94">
        <f>Master_Data!K94</f>
        <v>0.2576</v>
      </c>
      <c r="L94">
        <f>Master_Data!L94</f>
        <v>0.64</v>
      </c>
      <c r="M94">
        <f>Master_Data!M94</f>
        <v>0</v>
      </c>
      <c r="N94">
        <f>Master_Data!N94</f>
        <v>0</v>
      </c>
      <c r="O94">
        <f>Master_Data!O94</f>
        <v>6</v>
      </c>
      <c r="P94">
        <f>Master_Data!P94</f>
        <v>6</v>
      </c>
      <c r="Q94" t="str">
        <f t="shared" si="6"/>
        <v>2011</v>
      </c>
      <c r="R94" t="str">
        <f t="shared" si="7"/>
        <v>January</v>
      </c>
      <c r="S94" t="str">
        <f t="shared" si="8"/>
        <v>Weekday</v>
      </c>
      <c r="T94" t="str">
        <f t="shared" si="9"/>
        <v>Night</v>
      </c>
      <c r="U94" t="str">
        <f t="shared" si="10"/>
        <v>Spring</v>
      </c>
      <c r="V94" t="str">
        <f t="shared" si="11"/>
        <v>Clear</v>
      </c>
    </row>
    <row r="95" spans="1:22">
      <c r="A95">
        <f>Master_Data!A95</f>
        <v>94</v>
      </c>
      <c r="B95">
        <f>Master_Data!B95</f>
        <v>40548</v>
      </c>
      <c r="C95">
        <f>Master_Data!C95</f>
        <v>1</v>
      </c>
      <c r="D95">
        <f>Master_Data!D95</f>
        <v>0</v>
      </c>
      <c r="E95">
        <f>Master_Data!E95</f>
        <v>1</v>
      </c>
      <c r="F95">
        <f>Master_Data!F95</f>
        <v>1</v>
      </c>
      <c r="G95" t="b">
        <f>Master_Data!G95</f>
        <v>0</v>
      </c>
      <c r="H95">
        <f>Master_Data!H95</f>
        <v>3</v>
      </c>
      <c r="I95">
        <f>Master_Data!I95</f>
        <v>1</v>
      </c>
      <c r="J95">
        <f>Master_Data!J95</f>
        <v>0.16</v>
      </c>
      <c r="K95">
        <f>Master_Data!K95</f>
        <v>0.19700000000000001</v>
      </c>
      <c r="L95">
        <f>Master_Data!L95</f>
        <v>0.74</v>
      </c>
      <c r="M95">
        <f>Master_Data!M95</f>
        <v>8.9599999999999999E-2</v>
      </c>
      <c r="N95">
        <f>Master_Data!N95</f>
        <v>0</v>
      </c>
      <c r="O95">
        <f>Master_Data!O95</f>
        <v>6</v>
      </c>
      <c r="P95">
        <f>Master_Data!P95</f>
        <v>6</v>
      </c>
      <c r="Q95" t="str">
        <f t="shared" si="6"/>
        <v>2011</v>
      </c>
      <c r="R95" t="str">
        <f t="shared" si="7"/>
        <v>January</v>
      </c>
      <c r="S95" t="str">
        <f t="shared" si="8"/>
        <v>Weekday</v>
      </c>
      <c r="T95" t="str">
        <f t="shared" si="9"/>
        <v>Night</v>
      </c>
      <c r="U95" t="str">
        <f t="shared" si="10"/>
        <v>Spring</v>
      </c>
      <c r="V95" t="str">
        <f t="shared" si="11"/>
        <v>Clear</v>
      </c>
    </row>
    <row r="96" spans="1:22">
      <c r="A96">
        <f>Master_Data!A96</f>
        <v>95</v>
      </c>
      <c r="B96">
        <f>Master_Data!B96</f>
        <v>40548</v>
      </c>
      <c r="C96">
        <f>Master_Data!C96</f>
        <v>1</v>
      </c>
      <c r="D96">
        <f>Master_Data!D96</f>
        <v>0</v>
      </c>
      <c r="E96">
        <f>Master_Data!E96</f>
        <v>1</v>
      </c>
      <c r="F96">
        <f>Master_Data!F96</f>
        <v>2</v>
      </c>
      <c r="G96" t="b">
        <f>Master_Data!G96</f>
        <v>0</v>
      </c>
      <c r="H96">
        <f>Master_Data!H96</f>
        <v>3</v>
      </c>
      <c r="I96">
        <f>Master_Data!I96</f>
        <v>1</v>
      </c>
      <c r="J96">
        <f>Master_Data!J96</f>
        <v>0.16</v>
      </c>
      <c r="K96">
        <f>Master_Data!K96</f>
        <v>0.19700000000000001</v>
      </c>
      <c r="L96">
        <f>Master_Data!L96</f>
        <v>0.74</v>
      </c>
      <c r="M96">
        <f>Master_Data!M96</f>
        <v>8.9599999999999999E-2</v>
      </c>
      <c r="N96">
        <f>Master_Data!N96</f>
        <v>0</v>
      </c>
      <c r="O96">
        <f>Master_Data!O96</f>
        <v>2</v>
      </c>
      <c r="P96">
        <f>Master_Data!P96</f>
        <v>2</v>
      </c>
      <c r="Q96" t="str">
        <f t="shared" si="6"/>
        <v>2011</v>
      </c>
      <c r="R96" t="str">
        <f t="shared" si="7"/>
        <v>January</v>
      </c>
      <c r="S96" t="str">
        <f t="shared" si="8"/>
        <v>Weekday</v>
      </c>
      <c r="T96" t="str">
        <f t="shared" si="9"/>
        <v>Night</v>
      </c>
      <c r="U96" t="str">
        <f t="shared" si="10"/>
        <v>Spring</v>
      </c>
      <c r="V96" t="str">
        <f t="shared" si="11"/>
        <v>Clear</v>
      </c>
    </row>
    <row r="97" spans="1:22">
      <c r="A97">
        <f>Master_Data!A97</f>
        <v>96</v>
      </c>
      <c r="B97">
        <f>Master_Data!B97</f>
        <v>40548</v>
      </c>
      <c r="C97">
        <f>Master_Data!C97</f>
        <v>1</v>
      </c>
      <c r="D97">
        <f>Master_Data!D97</f>
        <v>0</v>
      </c>
      <c r="E97">
        <f>Master_Data!E97</f>
        <v>1</v>
      </c>
      <c r="F97">
        <f>Master_Data!F97</f>
        <v>4</v>
      </c>
      <c r="G97" t="b">
        <f>Master_Data!G97</f>
        <v>0</v>
      </c>
      <c r="H97">
        <f>Master_Data!H97</f>
        <v>3</v>
      </c>
      <c r="I97">
        <f>Master_Data!I97</f>
        <v>1</v>
      </c>
      <c r="J97">
        <f>Master_Data!J97</f>
        <v>0.24</v>
      </c>
      <c r="K97">
        <f>Master_Data!K97</f>
        <v>0.2273</v>
      </c>
      <c r="L97">
        <f>Master_Data!L97</f>
        <v>0.48</v>
      </c>
      <c r="M97">
        <f>Master_Data!M97</f>
        <v>0.22389999999999999</v>
      </c>
      <c r="N97">
        <f>Master_Data!N97</f>
        <v>0</v>
      </c>
      <c r="O97">
        <f>Master_Data!O97</f>
        <v>2</v>
      </c>
      <c r="P97">
        <f>Master_Data!P97</f>
        <v>2</v>
      </c>
      <c r="Q97" t="str">
        <f t="shared" si="6"/>
        <v>2011</v>
      </c>
      <c r="R97" t="str">
        <f t="shared" si="7"/>
        <v>January</v>
      </c>
      <c r="S97" t="str">
        <f t="shared" si="8"/>
        <v>Weekday</v>
      </c>
      <c r="T97" t="str">
        <f t="shared" si="9"/>
        <v>Night</v>
      </c>
      <c r="U97" t="str">
        <f t="shared" si="10"/>
        <v>Spring</v>
      </c>
      <c r="V97" t="str">
        <f t="shared" si="11"/>
        <v>Clear</v>
      </c>
    </row>
    <row r="98" spans="1:22">
      <c r="A98">
        <f>Master_Data!A98</f>
        <v>97</v>
      </c>
      <c r="B98">
        <f>Master_Data!B98</f>
        <v>40548</v>
      </c>
      <c r="C98">
        <f>Master_Data!C98</f>
        <v>1</v>
      </c>
      <c r="D98">
        <f>Master_Data!D98</f>
        <v>0</v>
      </c>
      <c r="E98">
        <f>Master_Data!E98</f>
        <v>1</v>
      </c>
      <c r="F98">
        <f>Master_Data!F98</f>
        <v>5</v>
      </c>
      <c r="G98" t="b">
        <f>Master_Data!G98</f>
        <v>0</v>
      </c>
      <c r="H98">
        <f>Master_Data!H98</f>
        <v>3</v>
      </c>
      <c r="I98">
        <f>Master_Data!I98</f>
        <v>1</v>
      </c>
      <c r="J98">
        <f>Master_Data!J98</f>
        <v>0.22</v>
      </c>
      <c r="K98">
        <f>Master_Data!K98</f>
        <v>0.2273</v>
      </c>
      <c r="L98">
        <f>Master_Data!L98</f>
        <v>0.47</v>
      </c>
      <c r="M98">
        <f>Master_Data!M98</f>
        <v>0.16420000000000001</v>
      </c>
      <c r="N98">
        <f>Master_Data!N98</f>
        <v>0</v>
      </c>
      <c r="O98">
        <f>Master_Data!O98</f>
        <v>3</v>
      </c>
      <c r="P98">
        <f>Master_Data!P98</f>
        <v>3</v>
      </c>
      <c r="Q98" t="str">
        <f t="shared" si="6"/>
        <v>2011</v>
      </c>
      <c r="R98" t="str">
        <f t="shared" si="7"/>
        <v>January</v>
      </c>
      <c r="S98" t="str">
        <f t="shared" si="8"/>
        <v>Weekday</v>
      </c>
      <c r="T98" t="str">
        <f t="shared" si="9"/>
        <v>Night</v>
      </c>
      <c r="U98" t="str">
        <f t="shared" si="10"/>
        <v>Spring</v>
      </c>
      <c r="V98" t="str">
        <f t="shared" si="11"/>
        <v>Clear</v>
      </c>
    </row>
    <row r="99" spans="1:22">
      <c r="A99">
        <f>Master_Data!A99</f>
        <v>98</v>
      </c>
      <c r="B99">
        <f>Master_Data!B99</f>
        <v>40548</v>
      </c>
      <c r="C99">
        <f>Master_Data!C99</f>
        <v>1</v>
      </c>
      <c r="D99">
        <f>Master_Data!D99</f>
        <v>0</v>
      </c>
      <c r="E99">
        <f>Master_Data!E99</f>
        <v>1</v>
      </c>
      <c r="F99">
        <f>Master_Data!F99</f>
        <v>6</v>
      </c>
      <c r="G99" t="b">
        <f>Master_Data!G99</f>
        <v>0</v>
      </c>
      <c r="H99">
        <f>Master_Data!H99</f>
        <v>3</v>
      </c>
      <c r="I99">
        <f>Master_Data!I99</f>
        <v>1</v>
      </c>
      <c r="J99">
        <f>Master_Data!J99</f>
        <v>0.2</v>
      </c>
      <c r="K99">
        <f>Master_Data!K99</f>
        <v>0.19700000000000001</v>
      </c>
      <c r="L99">
        <f>Master_Data!L99</f>
        <v>0.47</v>
      </c>
      <c r="M99">
        <f>Master_Data!M99</f>
        <v>0.22389999999999999</v>
      </c>
      <c r="N99">
        <f>Master_Data!N99</f>
        <v>0</v>
      </c>
      <c r="O99">
        <f>Master_Data!O99</f>
        <v>33</v>
      </c>
      <c r="P99">
        <f>Master_Data!P99</f>
        <v>33</v>
      </c>
      <c r="Q99" t="str">
        <f t="shared" si="6"/>
        <v>2011</v>
      </c>
      <c r="R99" t="str">
        <f t="shared" si="7"/>
        <v>January</v>
      </c>
      <c r="S99" t="str">
        <f t="shared" si="8"/>
        <v>Weekday</v>
      </c>
      <c r="T99" t="str">
        <f t="shared" si="9"/>
        <v>Morning</v>
      </c>
      <c r="U99" t="str">
        <f t="shared" si="10"/>
        <v>Spring</v>
      </c>
      <c r="V99" t="str">
        <f t="shared" si="11"/>
        <v>Clear</v>
      </c>
    </row>
    <row r="100" spans="1:22">
      <c r="A100">
        <f>Master_Data!A100</f>
        <v>99</v>
      </c>
      <c r="B100">
        <f>Master_Data!B100</f>
        <v>40548</v>
      </c>
      <c r="C100">
        <f>Master_Data!C100</f>
        <v>1</v>
      </c>
      <c r="D100">
        <f>Master_Data!D100</f>
        <v>0</v>
      </c>
      <c r="E100">
        <f>Master_Data!E100</f>
        <v>1</v>
      </c>
      <c r="F100">
        <f>Master_Data!F100</f>
        <v>7</v>
      </c>
      <c r="G100" t="b">
        <f>Master_Data!G100</f>
        <v>0</v>
      </c>
      <c r="H100">
        <f>Master_Data!H100</f>
        <v>3</v>
      </c>
      <c r="I100">
        <f>Master_Data!I100</f>
        <v>1</v>
      </c>
      <c r="J100">
        <f>Master_Data!J100</f>
        <v>0.18</v>
      </c>
      <c r="K100">
        <f>Master_Data!K100</f>
        <v>0.18179999999999999</v>
      </c>
      <c r="L100">
        <f>Master_Data!L100</f>
        <v>0.43</v>
      </c>
      <c r="M100">
        <f>Master_Data!M100</f>
        <v>0.19400000000000001</v>
      </c>
      <c r="N100">
        <f>Master_Data!N100</f>
        <v>1</v>
      </c>
      <c r="O100">
        <f>Master_Data!O100</f>
        <v>87</v>
      </c>
      <c r="P100">
        <f>Master_Data!P100</f>
        <v>88</v>
      </c>
      <c r="Q100" t="str">
        <f t="shared" si="6"/>
        <v>2011</v>
      </c>
      <c r="R100" t="str">
        <f t="shared" si="7"/>
        <v>January</v>
      </c>
      <c r="S100" t="str">
        <f t="shared" si="8"/>
        <v>Weekday</v>
      </c>
      <c r="T100" t="str">
        <f t="shared" si="9"/>
        <v>Morning</v>
      </c>
      <c r="U100" t="str">
        <f t="shared" si="10"/>
        <v>Spring</v>
      </c>
      <c r="V100" t="str">
        <f t="shared" si="11"/>
        <v>Clear</v>
      </c>
    </row>
    <row r="101" spans="1:22">
      <c r="A101">
        <f>Master_Data!A101</f>
        <v>100</v>
      </c>
      <c r="B101">
        <f>Master_Data!B101</f>
        <v>40548</v>
      </c>
      <c r="C101">
        <f>Master_Data!C101</f>
        <v>1</v>
      </c>
      <c r="D101">
        <f>Master_Data!D101</f>
        <v>0</v>
      </c>
      <c r="E101">
        <f>Master_Data!E101</f>
        <v>1</v>
      </c>
      <c r="F101">
        <f>Master_Data!F101</f>
        <v>8</v>
      </c>
      <c r="G101" t="b">
        <f>Master_Data!G101</f>
        <v>0</v>
      </c>
      <c r="H101">
        <f>Master_Data!H101</f>
        <v>3</v>
      </c>
      <c r="I101">
        <f>Master_Data!I101</f>
        <v>1</v>
      </c>
      <c r="J101">
        <f>Master_Data!J101</f>
        <v>0.2</v>
      </c>
      <c r="K101">
        <f>Master_Data!K101</f>
        <v>0.18179999999999999</v>
      </c>
      <c r="L101">
        <f>Master_Data!L101</f>
        <v>0.4</v>
      </c>
      <c r="M101">
        <f>Master_Data!M101</f>
        <v>0.29849999999999999</v>
      </c>
      <c r="N101">
        <f>Master_Data!N101</f>
        <v>3</v>
      </c>
      <c r="O101">
        <f>Master_Data!O101</f>
        <v>192</v>
      </c>
      <c r="P101">
        <f>Master_Data!P101</f>
        <v>195</v>
      </c>
      <c r="Q101" t="str">
        <f t="shared" si="6"/>
        <v>2011</v>
      </c>
      <c r="R101" t="str">
        <f t="shared" si="7"/>
        <v>January</v>
      </c>
      <c r="S101" t="str">
        <f t="shared" si="8"/>
        <v>Weekday</v>
      </c>
      <c r="T101" t="str">
        <f t="shared" si="9"/>
        <v>Morning</v>
      </c>
      <c r="U101" t="str">
        <f t="shared" si="10"/>
        <v>Spring</v>
      </c>
      <c r="V101" t="str">
        <f t="shared" si="11"/>
        <v>Clear</v>
      </c>
    </row>
    <row r="102" spans="1:22">
      <c r="A102">
        <f>Master_Data!A102</f>
        <v>101</v>
      </c>
      <c r="B102">
        <f>Master_Data!B102</f>
        <v>40548</v>
      </c>
      <c r="C102">
        <f>Master_Data!C102</f>
        <v>1</v>
      </c>
      <c r="D102">
        <f>Master_Data!D102</f>
        <v>0</v>
      </c>
      <c r="E102">
        <f>Master_Data!E102</f>
        <v>1</v>
      </c>
      <c r="F102">
        <f>Master_Data!F102</f>
        <v>9</v>
      </c>
      <c r="G102" t="b">
        <f>Master_Data!G102</f>
        <v>0</v>
      </c>
      <c r="H102">
        <f>Master_Data!H102</f>
        <v>3</v>
      </c>
      <c r="I102">
        <f>Master_Data!I102</f>
        <v>1</v>
      </c>
      <c r="J102">
        <f>Master_Data!J102</f>
        <v>0.22</v>
      </c>
      <c r="K102">
        <f>Master_Data!K102</f>
        <v>0.19700000000000001</v>
      </c>
      <c r="L102">
        <f>Master_Data!L102</f>
        <v>0.37</v>
      </c>
      <c r="M102">
        <f>Master_Data!M102</f>
        <v>0.32840000000000003</v>
      </c>
      <c r="N102">
        <f>Master_Data!N102</f>
        <v>6</v>
      </c>
      <c r="O102">
        <f>Master_Data!O102</f>
        <v>109</v>
      </c>
      <c r="P102">
        <f>Master_Data!P102</f>
        <v>115</v>
      </c>
      <c r="Q102" t="str">
        <f t="shared" si="6"/>
        <v>2011</v>
      </c>
      <c r="R102" t="str">
        <f t="shared" si="7"/>
        <v>January</v>
      </c>
      <c r="S102" t="str">
        <f t="shared" si="8"/>
        <v>Weekday</v>
      </c>
      <c r="T102" t="str">
        <f t="shared" si="9"/>
        <v>Morning</v>
      </c>
      <c r="U102" t="str">
        <f t="shared" si="10"/>
        <v>Spring</v>
      </c>
      <c r="V102" t="str">
        <f t="shared" si="11"/>
        <v>Clear</v>
      </c>
    </row>
    <row r="103" spans="1:22">
      <c r="A103">
        <f>Master_Data!A103</f>
        <v>102</v>
      </c>
      <c r="B103">
        <f>Master_Data!B103</f>
        <v>40548</v>
      </c>
      <c r="C103">
        <f>Master_Data!C103</f>
        <v>1</v>
      </c>
      <c r="D103">
        <f>Master_Data!D103</f>
        <v>0</v>
      </c>
      <c r="E103">
        <f>Master_Data!E103</f>
        <v>1</v>
      </c>
      <c r="F103">
        <f>Master_Data!F103</f>
        <v>10</v>
      </c>
      <c r="G103" t="b">
        <f>Master_Data!G103</f>
        <v>0</v>
      </c>
      <c r="H103">
        <f>Master_Data!H103</f>
        <v>3</v>
      </c>
      <c r="I103">
        <f>Master_Data!I103</f>
        <v>1</v>
      </c>
      <c r="J103">
        <f>Master_Data!J103</f>
        <v>0.22</v>
      </c>
      <c r="K103">
        <f>Master_Data!K103</f>
        <v>0.19700000000000001</v>
      </c>
      <c r="L103">
        <f>Master_Data!L103</f>
        <v>0.37</v>
      </c>
      <c r="M103">
        <f>Master_Data!M103</f>
        <v>0.32840000000000003</v>
      </c>
      <c r="N103">
        <f>Master_Data!N103</f>
        <v>4</v>
      </c>
      <c r="O103">
        <f>Master_Data!O103</f>
        <v>53</v>
      </c>
      <c r="P103">
        <f>Master_Data!P103</f>
        <v>57</v>
      </c>
      <c r="Q103" t="str">
        <f t="shared" si="6"/>
        <v>2011</v>
      </c>
      <c r="R103" t="str">
        <f t="shared" si="7"/>
        <v>January</v>
      </c>
      <c r="S103" t="str">
        <f t="shared" si="8"/>
        <v>Weekday</v>
      </c>
      <c r="T103" t="str">
        <f t="shared" si="9"/>
        <v>Morning</v>
      </c>
      <c r="U103" t="str">
        <f t="shared" si="10"/>
        <v>Spring</v>
      </c>
      <c r="V103" t="str">
        <f t="shared" si="11"/>
        <v>Clear</v>
      </c>
    </row>
    <row r="104" spans="1:22">
      <c r="A104">
        <f>Master_Data!A104</f>
        <v>103</v>
      </c>
      <c r="B104">
        <f>Master_Data!B104</f>
        <v>40548</v>
      </c>
      <c r="C104">
        <f>Master_Data!C104</f>
        <v>1</v>
      </c>
      <c r="D104">
        <f>Master_Data!D104</f>
        <v>0</v>
      </c>
      <c r="E104">
        <f>Master_Data!E104</f>
        <v>1</v>
      </c>
      <c r="F104">
        <f>Master_Data!F104</f>
        <v>11</v>
      </c>
      <c r="G104" t="b">
        <f>Master_Data!G104</f>
        <v>0</v>
      </c>
      <c r="H104">
        <f>Master_Data!H104</f>
        <v>3</v>
      </c>
      <c r="I104">
        <f>Master_Data!I104</f>
        <v>1</v>
      </c>
      <c r="J104">
        <f>Master_Data!J104</f>
        <v>0.26</v>
      </c>
      <c r="K104">
        <f>Master_Data!K104</f>
        <v>0.2273</v>
      </c>
      <c r="L104">
        <f>Master_Data!L104</f>
        <v>0.33</v>
      </c>
      <c r="M104">
        <f>Master_Data!M104</f>
        <v>0.32840000000000003</v>
      </c>
      <c r="N104">
        <f>Master_Data!N104</f>
        <v>12</v>
      </c>
      <c r="O104">
        <f>Master_Data!O104</f>
        <v>34</v>
      </c>
      <c r="P104">
        <f>Master_Data!P104</f>
        <v>46</v>
      </c>
      <c r="Q104" t="str">
        <f t="shared" si="6"/>
        <v>2011</v>
      </c>
      <c r="R104" t="str">
        <f t="shared" si="7"/>
        <v>January</v>
      </c>
      <c r="S104" t="str">
        <f t="shared" si="8"/>
        <v>Weekday</v>
      </c>
      <c r="T104" t="str">
        <f t="shared" si="9"/>
        <v>Morning</v>
      </c>
      <c r="U104" t="str">
        <f t="shared" si="10"/>
        <v>Spring</v>
      </c>
      <c r="V104" t="str">
        <f t="shared" si="11"/>
        <v>Clear</v>
      </c>
    </row>
    <row r="105" spans="1:22">
      <c r="A105">
        <f>Master_Data!A105</f>
        <v>104</v>
      </c>
      <c r="B105">
        <f>Master_Data!B105</f>
        <v>40548</v>
      </c>
      <c r="C105">
        <f>Master_Data!C105</f>
        <v>1</v>
      </c>
      <c r="D105">
        <f>Master_Data!D105</f>
        <v>0</v>
      </c>
      <c r="E105">
        <f>Master_Data!E105</f>
        <v>1</v>
      </c>
      <c r="F105">
        <f>Master_Data!F105</f>
        <v>12</v>
      </c>
      <c r="G105" t="b">
        <f>Master_Data!G105</f>
        <v>0</v>
      </c>
      <c r="H105">
        <f>Master_Data!H105</f>
        <v>3</v>
      </c>
      <c r="I105">
        <f>Master_Data!I105</f>
        <v>1</v>
      </c>
      <c r="J105">
        <f>Master_Data!J105</f>
        <v>0.26</v>
      </c>
      <c r="K105">
        <f>Master_Data!K105</f>
        <v>0.2273</v>
      </c>
      <c r="L105">
        <f>Master_Data!L105</f>
        <v>0.33</v>
      </c>
      <c r="M105">
        <f>Master_Data!M105</f>
        <v>0.32840000000000003</v>
      </c>
      <c r="N105">
        <f>Master_Data!N105</f>
        <v>5</v>
      </c>
      <c r="O105">
        <f>Master_Data!O105</f>
        <v>74</v>
      </c>
      <c r="P105">
        <f>Master_Data!P105</f>
        <v>79</v>
      </c>
      <c r="Q105" t="str">
        <f t="shared" si="6"/>
        <v>2011</v>
      </c>
      <c r="R105" t="str">
        <f t="shared" si="7"/>
        <v>January</v>
      </c>
      <c r="S105" t="str">
        <f t="shared" si="8"/>
        <v>Weekday</v>
      </c>
      <c r="T105" t="str">
        <f t="shared" si="9"/>
        <v>Afternoon</v>
      </c>
      <c r="U105" t="str">
        <f t="shared" si="10"/>
        <v>Spring</v>
      </c>
      <c r="V105" t="str">
        <f t="shared" si="11"/>
        <v>Clear</v>
      </c>
    </row>
    <row r="106" spans="1:22">
      <c r="A106">
        <f>Master_Data!A106</f>
        <v>105</v>
      </c>
      <c r="B106">
        <f>Master_Data!B106</f>
        <v>40548</v>
      </c>
      <c r="C106">
        <f>Master_Data!C106</f>
        <v>1</v>
      </c>
      <c r="D106">
        <f>Master_Data!D106</f>
        <v>0</v>
      </c>
      <c r="E106">
        <f>Master_Data!E106</f>
        <v>1</v>
      </c>
      <c r="F106">
        <f>Master_Data!F106</f>
        <v>13</v>
      </c>
      <c r="G106" t="b">
        <f>Master_Data!G106</f>
        <v>0</v>
      </c>
      <c r="H106">
        <f>Master_Data!H106</f>
        <v>3</v>
      </c>
      <c r="I106">
        <f>Master_Data!I106</f>
        <v>1</v>
      </c>
      <c r="J106">
        <f>Master_Data!J106</f>
        <v>0.28000000000000003</v>
      </c>
      <c r="K106">
        <f>Master_Data!K106</f>
        <v>0.2576</v>
      </c>
      <c r="L106">
        <f>Master_Data!L106</f>
        <v>0.3</v>
      </c>
      <c r="M106">
        <f>Master_Data!M106</f>
        <v>0.29849999999999999</v>
      </c>
      <c r="N106">
        <f>Master_Data!N106</f>
        <v>6</v>
      </c>
      <c r="O106">
        <f>Master_Data!O106</f>
        <v>65</v>
      </c>
      <c r="P106">
        <f>Master_Data!P106</f>
        <v>71</v>
      </c>
      <c r="Q106" t="str">
        <f t="shared" si="6"/>
        <v>2011</v>
      </c>
      <c r="R106" t="str">
        <f t="shared" si="7"/>
        <v>January</v>
      </c>
      <c r="S106" t="str">
        <f t="shared" si="8"/>
        <v>Weekday</v>
      </c>
      <c r="T106" t="str">
        <f t="shared" si="9"/>
        <v>Afternoon</v>
      </c>
      <c r="U106" t="str">
        <f t="shared" si="10"/>
        <v>Spring</v>
      </c>
      <c r="V106" t="str">
        <f t="shared" si="11"/>
        <v>Clear</v>
      </c>
    </row>
    <row r="107" spans="1:22">
      <c r="A107">
        <f>Master_Data!A107</f>
        <v>106</v>
      </c>
      <c r="B107">
        <f>Master_Data!B107</f>
        <v>40548</v>
      </c>
      <c r="C107">
        <f>Master_Data!C107</f>
        <v>1</v>
      </c>
      <c r="D107">
        <f>Master_Data!D107</f>
        <v>0</v>
      </c>
      <c r="E107">
        <f>Master_Data!E107</f>
        <v>1</v>
      </c>
      <c r="F107">
        <f>Master_Data!F107</f>
        <v>14</v>
      </c>
      <c r="G107" t="b">
        <f>Master_Data!G107</f>
        <v>0</v>
      </c>
      <c r="H107">
        <f>Master_Data!H107</f>
        <v>3</v>
      </c>
      <c r="I107">
        <f>Master_Data!I107</f>
        <v>1</v>
      </c>
      <c r="J107">
        <f>Master_Data!J107</f>
        <v>0.3</v>
      </c>
      <c r="K107">
        <f>Master_Data!K107</f>
        <v>0.28789999999999999</v>
      </c>
      <c r="L107">
        <f>Master_Data!L107</f>
        <v>0.28000000000000003</v>
      </c>
      <c r="M107">
        <f>Master_Data!M107</f>
        <v>0.19400000000000001</v>
      </c>
      <c r="N107">
        <f>Master_Data!N107</f>
        <v>10</v>
      </c>
      <c r="O107">
        <f>Master_Data!O107</f>
        <v>52</v>
      </c>
      <c r="P107">
        <f>Master_Data!P107</f>
        <v>62</v>
      </c>
      <c r="Q107" t="str">
        <f t="shared" si="6"/>
        <v>2011</v>
      </c>
      <c r="R107" t="str">
        <f t="shared" si="7"/>
        <v>January</v>
      </c>
      <c r="S107" t="str">
        <f t="shared" si="8"/>
        <v>Weekday</v>
      </c>
      <c r="T107" t="str">
        <f t="shared" si="9"/>
        <v>Afternoon</v>
      </c>
      <c r="U107" t="str">
        <f t="shared" si="10"/>
        <v>Spring</v>
      </c>
      <c r="V107" t="str">
        <f t="shared" si="11"/>
        <v>Clear</v>
      </c>
    </row>
    <row r="108" spans="1:22">
      <c r="A108">
        <f>Master_Data!A108</f>
        <v>107</v>
      </c>
      <c r="B108">
        <f>Master_Data!B108</f>
        <v>40548</v>
      </c>
      <c r="C108">
        <f>Master_Data!C108</f>
        <v>1</v>
      </c>
      <c r="D108">
        <f>Master_Data!D108</f>
        <v>0</v>
      </c>
      <c r="E108">
        <f>Master_Data!E108</f>
        <v>1</v>
      </c>
      <c r="F108">
        <f>Master_Data!F108</f>
        <v>15</v>
      </c>
      <c r="G108" t="b">
        <f>Master_Data!G108</f>
        <v>0</v>
      </c>
      <c r="H108">
        <f>Master_Data!H108</f>
        <v>3</v>
      </c>
      <c r="I108">
        <f>Master_Data!I108</f>
        <v>1</v>
      </c>
      <c r="J108">
        <f>Master_Data!J108</f>
        <v>0.3</v>
      </c>
      <c r="K108">
        <f>Master_Data!K108</f>
        <v>0.28789999999999999</v>
      </c>
      <c r="L108">
        <f>Master_Data!L108</f>
        <v>0.28000000000000003</v>
      </c>
      <c r="M108">
        <f>Master_Data!M108</f>
        <v>0.19400000000000001</v>
      </c>
      <c r="N108">
        <f>Master_Data!N108</f>
        <v>7</v>
      </c>
      <c r="O108">
        <f>Master_Data!O108</f>
        <v>55</v>
      </c>
      <c r="P108">
        <f>Master_Data!P108</f>
        <v>62</v>
      </c>
      <c r="Q108" t="str">
        <f t="shared" si="6"/>
        <v>2011</v>
      </c>
      <c r="R108" t="str">
        <f t="shared" si="7"/>
        <v>January</v>
      </c>
      <c r="S108" t="str">
        <f t="shared" si="8"/>
        <v>Weekday</v>
      </c>
      <c r="T108" t="str">
        <f t="shared" si="9"/>
        <v>Afternoon</v>
      </c>
      <c r="U108" t="str">
        <f t="shared" si="10"/>
        <v>Spring</v>
      </c>
      <c r="V108" t="str">
        <f t="shared" si="11"/>
        <v>Clear</v>
      </c>
    </row>
    <row r="109" spans="1:22">
      <c r="A109">
        <f>Master_Data!A109</f>
        <v>108</v>
      </c>
      <c r="B109">
        <f>Master_Data!B109</f>
        <v>40548</v>
      </c>
      <c r="C109">
        <f>Master_Data!C109</f>
        <v>1</v>
      </c>
      <c r="D109">
        <f>Master_Data!D109</f>
        <v>0</v>
      </c>
      <c r="E109">
        <f>Master_Data!E109</f>
        <v>1</v>
      </c>
      <c r="F109">
        <f>Master_Data!F109</f>
        <v>16</v>
      </c>
      <c r="G109" t="b">
        <f>Master_Data!G109</f>
        <v>0</v>
      </c>
      <c r="H109">
        <f>Master_Data!H109</f>
        <v>3</v>
      </c>
      <c r="I109">
        <f>Master_Data!I109</f>
        <v>1</v>
      </c>
      <c r="J109">
        <f>Master_Data!J109</f>
        <v>0.3</v>
      </c>
      <c r="K109">
        <f>Master_Data!K109</f>
        <v>0.31819999999999998</v>
      </c>
      <c r="L109">
        <f>Master_Data!L109</f>
        <v>0.28000000000000003</v>
      </c>
      <c r="M109">
        <f>Master_Data!M109</f>
        <v>8.9599999999999999E-2</v>
      </c>
      <c r="N109">
        <f>Master_Data!N109</f>
        <v>4</v>
      </c>
      <c r="O109">
        <f>Master_Data!O109</f>
        <v>85</v>
      </c>
      <c r="P109">
        <f>Master_Data!P109</f>
        <v>89</v>
      </c>
      <c r="Q109" t="str">
        <f t="shared" si="6"/>
        <v>2011</v>
      </c>
      <c r="R109" t="str">
        <f t="shared" si="7"/>
        <v>January</v>
      </c>
      <c r="S109" t="str">
        <f t="shared" si="8"/>
        <v>Weekday</v>
      </c>
      <c r="T109" t="str">
        <f t="shared" si="9"/>
        <v>Afternoon</v>
      </c>
      <c r="U109" t="str">
        <f t="shared" si="10"/>
        <v>Spring</v>
      </c>
      <c r="V109" t="str">
        <f t="shared" si="11"/>
        <v>Clear</v>
      </c>
    </row>
    <row r="110" spans="1:22">
      <c r="A110">
        <f>Master_Data!A110</f>
        <v>109</v>
      </c>
      <c r="B110">
        <f>Master_Data!B110</f>
        <v>40548</v>
      </c>
      <c r="C110">
        <f>Master_Data!C110</f>
        <v>1</v>
      </c>
      <c r="D110">
        <f>Master_Data!D110</f>
        <v>0</v>
      </c>
      <c r="E110">
        <f>Master_Data!E110</f>
        <v>1</v>
      </c>
      <c r="F110">
        <f>Master_Data!F110</f>
        <v>17</v>
      </c>
      <c r="G110" t="b">
        <f>Master_Data!G110</f>
        <v>0</v>
      </c>
      <c r="H110">
        <f>Master_Data!H110</f>
        <v>3</v>
      </c>
      <c r="I110">
        <f>Master_Data!I110</f>
        <v>1</v>
      </c>
      <c r="J110">
        <f>Master_Data!J110</f>
        <v>0.24</v>
      </c>
      <c r="K110">
        <f>Master_Data!K110</f>
        <v>0.2273</v>
      </c>
      <c r="L110">
        <f>Master_Data!L110</f>
        <v>0.38</v>
      </c>
      <c r="M110">
        <f>Master_Data!M110</f>
        <v>0.19400000000000001</v>
      </c>
      <c r="N110">
        <f>Master_Data!N110</f>
        <v>4</v>
      </c>
      <c r="O110">
        <f>Master_Data!O110</f>
        <v>186</v>
      </c>
      <c r="P110">
        <f>Master_Data!P110</f>
        <v>190</v>
      </c>
      <c r="Q110" t="str">
        <f t="shared" si="6"/>
        <v>2011</v>
      </c>
      <c r="R110" t="str">
        <f t="shared" si="7"/>
        <v>January</v>
      </c>
      <c r="S110" t="str">
        <f t="shared" si="8"/>
        <v>Weekday</v>
      </c>
      <c r="T110" t="str">
        <f t="shared" si="9"/>
        <v>Evening</v>
      </c>
      <c r="U110" t="str">
        <f t="shared" si="10"/>
        <v>Spring</v>
      </c>
      <c r="V110" t="str">
        <f t="shared" si="11"/>
        <v>Clear</v>
      </c>
    </row>
    <row r="111" spans="1:22">
      <c r="A111">
        <f>Master_Data!A111</f>
        <v>110</v>
      </c>
      <c r="B111">
        <f>Master_Data!B111</f>
        <v>40548</v>
      </c>
      <c r="C111">
        <f>Master_Data!C111</f>
        <v>1</v>
      </c>
      <c r="D111">
        <f>Master_Data!D111</f>
        <v>0</v>
      </c>
      <c r="E111">
        <f>Master_Data!E111</f>
        <v>1</v>
      </c>
      <c r="F111">
        <f>Master_Data!F111</f>
        <v>18</v>
      </c>
      <c r="G111" t="b">
        <f>Master_Data!G111</f>
        <v>0</v>
      </c>
      <c r="H111">
        <f>Master_Data!H111</f>
        <v>3</v>
      </c>
      <c r="I111">
        <f>Master_Data!I111</f>
        <v>1</v>
      </c>
      <c r="J111">
        <f>Master_Data!J111</f>
        <v>0.24</v>
      </c>
      <c r="K111">
        <f>Master_Data!K111</f>
        <v>0.2424</v>
      </c>
      <c r="L111">
        <f>Master_Data!L111</f>
        <v>0.38</v>
      </c>
      <c r="M111">
        <f>Master_Data!M111</f>
        <v>0.1343</v>
      </c>
      <c r="N111">
        <f>Master_Data!N111</f>
        <v>3</v>
      </c>
      <c r="O111">
        <f>Master_Data!O111</f>
        <v>166</v>
      </c>
      <c r="P111">
        <f>Master_Data!P111</f>
        <v>169</v>
      </c>
      <c r="Q111" t="str">
        <f t="shared" si="6"/>
        <v>2011</v>
      </c>
      <c r="R111" t="str">
        <f t="shared" si="7"/>
        <v>January</v>
      </c>
      <c r="S111" t="str">
        <f t="shared" si="8"/>
        <v>Weekday</v>
      </c>
      <c r="T111" t="str">
        <f t="shared" si="9"/>
        <v>Evening</v>
      </c>
      <c r="U111" t="str">
        <f t="shared" si="10"/>
        <v>Spring</v>
      </c>
      <c r="V111" t="str">
        <f t="shared" si="11"/>
        <v>Clear</v>
      </c>
    </row>
    <row r="112" spans="1:22">
      <c r="A112">
        <f>Master_Data!A112</f>
        <v>111</v>
      </c>
      <c r="B112">
        <f>Master_Data!B112</f>
        <v>40548</v>
      </c>
      <c r="C112">
        <f>Master_Data!C112</f>
        <v>1</v>
      </c>
      <c r="D112">
        <f>Master_Data!D112</f>
        <v>0</v>
      </c>
      <c r="E112">
        <f>Master_Data!E112</f>
        <v>1</v>
      </c>
      <c r="F112">
        <f>Master_Data!F112</f>
        <v>19</v>
      </c>
      <c r="G112" t="b">
        <f>Master_Data!G112</f>
        <v>0</v>
      </c>
      <c r="H112">
        <f>Master_Data!H112</f>
        <v>3</v>
      </c>
      <c r="I112">
        <f>Master_Data!I112</f>
        <v>1</v>
      </c>
      <c r="J112">
        <f>Master_Data!J112</f>
        <v>0.24</v>
      </c>
      <c r="K112">
        <f>Master_Data!K112</f>
        <v>0.2576</v>
      </c>
      <c r="L112">
        <f>Master_Data!L112</f>
        <v>0.38</v>
      </c>
      <c r="M112">
        <f>Master_Data!M112</f>
        <v>0.1045</v>
      </c>
      <c r="N112">
        <f>Master_Data!N112</f>
        <v>5</v>
      </c>
      <c r="O112">
        <f>Master_Data!O112</f>
        <v>127</v>
      </c>
      <c r="P112">
        <f>Master_Data!P112</f>
        <v>132</v>
      </c>
      <c r="Q112" t="str">
        <f t="shared" si="6"/>
        <v>2011</v>
      </c>
      <c r="R112" t="str">
        <f t="shared" si="7"/>
        <v>January</v>
      </c>
      <c r="S112" t="str">
        <f t="shared" si="8"/>
        <v>Weekday</v>
      </c>
      <c r="T112" t="str">
        <f t="shared" si="9"/>
        <v>Evening</v>
      </c>
      <c r="U112" t="str">
        <f t="shared" si="10"/>
        <v>Spring</v>
      </c>
      <c r="V112" t="str">
        <f t="shared" si="11"/>
        <v>Clear</v>
      </c>
    </row>
    <row r="113" spans="1:22">
      <c r="A113">
        <f>Master_Data!A113</f>
        <v>112</v>
      </c>
      <c r="B113">
        <f>Master_Data!B113</f>
        <v>40548</v>
      </c>
      <c r="C113">
        <f>Master_Data!C113</f>
        <v>1</v>
      </c>
      <c r="D113">
        <f>Master_Data!D113</f>
        <v>0</v>
      </c>
      <c r="E113">
        <f>Master_Data!E113</f>
        <v>1</v>
      </c>
      <c r="F113">
        <f>Master_Data!F113</f>
        <v>20</v>
      </c>
      <c r="G113" t="b">
        <f>Master_Data!G113</f>
        <v>0</v>
      </c>
      <c r="H113">
        <f>Master_Data!H113</f>
        <v>3</v>
      </c>
      <c r="I113">
        <f>Master_Data!I113</f>
        <v>1</v>
      </c>
      <c r="J113">
        <f>Master_Data!J113</f>
        <v>0.22</v>
      </c>
      <c r="K113">
        <f>Master_Data!K113</f>
        <v>0.2273</v>
      </c>
      <c r="L113">
        <f>Master_Data!L113</f>
        <v>0.47</v>
      </c>
      <c r="M113">
        <f>Master_Data!M113</f>
        <v>0.16420000000000001</v>
      </c>
      <c r="N113">
        <f>Master_Data!N113</f>
        <v>7</v>
      </c>
      <c r="O113">
        <f>Master_Data!O113</f>
        <v>82</v>
      </c>
      <c r="P113">
        <f>Master_Data!P113</f>
        <v>89</v>
      </c>
      <c r="Q113" t="str">
        <f t="shared" si="6"/>
        <v>2011</v>
      </c>
      <c r="R113" t="str">
        <f t="shared" si="7"/>
        <v>January</v>
      </c>
      <c r="S113" t="str">
        <f t="shared" si="8"/>
        <v>Weekday</v>
      </c>
      <c r="T113" t="str">
        <f t="shared" si="9"/>
        <v>Evening</v>
      </c>
      <c r="U113" t="str">
        <f t="shared" si="10"/>
        <v>Spring</v>
      </c>
      <c r="V113" t="str">
        <f t="shared" si="11"/>
        <v>Clear</v>
      </c>
    </row>
    <row r="114" spans="1:22">
      <c r="A114">
        <f>Master_Data!A114</f>
        <v>113</v>
      </c>
      <c r="B114">
        <f>Master_Data!B114</f>
        <v>40548</v>
      </c>
      <c r="C114">
        <f>Master_Data!C114</f>
        <v>1</v>
      </c>
      <c r="D114">
        <f>Master_Data!D114</f>
        <v>0</v>
      </c>
      <c r="E114">
        <f>Master_Data!E114</f>
        <v>1</v>
      </c>
      <c r="F114">
        <f>Master_Data!F114</f>
        <v>21</v>
      </c>
      <c r="G114" t="b">
        <f>Master_Data!G114</f>
        <v>0</v>
      </c>
      <c r="H114">
        <f>Master_Data!H114</f>
        <v>3</v>
      </c>
      <c r="I114">
        <f>Master_Data!I114</f>
        <v>1</v>
      </c>
      <c r="J114">
        <f>Master_Data!J114</f>
        <v>0.2</v>
      </c>
      <c r="K114">
        <f>Master_Data!K114</f>
        <v>0.19700000000000001</v>
      </c>
      <c r="L114">
        <f>Master_Data!L114</f>
        <v>0.51</v>
      </c>
      <c r="M114">
        <f>Master_Data!M114</f>
        <v>0.19400000000000001</v>
      </c>
      <c r="N114">
        <f>Master_Data!N114</f>
        <v>3</v>
      </c>
      <c r="O114">
        <f>Master_Data!O114</f>
        <v>40</v>
      </c>
      <c r="P114">
        <f>Master_Data!P114</f>
        <v>43</v>
      </c>
      <c r="Q114" t="str">
        <f t="shared" si="6"/>
        <v>2011</v>
      </c>
      <c r="R114" t="str">
        <f t="shared" si="7"/>
        <v>January</v>
      </c>
      <c r="S114" t="str">
        <f t="shared" si="8"/>
        <v>Weekday</v>
      </c>
      <c r="T114" t="str">
        <f t="shared" si="9"/>
        <v>Night</v>
      </c>
      <c r="U114" t="str">
        <f t="shared" si="10"/>
        <v>Spring</v>
      </c>
      <c r="V114" t="str">
        <f t="shared" si="11"/>
        <v>Clear</v>
      </c>
    </row>
    <row r="115" spans="1:22">
      <c r="A115">
        <f>Master_Data!A115</f>
        <v>114</v>
      </c>
      <c r="B115">
        <f>Master_Data!B115</f>
        <v>40548</v>
      </c>
      <c r="C115">
        <f>Master_Data!C115</f>
        <v>1</v>
      </c>
      <c r="D115">
        <f>Master_Data!D115</f>
        <v>0</v>
      </c>
      <c r="E115">
        <f>Master_Data!E115</f>
        <v>1</v>
      </c>
      <c r="F115">
        <f>Master_Data!F115</f>
        <v>22</v>
      </c>
      <c r="G115" t="b">
        <f>Master_Data!G115</f>
        <v>0</v>
      </c>
      <c r="H115">
        <f>Master_Data!H115</f>
        <v>3</v>
      </c>
      <c r="I115">
        <f>Master_Data!I115</f>
        <v>1</v>
      </c>
      <c r="J115">
        <f>Master_Data!J115</f>
        <v>0.18</v>
      </c>
      <c r="K115">
        <f>Master_Data!K115</f>
        <v>0.19700000000000001</v>
      </c>
      <c r="L115">
        <f>Master_Data!L115</f>
        <v>0.55000000000000004</v>
      </c>
      <c r="M115">
        <f>Master_Data!M115</f>
        <v>0.1343</v>
      </c>
      <c r="N115">
        <f>Master_Data!N115</f>
        <v>1</v>
      </c>
      <c r="O115">
        <f>Master_Data!O115</f>
        <v>41</v>
      </c>
      <c r="P115">
        <f>Master_Data!P115</f>
        <v>42</v>
      </c>
      <c r="Q115" t="str">
        <f t="shared" si="6"/>
        <v>2011</v>
      </c>
      <c r="R115" t="str">
        <f t="shared" si="7"/>
        <v>January</v>
      </c>
      <c r="S115" t="str">
        <f t="shared" si="8"/>
        <v>Weekday</v>
      </c>
      <c r="T115" t="str">
        <f t="shared" si="9"/>
        <v>Night</v>
      </c>
      <c r="U115" t="str">
        <f t="shared" si="10"/>
        <v>Spring</v>
      </c>
      <c r="V115" t="str">
        <f t="shared" si="11"/>
        <v>Clear</v>
      </c>
    </row>
    <row r="116" spans="1:22">
      <c r="A116">
        <f>Master_Data!A116</f>
        <v>115</v>
      </c>
      <c r="B116">
        <f>Master_Data!B116</f>
        <v>40548</v>
      </c>
      <c r="C116">
        <f>Master_Data!C116</f>
        <v>1</v>
      </c>
      <c r="D116">
        <f>Master_Data!D116</f>
        <v>0</v>
      </c>
      <c r="E116">
        <f>Master_Data!E116</f>
        <v>1</v>
      </c>
      <c r="F116">
        <f>Master_Data!F116</f>
        <v>23</v>
      </c>
      <c r="G116" t="b">
        <f>Master_Data!G116</f>
        <v>0</v>
      </c>
      <c r="H116">
        <f>Master_Data!H116</f>
        <v>3</v>
      </c>
      <c r="I116">
        <f>Master_Data!I116</f>
        <v>1</v>
      </c>
      <c r="J116">
        <f>Master_Data!J116</f>
        <v>0.2</v>
      </c>
      <c r="K116">
        <f>Master_Data!K116</f>
        <v>0.2576</v>
      </c>
      <c r="L116">
        <f>Master_Data!L116</f>
        <v>0.47</v>
      </c>
      <c r="M116">
        <f>Master_Data!M116</f>
        <v>0</v>
      </c>
      <c r="N116">
        <f>Master_Data!N116</f>
        <v>1</v>
      </c>
      <c r="O116">
        <f>Master_Data!O116</f>
        <v>18</v>
      </c>
      <c r="P116">
        <f>Master_Data!P116</f>
        <v>19</v>
      </c>
      <c r="Q116" t="str">
        <f t="shared" si="6"/>
        <v>2011</v>
      </c>
      <c r="R116" t="str">
        <f t="shared" si="7"/>
        <v>January</v>
      </c>
      <c r="S116" t="str">
        <f t="shared" si="8"/>
        <v>Weekday</v>
      </c>
      <c r="T116" t="str">
        <f t="shared" si="9"/>
        <v>Night</v>
      </c>
      <c r="U116" t="str">
        <f t="shared" si="10"/>
        <v>Spring</v>
      </c>
      <c r="V116" t="str">
        <f t="shared" si="11"/>
        <v>Clear</v>
      </c>
    </row>
    <row r="117" spans="1:22">
      <c r="A117">
        <f>Master_Data!A117</f>
        <v>116</v>
      </c>
      <c r="B117">
        <f>Master_Data!B117</f>
        <v>40549</v>
      </c>
      <c r="C117">
        <f>Master_Data!C117</f>
        <v>1</v>
      </c>
      <c r="D117">
        <f>Master_Data!D117</f>
        <v>0</v>
      </c>
      <c r="E117">
        <f>Master_Data!E117</f>
        <v>1</v>
      </c>
      <c r="F117">
        <f>Master_Data!F117</f>
        <v>0</v>
      </c>
      <c r="G117" t="b">
        <f>Master_Data!G117</f>
        <v>0</v>
      </c>
      <c r="H117">
        <f>Master_Data!H117</f>
        <v>4</v>
      </c>
      <c r="I117">
        <f>Master_Data!I117</f>
        <v>1</v>
      </c>
      <c r="J117">
        <f>Master_Data!J117</f>
        <v>0.18</v>
      </c>
      <c r="K117">
        <f>Master_Data!K117</f>
        <v>0.2424</v>
      </c>
      <c r="L117">
        <f>Master_Data!L117</f>
        <v>0.55000000000000004</v>
      </c>
      <c r="M117">
        <f>Master_Data!M117</f>
        <v>0</v>
      </c>
      <c r="N117">
        <f>Master_Data!N117</f>
        <v>0</v>
      </c>
      <c r="O117">
        <f>Master_Data!O117</f>
        <v>11</v>
      </c>
      <c r="P117">
        <f>Master_Data!P117</f>
        <v>11</v>
      </c>
      <c r="Q117" t="str">
        <f t="shared" si="6"/>
        <v>2011</v>
      </c>
      <c r="R117" t="str">
        <f t="shared" si="7"/>
        <v>January</v>
      </c>
      <c r="S117" t="str">
        <f t="shared" si="8"/>
        <v>Weekday</v>
      </c>
      <c r="T117" t="str">
        <f t="shared" si="9"/>
        <v>Night</v>
      </c>
      <c r="U117" t="str">
        <f t="shared" si="10"/>
        <v>Spring</v>
      </c>
      <c r="V117" t="str">
        <f t="shared" si="11"/>
        <v>Clear</v>
      </c>
    </row>
    <row r="118" spans="1:22">
      <c r="A118">
        <f>Master_Data!A118</f>
        <v>117</v>
      </c>
      <c r="B118">
        <f>Master_Data!B118</f>
        <v>40549</v>
      </c>
      <c r="C118">
        <f>Master_Data!C118</f>
        <v>1</v>
      </c>
      <c r="D118">
        <f>Master_Data!D118</f>
        <v>0</v>
      </c>
      <c r="E118">
        <f>Master_Data!E118</f>
        <v>1</v>
      </c>
      <c r="F118">
        <f>Master_Data!F118</f>
        <v>1</v>
      </c>
      <c r="G118" t="b">
        <f>Master_Data!G118</f>
        <v>0</v>
      </c>
      <c r="H118">
        <f>Master_Data!H118</f>
        <v>4</v>
      </c>
      <c r="I118">
        <f>Master_Data!I118</f>
        <v>1</v>
      </c>
      <c r="J118">
        <f>Master_Data!J118</f>
        <v>0.16</v>
      </c>
      <c r="K118">
        <f>Master_Data!K118</f>
        <v>0.2273</v>
      </c>
      <c r="L118">
        <f>Master_Data!L118</f>
        <v>0.64</v>
      </c>
      <c r="M118">
        <f>Master_Data!M118</f>
        <v>0</v>
      </c>
      <c r="N118">
        <f>Master_Data!N118</f>
        <v>0</v>
      </c>
      <c r="O118">
        <f>Master_Data!O118</f>
        <v>4</v>
      </c>
      <c r="P118">
        <f>Master_Data!P118</f>
        <v>4</v>
      </c>
      <c r="Q118" t="str">
        <f t="shared" si="6"/>
        <v>2011</v>
      </c>
      <c r="R118" t="str">
        <f t="shared" si="7"/>
        <v>January</v>
      </c>
      <c r="S118" t="str">
        <f t="shared" si="8"/>
        <v>Weekday</v>
      </c>
      <c r="T118" t="str">
        <f t="shared" si="9"/>
        <v>Night</v>
      </c>
      <c r="U118" t="str">
        <f t="shared" si="10"/>
        <v>Spring</v>
      </c>
      <c r="V118" t="str">
        <f t="shared" si="11"/>
        <v>Clear</v>
      </c>
    </row>
    <row r="119" spans="1:22">
      <c r="A119">
        <f>Master_Data!A119</f>
        <v>118</v>
      </c>
      <c r="B119">
        <f>Master_Data!B119</f>
        <v>40549</v>
      </c>
      <c r="C119">
        <f>Master_Data!C119</f>
        <v>1</v>
      </c>
      <c r="D119">
        <f>Master_Data!D119</f>
        <v>0</v>
      </c>
      <c r="E119">
        <f>Master_Data!E119</f>
        <v>1</v>
      </c>
      <c r="F119">
        <f>Master_Data!F119</f>
        <v>2</v>
      </c>
      <c r="G119" t="b">
        <f>Master_Data!G119</f>
        <v>0</v>
      </c>
      <c r="H119">
        <f>Master_Data!H119</f>
        <v>4</v>
      </c>
      <c r="I119">
        <f>Master_Data!I119</f>
        <v>1</v>
      </c>
      <c r="J119">
        <f>Master_Data!J119</f>
        <v>0.16</v>
      </c>
      <c r="K119">
        <f>Master_Data!K119</f>
        <v>0.2273</v>
      </c>
      <c r="L119">
        <f>Master_Data!L119</f>
        <v>0.64</v>
      </c>
      <c r="M119">
        <f>Master_Data!M119</f>
        <v>0</v>
      </c>
      <c r="N119">
        <f>Master_Data!N119</f>
        <v>0</v>
      </c>
      <c r="O119">
        <f>Master_Data!O119</f>
        <v>2</v>
      </c>
      <c r="P119">
        <f>Master_Data!P119</f>
        <v>2</v>
      </c>
      <c r="Q119" t="str">
        <f t="shared" si="6"/>
        <v>2011</v>
      </c>
      <c r="R119" t="str">
        <f t="shared" si="7"/>
        <v>January</v>
      </c>
      <c r="S119" t="str">
        <f t="shared" si="8"/>
        <v>Weekday</v>
      </c>
      <c r="T119" t="str">
        <f t="shared" si="9"/>
        <v>Night</v>
      </c>
      <c r="U119" t="str">
        <f t="shared" si="10"/>
        <v>Spring</v>
      </c>
      <c r="V119" t="str">
        <f t="shared" si="11"/>
        <v>Clear</v>
      </c>
    </row>
    <row r="120" spans="1:22">
      <c r="A120">
        <f>Master_Data!A120</f>
        <v>119</v>
      </c>
      <c r="B120">
        <f>Master_Data!B120</f>
        <v>40549</v>
      </c>
      <c r="C120">
        <f>Master_Data!C120</f>
        <v>1</v>
      </c>
      <c r="D120">
        <f>Master_Data!D120</f>
        <v>0</v>
      </c>
      <c r="E120">
        <f>Master_Data!E120</f>
        <v>1</v>
      </c>
      <c r="F120">
        <f>Master_Data!F120</f>
        <v>4</v>
      </c>
      <c r="G120" t="b">
        <f>Master_Data!G120</f>
        <v>0</v>
      </c>
      <c r="H120">
        <f>Master_Data!H120</f>
        <v>4</v>
      </c>
      <c r="I120">
        <f>Master_Data!I120</f>
        <v>2</v>
      </c>
      <c r="J120">
        <f>Master_Data!J120</f>
        <v>0.16</v>
      </c>
      <c r="K120">
        <f>Master_Data!K120</f>
        <v>0.19700000000000001</v>
      </c>
      <c r="L120">
        <f>Master_Data!L120</f>
        <v>0.64</v>
      </c>
      <c r="M120">
        <f>Master_Data!M120</f>
        <v>8.9599999999999999E-2</v>
      </c>
      <c r="N120">
        <f>Master_Data!N120</f>
        <v>0</v>
      </c>
      <c r="O120">
        <f>Master_Data!O120</f>
        <v>1</v>
      </c>
      <c r="P120">
        <f>Master_Data!P120</f>
        <v>1</v>
      </c>
      <c r="Q120" t="str">
        <f t="shared" si="6"/>
        <v>2011</v>
      </c>
      <c r="R120" t="str">
        <f t="shared" si="7"/>
        <v>January</v>
      </c>
      <c r="S120" t="str">
        <f t="shared" si="8"/>
        <v>Weekday</v>
      </c>
      <c r="T120" t="str">
        <f t="shared" si="9"/>
        <v>Night</v>
      </c>
      <c r="U120" t="str">
        <f t="shared" si="10"/>
        <v>Spring</v>
      </c>
      <c r="V120" t="str">
        <f t="shared" si="11"/>
        <v>Mist/Cloudy</v>
      </c>
    </row>
    <row r="121" spans="1:22">
      <c r="A121">
        <f>Master_Data!A121</f>
        <v>120</v>
      </c>
      <c r="B121">
        <f>Master_Data!B121</f>
        <v>40549</v>
      </c>
      <c r="C121">
        <f>Master_Data!C121</f>
        <v>1</v>
      </c>
      <c r="D121">
        <f>Master_Data!D121</f>
        <v>0</v>
      </c>
      <c r="E121">
        <f>Master_Data!E121</f>
        <v>1</v>
      </c>
      <c r="F121">
        <f>Master_Data!F121</f>
        <v>5</v>
      </c>
      <c r="G121" t="b">
        <f>Master_Data!G121</f>
        <v>0</v>
      </c>
      <c r="H121">
        <f>Master_Data!H121</f>
        <v>4</v>
      </c>
      <c r="I121">
        <f>Master_Data!I121</f>
        <v>2</v>
      </c>
      <c r="J121">
        <f>Master_Data!J121</f>
        <v>0.14000000000000001</v>
      </c>
      <c r="K121">
        <f>Master_Data!K121</f>
        <v>0.18179999999999999</v>
      </c>
      <c r="L121">
        <f>Master_Data!L121</f>
        <v>0.69</v>
      </c>
      <c r="M121">
        <f>Master_Data!M121</f>
        <v>8.9599999999999999E-2</v>
      </c>
      <c r="N121">
        <f>Master_Data!N121</f>
        <v>0</v>
      </c>
      <c r="O121">
        <f>Master_Data!O121</f>
        <v>4</v>
      </c>
      <c r="P121">
        <f>Master_Data!P121</f>
        <v>4</v>
      </c>
      <c r="Q121" t="str">
        <f t="shared" si="6"/>
        <v>2011</v>
      </c>
      <c r="R121" t="str">
        <f t="shared" si="7"/>
        <v>January</v>
      </c>
      <c r="S121" t="str">
        <f t="shared" si="8"/>
        <v>Weekday</v>
      </c>
      <c r="T121" t="str">
        <f t="shared" si="9"/>
        <v>Night</v>
      </c>
      <c r="U121" t="str">
        <f t="shared" si="10"/>
        <v>Spring</v>
      </c>
      <c r="V121" t="str">
        <f t="shared" si="11"/>
        <v>Mist/Cloudy</v>
      </c>
    </row>
    <row r="122" spans="1:22">
      <c r="A122">
        <f>Master_Data!A122</f>
        <v>121</v>
      </c>
      <c r="B122">
        <f>Master_Data!B122</f>
        <v>40549</v>
      </c>
      <c r="C122">
        <f>Master_Data!C122</f>
        <v>1</v>
      </c>
      <c r="D122">
        <f>Master_Data!D122</f>
        <v>0</v>
      </c>
      <c r="E122">
        <f>Master_Data!E122</f>
        <v>1</v>
      </c>
      <c r="F122">
        <f>Master_Data!F122</f>
        <v>6</v>
      </c>
      <c r="G122" t="b">
        <f>Master_Data!G122</f>
        <v>0</v>
      </c>
      <c r="H122">
        <f>Master_Data!H122</f>
        <v>4</v>
      </c>
      <c r="I122">
        <f>Master_Data!I122</f>
        <v>2</v>
      </c>
      <c r="J122">
        <f>Master_Data!J122</f>
        <v>0.14000000000000001</v>
      </c>
      <c r="K122">
        <f>Master_Data!K122</f>
        <v>0.16669999999999999</v>
      </c>
      <c r="L122">
        <f>Master_Data!L122</f>
        <v>0.63</v>
      </c>
      <c r="M122">
        <f>Master_Data!M122</f>
        <v>0.1045</v>
      </c>
      <c r="N122">
        <f>Master_Data!N122</f>
        <v>0</v>
      </c>
      <c r="O122">
        <f>Master_Data!O122</f>
        <v>36</v>
      </c>
      <c r="P122">
        <f>Master_Data!P122</f>
        <v>36</v>
      </c>
      <c r="Q122" t="str">
        <f t="shared" si="6"/>
        <v>2011</v>
      </c>
      <c r="R122" t="str">
        <f t="shared" si="7"/>
        <v>January</v>
      </c>
      <c r="S122" t="str">
        <f t="shared" si="8"/>
        <v>Weekday</v>
      </c>
      <c r="T122" t="str">
        <f t="shared" si="9"/>
        <v>Morning</v>
      </c>
      <c r="U122" t="str">
        <f t="shared" si="10"/>
        <v>Spring</v>
      </c>
      <c r="V122" t="str">
        <f t="shared" si="11"/>
        <v>Mist/Cloudy</v>
      </c>
    </row>
    <row r="123" spans="1:22">
      <c r="A123">
        <f>Master_Data!A123</f>
        <v>122</v>
      </c>
      <c r="B123">
        <f>Master_Data!B123</f>
        <v>40549</v>
      </c>
      <c r="C123">
        <f>Master_Data!C123</f>
        <v>1</v>
      </c>
      <c r="D123">
        <f>Master_Data!D123</f>
        <v>0</v>
      </c>
      <c r="E123">
        <f>Master_Data!E123</f>
        <v>1</v>
      </c>
      <c r="F123">
        <f>Master_Data!F123</f>
        <v>7</v>
      </c>
      <c r="G123" t="b">
        <f>Master_Data!G123</f>
        <v>0</v>
      </c>
      <c r="H123">
        <f>Master_Data!H123</f>
        <v>4</v>
      </c>
      <c r="I123">
        <f>Master_Data!I123</f>
        <v>2</v>
      </c>
      <c r="J123">
        <f>Master_Data!J123</f>
        <v>0.16</v>
      </c>
      <c r="K123">
        <f>Master_Data!K123</f>
        <v>0.2273</v>
      </c>
      <c r="L123">
        <f>Master_Data!L123</f>
        <v>0.59</v>
      </c>
      <c r="M123">
        <f>Master_Data!M123</f>
        <v>0</v>
      </c>
      <c r="N123">
        <f>Master_Data!N123</f>
        <v>0</v>
      </c>
      <c r="O123">
        <f>Master_Data!O123</f>
        <v>95</v>
      </c>
      <c r="P123">
        <f>Master_Data!P123</f>
        <v>95</v>
      </c>
      <c r="Q123" t="str">
        <f t="shared" si="6"/>
        <v>2011</v>
      </c>
      <c r="R123" t="str">
        <f t="shared" si="7"/>
        <v>January</v>
      </c>
      <c r="S123" t="str">
        <f t="shared" si="8"/>
        <v>Weekday</v>
      </c>
      <c r="T123" t="str">
        <f t="shared" si="9"/>
        <v>Morning</v>
      </c>
      <c r="U123" t="str">
        <f t="shared" si="10"/>
        <v>Spring</v>
      </c>
      <c r="V123" t="str">
        <f t="shared" si="11"/>
        <v>Mist/Cloudy</v>
      </c>
    </row>
    <row r="124" spans="1:22">
      <c r="A124">
        <f>Master_Data!A124</f>
        <v>123</v>
      </c>
      <c r="B124">
        <f>Master_Data!B124</f>
        <v>40549</v>
      </c>
      <c r="C124">
        <f>Master_Data!C124</f>
        <v>1</v>
      </c>
      <c r="D124">
        <f>Master_Data!D124</f>
        <v>0</v>
      </c>
      <c r="E124">
        <f>Master_Data!E124</f>
        <v>1</v>
      </c>
      <c r="F124">
        <f>Master_Data!F124</f>
        <v>8</v>
      </c>
      <c r="G124" t="b">
        <f>Master_Data!G124</f>
        <v>0</v>
      </c>
      <c r="H124">
        <f>Master_Data!H124</f>
        <v>4</v>
      </c>
      <c r="I124">
        <f>Master_Data!I124</f>
        <v>1</v>
      </c>
      <c r="J124">
        <f>Master_Data!J124</f>
        <v>0.16</v>
      </c>
      <c r="K124">
        <f>Master_Data!K124</f>
        <v>0.2273</v>
      </c>
      <c r="L124">
        <f>Master_Data!L124</f>
        <v>0.59</v>
      </c>
      <c r="M124">
        <f>Master_Data!M124</f>
        <v>0</v>
      </c>
      <c r="N124">
        <f>Master_Data!N124</f>
        <v>3</v>
      </c>
      <c r="O124">
        <f>Master_Data!O124</f>
        <v>216</v>
      </c>
      <c r="P124">
        <f>Master_Data!P124</f>
        <v>219</v>
      </c>
      <c r="Q124" t="str">
        <f t="shared" si="6"/>
        <v>2011</v>
      </c>
      <c r="R124" t="str">
        <f t="shared" si="7"/>
        <v>January</v>
      </c>
      <c r="S124" t="str">
        <f t="shared" si="8"/>
        <v>Weekday</v>
      </c>
      <c r="T124" t="str">
        <f t="shared" si="9"/>
        <v>Morning</v>
      </c>
      <c r="U124" t="str">
        <f t="shared" si="10"/>
        <v>Spring</v>
      </c>
      <c r="V124" t="str">
        <f t="shared" si="11"/>
        <v>Clear</v>
      </c>
    </row>
    <row r="125" spans="1:22">
      <c r="A125">
        <f>Master_Data!A125</f>
        <v>124</v>
      </c>
      <c r="B125">
        <f>Master_Data!B125</f>
        <v>40549</v>
      </c>
      <c r="C125">
        <f>Master_Data!C125</f>
        <v>1</v>
      </c>
      <c r="D125">
        <f>Master_Data!D125</f>
        <v>0</v>
      </c>
      <c r="E125">
        <f>Master_Data!E125</f>
        <v>1</v>
      </c>
      <c r="F125">
        <f>Master_Data!F125</f>
        <v>9</v>
      </c>
      <c r="G125" t="b">
        <f>Master_Data!G125</f>
        <v>0</v>
      </c>
      <c r="H125">
        <f>Master_Data!H125</f>
        <v>4</v>
      </c>
      <c r="I125">
        <f>Master_Data!I125</f>
        <v>2</v>
      </c>
      <c r="J125">
        <f>Master_Data!J125</f>
        <v>0.18</v>
      </c>
      <c r="K125">
        <f>Master_Data!K125</f>
        <v>0.2424</v>
      </c>
      <c r="L125">
        <f>Master_Data!L125</f>
        <v>0.51</v>
      </c>
      <c r="M125">
        <f>Master_Data!M125</f>
        <v>0</v>
      </c>
      <c r="N125">
        <f>Master_Data!N125</f>
        <v>6</v>
      </c>
      <c r="O125">
        <f>Master_Data!O125</f>
        <v>116</v>
      </c>
      <c r="P125">
        <f>Master_Data!P125</f>
        <v>122</v>
      </c>
      <c r="Q125" t="str">
        <f t="shared" si="6"/>
        <v>2011</v>
      </c>
      <c r="R125" t="str">
        <f t="shared" si="7"/>
        <v>January</v>
      </c>
      <c r="S125" t="str">
        <f t="shared" si="8"/>
        <v>Weekday</v>
      </c>
      <c r="T125" t="str">
        <f t="shared" si="9"/>
        <v>Morning</v>
      </c>
      <c r="U125" t="str">
        <f t="shared" si="10"/>
        <v>Spring</v>
      </c>
      <c r="V125" t="str">
        <f t="shared" si="11"/>
        <v>Mist/Cloudy</v>
      </c>
    </row>
    <row r="126" spans="1:22">
      <c r="A126">
        <f>Master_Data!A126</f>
        <v>125</v>
      </c>
      <c r="B126">
        <f>Master_Data!B126</f>
        <v>40549</v>
      </c>
      <c r="C126">
        <f>Master_Data!C126</f>
        <v>1</v>
      </c>
      <c r="D126">
        <f>Master_Data!D126</f>
        <v>0</v>
      </c>
      <c r="E126">
        <f>Master_Data!E126</f>
        <v>1</v>
      </c>
      <c r="F126">
        <f>Master_Data!F126</f>
        <v>10</v>
      </c>
      <c r="G126" t="b">
        <f>Master_Data!G126</f>
        <v>0</v>
      </c>
      <c r="H126">
        <f>Master_Data!H126</f>
        <v>4</v>
      </c>
      <c r="I126">
        <f>Master_Data!I126</f>
        <v>1</v>
      </c>
      <c r="J126">
        <f>Master_Data!J126</f>
        <v>0.2</v>
      </c>
      <c r="K126">
        <f>Master_Data!K126</f>
        <v>0.2576</v>
      </c>
      <c r="L126">
        <f>Master_Data!L126</f>
        <v>0.47</v>
      </c>
      <c r="M126">
        <f>Master_Data!M126</f>
        <v>0</v>
      </c>
      <c r="N126">
        <f>Master_Data!N126</f>
        <v>3</v>
      </c>
      <c r="O126">
        <f>Master_Data!O126</f>
        <v>42</v>
      </c>
      <c r="P126">
        <f>Master_Data!P126</f>
        <v>45</v>
      </c>
      <c r="Q126" t="str">
        <f t="shared" si="6"/>
        <v>2011</v>
      </c>
      <c r="R126" t="str">
        <f t="shared" si="7"/>
        <v>January</v>
      </c>
      <c r="S126" t="str">
        <f t="shared" si="8"/>
        <v>Weekday</v>
      </c>
      <c r="T126" t="str">
        <f t="shared" si="9"/>
        <v>Morning</v>
      </c>
      <c r="U126" t="str">
        <f t="shared" si="10"/>
        <v>Spring</v>
      </c>
      <c r="V126" t="str">
        <f t="shared" si="11"/>
        <v>Clear</v>
      </c>
    </row>
    <row r="127" spans="1:22">
      <c r="A127">
        <f>Master_Data!A127</f>
        <v>126</v>
      </c>
      <c r="B127">
        <f>Master_Data!B127</f>
        <v>40549</v>
      </c>
      <c r="C127">
        <f>Master_Data!C127</f>
        <v>1</v>
      </c>
      <c r="D127">
        <f>Master_Data!D127</f>
        <v>0</v>
      </c>
      <c r="E127">
        <f>Master_Data!E127</f>
        <v>1</v>
      </c>
      <c r="F127">
        <f>Master_Data!F127</f>
        <v>11</v>
      </c>
      <c r="G127" t="b">
        <f>Master_Data!G127</f>
        <v>0</v>
      </c>
      <c r="H127">
        <f>Master_Data!H127</f>
        <v>4</v>
      </c>
      <c r="I127">
        <f>Master_Data!I127</f>
        <v>1</v>
      </c>
      <c r="J127">
        <f>Master_Data!J127</f>
        <v>0.22</v>
      </c>
      <c r="K127">
        <f>Master_Data!K127</f>
        <v>0.2576</v>
      </c>
      <c r="L127">
        <f>Master_Data!L127</f>
        <v>0.44</v>
      </c>
      <c r="M127">
        <f>Master_Data!M127</f>
        <v>8.9599999999999999E-2</v>
      </c>
      <c r="N127">
        <f>Master_Data!N127</f>
        <v>2</v>
      </c>
      <c r="O127">
        <f>Master_Data!O127</f>
        <v>57</v>
      </c>
      <c r="P127">
        <f>Master_Data!P127</f>
        <v>59</v>
      </c>
      <c r="Q127" t="str">
        <f t="shared" si="6"/>
        <v>2011</v>
      </c>
      <c r="R127" t="str">
        <f t="shared" si="7"/>
        <v>January</v>
      </c>
      <c r="S127" t="str">
        <f t="shared" si="8"/>
        <v>Weekday</v>
      </c>
      <c r="T127" t="str">
        <f t="shared" si="9"/>
        <v>Morning</v>
      </c>
      <c r="U127" t="str">
        <f t="shared" si="10"/>
        <v>Spring</v>
      </c>
      <c r="V127" t="str">
        <f t="shared" si="11"/>
        <v>Clear</v>
      </c>
    </row>
    <row r="128" spans="1:22">
      <c r="A128">
        <f>Master_Data!A128</f>
        <v>127</v>
      </c>
      <c r="B128">
        <f>Master_Data!B128</f>
        <v>40549</v>
      </c>
      <c r="C128">
        <f>Master_Data!C128</f>
        <v>1</v>
      </c>
      <c r="D128">
        <f>Master_Data!D128</f>
        <v>0</v>
      </c>
      <c r="E128">
        <f>Master_Data!E128</f>
        <v>1</v>
      </c>
      <c r="F128">
        <f>Master_Data!F128</f>
        <v>12</v>
      </c>
      <c r="G128" t="b">
        <f>Master_Data!G128</f>
        <v>0</v>
      </c>
      <c r="H128">
        <f>Master_Data!H128</f>
        <v>4</v>
      </c>
      <c r="I128">
        <f>Master_Data!I128</f>
        <v>1</v>
      </c>
      <c r="J128">
        <f>Master_Data!J128</f>
        <v>0.26</v>
      </c>
      <c r="K128">
        <f>Master_Data!K128</f>
        <v>0.28789999999999999</v>
      </c>
      <c r="L128">
        <f>Master_Data!L128</f>
        <v>0.35</v>
      </c>
      <c r="M128">
        <f>Master_Data!M128</f>
        <v>0</v>
      </c>
      <c r="N128">
        <f>Master_Data!N128</f>
        <v>6</v>
      </c>
      <c r="O128">
        <f>Master_Data!O128</f>
        <v>78</v>
      </c>
      <c r="P128">
        <f>Master_Data!P128</f>
        <v>84</v>
      </c>
      <c r="Q128" t="str">
        <f t="shared" si="6"/>
        <v>2011</v>
      </c>
      <c r="R128" t="str">
        <f t="shared" si="7"/>
        <v>January</v>
      </c>
      <c r="S128" t="str">
        <f t="shared" si="8"/>
        <v>Weekday</v>
      </c>
      <c r="T128" t="str">
        <f t="shared" si="9"/>
        <v>Afternoon</v>
      </c>
      <c r="U128" t="str">
        <f t="shared" si="10"/>
        <v>Spring</v>
      </c>
      <c r="V128" t="str">
        <f t="shared" si="11"/>
        <v>Clear</v>
      </c>
    </row>
    <row r="129" spans="1:22">
      <c r="A129">
        <f>Master_Data!A129</f>
        <v>128</v>
      </c>
      <c r="B129">
        <f>Master_Data!B129</f>
        <v>40549</v>
      </c>
      <c r="C129">
        <f>Master_Data!C129</f>
        <v>1</v>
      </c>
      <c r="D129">
        <f>Master_Data!D129</f>
        <v>0</v>
      </c>
      <c r="E129">
        <f>Master_Data!E129</f>
        <v>1</v>
      </c>
      <c r="F129">
        <f>Master_Data!F129</f>
        <v>13</v>
      </c>
      <c r="G129" t="b">
        <f>Master_Data!G129</f>
        <v>0</v>
      </c>
      <c r="H129">
        <f>Master_Data!H129</f>
        <v>4</v>
      </c>
      <c r="I129">
        <f>Master_Data!I129</f>
        <v>1</v>
      </c>
      <c r="J129">
        <f>Master_Data!J129</f>
        <v>0.26</v>
      </c>
      <c r="K129">
        <f>Master_Data!K129</f>
        <v>0.2727</v>
      </c>
      <c r="L129">
        <f>Master_Data!L129</f>
        <v>0.35</v>
      </c>
      <c r="M129">
        <f>Master_Data!M129</f>
        <v>0.1045</v>
      </c>
      <c r="N129">
        <f>Master_Data!N129</f>
        <v>12</v>
      </c>
      <c r="O129">
        <f>Master_Data!O129</f>
        <v>55</v>
      </c>
      <c r="P129">
        <f>Master_Data!P129</f>
        <v>67</v>
      </c>
      <c r="Q129" t="str">
        <f t="shared" si="6"/>
        <v>2011</v>
      </c>
      <c r="R129" t="str">
        <f t="shared" si="7"/>
        <v>January</v>
      </c>
      <c r="S129" t="str">
        <f t="shared" si="8"/>
        <v>Weekday</v>
      </c>
      <c r="T129" t="str">
        <f t="shared" si="9"/>
        <v>Afternoon</v>
      </c>
      <c r="U129" t="str">
        <f t="shared" si="10"/>
        <v>Spring</v>
      </c>
      <c r="V129" t="str">
        <f t="shared" si="11"/>
        <v>Clear</v>
      </c>
    </row>
    <row r="130" spans="1:22">
      <c r="A130">
        <f>Master_Data!A130</f>
        <v>129</v>
      </c>
      <c r="B130">
        <f>Master_Data!B130</f>
        <v>40549</v>
      </c>
      <c r="C130">
        <f>Master_Data!C130</f>
        <v>1</v>
      </c>
      <c r="D130">
        <f>Master_Data!D130</f>
        <v>0</v>
      </c>
      <c r="E130">
        <f>Master_Data!E130</f>
        <v>1</v>
      </c>
      <c r="F130">
        <f>Master_Data!F130</f>
        <v>14</v>
      </c>
      <c r="G130" t="b">
        <f>Master_Data!G130</f>
        <v>0</v>
      </c>
      <c r="H130">
        <f>Master_Data!H130</f>
        <v>4</v>
      </c>
      <c r="I130">
        <f>Master_Data!I130</f>
        <v>1</v>
      </c>
      <c r="J130">
        <f>Master_Data!J130</f>
        <v>0.28000000000000003</v>
      </c>
      <c r="K130">
        <f>Master_Data!K130</f>
        <v>0.2727</v>
      </c>
      <c r="L130">
        <f>Master_Data!L130</f>
        <v>0.36</v>
      </c>
      <c r="M130">
        <f>Master_Data!M130</f>
        <v>0.16420000000000001</v>
      </c>
      <c r="N130">
        <f>Master_Data!N130</f>
        <v>11</v>
      </c>
      <c r="O130">
        <f>Master_Data!O130</f>
        <v>59</v>
      </c>
      <c r="P130">
        <f>Master_Data!P130</f>
        <v>70</v>
      </c>
      <c r="Q130" t="str">
        <f t="shared" ref="Q130:Q193" si="12">IF(D130=0,"2011","2012")</f>
        <v>2011</v>
      </c>
      <c r="R130" t="str">
        <f t="shared" ref="R130:R193" si="13">TEXT(B130,"mmmm")</f>
        <v>January</v>
      </c>
      <c r="S130" t="str">
        <f t="shared" ref="S130:S193" si="14">IF(G130=TRUE,"Holiday",IF(H130=0,"Sunday",IF(H130=6,"Saturday","Weekday")))</f>
        <v>Weekday</v>
      </c>
      <c r="T130" t="str">
        <f t="shared" ref="T130:T193" si="15">IF(F130&lt;6,"Night",IF(F130&lt;12,"Morning",IF(F130&lt;17,"Afternoon",IF(F130&lt;21,"Evening","Night"))))</f>
        <v>Afternoon</v>
      </c>
      <c r="U130" t="str">
        <f t="shared" ref="U130:U193" si="16">CHOOSE(C130,"Spring","Summer","Fall","Winter")</f>
        <v>Spring</v>
      </c>
      <c r="V130" t="str">
        <f t="shared" ref="V130:V193" si="17">CHOOSE(I130,"Clear","Mist/Cloudy","Light Rain/Snow","Heavy Rain/Snow")</f>
        <v>Clear</v>
      </c>
    </row>
    <row r="131" spans="1:22">
      <c r="A131">
        <f>Master_Data!A131</f>
        <v>130</v>
      </c>
      <c r="B131">
        <f>Master_Data!B131</f>
        <v>40549</v>
      </c>
      <c r="C131">
        <f>Master_Data!C131</f>
        <v>1</v>
      </c>
      <c r="D131">
        <f>Master_Data!D131</f>
        <v>0</v>
      </c>
      <c r="E131">
        <f>Master_Data!E131</f>
        <v>1</v>
      </c>
      <c r="F131">
        <f>Master_Data!F131</f>
        <v>15</v>
      </c>
      <c r="G131" t="b">
        <f>Master_Data!G131</f>
        <v>0</v>
      </c>
      <c r="H131">
        <f>Master_Data!H131</f>
        <v>4</v>
      </c>
      <c r="I131">
        <f>Master_Data!I131</f>
        <v>1</v>
      </c>
      <c r="J131">
        <f>Master_Data!J131</f>
        <v>0.28000000000000003</v>
      </c>
      <c r="K131">
        <f>Master_Data!K131</f>
        <v>0.2727</v>
      </c>
      <c r="L131">
        <f>Master_Data!L131</f>
        <v>0.36</v>
      </c>
      <c r="M131">
        <f>Master_Data!M131</f>
        <v>0</v>
      </c>
      <c r="N131">
        <f>Master_Data!N131</f>
        <v>8</v>
      </c>
      <c r="O131">
        <f>Master_Data!O131</f>
        <v>54</v>
      </c>
      <c r="P131">
        <f>Master_Data!P131</f>
        <v>62</v>
      </c>
      <c r="Q131" t="str">
        <f t="shared" si="12"/>
        <v>2011</v>
      </c>
      <c r="R131" t="str">
        <f t="shared" si="13"/>
        <v>January</v>
      </c>
      <c r="S131" t="str">
        <f t="shared" si="14"/>
        <v>Weekday</v>
      </c>
      <c r="T131" t="str">
        <f t="shared" si="15"/>
        <v>Afternoon</v>
      </c>
      <c r="U131" t="str">
        <f t="shared" si="16"/>
        <v>Spring</v>
      </c>
      <c r="V131" t="str">
        <f t="shared" si="17"/>
        <v>Clear</v>
      </c>
    </row>
    <row r="132" spans="1:22">
      <c r="A132">
        <f>Master_Data!A132</f>
        <v>131</v>
      </c>
      <c r="B132">
        <f>Master_Data!B132</f>
        <v>40549</v>
      </c>
      <c r="C132">
        <f>Master_Data!C132</f>
        <v>1</v>
      </c>
      <c r="D132">
        <f>Master_Data!D132</f>
        <v>0</v>
      </c>
      <c r="E132">
        <f>Master_Data!E132</f>
        <v>1</v>
      </c>
      <c r="F132">
        <f>Master_Data!F132</f>
        <v>16</v>
      </c>
      <c r="G132" t="b">
        <f>Master_Data!G132</f>
        <v>0</v>
      </c>
      <c r="H132">
        <f>Master_Data!H132</f>
        <v>4</v>
      </c>
      <c r="I132">
        <f>Master_Data!I132</f>
        <v>1</v>
      </c>
      <c r="J132">
        <f>Master_Data!J132</f>
        <v>0.26</v>
      </c>
      <c r="K132">
        <f>Master_Data!K132</f>
        <v>0.2576</v>
      </c>
      <c r="L132">
        <f>Master_Data!L132</f>
        <v>0.38</v>
      </c>
      <c r="M132">
        <f>Master_Data!M132</f>
        <v>0.16420000000000001</v>
      </c>
      <c r="N132">
        <f>Master_Data!N132</f>
        <v>12</v>
      </c>
      <c r="O132">
        <f>Master_Data!O132</f>
        <v>74</v>
      </c>
      <c r="P132">
        <f>Master_Data!P132</f>
        <v>86</v>
      </c>
      <c r="Q132" t="str">
        <f t="shared" si="12"/>
        <v>2011</v>
      </c>
      <c r="R132" t="str">
        <f t="shared" si="13"/>
        <v>January</v>
      </c>
      <c r="S132" t="str">
        <f t="shared" si="14"/>
        <v>Weekday</v>
      </c>
      <c r="T132" t="str">
        <f t="shared" si="15"/>
        <v>Afternoon</v>
      </c>
      <c r="U132" t="str">
        <f t="shared" si="16"/>
        <v>Spring</v>
      </c>
      <c r="V132" t="str">
        <f t="shared" si="17"/>
        <v>Clear</v>
      </c>
    </row>
    <row r="133" spans="1:22">
      <c r="A133">
        <f>Master_Data!A133</f>
        <v>132</v>
      </c>
      <c r="B133">
        <f>Master_Data!B133</f>
        <v>40549</v>
      </c>
      <c r="C133">
        <f>Master_Data!C133</f>
        <v>1</v>
      </c>
      <c r="D133">
        <f>Master_Data!D133</f>
        <v>0</v>
      </c>
      <c r="E133">
        <f>Master_Data!E133</f>
        <v>1</v>
      </c>
      <c r="F133">
        <f>Master_Data!F133</f>
        <v>17</v>
      </c>
      <c r="G133" t="b">
        <f>Master_Data!G133</f>
        <v>0</v>
      </c>
      <c r="H133">
        <f>Master_Data!H133</f>
        <v>4</v>
      </c>
      <c r="I133">
        <f>Master_Data!I133</f>
        <v>1</v>
      </c>
      <c r="J133">
        <f>Master_Data!J133</f>
        <v>0.22</v>
      </c>
      <c r="K133">
        <f>Master_Data!K133</f>
        <v>0.2273</v>
      </c>
      <c r="L133">
        <f>Master_Data!L133</f>
        <v>0.51</v>
      </c>
      <c r="M133">
        <f>Master_Data!M133</f>
        <v>0.16420000000000001</v>
      </c>
      <c r="N133">
        <f>Master_Data!N133</f>
        <v>9</v>
      </c>
      <c r="O133">
        <f>Master_Data!O133</f>
        <v>163</v>
      </c>
      <c r="P133">
        <f>Master_Data!P133</f>
        <v>172</v>
      </c>
      <c r="Q133" t="str">
        <f t="shared" si="12"/>
        <v>2011</v>
      </c>
      <c r="R133" t="str">
        <f t="shared" si="13"/>
        <v>January</v>
      </c>
      <c r="S133" t="str">
        <f t="shared" si="14"/>
        <v>Weekday</v>
      </c>
      <c r="T133" t="str">
        <f t="shared" si="15"/>
        <v>Evening</v>
      </c>
      <c r="U133" t="str">
        <f t="shared" si="16"/>
        <v>Spring</v>
      </c>
      <c r="V133" t="str">
        <f t="shared" si="17"/>
        <v>Clear</v>
      </c>
    </row>
    <row r="134" spans="1:22">
      <c r="A134">
        <f>Master_Data!A134</f>
        <v>133</v>
      </c>
      <c r="B134">
        <f>Master_Data!B134</f>
        <v>40549</v>
      </c>
      <c r="C134">
        <f>Master_Data!C134</f>
        <v>1</v>
      </c>
      <c r="D134">
        <f>Master_Data!D134</f>
        <v>0</v>
      </c>
      <c r="E134">
        <f>Master_Data!E134</f>
        <v>1</v>
      </c>
      <c r="F134">
        <f>Master_Data!F134</f>
        <v>18</v>
      </c>
      <c r="G134" t="b">
        <f>Master_Data!G134</f>
        <v>0</v>
      </c>
      <c r="H134">
        <f>Master_Data!H134</f>
        <v>4</v>
      </c>
      <c r="I134">
        <f>Master_Data!I134</f>
        <v>1</v>
      </c>
      <c r="J134">
        <f>Master_Data!J134</f>
        <v>0.22</v>
      </c>
      <c r="K134">
        <f>Master_Data!K134</f>
        <v>0.2273</v>
      </c>
      <c r="L134">
        <f>Master_Data!L134</f>
        <v>0.51</v>
      </c>
      <c r="M134">
        <f>Master_Data!M134</f>
        <v>0.1343</v>
      </c>
      <c r="N134">
        <f>Master_Data!N134</f>
        <v>5</v>
      </c>
      <c r="O134">
        <f>Master_Data!O134</f>
        <v>158</v>
      </c>
      <c r="P134">
        <f>Master_Data!P134</f>
        <v>163</v>
      </c>
      <c r="Q134" t="str">
        <f t="shared" si="12"/>
        <v>2011</v>
      </c>
      <c r="R134" t="str">
        <f t="shared" si="13"/>
        <v>January</v>
      </c>
      <c r="S134" t="str">
        <f t="shared" si="14"/>
        <v>Weekday</v>
      </c>
      <c r="T134" t="str">
        <f t="shared" si="15"/>
        <v>Evening</v>
      </c>
      <c r="U134" t="str">
        <f t="shared" si="16"/>
        <v>Spring</v>
      </c>
      <c r="V134" t="str">
        <f t="shared" si="17"/>
        <v>Clear</v>
      </c>
    </row>
    <row r="135" spans="1:22">
      <c r="A135">
        <f>Master_Data!A135</f>
        <v>134</v>
      </c>
      <c r="B135">
        <f>Master_Data!B135</f>
        <v>40549</v>
      </c>
      <c r="C135">
        <f>Master_Data!C135</f>
        <v>1</v>
      </c>
      <c r="D135">
        <f>Master_Data!D135</f>
        <v>0</v>
      </c>
      <c r="E135">
        <f>Master_Data!E135</f>
        <v>1</v>
      </c>
      <c r="F135">
        <f>Master_Data!F135</f>
        <v>19</v>
      </c>
      <c r="G135" t="b">
        <f>Master_Data!G135</f>
        <v>0</v>
      </c>
      <c r="H135">
        <f>Master_Data!H135</f>
        <v>4</v>
      </c>
      <c r="I135">
        <f>Master_Data!I135</f>
        <v>1</v>
      </c>
      <c r="J135">
        <f>Master_Data!J135</f>
        <v>0.22</v>
      </c>
      <c r="K135">
        <f>Master_Data!K135</f>
        <v>0.2576</v>
      </c>
      <c r="L135">
        <f>Master_Data!L135</f>
        <v>0.55000000000000004</v>
      </c>
      <c r="M135">
        <f>Master_Data!M135</f>
        <v>8.9599999999999999E-2</v>
      </c>
      <c r="N135">
        <f>Master_Data!N135</f>
        <v>3</v>
      </c>
      <c r="O135">
        <f>Master_Data!O135</f>
        <v>109</v>
      </c>
      <c r="P135">
        <f>Master_Data!P135</f>
        <v>112</v>
      </c>
      <c r="Q135" t="str">
        <f t="shared" si="12"/>
        <v>2011</v>
      </c>
      <c r="R135" t="str">
        <f t="shared" si="13"/>
        <v>January</v>
      </c>
      <c r="S135" t="str">
        <f t="shared" si="14"/>
        <v>Weekday</v>
      </c>
      <c r="T135" t="str">
        <f t="shared" si="15"/>
        <v>Evening</v>
      </c>
      <c r="U135" t="str">
        <f t="shared" si="16"/>
        <v>Spring</v>
      </c>
      <c r="V135" t="str">
        <f t="shared" si="17"/>
        <v>Clear</v>
      </c>
    </row>
    <row r="136" spans="1:22">
      <c r="A136">
        <f>Master_Data!A136</f>
        <v>135</v>
      </c>
      <c r="B136">
        <f>Master_Data!B136</f>
        <v>40549</v>
      </c>
      <c r="C136">
        <f>Master_Data!C136</f>
        <v>1</v>
      </c>
      <c r="D136">
        <f>Master_Data!D136</f>
        <v>0</v>
      </c>
      <c r="E136">
        <f>Master_Data!E136</f>
        <v>1</v>
      </c>
      <c r="F136">
        <f>Master_Data!F136</f>
        <v>20</v>
      </c>
      <c r="G136" t="b">
        <f>Master_Data!G136</f>
        <v>0</v>
      </c>
      <c r="H136">
        <f>Master_Data!H136</f>
        <v>4</v>
      </c>
      <c r="I136">
        <f>Master_Data!I136</f>
        <v>1</v>
      </c>
      <c r="J136">
        <f>Master_Data!J136</f>
        <v>0.2</v>
      </c>
      <c r="K136">
        <f>Master_Data!K136</f>
        <v>0.21210000000000001</v>
      </c>
      <c r="L136">
        <f>Master_Data!L136</f>
        <v>0.51</v>
      </c>
      <c r="M136">
        <f>Master_Data!M136</f>
        <v>0.16420000000000001</v>
      </c>
      <c r="N136">
        <f>Master_Data!N136</f>
        <v>3</v>
      </c>
      <c r="O136">
        <f>Master_Data!O136</f>
        <v>66</v>
      </c>
      <c r="P136">
        <f>Master_Data!P136</f>
        <v>69</v>
      </c>
      <c r="Q136" t="str">
        <f t="shared" si="12"/>
        <v>2011</v>
      </c>
      <c r="R136" t="str">
        <f t="shared" si="13"/>
        <v>January</v>
      </c>
      <c r="S136" t="str">
        <f t="shared" si="14"/>
        <v>Weekday</v>
      </c>
      <c r="T136" t="str">
        <f t="shared" si="15"/>
        <v>Evening</v>
      </c>
      <c r="U136" t="str">
        <f t="shared" si="16"/>
        <v>Spring</v>
      </c>
      <c r="V136" t="str">
        <f t="shared" si="17"/>
        <v>Clear</v>
      </c>
    </row>
    <row r="137" spans="1:22">
      <c r="A137">
        <f>Master_Data!A137</f>
        <v>136</v>
      </c>
      <c r="B137">
        <f>Master_Data!B137</f>
        <v>40549</v>
      </c>
      <c r="C137">
        <f>Master_Data!C137</f>
        <v>1</v>
      </c>
      <c r="D137">
        <f>Master_Data!D137</f>
        <v>0</v>
      </c>
      <c r="E137">
        <f>Master_Data!E137</f>
        <v>1</v>
      </c>
      <c r="F137">
        <f>Master_Data!F137</f>
        <v>21</v>
      </c>
      <c r="G137" t="b">
        <f>Master_Data!G137</f>
        <v>0</v>
      </c>
      <c r="H137">
        <f>Master_Data!H137</f>
        <v>4</v>
      </c>
      <c r="I137">
        <f>Master_Data!I137</f>
        <v>2</v>
      </c>
      <c r="J137">
        <f>Master_Data!J137</f>
        <v>0.22</v>
      </c>
      <c r="K137">
        <f>Master_Data!K137</f>
        <v>0.21210000000000001</v>
      </c>
      <c r="L137">
        <f>Master_Data!L137</f>
        <v>0.55000000000000004</v>
      </c>
      <c r="M137">
        <f>Master_Data!M137</f>
        <v>0.22389999999999999</v>
      </c>
      <c r="N137">
        <f>Master_Data!N137</f>
        <v>0</v>
      </c>
      <c r="O137">
        <f>Master_Data!O137</f>
        <v>48</v>
      </c>
      <c r="P137">
        <f>Master_Data!P137</f>
        <v>48</v>
      </c>
      <c r="Q137" t="str">
        <f t="shared" si="12"/>
        <v>2011</v>
      </c>
      <c r="R137" t="str">
        <f t="shared" si="13"/>
        <v>January</v>
      </c>
      <c r="S137" t="str">
        <f t="shared" si="14"/>
        <v>Weekday</v>
      </c>
      <c r="T137" t="str">
        <f t="shared" si="15"/>
        <v>Night</v>
      </c>
      <c r="U137" t="str">
        <f t="shared" si="16"/>
        <v>Spring</v>
      </c>
      <c r="V137" t="str">
        <f t="shared" si="17"/>
        <v>Mist/Cloudy</v>
      </c>
    </row>
    <row r="138" spans="1:22">
      <c r="A138">
        <f>Master_Data!A138</f>
        <v>137</v>
      </c>
      <c r="B138">
        <f>Master_Data!B138</f>
        <v>40549</v>
      </c>
      <c r="C138">
        <f>Master_Data!C138</f>
        <v>1</v>
      </c>
      <c r="D138">
        <f>Master_Data!D138</f>
        <v>0</v>
      </c>
      <c r="E138">
        <f>Master_Data!E138</f>
        <v>1</v>
      </c>
      <c r="F138">
        <f>Master_Data!F138</f>
        <v>22</v>
      </c>
      <c r="G138" t="b">
        <f>Master_Data!G138</f>
        <v>0</v>
      </c>
      <c r="H138">
        <f>Master_Data!H138</f>
        <v>4</v>
      </c>
      <c r="I138">
        <f>Master_Data!I138</f>
        <v>2</v>
      </c>
      <c r="J138">
        <f>Master_Data!J138</f>
        <v>0.22</v>
      </c>
      <c r="K138">
        <f>Master_Data!K138</f>
        <v>0.21210000000000001</v>
      </c>
      <c r="L138">
        <f>Master_Data!L138</f>
        <v>0.51</v>
      </c>
      <c r="M138">
        <f>Master_Data!M138</f>
        <v>0.28360000000000002</v>
      </c>
      <c r="N138">
        <f>Master_Data!N138</f>
        <v>1</v>
      </c>
      <c r="O138">
        <f>Master_Data!O138</f>
        <v>51</v>
      </c>
      <c r="P138">
        <f>Master_Data!P138</f>
        <v>52</v>
      </c>
      <c r="Q138" t="str">
        <f t="shared" si="12"/>
        <v>2011</v>
      </c>
      <c r="R138" t="str">
        <f t="shared" si="13"/>
        <v>January</v>
      </c>
      <c r="S138" t="str">
        <f t="shared" si="14"/>
        <v>Weekday</v>
      </c>
      <c r="T138" t="str">
        <f t="shared" si="15"/>
        <v>Night</v>
      </c>
      <c r="U138" t="str">
        <f t="shared" si="16"/>
        <v>Spring</v>
      </c>
      <c r="V138" t="str">
        <f t="shared" si="17"/>
        <v>Mist/Cloudy</v>
      </c>
    </row>
    <row r="139" spans="1:22">
      <c r="A139">
        <f>Master_Data!A139</f>
        <v>138</v>
      </c>
      <c r="B139">
        <f>Master_Data!B139</f>
        <v>40549</v>
      </c>
      <c r="C139">
        <f>Master_Data!C139</f>
        <v>1</v>
      </c>
      <c r="D139">
        <f>Master_Data!D139</f>
        <v>0</v>
      </c>
      <c r="E139">
        <f>Master_Data!E139</f>
        <v>1</v>
      </c>
      <c r="F139">
        <f>Master_Data!F139</f>
        <v>23</v>
      </c>
      <c r="G139" t="b">
        <f>Master_Data!G139</f>
        <v>0</v>
      </c>
      <c r="H139">
        <f>Master_Data!H139</f>
        <v>4</v>
      </c>
      <c r="I139">
        <f>Master_Data!I139</f>
        <v>2</v>
      </c>
      <c r="J139">
        <f>Master_Data!J139</f>
        <v>0.2</v>
      </c>
      <c r="K139">
        <f>Master_Data!K139</f>
        <v>0.19700000000000001</v>
      </c>
      <c r="L139">
        <f>Master_Data!L139</f>
        <v>0.59</v>
      </c>
      <c r="M139">
        <f>Master_Data!M139</f>
        <v>0.19400000000000001</v>
      </c>
      <c r="N139">
        <f>Master_Data!N139</f>
        <v>4</v>
      </c>
      <c r="O139">
        <f>Master_Data!O139</f>
        <v>19</v>
      </c>
      <c r="P139">
        <f>Master_Data!P139</f>
        <v>23</v>
      </c>
      <c r="Q139" t="str">
        <f t="shared" si="12"/>
        <v>2011</v>
      </c>
      <c r="R139" t="str">
        <f t="shared" si="13"/>
        <v>January</v>
      </c>
      <c r="S139" t="str">
        <f t="shared" si="14"/>
        <v>Weekday</v>
      </c>
      <c r="T139" t="str">
        <f t="shared" si="15"/>
        <v>Night</v>
      </c>
      <c r="U139" t="str">
        <f t="shared" si="16"/>
        <v>Spring</v>
      </c>
      <c r="V139" t="str">
        <f t="shared" si="17"/>
        <v>Mist/Cloudy</v>
      </c>
    </row>
    <row r="140" spans="1:22">
      <c r="A140">
        <f>Master_Data!A140</f>
        <v>139</v>
      </c>
      <c r="B140">
        <f>Master_Data!B140</f>
        <v>40550</v>
      </c>
      <c r="C140">
        <f>Master_Data!C140</f>
        <v>1</v>
      </c>
      <c r="D140">
        <f>Master_Data!D140</f>
        <v>0</v>
      </c>
      <c r="E140">
        <f>Master_Data!E140</f>
        <v>1</v>
      </c>
      <c r="F140">
        <f>Master_Data!F140</f>
        <v>0</v>
      </c>
      <c r="G140" t="b">
        <f>Master_Data!G140</f>
        <v>0</v>
      </c>
      <c r="H140">
        <f>Master_Data!H140</f>
        <v>5</v>
      </c>
      <c r="I140">
        <f>Master_Data!I140</f>
        <v>2</v>
      </c>
      <c r="J140">
        <f>Master_Data!J140</f>
        <v>0.2</v>
      </c>
      <c r="K140">
        <f>Master_Data!K140</f>
        <v>0.19700000000000001</v>
      </c>
      <c r="L140">
        <f>Master_Data!L140</f>
        <v>0.64</v>
      </c>
      <c r="M140">
        <f>Master_Data!M140</f>
        <v>0.19400000000000001</v>
      </c>
      <c r="N140">
        <f>Master_Data!N140</f>
        <v>4</v>
      </c>
      <c r="O140">
        <f>Master_Data!O140</f>
        <v>13</v>
      </c>
      <c r="P140">
        <f>Master_Data!P140</f>
        <v>17</v>
      </c>
      <c r="Q140" t="str">
        <f t="shared" si="12"/>
        <v>2011</v>
      </c>
      <c r="R140" t="str">
        <f t="shared" si="13"/>
        <v>January</v>
      </c>
      <c r="S140" t="str">
        <f t="shared" si="14"/>
        <v>Weekday</v>
      </c>
      <c r="T140" t="str">
        <f t="shared" si="15"/>
        <v>Night</v>
      </c>
      <c r="U140" t="str">
        <f t="shared" si="16"/>
        <v>Spring</v>
      </c>
      <c r="V140" t="str">
        <f t="shared" si="17"/>
        <v>Mist/Cloudy</v>
      </c>
    </row>
    <row r="141" spans="1:22">
      <c r="A141">
        <f>Master_Data!A141</f>
        <v>140</v>
      </c>
      <c r="B141">
        <f>Master_Data!B141</f>
        <v>40550</v>
      </c>
      <c r="C141">
        <f>Master_Data!C141</f>
        <v>1</v>
      </c>
      <c r="D141">
        <f>Master_Data!D141</f>
        <v>0</v>
      </c>
      <c r="E141">
        <f>Master_Data!E141</f>
        <v>1</v>
      </c>
      <c r="F141">
        <f>Master_Data!F141</f>
        <v>1</v>
      </c>
      <c r="G141" t="b">
        <f>Master_Data!G141</f>
        <v>0</v>
      </c>
      <c r="H141">
        <f>Master_Data!H141</f>
        <v>5</v>
      </c>
      <c r="I141">
        <f>Master_Data!I141</f>
        <v>2</v>
      </c>
      <c r="J141">
        <f>Master_Data!J141</f>
        <v>0.2</v>
      </c>
      <c r="K141">
        <f>Master_Data!K141</f>
        <v>0.19700000000000001</v>
      </c>
      <c r="L141">
        <f>Master_Data!L141</f>
        <v>0.69</v>
      </c>
      <c r="M141">
        <f>Master_Data!M141</f>
        <v>0.22389999999999999</v>
      </c>
      <c r="N141">
        <f>Master_Data!N141</f>
        <v>2</v>
      </c>
      <c r="O141">
        <f>Master_Data!O141</f>
        <v>5</v>
      </c>
      <c r="P141">
        <f>Master_Data!P141</f>
        <v>7</v>
      </c>
      <c r="Q141" t="str">
        <f t="shared" si="12"/>
        <v>2011</v>
      </c>
      <c r="R141" t="str">
        <f t="shared" si="13"/>
        <v>January</v>
      </c>
      <c r="S141" t="str">
        <f t="shared" si="14"/>
        <v>Weekday</v>
      </c>
      <c r="T141" t="str">
        <f t="shared" si="15"/>
        <v>Night</v>
      </c>
      <c r="U141" t="str">
        <f t="shared" si="16"/>
        <v>Spring</v>
      </c>
      <c r="V141" t="str">
        <f t="shared" si="17"/>
        <v>Mist/Cloudy</v>
      </c>
    </row>
    <row r="142" spans="1:22">
      <c r="A142">
        <f>Master_Data!A142</f>
        <v>141</v>
      </c>
      <c r="B142">
        <f>Master_Data!B142</f>
        <v>40550</v>
      </c>
      <c r="C142">
        <f>Master_Data!C142</f>
        <v>1</v>
      </c>
      <c r="D142">
        <f>Master_Data!D142</f>
        <v>0</v>
      </c>
      <c r="E142">
        <f>Master_Data!E142</f>
        <v>1</v>
      </c>
      <c r="F142">
        <f>Master_Data!F142</f>
        <v>2</v>
      </c>
      <c r="G142" t="b">
        <f>Master_Data!G142</f>
        <v>0</v>
      </c>
      <c r="H142">
        <f>Master_Data!H142</f>
        <v>5</v>
      </c>
      <c r="I142">
        <f>Master_Data!I142</f>
        <v>2</v>
      </c>
      <c r="J142">
        <f>Master_Data!J142</f>
        <v>0.2</v>
      </c>
      <c r="K142">
        <f>Master_Data!K142</f>
        <v>0.19700000000000001</v>
      </c>
      <c r="L142">
        <f>Master_Data!L142</f>
        <v>0.69</v>
      </c>
      <c r="M142">
        <f>Master_Data!M142</f>
        <v>0.22389999999999999</v>
      </c>
      <c r="N142">
        <f>Master_Data!N142</f>
        <v>0</v>
      </c>
      <c r="O142">
        <f>Master_Data!O142</f>
        <v>1</v>
      </c>
      <c r="P142">
        <f>Master_Data!P142</f>
        <v>1</v>
      </c>
      <c r="Q142" t="str">
        <f t="shared" si="12"/>
        <v>2011</v>
      </c>
      <c r="R142" t="str">
        <f t="shared" si="13"/>
        <v>January</v>
      </c>
      <c r="S142" t="str">
        <f t="shared" si="14"/>
        <v>Weekday</v>
      </c>
      <c r="T142" t="str">
        <f t="shared" si="15"/>
        <v>Night</v>
      </c>
      <c r="U142" t="str">
        <f t="shared" si="16"/>
        <v>Spring</v>
      </c>
      <c r="V142" t="str">
        <f t="shared" si="17"/>
        <v>Mist/Cloudy</v>
      </c>
    </row>
    <row r="143" spans="1:22">
      <c r="A143">
        <f>Master_Data!A143</f>
        <v>142</v>
      </c>
      <c r="B143">
        <f>Master_Data!B143</f>
        <v>40550</v>
      </c>
      <c r="C143">
        <f>Master_Data!C143</f>
        <v>1</v>
      </c>
      <c r="D143">
        <f>Master_Data!D143</f>
        <v>0</v>
      </c>
      <c r="E143">
        <f>Master_Data!E143</f>
        <v>1</v>
      </c>
      <c r="F143">
        <f>Master_Data!F143</f>
        <v>4</v>
      </c>
      <c r="G143" t="b">
        <f>Master_Data!G143</f>
        <v>0</v>
      </c>
      <c r="H143">
        <f>Master_Data!H143</f>
        <v>5</v>
      </c>
      <c r="I143">
        <f>Master_Data!I143</f>
        <v>2</v>
      </c>
      <c r="J143">
        <f>Master_Data!J143</f>
        <v>0.2</v>
      </c>
      <c r="K143">
        <f>Master_Data!K143</f>
        <v>0.21210000000000001</v>
      </c>
      <c r="L143">
        <f>Master_Data!L143</f>
        <v>0.69</v>
      </c>
      <c r="M143">
        <f>Master_Data!M143</f>
        <v>0.1343</v>
      </c>
      <c r="N143">
        <f>Master_Data!N143</f>
        <v>0</v>
      </c>
      <c r="O143">
        <f>Master_Data!O143</f>
        <v>1</v>
      </c>
      <c r="P143">
        <f>Master_Data!P143</f>
        <v>1</v>
      </c>
      <c r="Q143" t="str">
        <f t="shared" si="12"/>
        <v>2011</v>
      </c>
      <c r="R143" t="str">
        <f t="shared" si="13"/>
        <v>January</v>
      </c>
      <c r="S143" t="str">
        <f t="shared" si="14"/>
        <v>Weekday</v>
      </c>
      <c r="T143" t="str">
        <f t="shared" si="15"/>
        <v>Night</v>
      </c>
      <c r="U143" t="str">
        <f t="shared" si="16"/>
        <v>Spring</v>
      </c>
      <c r="V143" t="str">
        <f t="shared" si="17"/>
        <v>Mist/Cloudy</v>
      </c>
    </row>
    <row r="144" spans="1:22">
      <c r="A144">
        <f>Master_Data!A144</f>
        <v>143</v>
      </c>
      <c r="B144">
        <f>Master_Data!B144</f>
        <v>40550</v>
      </c>
      <c r="C144">
        <f>Master_Data!C144</f>
        <v>1</v>
      </c>
      <c r="D144">
        <f>Master_Data!D144</f>
        <v>0</v>
      </c>
      <c r="E144">
        <f>Master_Data!E144</f>
        <v>1</v>
      </c>
      <c r="F144">
        <f>Master_Data!F144</f>
        <v>5</v>
      </c>
      <c r="G144" t="b">
        <f>Master_Data!G144</f>
        <v>0</v>
      </c>
      <c r="H144">
        <f>Master_Data!H144</f>
        <v>5</v>
      </c>
      <c r="I144">
        <f>Master_Data!I144</f>
        <v>3</v>
      </c>
      <c r="J144">
        <f>Master_Data!J144</f>
        <v>0.22</v>
      </c>
      <c r="K144">
        <f>Master_Data!K144</f>
        <v>0.2727</v>
      </c>
      <c r="L144">
        <f>Master_Data!L144</f>
        <v>0.55000000000000004</v>
      </c>
      <c r="M144">
        <f>Master_Data!M144</f>
        <v>0</v>
      </c>
      <c r="N144">
        <f>Master_Data!N144</f>
        <v>0</v>
      </c>
      <c r="O144">
        <f>Master_Data!O144</f>
        <v>5</v>
      </c>
      <c r="P144">
        <f>Master_Data!P144</f>
        <v>5</v>
      </c>
      <c r="Q144" t="str">
        <f t="shared" si="12"/>
        <v>2011</v>
      </c>
      <c r="R144" t="str">
        <f t="shared" si="13"/>
        <v>January</v>
      </c>
      <c r="S144" t="str">
        <f t="shared" si="14"/>
        <v>Weekday</v>
      </c>
      <c r="T144" t="str">
        <f t="shared" si="15"/>
        <v>Night</v>
      </c>
      <c r="U144" t="str">
        <f t="shared" si="16"/>
        <v>Spring</v>
      </c>
      <c r="V144" t="str">
        <f t="shared" si="17"/>
        <v>Light Rain/Snow</v>
      </c>
    </row>
    <row r="145" spans="1:22">
      <c r="A145">
        <f>Master_Data!A145</f>
        <v>144</v>
      </c>
      <c r="B145">
        <f>Master_Data!B145</f>
        <v>40550</v>
      </c>
      <c r="C145">
        <f>Master_Data!C145</f>
        <v>1</v>
      </c>
      <c r="D145">
        <f>Master_Data!D145</f>
        <v>0</v>
      </c>
      <c r="E145">
        <f>Master_Data!E145</f>
        <v>1</v>
      </c>
      <c r="F145">
        <f>Master_Data!F145</f>
        <v>6</v>
      </c>
      <c r="G145" t="b">
        <f>Master_Data!G145</f>
        <v>0</v>
      </c>
      <c r="H145">
        <f>Master_Data!H145</f>
        <v>5</v>
      </c>
      <c r="I145">
        <f>Master_Data!I145</f>
        <v>2</v>
      </c>
      <c r="J145">
        <f>Master_Data!J145</f>
        <v>0.2</v>
      </c>
      <c r="K145">
        <f>Master_Data!K145</f>
        <v>0.2576</v>
      </c>
      <c r="L145">
        <f>Master_Data!L145</f>
        <v>0.69</v>
      </c>
      <c r="M145">
        <f>Master_Data!M145</f>
        <v>0</v>
      </c>
      <c r="N145">
        <f>Master_Data!N145</f>
        <v>8</v>
      </c>
      <c r="O145">
        <f>Master_Data!O145</f>
        <v>26</v>
      </c>
      <c r="P145">
        <f>Master_Data!P145</f>
        <v>34</v>
      </c>
      <c r="Q145" t="str">
        <f t="shared" si="12"/>
        <v>2011</v>
      </c>
      <c r="R145" t="str">
        <f t="shared" si="13"/>
        <v>January</v>
      </c>
      <c r="S145" t="str">
        <f t="shared" si="14"/>
        <v>Weekday</v>
      </c>
      <c r="T145" t="str">
        <f t="shared" si="15"/>
        <v>Morning</v>
      </c>
      <c r="U145" t="str">
        <f t="shared" si="16"/>
        <v>Spring</v>
      </c>
      <c r="V145" t="str">
        <f t="shared" si="17"/>
        <v>Mist/Cloudy</v>
      </c>
    </row>
    <row r="146" spans="1:22">
      <c r="A146">
        <f>Master_Data!A146</f>
        <v>145</v>
      </c>
      <c r="B146">
        <f>Master_Data!B146</f>
        <v>40550</v>
      </c>
      <c r="C146">
        <f>Master_Data!C146</f>
        <v>1</v>
      </c>
      <c r="D146">
        <f>Master_Data!D146</f>
        <v>0</v>
      </c>
      <c r="E146">
        <f>Master_Data!E146</f>
        <v>1</v>
      </c>
      <c r="F146">
        <f>Master_Data!F146</f>
        <v>7</v>
      </c>
      <c r="G146" t="b">
        <f>Master_Data!G146</f>
        <v>0</v>
      </c>
      <c r="H146">
        <f>Master_Data!H146</f>
        <v>5</v>
      </c>
      <c r="I146">
        <f>Master_Data!I146</f>
        <v>1</v>
      </c>
      <c r="J146">
        <f>Master_Data!J146</f>
        <v>0.2</v>
      </c>
      <c r="K146">
        <f>Master_Data!K146</f>
        <v>0.21210000000000001</v>
      </c>
      <c r="L146">
        <f>Master_Data!L146</f>
        <v>0.69</v>
      </c>
      <c r="M146">
        <f>Master_Data!M146</f>
        <v>0.1343</v>
      </c>
      <c r="N146">
        <f>Master_Data!N146</f>
        <v>8</v>
      </c>
      <c r="O146">
        <f>Master_Data!O146</f>
        <v>76</v>
      </c>
      <c r="P146">
        <f>Master_Data!P146</f>
        <v>84</v>
      </c>
      <c r="Q146" t="str">
        <f t="shared" si="12"/>
        <v>2011</v>
      </c>
      <c r="R146" t="str">
        <f t="shared" si="13"/>
        <v>January</v>
      </c>
      <c r="S146" t="str">
        <f t="shared" si="14"/>
        <v>Weekday</v>
      </c>
      <c r="T146" t="str">
        <f t="shared" si="15"/>
        <v>Morning</v>
      </c>
      <c r="U146" t="str">
        <f t="shared" si="16"/>
        <v>Spring</v>
      </c>
      <c r="V146" t="str">
        <f t="shared" si="17"/>
        <v>Clear</v>
      </c>
    </row>
    <row r="147" spans="1:22">
      <c r="A147">
        <f>Master_Data!A147</f>
        <v>146</v>
      </c>
      <c r="B147">
        <f>Master_Data!B147</f>
        <v>40550</v>
      </c>
      <c r="C147">
        <f>Master_Data!C147</f>
        <v>1</v>
      </c>
      <c r="D147">
        <f>Master_Data!D147</f>
        <v>0</v>
      </c>
      <c r="E147">
        <f>Master_Data!E147</f>
        <v>1</v>
      </c>
      <c r="F147">
        <f>Master_Data!F147</f>
        <v>8</v>
      </c>
      <c r="G147" t="b">
        <f>Master_Data!G147</f>
        <v>0</v>
      </c>
      <c r="H147">
        <f>Master_Data!H147</f>
        <v>5</v>
      </c>
      <c r="I147">
        <f>Master_Data!I147</f>
        <v>1</v>
      </c>
      <c r="J147">
        <f>Master_Data!J147</f>
        <v>0.2</v>
      </c>
      <c r="K147">
        <f>Master_Data!K147</f>
        <v>0.19700000000000001</v>
      </c>
      <c r="L147">
        <f>Master_Data!L147</f>
        <v>0.51</v>
      </c>
      <c r="M147">
        <f>Master_Data!M147</f>
        <v>0.25369999999999998</v>
      </c>
      <c r="N147">
        <f>Master_Data!N147</f>
        <v>20</v>
      </c>
      <c r="O147">
        <f>Master_Data!O147</f>
        <v>190</v>
      </c>
      <c r="P147">
        <f>Master_Data!P147</f>
        <v>210</v>
      </c>
      <c r="Q147" t="str">
        <f t="shared" si="12"/>
        <v>2011</v>
      </c>
      <c r="R147" t="str">
        <f t="shared" si="13"/>
        <v>January</v>
      </c>
      <c r="S147" t="str">
        <f t="shared" si="14"/>
        <v>Weekday</v>
      </c>
      <c r="T147" t="str">
        <f t="shared" si="15"/>
        <v>Morning</v>
      </c>
      <c r="U147" t="str">
        <f t="shared" si="16"/>
        <v>Spring</v>
      </c>
      <c r="V147" t="str">
        <f t="shared" si="17"/>
        <v>Clear</v>
      </c>
    </row>
    <row r="148" spans="1:22">
      <c r="A148">
        <f>Master_Data!A148</f>
        <v>147</v>
      </c>
      <c r="B148">
        <f>Master_Data!B148</f>
        <v>40550</v>
      </c>
      <c r="C148">
        <f>Master_Data!C148</f>
        <v>1</v>
      </c>
      <c r="D148">
        <f>Master_Data!D148</f>
        <v>0</v>
      </c>
      <c r="E148">
        <f>Master_Data!E148</f>
        <v>1</v>
      </c>
      <c r="F148">
        <f>Master_Data!F148</f>
        <v>9</v>
      </c>
      <c r="G148" t="b">
        <f>Master_Data!G148</f>
        <v>0</v>
      </c>
      <c r="H148">
        <f>Master_Data!H148</f>
        <v>5</v>
      </c>
      <c r="I148">
        <f>Master_Data!I148</f>
        <v>1</v>
      </c>
      <c r="J148">
        <f>Master_Data!J148</f>
        <v>0.2</v>
      </c>
      <c r="K148">
        <f>Master_Data!K148</f>
        <v>0.18179999999999999</v>
      </c>
      <c r="L148">
        <f>Master_Data!L148</f>
        <v>0.47</v>
      </c>
      <c r="M148">
        <f>Master_Data!M148</f>
        <v>0.29849999999999999</v>
      </c>
      <c r="N148">
        <f>Master_Data!N148</f>
        <v>9</v>
      </c>
      <c r="O148">
        <f>Master_Data!O148</f>
        <v>125</v>
      </c>
      <c r="P148">
        <f>Master_Data!P148</f>
        <v>134</v>
      </c>
      <c r="Q148" t="str">
        <f t="shared" si="12"/>
        <v>2011</v>
      </c>
      <c r="R148" t="str">
        <f t="shared" si="13"/>
        <v>January</v>
      </c>
      <c r="S148" t="str">
        <f t="shared" si="14"/>
        <v>Weekday</v>
      </c>
      <c r="T148" t="str">
        <f t="shared" si="15"/>
        <v>Morning</v>
      </c>
      <c r="U148" t="str">
        <f t="shared" si="16"/>
        <v>Spring</v>
      </c>
      <c r="V148" t="str">
        <f t="shared" si="17"/>
        <v>Clear</v>
      </c>
    </row>
    <row r="149" spans="1:22">
      <c r="A149">
        <f>Master_Data!A149</f>
        <v>148</v>
      </c>
      <c r="B149">
        <f>Master_Data!B149</f>
        <v>40550</v>
      </c>
      <c r="C149">
        <f>Master_Data!C149</f>
        <v>1</v>
      </c>
      <c r="D149">
        <f>Master_Data!D149</f>
        <v>0</v>
      </c>
      <c r="E149">
        <f>Master_Data!E149</f>
        <v>1</v>
      </c>
      <c r="F149">
        <f>Master_Data!F149</f>
        <v>10</v>
      </c>
      <c r="G149" t="b">
        <f>Master_Data!G149</f>
        <v>0</v>
      </c>
      <c r="H149">
        <f>Master_Data!H149</f>
        <v>5</v>
      </c>
      <c r="I149">
        <f>Master_Data!I149</f>
        <v>1</v>
      </c>
      <c r="J149">
        <f>Master_Data!J149</f>
        <v>0.22</v>
      </c>
      <c r="K149">
        <f>Master_Data!K149</f>
        <v>0.19700000000000001</v>
      </c>
      <c r="L149">
        <f>Master_Data!L149</f>
        <v>0.37</v>
      </c>
      <c r="M149">
        <f>Master_Data!M149</f>
        <v>0.32840000000000003</v>
      </c>
      <c r="N149">
        <f>Master_Data!N149</f>
        <v>16</v>
      </c>
      <c r="O149">
        <f>Master_Data!O149</f>
        <v>47</v>
      </c>
      <c r="P149">
        <f>Master_Data!P149</f>
        <v>63</v>
      </c>
      <c r="Q149" t="str">
        <f t="shared" si="12"/>
        <v>2011</v>
      </c>
      <c r="R149" t="str">
        <f t="shared" si="13"/>
        <v>January</v>
      </c>
      <c r="S149" t="str">
        <f t="shared" si="14"/>
        <v>Weekday</v>
      </c>
      <c r="T149" t="str">
        <f t="shared" si="15"/>
        <v>Morning</v>
      </c>
      <c r="U149" t="str">
        <f t="shared" si="16"/>
        <v>Spring</v>
      </c>
      <c r="V149" t="str">
        <f t="shared" si="17"/>
        <v>Clear</v>
      </c>
    </row>
    <row r="150" spans="1:22">
      <c r="A150">
        <f>Master_Data!A150</f>
        <v>149</v>
      </c>
      <c r="B150">
        <f>Master_Data!B150</f>
        <v>40550</v>
      </c>
      <c r="C150">
        <f>Master_Data!C150</f>
        <v>1</v>
      </c>
      <c r="D150">
        <f>Master_Data!D150</f>
        <v>0</v>
      </c>
      <c r="E150">
        <f>Master_Data!E150</f>
        <v>1</v>
      </c>
      <c r="F150">
        <f>Master_Data!F150</f>
        <v>11</v>
      </c>
      <c r="G150" t="b">
        <f>Master_Data!G150</f>
        <v>0</v>
      </c>
      <c r="H150">
        <f>Master_Data!H150</f>
        <v>5</v>
      </c>
      <c r="I150">
        <f>Master_Data!I150</f>
        <v>2</v>
      </c>
      <c r="J150">
        <f>Master_Data!J150</f>
        <v>0.2</v>
      </c>
      <c r="K150">
        <f>Master_Data!K150</f>
        <v>0.19700000000000001</v>
      </c>
      <c r="L150">
        <f>Master_Data!L150</f>
        <v>0.4</v>
      </c>
      <c r="M150">
        <f>Master_Data!M150</f>
        <v>0.22389999999999999</v>
      </c>
      <c r="N150">
        <f>Master_Data!N150</f>
        <v>19</v>
      </c>
      <c r="O150">
        <f>Master_Data!O150</f>
        <v>48</v>
      </c>
      <c r="P150">
        <f>Master_Data!P150</f>
        <v>67</v>
      </c>
      <c r="Q150" t="str">
        <f t="shared" si="12"/>
        <v>2011</v>
      </c>
      <c r="R150" t="str">
        <f t="shared" si="13"/>
        <v>January</v>
      </c>
      <c r="S150" t="str">
        <f t="shared" si="14"/>
        <v>Weekday</v>
      </c>
      <c r="T150" t="str">
        <f t="shared" si="15"/>
        <v>Morning</v>
      </c>
      <c r="U150" t="str">
        <f t="shared" si="16"/>
        <v>Spring</v>
      </c>
      <c r="V150" t="str">
        <f t="shared" si="17"/>
        <v>Mist/Cloudy</v>
      </c>
    </row>
    <row r="151" spans="1:22">
      <c r="A151">
        <f>Master_Data!A151</f>
        <v>150</v>
      </c>
      <c r="B151">
        <f>Master_Data!B151</f>
        <v>40550</v>
      </c>
      <c r="C151">
        <f>Master_Data!C151</f>
        <v>1</v>
      </c>
      <c r="D151">
        <f>Master_Data!D151</f>
        <v>0</v>
      </c>
      <c r="E151">
        <f>Master_Data!E151</f>
        <v>1</v>
      </c>
      <c r="F151">
        <f>Master_Data!F151</f>
        <v>12</v>
      </c>
      <c r="G151" t="b">
        <f>Master_Data!G151</f>
        <v>0</v>
      </c>
      <c r="H151">
        <f>Master_Data!H151</f>
        <v>5</v>
      </c>
      <c r="I151">
        <f>Master_Data!I151</f>
        <v>2</v>
      </c>
      <c r="J151">
        <f>Master_Data!J151</f>
        <v>0.2</v>
      </c>
      <c r="K151">
        <f>Master_Data!K151</f>
        <v>0.19700000000000001</v>
      </c>
      <c r="L151">
        <f>Master_Data!L151</f>
        <v>0.37</v>
      </c>
      <c r="M151">
        <f>Master_Data!M151</f>
        <v>0.25369999999999998</v>
      </c>
      <c r="N151">
        <f>Master_Data!N151</f>
        <v>9</v>
      </c>
      <c r="O151">
        <f>Master_Data!O151</f>
        <v>50</v>
      </c>
      <c r="P151">
        <f>Master_Data!P151</f>
        <v>59</v>
      </c>
      <c r="Q151" t="str">
        <f t="shared" si="12"/>
        <v>2011</v>
      </c>
      <c r="R151" t="str">
        <f t="shared" si="13"/>
        <v>January</v>
      </c>
      <c r="S151" t="str">
        <f t="shared" si="14"/>
        <v>Weekday</v>
      </c>
      <c r="T151" t="str">
        <f t="shared" si="15"/>
        <v>Afternoon</v>
      </c>
      <c r="U151" t="str">
        <f t="shared" si="16"/>
        <v>Spring</v>
      </c>
      <c r="V151" t="str">
        <f t="shared" si="17"/>
        <v>Mist/Cloudy</v>
      </c>
    </row>
    <row r="152" spans="1:22">
      <c r="A152">
        <f>Master_Data!A152</f>
        <v>151</v>
      </c>
      <c r="B152">
        <f>Master_Data!B152</f>
        <v>40550</v>
      </c>
      <c r="C152">
        <f>Master_Data!C152</f>
        <v>1</v>
      </c>
      <c r="D152">
        <f>Master_Data!D152</f>
        <v>0</v>
      </c>
      <c r="E152">
        <f>Master_Data!E152</f>
        <v>1</v>
      </c>
      <c r="F152">
        <f>Master_Data!F152</f>
        <v>13</v>
      </c>
      <c r="G152" t="b">
        <f>Master_Data!G152</f>
        <v>0</v>
      </c>
      <c r="H152">
        <f>Master_Data!H152</f>
        <v>5</v>
      </c>
      <c r="I152">
        <f>Master_Data!I152</f>
        <v>2</v>
      </c>
      <c r="J152">
        <f>Master_Data!J152</f>
        <v>0.2</v>
      </c>
      <c r="K152">
        <f>Master_Data!K152</f>
        <v>0.18179999999999999</v>
      </c>
      <c r="L152">
        <f>Master_Data!L152</f>
        <v>0.37</v>
      </c>
      <c r="M152">
        <f>Master_Data!M152</f>
        <v>0.28360000000000002</v>
      </c>
      <c r="N152">
        <f>Master_Data!N152</f>
        <v>9</v>
      </c>
      <c r="O152">
        <f>Master_Data!O152</f>
        <v>64</v>
      </c>
      <c r="P152">
        <f>Master_Data!P152</f>
        <v>73</v>
      </c>
      <c r="Q152" t="str">
        <f t="shared" si="12"/>
        <v>2011</v>
      </c>
      <c r="R152" t="str">
        <f t="shared" si="13"/>
        <v>January</v>
      </c>
      <c r="S152" t="str">
        <f t="shared" si="14"/>
        <v>Weekday</v>
      </c>
      <c r="T152" t="str">
        <f t="shared" si="15"/>
        <v>Afternoon</v>
      </c>
      <c r="U152" t="str">
        <f t="shared" si="16"/>
        <v>Spring</v>
      </c>
      <c r="V152" t="str">
        <f t="shared" si="17"/>
        <v>Mist/Cloudy</v>
      </c>
    </row>
    <row r="153" spans="1:22">
      <c r="A153">
        <f>Master_Data!A153</f>
        <v>152</v>
      </c>
      <c r="B153">
        <f>Master_Data!B153</f>
        <v>40550</v>
      </c>
      <c r="C153">
        <f>Master_Data!C153</f>
        <v>1</v>
      </c>
      <c r="D153">
        <f>Master_Data!D153</f>
        <v>0</v>
      </c>
      <c r="E153">
        <f>Master_Data!E153</f>
        <v>1</v>
      </c>
      <c r="F153">
        <f>Master_Data!F153</f>
        <v>14</v>
      </c>
      <c r="G153" t="b">
        <f>Master_Data!G153</f>
        <v>0</v>
      </c>
      <c r="H153">
        <f>Master_Data!H153</f>
        <v>5</v>
      </c>
      <c r="I153">
        <f>Master_Data!I153</f>
        <v>2</v>
      </c>
      <c r="J153">
        <f>Master_Data!J153</f>
        <v>0.2</v>
      </c>
      <c r="K153">
        <f>Master_Data!K153</f>
        <v>0.19700000000000001</v>
      </c>
      <c r="L153">
        <f>Master_Data!L153</f>
        <v>0.4</v>
      </c>
      <c r="M153">
        <f>Master_Data!M153</f>
        <v>0.25369999999999998</v>
      </c>
      <c r="N153">
        <f>Master_Data!N153</f>
        <v>7</v>
      </c>
      <c r="O153">
        <f>Master_Data!O153</f>
        <v>43</v>
      </c>
      <c r="P153">
        <f>Master_Data!P153</f>
        <v>50</v>
      </c>
      <c r="Q153" t="str">
        <f t="shared" si="12"/>
        <v>2011</v>
      </c>
      <c r="R153" t="str">
        <f t="shared" si="13"/>
        <v>January</v>
      </c>
      <c r="S153" t="str">
        <f t="shared" si="14"/>
        <v>Weekday</v>
      </c>
      <c r="T153" t="str">
        <f t="shared" si="15"/>
        <v>Afternoon</v>
      </c>
      <c r="U153" t="str">
        <f t="shared" si="16"/>
        <v>Spring</v>
      </c>
      <c r="V153" t="str">
        <f t="shared" si="17"/>
        <v>Mist/Cloudy</v>
      </c>
    </row>
    <row r="154" spans="1:22">
      <c r="A154">
        <f>Master_Data!A154</f>
        <v>153</v>
      </c>
      <c r="B154">
        <f>Master_Data!B154</f>
        <v>40550</v>
      </c>
      <c r="C154">
        <f>Master_Data!C154</f>
        <v>1</v>
      </c>
      <c r="D154">
        <f>Master_Data!D154</f>
        <v>0</v>
      </c>
      <c r="E154">
        <f>Master_Data!E154</f>
        <v>1</v>
      </c>
      <c r="F154">
        <f>Master_Data!F154</f>
        <v>15</v>
      </c>
      <c r="G154" t="b">
        <f>Master_Data!G154</f>
        <v>0</v>
      </c>
      <c r="H154">
        <f>Master_Data!H154</f>
        <v>5</v>
      </c>
      <c r="I154">
        <f>Master_Data!I154</f>
        <v>2</v>
      </c>
      <c r="J154">
        <f>Master_Data!J154</f>
        <v>0.2</v>
      </c>
      <c r="K154">
        <f>Master_Data!K154</f>
        <v>0.21210000000000001</v>
      </c>
      <c r="L154">
        <f>Master_Data!L154</f>
        <v>0.37</v>
      </c>
      <c r="M154">
        <f>Master_Data!M154</f>
        <v>0.16420000000000001</v>
      </c>
      <c r="N154">
        <f>Master_Data!N154</f>
        <v>9</v>
      </c>
      <c r="O154">
        <f>Master_Data!O154</f>
        <v>63</v>
      </c>
      <c r="P154">
        <f>Master_Data!P154</f>
        <v>72</v>
      </c>
      <c r="Q154" t="str">
        <f t="shared" si="12"/>
        <v>2011</v>
      </c>
      <c r="R154" t="str">
        <f t="shared" si="13"/>
        <v>January</v>
      </c>
      <c r="S154" t="str">
        <f t="shared" si="14"/>
        <v>Weekday</v>
      </c>
      <c r="T154" t="str">
        <f t="shared" si="15"/>
        <v>Afternoon</v>
      </c>
      <c r="U154" t="str">
        <f t="shared" si="16"/>
        <v>Spring</v>
      </c>
      <c r="V154" t="str">
        <f t="shared" si="17"/>
        <v>Mist/Cloudy</v>
      </c>
    </row>
    <row r="155" spans="1:22">
      <c r="A155">
        <f>Master_Data!A155</f>
        <v>154</v>
      </c>
      <c r="B155">
        <f>Master_Data!B155</f>
        <v>40550</v>
      </c>
      <c r="C155">
        <f>Master_Data!C155</f>
        <v>1</v>
      </c>
      <c r="D155">
        <f>Master_Data!D155</f>
        <v>0</v>
      </c>
      <c r="E155">
        <f>Master_Data!E155</f>
        <v>1</v>
      </c>
      <c r="F155">
        <f>Master_Data!F155</f>
        <v>16</v>
      </c>
      <c r="G155" t="b">
        <f>Master_Data!G155</f>
        <v>0</v>
      </c>
      <c r="H155">
        <f>Master_Data!H155</f>
        <v>5</v>
      </c>
      <c r="I155">
        <f>Master_Data!I155</f>
        <v>2</v>
      </c>
      <c r="J155">
        <f>Master_Data!J155</f>
        <v>0.2</v>
      </c>
      <c r="K155">
        <f>Master_Data!K155</f>
        <v>0.21210000000000001</v>
      </c>
      <c r="L155">
        <f>Master_Data!L155</f>
        <v>0.37</v>
      </c>
      <c r="M155">
        <f>Master_Data!M155</f>
        <v>0.16420000000000001</v>
      </c>
      <c r="N155">
        <f>Master_Data!N155</f>
        <v>5</v>
      </c>
      <c r="O155">
        <f>Master_Data!O155</f>
        <v>82</v>
      </c>
      <c r="P155">
        <f>Master_Data!P155</f>
        <v>87</v>
      </c>
      <c r="Q155" t="str">
        <f t="shared" si="12"/>
        <v>2011</v>
      </c>
      <c r="R155" t="str">
        <f t="shared" si="13"/>
        <v>January</v>
      </c>
      <c r="S155" t="str">
        <f t="shared" si="14"/>
        <v>Weekday</v>
      </c>
      <c r="T155" t="str">
        <f t="shared" si="15"/>
        <v>Afternoon</v>
      </c>
      <c r="U155" t="str">
        <f t="shared" si="16"/>
        <v>Spring</v>
      </c>
      <c r="V155" t="str">
        <f t="shared" si="17"/>
        <v>Mist/Cloudy</v>
      </c>
    </row>
    <row r="156" spans="1:22">
      <c r="A156">
        <f>Master_Data!A156</f>
        <v>155</v>
      </c>
      <c r="B156">
        <f>Master_Data!B156</f>
        <v>40550</v>
      </c>
      <c r="C156">
        <f>Master_Data!C156</f>
        <v>1</v>
      </c>
      <c r="D156">
        <f>Master_Data!D156</f>
        <v>0</v>
      </c>
      <c r="E156">
        <f>Master_Data!E156</f>
        <v>1</v>
      </c>
      <c r="F156">
        <f>Master_Data!F156</f>
        <v>17</v>
      </c>
      <c r="G156" t="b">
        <f>Master_Data!G156</f>
        <v>0</v>
      </c>
      <c r="H156">
        <f>Master_Data!H156</f>
        <v>5</v>
      </c>
      <c r="I156">
        <f>Master_Data!I156</f>
        <v>2</v>
      </c>
      <c r="J156">
        <f>Master_Data!J156</f>
        <v>0.2</v>
      </c>
      <c r="K156">
        <f>Master_Data!K156</f>
        <v>0.2576</v>
      </c>
      <c r="L156">
        <f>Master_Data!L156</f>
        <v>0.37</v>
      </c>
      <c r="M156">
        <f>Master_Data!M156</f>
        <v>0</v>
      </c>
      <c r="N156">
        <f>Master_Data!N156</f>
        <v>9</v>
      </c>
      <c r="O156">
        <f>Master_Data!O156</f>
        <v>178</v>
      </c>
      <c r="P156">
        <f>Master_Data!P156</f>
        <v>187</v>
      </c>
      <c r="Q156" t="str">
        <f t="shared" si="12"/>
        <v>2011</v>
      </c>
      <c r="R156" t="str">
        <f t="shared" si="13"/>
        <v>January</v>
      </c>
      <c r="S156" t="str">
        <f t="shared" si="14"/>
        <v>Weekday</v>
      </c>
      <c r="T156" t="str">
        <f t="shared" si="15"/>
        <v>Evening</v>
      </c>
      <c r="U156" t="str">
        <f t="shared" si="16"/>
        <v>Spring</v>
      </c>
      <c r="V156" t="str">
        <f t="shared" si="17"/>
        <v>Mist/Cloudy</v>
      </c>
    </row>
    <row r="157" spans="1:22">
      <c r="A157">
        <f>Master_Data!A157</f>
        <v>156</v>
      </c>
      <c r="B157">
        <f>Master_Data!B157</f>
        <v>40550</v>
      </c>
      <c r="C157">
        <f>Master_Data!C157</f>
        <v>1</v>
      </c>
      <c r="D157">
        <f>Master_Data!D157</f>
        <v>0</v>
      </c>
      <c r="E157">
        <f>Master_Data!E157</f>
        <v>1</v>
      </c>
      <c r="F157">
        <f>Master_Data!F157</f>
        <v>18</v>
      </c>
      <c r="G157" t="b">
        <f>Master_Data!G157</f>
        <v>0</v>
      </c>
      <c r="H157">
        <f>Master_Data!H157</f>
        <v>5</v>
      </c>
      <c r="I157">
        <f>Master_Data!I157</f>
        <v>1</v>
      </c>
      <c r="J157">
        <f>Master_Data!J157</f>
        <v>0.2</v>
      </c>
      <c r="K157">
        <f>Master_Data!K157</f>
        <v>0.2273</v>
      </c>
      <c r="L157">
        <f>Master_Data!L157</f>
        <v>0.4</v>
      </c>
      <c r="M157">
        <f>Master_Data!M157</f>
        <v>8.9599999999999999E-2</v>
      </c>
      <c r="N157">
        <f>Master_Data!N157</f>
        <v>7</v>
      </c>
      <c r="O157">
        <f>Master_Data!O157</f>
        <v>116</v>
      </c>
      <c r="P157">
        <f>Master_Data!P157</f>
        <v>123</v>
      </c>
      <c r="Q157" t="str">
        <f t="shared" si="12"/>
        <v>2011</v>
      </c>
      <c r="R157" t="str">
        <f t="shared" si="13"/>
        <v>January</v>
      </c>
      <c r="S157" t="str">
        <f t="shared" si="14"/>
        <v>Weekday</v>
      </c>
      <c r="T157" t="str">
        <f t="shared" si="15"/>
        <v>Evening</v>
      </c>
      <c r="U157" t="str">
        <f t="shared" si="16"/>
        <v>Spring</v>
      </c>
      <c r="V157" t="str">
        <f t="shared" si="17"/>
        <v>Clear</v>
      </c>
    </row>
    <row r="158" spans="1:22">
      <c r="A158">
        <f>Master_Data!A158</f>
        <v>157</v>
      </c>
      <c r="B158">
        <f>Master_Data!B158</f>
        <v>40550</v>
      </c>
      <c r="C158">
        <f>Master_Data!C158</f>
        <v>1</v>
      </c>
      <c r="D158">
        <f>Master_Data!D158</f>
        <v>0</v>
      </c>
      <c r="E158">
        <f>Master_Data!E158</f>
        <v>1</v>
      </c>
      <c r="F158">
        <f>Master_Data!F158</f>
        <v>19</v>
      </c>
      <c r="G158" t="b">
        <f>Master_Data!G158</f>
        <v>0</v>
      </c>
      <c r="H158">
        <f>Master_Data!H158</f>
        <v>5</v>
      </c>
      <c r="I158">
        <f>Master_Data!I158</f>
        <v>1</v>
      </c>
      <c r="J158">
        <f>Master_Data!J158</f>
        <v>0.16</v>
      </c>
      <c r="K158">
        <f>Master_Data!K158</f>
        <v>0.19700000000000001</v>
      </c>
      <c r="L158">
        <f>Master_Data!L158</f>
        <v>0.55000000000000004</v>
      </c>
      <c r="M158">
        <f>Master_Data!M158</f>
        <v>8.9599999999999999E-2</v>
      </c>
      <c r="N158">
        <f>Master_Data!N158</f>
        <v>3</v>
      </c>
      <c r="O158">
        <f>Master_Data!O158</f>
        <v>92</v>
      </c>
      <c r="P158">
        <f>Master_Data!P158</f>
        <v>95</v>
      </c>
      <c r="Q158" t="str">
        <f t="shared" si="12"/>
        <v>2011</v>
      </c>
      <c r="R158" t="str">
        <f t="shared" si="13"/>
        <v>January</v>
      </c>
      <c r="S158" t="str">
        <f t="shared" si="14"/>
        <v>Weekday</v>
      </c>
      <c r="T158" t="str">
        <f t="shared" si="15"/>
        <v>Evening</v>
      </c>
      <c r="U158" t="str">
        <f t="shared" si="16"/>
        <v>Spring</v>
      </c>
      <c r="V158" t="str">
        <f t="shared" si="17"/>
        <v>Clear</v>
      </c>
    </row>
    <row r="159" spans="1:22">
      <c r="A159">
        <f>Master_Data!A159</f>
        <v>158</v>
      </c>
      <c r="B159">
        <f>Master_Data!B159</f>
        <v>40550</v>
      </c>
      <c r="C159">
        <f>Master_Data!C159</f>
        <v>1</v>
      </c>
      <c r="D159">
        <f>Master_Data!D159</f>
        <v>0</v>
      </c>
      <c r="E159">
        <f>Master_Data!E159</f>
        <v>1</v>
      </c>
      <c r="F159">
        <f>Master_Data!F159</f>
        <v>20</v>
      </c>
      <c r="G159" t="b">
        <f>Master_Data!G159</f>
        <v>0</v>
      </c>
      <c r="H159">
        <f>Master_Data!H159</f>
        <v>5</v>
      </c>
      <c r="I159">
        <f>Master_Data!I159</f>
        <v>1</v>
      </c>
      <c r="J159">
        <f>Master_Data!J159</f>
        <v>0.18</v>
      </c>
      <c r="K159">
        <f>Master_Data!K159</f>
        <v>0.21210000000000001</v>
      </c>
      <c r="L159">
        <f>Master_Data!L159</f>
        <v>0.47</v>
      </c>
      <c r="M159">
        <f>Master_Data!M159</f>
        <v>0.1045</v>
      </c>
      <c r="N159">
        <f>Master_Data!N159</f>
        <v>1</v>
      </c>
      <c r="O159">
        <f>Master_Data!O159</f>
        <v>50</v>
      </c>
      <c r="P159">
        <f>Master_Data!P159</f>
        <v>51</v>
      </c>
      <c r="Q159" t="str">
        <f t="shared" si="12"/>
        <v>2011</v>
      </c>
      <c r="R159" t="str">
        <f t="shared" si="13"/>
        <v>January</v>
      </c>
      <c r="S159" t="str">
        <f t="shared" si="14"/>
        <v>Weekday</v>
      </c>
      <c r="T159" t="str">
        <f t="shared" si="15"/>
        <v>Evening</v>
      </c>
      <c r="U159" t="str">
        <f t="shared" si="16"/>
        <v>Spring</v>
      </c>
      <c r="V159" t="str">
        <f t="shared" si="17"/>
        <v>Clear</v>
      </c>
    </row>
    <row r="160" spans="1:22">
      <c r="A160">
        <f>Master_Data!A160</f>
        <v>159</v>
      </c>
      <c r="B160">
        <f>Master_Data!B160</f>
        <v>40550</v>
      </c>
      <c r="C160">
        <f>Master_Data!C160</f>
        <v>1</v>
      </c>
      <c r="D160">
        <f>Master_Data!D160</f>
        <v>0</v>
      </c>
      <c r="E160">
        <f>Master_Data!E160</f>
        <v>1</v>
      </c>
      <c r="F160">
        <f>Master_Data!F160</f>
        <v>21</v>
      </c>
      <c r="G160" t="b">
        <f>Master_Data!G160</f>
        <v>0</v>
      </c>
      <c r="H160">
        <f>Master_Data!H160</f>
        <v>5</v>
      </c>
      <c r="I160">
        <f>Master_Data!I160</f>
        <v>1</v>
      </c>
      <c r="J160">
        <f>Master_Data!J160</f>
        <v>0.18</v>
      </c>
      <c r="K160">
        <f>Master_Data!K160</f>
        <v>0.19700000000000001</v>
      </c>
      <c r="L160">
        <f>Master_Data!L160</f>
        <v>0.47</v>
      </c>
      <c r="M160">
        <f>Master_Data!M160</f>
        <v>0.1343</v>
      </c>
      <c r="N160">
        <f>Master_Data!N160</f>
        <v>0</v>
      </c>
      <c r="O160">
        <f>Master_Data!O160</f>
        <v>39</v>
      </c>
      <c r="P160">
        <f>Master_Data!P160</f>
        <v>39</v>
      </c>
      <c r="Q160" t="str">
        <f t="shared" si="12"/>
        <v>2011</v>
      </c>
      <c r="R160" t="str">
        <f t="shared" si="13"/>
        <v>January</v>
      </c>
      <c r="S160" t="str">
        <f t="shared" si="14"/>
        <v>Weekday</v>
      </c>
      <c r="T160" t="str">
        <f t="shared" si="15"/>
        <v>Night</v>
      </c>
      <c r="U160" t="str">
        <f t="shared" si="16"/>
        <v>Spring</v>
      </c>
      <c r="V160" t="str">
        <f t="shared" si="17"/>
        <v>Clear</v>
      </c>
    </row>
    <row r="161" spans="1:22">
      <c r="A161">
        <f>Master_Data!A161</f>
        <v>160</v>
      </c>
      <c r="B161">
        <f>Master_Data!B161</f>
        <v>40550</v>
      </c>
      <c r="C161">
        <f>Master_Data!C161</f>
        <v>1</v>
      </c>
      <c r="D161">
        <f>Master_Data!D161</f>
        <v>0</v>
      </c>
      <c r="E161">
        <f>Master_Data!E161</f>
        <v>1</v>
      </c>
      <c r="F161">
        <f>Master_Data!F161</f>
        <v>22</v>
      </c>
      <c r="G161" t="b">
        <f>Master_Data!G161</f>
        <v>0</v>
      </c>
      <c r="H161">
        <f>Master_Data!H161</f>
        <v>5</v>
      </c>
      <c r="I161">
        <f>Master_Data!I161</f>
        <v>2</v>
      </c>
      <c r="J161">
        <f>Master_Data!J161</f>
        <v>0.18</v>
      </c>
      <c r="K161">
        <f>Master_Data!K161</f>
        <v>0.19700000000000001</v>
      </c>
      <c r="L161">
        <f>Master_Data!L161</f>
        <v>0.43</v>
      </c>
      <c r="M161">
        <f>Master_Data!M161</f>
        <v>0.16420000000000001</v>
      </c>
      <c r="N161">
        <f>Master_Data!N161</f>
        <v>2</v>
      </c>
      <c r="O161">
        <f>Master_Data!O161</f>
        <v>34</v>
      </c>
      <c r="P161">
        <f>Master_Data!P161</f>
        <v>36</v>
      </c>
      <c r="Q161" t="str">
        <f t="shared" si="12"/>
        <v>2011</v>
      </c>
      <c r="R161" t="str">
        <f t="shared" si="13"/>
        <v>January</v>
      </c>
      <c r="S161" t="str">
        <f t="shared" si="14"/>
        <v>Weekday</v>
      </c>
      <c r="T161" t="str">
        <f t="shared" si="15"/>
        <v>Night</v>
      </c>
      <c r="U161" t="str">
        <f t="shared" si="16"/>
        <v>Spring</v>
      </c>
      <c r="V161" t="str">
        <f t="shared" si="17"/>
        <v>Mist/Cloudy</v>
      </c>
    </row>
    <row r="162" spans="1:22">
      <c r="A162">
        <f>Master_Data!A162</f>
        <v>161</v>
      </c>
      <c r="B162">
        <f>Master_Data!B162</f>
        <v>40550</v>
      </c>
      <c r="C162">
        <f>Master_Data!C162</f>
        <v>1</v>
      </c>
      <c r="D162">
        <f>Master_Data!D162</f>
        <v>0</v>
      </c>
      <c r="E162">
        <f>Master_Data!E162</f>
        <v>1</v>
      </c>
      <c r="F162">
        <f>Master_Data!F162</f>
        <v>23</v>
      </c>
      <c r="G162" t="b">
        <f>Master_Data!G162</f>
        <v>0</v>
      </c>
      <c r="H162">
        <f>Master_Data!H162</f>
        <v>5</v>
      </c>
      <c r="I162">
        <f>Master_Data!I162</f>
        <v>2</v>
      </c>
      <c r="J162">
        <f>Master_Data!J162</f>
        <v>0.18</v>
      </c>
      <c r="K162">
        <f>Master_Data!K162</f>
        <v>0.19700000000000001</v>
      </c>
      <c r="L162">
        <f>Master_Data!L162</f>
        <v>0.51</v>
      </c>
      <c r="M162">
        <f>Master_Data!M162</f>
        <v>0.16420000000000001</v>
      </c>
      <c r="N162">
        <f>Master_Data!N162</f>
        <v>1</v>
      </c>
      <c r="O162">
        <f>Master_Data!O162</f>
        <v>14</v>
      </c>
      <c r="P162">
        <f>Master_Data!P162</f>
        <v>15</v>
      </c>
      <c r="Q162" t="str">
        <f t="shared" si="12"/>
        <v>2011</v>
      </c>
      <c r="R162" t="str">
        <f t="shared" si="13"/>
        <v>January</v>
      </c>
      <c r="S162" t="str">
        <f t="shared" si="14"/>
        <v>Weekday</v>
      </c>
      <c r="T162" t="str">
        <f t="shared" si="15"/>
        <v>Night</v>
      </c>
      <c r="U162" t="str">
        <f t="shared" si="16"/>
        <v>Spring</v>
      </c>
      <c r="V162" t="str">
        <f t="shared" si="17"/>
        <v>Mist/Cloudy</v>
      </c>
    </row>
    <row r="163" spans="1:22">
      <c r="A163">
        <f>Master_Data!A163</f>
        <v>162</v>
      </c>
      <c r="B163">
        <f>Master_Data!B163</f>
        <v>40551</v>
      </c>
      <c r="C163">
        <f>Master_Data!C163</f>
        <v>1</v>
      </c>
      <c r="D163">
        <f>Master_Data!D163</f>
        <v>0</v>
      </c>
      <c r="E163">
        <f>Master_Data!E163</f>
        <v>1</v>
      </c>
      <c r="F163">
        <f>Master_Data!F163</f>
        <v>0</v>
      </c>
      <c r="G163" t="b">
        <f>Master_Data!G163</f>
        <v>0</v>
      </c>
      <c r="H163">
        <f>Master_Data!H163</f>
        <v>6</v>
      </c>
      <c r="I163">
        <f>Master_Data!I163</f>
        <v>2</v>
      </c>
      <c r="J163">
        <f>Master_Data!J163</f>
        <v>0.18</v>
      </c>
      <c r="K163">
        <f>Master_Data!K163</f>
        <v>0.19700000000000001</v>
      </c>
      <c r="L163">
        <f>Master_Data!L163</f>
        <v>0.51</v>
      </c>
      <c r="M163">
        <f>Master_Data!M163</f>
        <v>0.16420000000000001</v>
      </c>
      <c r="N163">
        <f>Master_Data!N163</f>
        <v>1</v>
      </c>
      <c r="O163">
        <f>Master_Data!O163</f>
        <v>24</v>
      </c>
      <c r="P163">
        <f>Master_Data!P163</f>
        <v>25</v>
      </c>
      <c r="Q163" t="str">
        <f t="shared" si="12"/>
        <v>2011</v>
      </c>
      <c r="R163" t="str">
        <f t="shared" si="13"/>
        <v>January</v>
      </c>
      <c r="S163" t="str">
        <f t="shared" si="14"/>
        <v>Saturday</v>
      </c>
      <c r="T163" t="str">
        <f t="shared" si="15"/>
        <v>Night</v>
      </c>
      <c r="U163" t="str">
        <f t="shared" si="16"/>
        <v>Spring</v>
      </c>
      <c r="V163" t="str">
        <f t="shared" si="17"/>
        <v>Mist/Cloudy</v>
      </c>
    </row>
    <row r="164" spans="1:22">
      <c r="A164">
        <f>Master_Data!A164</f>
        <v>163</v>
      </c>
      <c r="B164">
        <f>Master_Data!B164</f>
        <v>40551</v>
      </c>
      <c r="C164">
        <f>Master_Data!C164</f>
        <v>1</v>
      </c>
      <c r="D164">
        <f>Master_Data!D164</f>
        <v>0</v>
      </c>
      <c r="E164">
        <f>Master_Data!E164</f>
        <v>1</v>
      </c>
      <c r="F164">
        <f>Master_Data!F164</f>
        <v>1</v>
      </c>
      <c r="G164" t="b">
        <f>Master_Data!G164</f>
        <v>0</v>
      </c>
      <c r="H164">
        <f>Master_Data!H164</f>
        <v>6</v>
      </c>
      <c r="I164">
        <f>Master_Data!I164</f>
        <v>2</v>
      </c>
      <c r="J164">
        <f>Master_Data!J164</f>
        <v>0.18</v>
      </c>
      <c r="K164">
        <f>Master_Data!K164</f>
        <v>0.21210000000000001</v>
      </c>
      <c r="L164">
        <f>Master_Data!L164</f>
        <v>0.55000000000000004</v>
      </c>
      <c r="M164">
        <f>Master_Data!M164</f>
        <v>8.9599999999999999E-2</v>
      </c>
      <c r="N164">
        <f>Master_Data!N164</f>
        <v>1</v>
      </c>
      <c r="O164">
        <f>Master_Data!O164</f>
        <v>15</v>
      </c>
      <c r="P164">
        <f>Master_Data!P164</f>
        <v>16</v>
      </c>
      <c r="Q164" t="str">
        <f t="shared" si="12"/>
        <v>2011</v>
      </c>
      <c r="R164" t="str">
        <f t="shared" si="13"/>
        <v>January</v>
      </c>
      <c r="S164" t="str">
        <f t="shared" si="14"/>
        <v>Saturday</v>
      </c>
      <c r="T164" t="str">
        <f t="shared" si="15"/>
        <v>Night</v>
      </c>
      <c r="U164" t="str">
        <f t="shared" si="16"/>
        <v>Spring</v>
      </c>
      <c r="V164" t="str">
        <f t="shared" si="17"/>
        <v>Mist/Cloudy</v>
      </c>
    </row>
    <row r="165" spans="1:22">
      <c r="A165">
        <f>Master_Data!A165</f>
        <v>164</v>
      </c>
      <c r="B165">
        <f>Master_Data!B165</f>
        <v>40551</v>
      </c>
      <c r="C165">
        <f>Master_Data!C165</f>
        <v>1</v>
      </c>
      <c r="D165">
        <f>Master_Data!D165</f>
        <v>0</v>
      </c>
      <c r="E165">
        <f>Master_Data!E165</f>
        <v>1</v>
      </c>
      <c r="F165">
        <f>Master_Data!F165</f>
        <v>2</v>
      </c>
      <c r="G165" t="b">
        <f>Master_Data!G165</f>
        <v>0</v>
      </c>
      <c r="H165">
        <f>Master_Data!H165</f>
        <v>6</v>
      </c>
      <c r="I165">
        <f>Master_Data!I165</f>
        <v>2</v>
      </c>
      <c r="J165">
        <f>Master_Data!J165</f>
        <v>0.18</v>
      </c>
      <c r="K165">
        <f>Master_Data!K165</f>
        <v>0.2424</v>
      </c>
      <c r="L165">
        <f>Master_Data!L165</f>
        <v>0.55000000000000004</v>
      </c>
      <c r="M165">
        <f>Master_Data!M165</f>
        <v>0</v>
      </c>
      <c r="N165">
        <f>Master_Data!N165</f>
        <v>3</v>
      </c>
      <c r="O165">
        <f>Master_Data!O165</f>
        <v>13</v>
      </c>
      <c r="P165">
        <f>Master_Data!P165</f>
        <v>16</v>
      </c>
      <c r="Q165" t="str">
        <f t="shared" si="12"/>
        <v>2011</v>
      </c>
      <c r="R165" t="str">
        <f t="shared" si="13"/>
        <v>January</v>
      </c>
      <c r="S165" t="str">
        <f t="shared" si="14"/>
        <v>Saturday</v>
      </c>
      <c r="T165" t="str">
        <f t="shared" si="15"/>
        <v>Night</v>
      </c>
      <c r="U165" t="str">
        <f t="shared" si="16"/>
        <v>Spring</v>
      </c>
      <c r="V165" t="str">
        <f t="shared" si="17"/>
        <v>Mist/Cloudy</v>
      </c>
    </row>
    <row r="166" spans="1:22">
      <c r="A166">
        <f>Master_Data!A166</f>
        <v>165</v>
      </c>
      <c r="B166">
        <f>Master_Data!B166</f>
        <v>40551</v>
      </c>
      <c r="C166">
        <f>Master_Data!C166</f>
        <v>1</v>
      </c>
      <c r="D166">
        <f>Master_Data!D166</f>
        <v>0</v>
      </c>
      <c r="E166">
        <f>Master_Data!E166</f>
        <v>1</v>
      </c>
      <c r="F166">
        <f>Master_Data!F166</f>
        <v>3</v>
      </c>
      <c r="G166" t="b">
        <f>Master_Data!G166</f>
        <v>0</v>
      </c>
      <c r="H166">
        <f>Master_Data!H166</f>
        <v>6</v>
      </c>
      <c r="I166">
        <f>Master_Data!I166</f>
        <v>3</v>
      </c>
      <c r="J166">
        <f>Master_Data!J166</f>
        <v>0.18</v>
      </c>
      <c r="K166">
        <f>Master_Data!K166</f>
        <v>0.19700000000000001</v>
      </c>
      <c r="L166">
        <f>Master_Data!L166</f>
        <v>0.55000000000000004</v>
      </c>
      <c r="M166">
        <f>Master_Data!M166</f>
        <v>0.16420000000000001</v>
      </c>
      <c r="N166">
        <f>Master_Data!N166</f>
        <v>0</v>
      </c>
      <c r="O166">
        <f>Master_Data!O166</f>
        <v>7</v>
      </c>
      <c r="P166">
        <f>Master_Data!P166</f>
        <v>7</v>
      </c>
      <c r="Q166" t="str">
        <f t="shared" si="12"/>
        <v>2011</v>
      </c>
      <c r="R166" t="str">
        <f t="shared" si="13"/>
        <v>January</v>
      </c>
      <c r="S166" t="str">
        <f t="shared" si="14"/>
        <v>Saturday</v>
      </c>
      <c r="T166" t="str">
        <f t="shared" si="15"/>
        <v>Night</v>
      </c>
      <c r="U166" t="str">
        <f t="shared" si="16"/>
        <v>Spring</v>
      </c>
      <c r="V166" t="str">
        <f t="shared" si="17"/>
        <v>Light Rain/Snow</v>
      </c>
    </row>
    <row r="167" spans="1:22">
      <c r="A167">
        <f>Master_Data!A167</f>
        <v>166</v>
      </c>
      <c r="B167">
        <f>Master_Data!B167</f>
        <v>40551</v>
      </c>
      <c r="C167">
        <f>Master_Data!C167</f>
        <v>1</v>
      </c>
      <c r="D167">
        <f>Master_Data!D167</f>
        <v>0</v>
      </c>
      <c r="E167">
        <f>Master_Data!E167</f>
        <v>1</v>
      </c>
      <c r="F167">
        <f>Master_Data!F167</f>
        <v>4</v>
      </c>
      <c r="G167" t="b">
        <f>Master_Data!G167</f>
        <v>0</v>
      </c>
      <c r="H167">
        <f>Master_Data!H167</f>
        <v>6</v>
      </c>
      <c r="I167">
        <f>Master_Data!I167</f>
        <v>3</v>
      </c>
      <c r="J167">
        <f>Master_Data!J167</f>
        <v>0.18</v>
      </c>
      <c r="K167">
        <f>Master_Data!K167</f>
        <v>0.19700000000000001</v>
      </c>
      <c r="L167">
        <f>Master_Data!L167</f>
        <v>0.55000000000000004</v>
      </c>
      <c r="M167">
        <f>Master_Data!M167</f>
        <v>0.16420000000000001</v>
      </c>
      <c r="N167">
        <f>Master_Data!N167</f>
        <v>0</v>
      </c>
      <c r="O167">
        <f>Master_Data!O167</f>
        <v>1</v>
      </c>
      <c r="P167">
        <f>Master_Data!P167</f>
        <v>1</v>
      </c>
      <c r="Q167" t="str">
        <f t="shared" si="12"/>
        <v>2011</v>
      </c>
      <c r="R167" t="str">
        <f t="shared" si="13"/>
        <v>January</v>
      </c>
      <c r="S167" t="str">
        <f t="shared" si="14"/>
        <v>Saturday</v>
      </c>
      <c r="T167" t="str">
        <f t="shared" si="15"/>
        <v>Night</v>
      </c>
      <c r="U167" t="str">
        <f t="shared" si="16"/>
        <v>Spring</v>
      </c>
      <c r="V167" t="str">
        <f t="shared" si="17"/>
        <v>Light Rain/Snow</v>
      </c>
    </row>
    <row r="168" spans="1:22">
      <c r="A168">
        <f>Master_Data!A168</f>
        <v>167</v>
      </c>
      <c r="B168">
        <f>Master_Data!B168</f>
        <v>40551</v>
      </c>
      <c r="C168">
        <f>Master_Data!C168</f>
        <v>1</v>
      </c>
      <c r="D168">
        <f>Master_Data!D168</f>
        <v>0</v>
      </c>
      <c r="E168">
        <f>Master_Data!E168</f>
        <v>1</v>
      </c>
      <c r="F168">
        <f>Master_Data!F168</f>
        <v>5</v>
      </c>
      <c r="G168" t="b">
        <f>Master_Data!G168</f>
        <v>0</v>
      </c>
      <c r="H168">
        <f>Master_Data!H168</f>
        <v>6</v>
      </c>
      <c r="I168">
        <f>Master_Data!I168</f>
        <v>2</v>
      </c>
      <c r="J168">
        <f>Master_Data!J168</f>
        <v>0.16</v>
      </c>
      <c r="K168">
        <f>Master_Data!K168</f>
        <v>0.16669999999999999</v>
      </c>
      <c r="L168">
        <f>Master_Data!L168</f>
        <v>0.74</v>
      </c>
      <c r="M168">
        <f>Master_Data!M168</f>
        <v>0.16420000000000001</v>
      </c>
      <c r="N168">
        <f>Master_Data!N168</f>
        <v>0</v>
      </c>
      <c r="O168">
        <f>Master_Data!O168</f>
        <v>5</v>
      </c>
      <c r="P168">
        <f>Master_Data!P168</f>
        <v>5</v>
      </c>
      <c r="Q168" t="str">
        <f t="shared" si="12"/>
        <v>2011</v>
      </c>
      <c r="R168" t="str">
        <f t="shared" si="13"/>
        <v>January</v>
      </c>
      <c r="S168" t="str">
        <f t="shared" si="14"/>
        <v>Saturday</v>
      </c>
      <c r="T168" t="str">
        <f t="shared" si="15"/>
        <v>Night</v>
      </c>
      <c r="U168" t="str">
        <f t="shared" si="16"/>
        <v>Spring</v>
      </c>
      <c r="V168" t="str">
        <f t="shared" si="17"/>
        <v>Mist/Cloudy</v>
      </c>
    </row>
    <row r="169" spans="1:22">
      <c r="A169">
        <f>Master_Data!A169</f>
        <v>168</v>
      </c>
      <c r="B169">
        <f>Master_Data!B169</f>
        <v>40551</v>
      </c>
      <c r="C169">
        <f>Master_Data!C169</f>
        <v>1</v>
      </c>
      <c r="D169">
        <f>Master_Data!D169</f>
        <v>0</v>
      </c>
      <c r="E169">
        <f>Master_Data!E169</f>
        <v>1</v>
      </c>
      <c r="F169">
        <f>Master_Data!F169</f>
        <v>6</v>
      </c>
      <c r="G169" t="b">
        <f>Master_Data!G169</f>
        <v>0</v>
      </c>
      <c r="H169">
        <f>Master_Data!H169</f>
        <v>6</v>
      </c>
      <c r="I169">
        <f>Master_Data!I169</f>
        <v>2</v>
      </c>
      <c r="J169">
        <f>Master_Data!J169</f>
        <v>0.16</v>
      </c>
      <c r="K169">
        <f>Master_Data!K169</f>
        <v>0.16669999999999999</v>
      </c>
      <c r="L169">
        <f>Master_Data!L169</f>
        <v>0.74</v>
      </c>
      <c r="M169">
        <f>Master_Data!M169</f>
        <v>0.16420000000000001</v>
      </c>
      <c r="N169">
        <f>Master_Data!N169</f>
        <v>0</v>
      </c>
      <c r="O169">
        <f>Master_Data!O169</f>
        <v>2</v>
      </c>
      <c r="P169">
        <f>Master_Data!P169</f>
        <v>2</v>
      </c>
      <c r="Q169" t="str">
        <f t="shared" si="12"/>
        <v>2011</v>
      </c>
      <c r="R169" t="str">
        <f t="shared" si="13"/>
        <v>January</v>
      </c>
      <c r="S169" t="str">
        <f t="shared" si="14"/>
        <v>Saturday</v>
      </c>
      <c r="T169" t="str">
        <f t="shared" si="15"/>
        <v>Morning</v>
      </c>
      <c r="U169" t="str">
        <f t="shared" si="16"/>
        <v>Spring</v>
      </c>
      <c r="V169" t="str">
        <f t="shared" si="17"/>
        <v>Mist/Cloudy</v>
      </c>
    </row>
    <row r="170" spans="1:22">
      <c r="A170">
        <f>Master_Data!A170</f>
        <v>169</v>
      </c>
      <c r="B170">
        <f>Master_Data!B170</f>
        <v>40551</v>
      </c>
      <c r="C170">
        <f>Master_Data!C170</f>
        <v>1</v>
      </c>
      <c r="D170">
        <f>Master_Data!D170</f>
        <v>0</v>
      </c>
      <c r="E170">
        <f>Master_Data!E170</f>
        <v>1</v>
      </c>
      <c r="F170">
        <f>Master_Data!F170</f>
        <v>7</v>
      </c>
      <c r="G170" t="b">
        <f>Master_Data!G170</f>
        <v>0</v>
      </c>
      <c r="H170">
        <f>Master_Data!H170</f>
        <v>6</v>
      </c>
      <c r="I170">
        <f>Master_Data!I170</f>
        <v>2</v>
      </c>
      <c r="J170">
        <f>Master_Data!J170</f>
        <v>0.16</v>
      </c>
      <c r="K170">
        <f>Master_Data!K170</f>
        <v>0.18179999999999999</v>
      </c>
      <c r="L170">
        <f>Master_Data!L170</f>
        <v>0.74</v>
      </c>
      <c r="M170">
        <f>Master_Data!M170</f>
        <v>0.1045</v>
      </c>
      <c r="N170">
        <f>Master_Data!N170</f>
        <v>1</v>
      </c>
      <c r="O170">
        <f>Master_Data!O170</f>
        <v>8</v>
      </c>
      <c r="P170">
        <f>Master_Data!P170</f>
        <v>9</v>
      </c>
      <c r="Q170" t="str">
        <f t="shared" si="12"/>
        <v>2011</v>
      </c>
      <c r="R170" t="str">
        <f t="shared" si="13"/>
        <v>January</v>
      </c>
      <c r="S170" t="str">
        <f t="shared" si="14"/>
        <v>Saturday</v>
      </c>
      <c r="T170" t="str">
        <f t="shared" si="15"/>
        <v>Morning</v>
      </c>
      <c r="U170" t="str">
        <f t="shared" si="16"/>
        <v>Spring</v>
      </c>
      <c r="V170" t="str">
        <f t="shared" si="17"/>
        <v>Mist/Cloudy</v>
      </c>
    </row>
    <row r="171" spans="1:22">
      <c r="A171">
        <f>Master_Data!A171</f>
        <v>170</v>
      </c>
      <c r="B171">
        <f>Master_Data!B171</f>
        <v>40551</v>
      </c>
      <c r="C171">
        <f>Master_Data!C171</f>
        <v>1</v>
      </c>
      <c r="D171">
        <f>Master_Data!D171</f>
        <v>0</v>
      </c>
      <c r="E171">
        <f>Master_Data!E171</f>
        <v>1</v>
      </c>
      <c r="F171">
        <f>Master_Data!F171</f>
        <v>8</v>
      </c>
      <c r="G171" t="b">
        <f>Master_Data!G171</f>
        <v>0</v>
      </c>
      <c r="H171">
        <f>Master_Data!H171</f>
        <v>6</v>
      </c>
      <c r="I171">
        <f>Master_Data!I171</f>
        <v>3</v>
      </c>
      <c r="J171">
        <f>Master_Data!J171</f>
        <v>0.16</v>
      </c>
      <c r="K171">
        <f>Master_Data!K171</f>
        <v>0.18179999999999999</v>
      </c>
      <c r="L171">
        <f>Master_Data!L171</f>
        <v>0.93</v>
      </c>
      <c r="M171">
        <f>Master_Data!M171</f>
        <v>0.1045</v>
      </c>
      <c r="N171">
        <f>Master_Data!N171</f>
        <v>0</v>
      </c>
      <c r="O171">
        <f>Master_Data!O171</f>
        <v>15</v>
      </c>
      <c r="P171">
        <f>Master_Data!P171</f>
        <v>15</v>
      </c>
      <c r="Q171" t="str">
        <f t="shared" si="12"/>
        <v>2011</v>
      </c>
      <c r="R171" t="str">
        <f t="shared" si="13"/>
        <v>January</v>
      </c>
      <c r="S171" t="str">
        <f t="shared" si="14"/>
        <v>Saturday</v>
      </c>
      <c r="T171" t="str">
        <f t="shared" si="15"/>
        <v>Morning</v>
      </c>
      <c r="U171" t="str">
        <f t="shared" si="16"/>
        <v>Spring</v>
      </c>
      <c r="V171" t="str">
        <f t="shared" si="17"/>
        <v>Light Rain/Snow</v>
      </c>
    </row>
    <row r="172" spans="1:22">
      <c r="A172">
        <f>Master_Data!A172</f>
        <v>171</v>
      </c>
      <c r="B172">
        <f>Master_Data!B172</f>
        <v>40551</v>
      </c>
      <c r="C172">
        <f>Master_Data!C172</f>
        <v>1</v>
      </c>
      <c r="D172">
        <f>Master_Data!D172</f>
        <v>0</v>
      </c>
      <c r="E172">
        <f>Master_Data!E172</f>
        <v>1</v>
      </c>
      <c r="F172">
        <f>Master_Data!F172</f>
        <v>9</v>
      </c>
      <c r="G172" t="b">
        <f>Master_Data!G172</f>
        <v>0</v>
      </c>
      <c r="H172">
        <f>Master_Data!H172</f>
        <v>6</v>
      </c>
      <c r="I172">
        <f>Master_Data!I172</f>
        <v>3</v>
      </c>
      <c r="J172">
        <f>Master_Data!J172</f>
        <v>0.16</v>
      </c>
      <c r="K172">
        <f>Master_Data!K172</f>
        <v>0.18179999999999999</v>
      </c>
      <c r="L172">
        <f>Master_Data!L172</f>
        <v>0.93</v>
      </c>
      <c r="M172">
        <f>Master_Data!M172</f>
        <v>0.1045</v>
      </c>
      <c r="N172">
        <f>Master_Data!N172</f>
        <v>0</v>
      </c>
      <c r="O172">
        <f>Master_Data!O172</f>
        <v>20</v>
      </c>
      <c r="P172">
        <f>Master_Data!P172</f>
        <v>20</v>
      </c>
      <c r="Q172" t="str">
        <f t="shared" si="12"/>
        <v>2011</v>
      </c>
      <c r="R172" t="str">
        <f t="shared" si="13"/>
        <v>January</v>
      </c>
      <c r="S172" t="str">
        <f t="shared" si="14"/>
        <v>Saturday</v>
      </c>
      <c r="T172" t="str">
        <f t="shared" si="15"/>
        <v>Morning</v>
      </c>
      <c r="U172" t="str">
        <f t="shared" si="16"/>
        <v>Spring</v>
      </c>
      <c r="V172" t="str">
        <f t="shared" si="17"/>
        <v>Light Rain/Snow</v>
      </c>
    </row>
    <row r="173" spans="1:22">
      <c r="A173">
        <f>Master_Data!A173</f>
        <v>172</v>
      </c>
      <c r="B173">
        <f>Master_Data!B173</f>
        <v>40551</v>
      </c>
      <c r="C173">
        <f>Master_Data!C173</f>
        <v>1</v>
      </c>
      <c r="D173">
        <f>Master_Data!D173</f>
        <v>0</v>
      </c>
      <c r="E173">
        <f>Master_Data!E173</f>
        <v>1</v>
      </c>
      <c r="F173">
        <f>Master_Data!F173</f>
        <v>10</v>
      </c>
      <c r="G173" t="b">
        <f>Master_Data!G173</f>
        <v>0</v>
      </c>
      <c r="H173">
        <f>Master_Data!H173</f>
        <v>6</v>
      </c>
      <c r="I173">
        <f>Master_Data!I173</f>
        <v>2</v>
      </c>
      <c r="J173">
        <f>Master_Data!J173</f>
        <v>0.18</v>
      </c>
      <c r="K173">
        <f>Master_Data!K173</f>
        <v>0.19700000000000001</v>
      </c>
      <c r="L173">
        <f>Master_Data!L173</f>
        <v>0.8</v>
      </c>
      <c r="M173">
        <f>Master_Data!M173</f>
        <v>0.16420000000000001</v>
      </c>
      <c r="N173">
        <f>Master_Data!N173</f>
        <v>5</v>
      </c>
      <c r="O173">
        <f>Master_Data!O173</f>
        <v>56</v>
      </c>
      <c r="P173">
        <f>Master_Data!P173</f>
        <v>61</v>
      </c>
      <c r="Q173" t="str">
        <f t="shared" si="12"/>
        <v>2011</v>
      </c>
      <c r="R173" t="str">
        <f t="shared" si="13"/>
        <v>January</v>
      </c>
      <c r="S173" t="str">
        <f t="shared" si="14"/>
        <v>Saturday</v>
      </c>
      <c r="T173" t="str">
        <f t="shared" si="15"/>
        <v>Morning</v>
      </c>
      <c r="U173" t="str">
        <f t="shared" si="16"/>
        <v>Spring</v>
      </c>
      <c r="V173" t="str">
        <f t="shared" si="17"/>
        <v>Mist/Cloudy</v>
      </c>
    </row>
    <row r="174" spans="1:22">
      <c r="A174">
        <f>Master_Data!A174</f>
        <v>173</v>
      </c>
      <c r="B174">
        <f>Master_Data!B174</f>
        <v>40551</v>
      </c>
      <c r="C174">
        <f>Master_Data!C174</f>
        <v>1</v>
      </c>
      <c r="D174">
        <f>Master_Data!D174</f>
        <v>0</v>
      </c>
      <c r="E174">
        <f>Master_Data!E174</f>
        <v>1</v>
      </c>
      <c r="F174">
        <f>Master_Data!F174</f>
        <v>11</v>
      </c>
      <c r="G174" t="b">
        <f>Master_Data!G174</f>
        <v>0</v>
      </c>
      <c r="H174">
        <f>Master_Data!H174</f>
        <v>6</v>
      </c>
      <c r="I174">
        <f>Master_Data!I174</f>
        <v>2</v>
      </c>
      <c r="J174">
        <f>Master_Data!J174</f>
        <v>0.2</v>
      </c>
      <c r="K174">
        <f>Master_Data!K174</f>
        <v>0.18179999999999999</v>
      </c>
      <c r="L174">
        <f>Master_Data!L174</f>
        <v>0.69</v>
      </c>
      <c r="M174">
        <f>Master_Data!M174</f>
        <v>0.3881</v>
      </c>
      <c r="N174">
        <f>Master_Data!N174</f>
        <v>2</v>
      </c>
      <c r="O174">
        <f>Master_Data!O174</f>
        <v>60</v>
      </c>
      <c r="P174">
        <f>Master_Data!P174</f>
        <v>62</v>
      </c>
      <c r="Q174" t="str">
        <f t="shared" si="12"/>
        <v>2011</v>
      </c>
      <c r="R174" t="str">
        <f t="shared" si="13"/>
        <v>January</v>
      </c>
      <c r="S174" t="str">
        <f t="shared" si="14"/>
        <v>Saturday</v>
      </c>
      <c r="T174" t="str">
        <f t="shared" si="15"/>
        <v>Morning</v>
      </c>
      <c r="U174" t="str">
        <f t="shared" si="16"/>
        <v>Spring</v>
      </c>
      <c r="V174" t="str">
        <f t="shared" si="17"/>
        <v>Mist/Cloudy</v>
      </c>
    </row>
    <row r="175" spans="1:22">
      <c r="A175">
        <f>Master_Data!A175</f>
        <v>174</v>
      </c>
      <c r="B175">
        <f>Master_Data!B175</f>
        <v>40551</v>
      </c>
      <c r="C175">
        <f>Master_Data!C175</f>
        <v>1</v>
      </c>
      <c r="D175">
        <f>Master_Data!D175</f>
        <v>0</v>
      </c>
      <c r="E175">
        <f>Master_Data!E175</f>
        <v>1</v>
      </c>
      <c r="F175">
        <f>Master_Data!F175</f>
        <v>12</v>
      </c>
      <c r="G175" t="b">
        <f>Master_Data!G175</f>
        <v>0</v>
      </c>
      <c r="H175">
        <f>Master_Data!H175</f>
        <v>6</v>
      </c>
      <c r="I175">
        <f>Master_Data!I175</f>
        <v>2</v>
      </c>
      <c r="J175">
        <f>Master_Data!J175</f>
        <v>0.2</v>
      </c>
      <c r="K175">
        <f>Master_Data!K175</f>
        <v>0.18179999999999999</v>
      </c>
      <c r="L175">
        <f>Master_Data!L175</f>
        <v>0.59</v>
      </c>
      <c r="M175">
        <f>Master_Data!M175</f>
        <v>0.35820000000000002</v>
      </c>
      <c r="N175">
        <f>Master_Data!N175</f>
        <v>8</v>
      </c>
      <c r="O175">
        <f>Master_Data!O175</f>
        <v>90</v>
      </c>
      <c r="P175">
        <f>Master_Data!P175</f>
        <v>98</v>
      </c>
      <c r="Q175" t="str">
        <f t="shared" si="12"/>
        <v>2011</v>
      </c>
      <c r="R175" t="str">
        <f t="shared" si="13"/>
        <v>January</v>
      </c>
      <c r="S175" t="str">
        <f t="shared" si="14"/>
        <v>Saturday</v>
      </c>
      <c r="T175" t="str">
        <f t="shared" si="15"/>
        <v>Afternoon</v>
      </c>
      <c r="U175" t="str">
        <f t="shared" si="16"/>
        <v>Spring</v>
      </c>
      <c r="V175" t="str">
        <f t="shared" si="17"/>
        <v>Mist/Cloudy</v>
      </c>
    </row>
    <row r="176" spans="1:22">
      <c r="A176">
        <f>Master_Data!A176</f>
        <v>175</v>
      </c>
      <c r="B176">
        <f>Master_Data!B176</f>
        <v>40551</v>
      </c>
      <c r="C176">
        <f>Master_Data!C176</f>
        <v>1</v>
      </c>
      <c r="D176">
        <f>Master_Data!D176</f>
        <v>0</v>
      </c>
      <c r="E176">
        <f>Master_Data!E176</f>
        <v>1</v>
      </c>
      <c r="F176">
        <f>Master_Data!F176</f>
        <v>13</v>
      </c>
      <c r="G176" t="b">
        <f>Master_Data!G176</f>
        <v>0</v>
      </c>
      <c r="H176">
        <f>Master_Data!H176</f>
        <v>6</v>
      </c>
      <c r="I176">
        <f>Master_Data!I176</f>
        <v>1</v>
      </c>
      <c r="J176">
        <f>Master_Data!J176</f>
        <v>0.2</v>
      </c>
      <c r="K176">
        <f>Master_Data!K176</f>
        <v>0.18179999999999999</v>
      </c>
      <c r="L176">
        <f>Master_Data!L176</f>
        <v>0.44</v>
      </c>
      <c r="M176">
        <f>Master_Data!M176</f>
        <v>0.32840000000000003</v>
      </c>
      <c r="N176">
        <f>Master_Data!N176</f>
        <v>7</v>
      </c>
      <c r="O176">
        <f>Master_Data!O176</f>
        <v>95</v>
      </c>
      <c r="P176">
        <f>Master_Data!P176</f>
        <v>102</v>
      </c>
      <c r="Q176" t="str">
        <f t="shared" si="12"/>
        <v>2011</v>
      </c>
      <c r="R176" t="str">
        <f t="shared" si="13"/>
        <v>January</v>
      </c>
      <c r="S176" t="str">
        <f t="shared" si="14"/>
        <v>Saturday</v>
      </c>
      <c r="T176" t="str">
        <f t="shared" si="15"/>
        <v>Afternoon</v>
      </c>
      <c r="U176" t="str">
        <f t="shared" si="16"/>
        <v>Spring</v>
      </c>
      <c r="V176" t="str">
        <f t="shared" si="17"/>
        <v>Clear</v>
      </c>
    </row>
    <row r="177" spans="1:22">
      <c r="A177">
        <f>Master_Data!A177</f>
        <v>176</v>
      </c>
      <c r="B177">
        <f>Master_Data!B177</f>
        <v>40551</v>
      </c>
      <c r="C177">
        <f>Master_Data!C177</f>
        <v>1</v>
      </c>
      <c r="D177">
        <f>Master_Data!D177</f>
        <v>0</v>
      </c>
      <c r="E177">
        <f>Master_Data!E177</f>
        <v>1</v>
      </c>
      <c r="F177">
        <f>Master_Data!F177</f>
        <v>14</v>
      </c>
      <c r="G177" t="b">
        <f>Master_Data!G177</f>
        <v>0</v>
      </c>
      <c r="H177">
        <f>Master_Data!H177</f>
        <v>6</v>
      </c>
      <c r="I177">
        <f>Master_Data!I177</f>
        <v>1</v>
      </c>
      <c r="J177">
        <f>Master_Data!J177</f>
        <v>0.2</v>
      </c>
      <c r="K177">
        <f>Master_Data!K177</f>
        <v>0.16669999999999999</v>
      </c>
      <c r="L177">
        <f>Master_Data!L177</f>
        <v>0.32</v>
      </c>
      <c r="M177">
        <f>Master_Data!M177</f>
        <v>0.49249999999999999</v>
      </c>
      <c r="N177">
        <f>Master_Data!N177</f>
        <v>12</v>
      </c>
      <c r="O177">
        <f>Master_Data!O177</f>
        <v>83</v>
      </c>
      <c r="P177">
        <f>Master_Data!P177</f>
        <v>95</v>
      </c>
      <c r="Q177" t="str">
        <f t="shared" si="12"/>
        <v>2011</v>
      </c>
      <c r="R177" t="str">
        <f t="shared" si="13"/>
        <v>January</v>
      </c>
      <c r="S177" t="str">
        <f t="shared" si="14"/>
        <v>Saturday</v>
      </c>
      <c r="T177" t="str">
        <f t="shared" si="15"/>
        <v>Afternoon</v>
      </c>
      <c r="U177" t="str">
        <f t="shared" si="16"/>
        <v>Spring</v>
      </c>
      <c r="V177" t="str">
        <f t="shared" si="17"/>
        <v>Clear</v>
      </c>
    </row>
    <row r="178" spans="1:22">
      <c r="A178">
        <f>Master_Data!A178</f>
        <v>177</v>
      </c>
      <c r="B178">
        <f>Master_Data!B178</f>
        <v>40551</v>
      </c>
      <c r="C178">
        <f>Master_Data!C178</f>
        <v>1</v>
      </c>
      <c r="D178">
        <f>Master_Data!D178</f>
        <v>0</v>
      </c>
      <c r="E178">
        <f>Master_Data!E178</f>
        <v>1</v>
      </c>
      <c r="F178">
        <f>Master_Data!F178</f>
        <v>15</v>
      </c>
      <c r="G178" t="b">
        <f>Master_Data!G178</f>
        <v>0</v>
      </c>
      <c r="H178">
        <f>Master_Data!H178</f>
        <v>6</v>
      </c>
      <c r="I178">
        <f>Master_Data!I178</f>
        <v>1</v>
      </c>
      <c r="J178">
        <f>Master_Data!J178</f>
        <v>0.2</v>
      </c>
      <c r="K178">
        <f>Master_Data!K178</f>
        <v>0.16669999999999999</v>
      </c>
      <c r="L178">
        <f>Master_Data!L178</f>
        <v>0.32</v>
      </c>
      <c r="M178">
        <f>Master_Data!M178</f>
        <v>0.44779999999999998</v>
      </c>
      <c r="N178">
        <f>Master_Data!N178</f>
        <v>5</v>
      </c>
      <c r="O178">
        <f>Master_Data!O178</f>
        <v>69</v>
      </c>
      <c r="P178">
        <f>Master_Data!P178</f>
        <v>74</v>
      </c>
      <c r="Q178" t="str">
        <f t="shared" si="12"/>
        <v>2011</v>
      </c>
      <c r="R178" t="str">
        <f t="shared" si="13"/>
        <v>January</v>
      </c>
      <c r="S178" t="str">
        <f t="shared" si="14"/>
        <v>Saturday</v>
      </c>
      <c r="T178" t="str">
        <f t="shared" si="15"/>
        <v>Afternoon</v>
      </c>
      <c r="U178" t="str">
        <f t="shared" si="16"/>
        <v>Spring</v>
      </c>
      <c r="V178" t="str">
        <f t="shared" si="17"/>
        <v>Clear</v>
      </c>
    </row>
    <row r="179" spans="1:22">
      <c r="A179">
        <f>Master_Data!A179</f>
        <v>178</v>
      </c>
      <c r="B179">
        <f>Master_Data!B179</f>
        <v>40551</v>
      </c>
      <c r="C179">
        <f>Master_Data!C179</f>
        <v>1</v>
      </c>
      <c r="D179">
        <f>Master_Data!D179</f>
        <v>0</v>
      </c>
      <c r="E179">
        <f>Master_Data!E179</f>
        <v>1</v>
      </c>
      <c r="F179">
        <f>Master_Data!F179</f>
        <v>16</v>
      </c>
      <c r="G179" t="b">
        <f>Master_Data!G179</f>
        <v>0</v>
      </c>
      <c r="H179">
        <f>Master_Data!H179</f>
        <v>6</v>
      </c>
      <c r="I179">
        <f>Master_Data!I179</f>
        <v>1</v>
      </c>
      <c r="J179">
        <f>Master_Data!J179</f>
        <v>0.18</v>
      </c>
      <c r="K179">
        <f>Master_Data!K179</f>
        <v>0.13639999999999999</v>
      </c>
      <c r="L179">
        <f>Master_Data!L179</f>
        <v>0.28999999999999998</v>
      </c>
      <c r="M179">
        <f>Master_Data!M179</f>
        <v>0.44779999999999998</v>
      </c>
      <c r="N179">
        <f>Master_Data!N179</f>
        <v>8</v>
      </c>
      <c r="O179">
        <f>Master_Data!O179</f>
        <v>68</v>
      </c>
      <c r="P179">
        <f>Master_Data!P179</f>
        <v>76</v>
      </c>
      <c r="Q179" t="str">
        <f t="shared" si="12"/>
        <v>2011</v>
      </c>
      <c r="R179" t="str">
        <f t="shared" si="13"/>
        <v>January</v>
      </c>
      <c r="S179" t="str">
        <f t="shared" si="14"/>
        <v>Saturday</v>
      </c>
      <c r="T179" t="str">
        <f t="shared" si="15"/>
        <v>Afternoon</v>
      </c>
      <c r="U179" t="str">
        <f t="shared" si="16"/>
        <v>Spring</v>
      </c>
      <c r="V179" t="str">
        <f t="shared" si="17"/>
        <v>Clear</v>
      </c>
    </row>
    <row r="180" spans="1:22">
      <c r="A180">
        <f>Master_Data!A180</f>
        <v>179</v>
      </c>
      <c r="B180">
        <f>Master_Data!B180</f>
        <v>40551</v>
      </c>
      <c r="C180">
        <f>Master_Data!C180</f>
        <v>1</v>
      </c>
      <c r="D180">
        <f>Master_Data!D180</f>
        <v>0</v>
      </c>
      <c r="E180">
        <f>Master_Data!E180</f>
        <v>1</v>
      </c>
      <c r="F180">
        <f>Master_Data!F180</f>
        <v>17</v>
      </c>
      <c r="G180" t="b">
        <f>Master_Data!G180</f>
        <v>0</v>
      </c>
      <c r="H180">
        <f>Master_Data!H180</f>
        <v>6</v>
      </c>
      <c r="I180">
        <f>Master_Data!I180</f>
        <v>1</v>
      </c>
      <c r="J180">
        <f>Master_Data!J180</f>
        <v>0.16</v>
      </c>
      <c r="K180">
        <f>Master_Data!K180</f>
        <v>0.1212</v>
      </c>
      <c r="L180">
        <f>Master_Data!L180</f>
        <v>0.37</v>
      </c>
      <c r="M180">
        <f>Master_Data!M180</f>
        <v>0.55220000000000002</v>
      </c>
      <c r="N180">
        <f>Master_Data!N180</f>
        <v>5</v>
      </c>
      <c r="O180">
        <f>Master_Data!O180</f>
        <v>64</v>
      </c>
      <c r="P180">
        <f>Master_Data!P180</f>
        <v>69</v>
      </c>
      <c r="Q180" t="str">
        <f t="shared" si="12"/>
        <v>2011</v>
      </c>
      <c r="R180" t="str">
        <f t="shared" si="13"/>
        <v>January</v>
      </c>
      <c r="S180" t="str">
        <f t="shared" si="14"/>
        <v>Saturday</v>
      </c>
      <c r="T180" t="str">
        <f t="shared" si="15"/>
        <v>Evening</v>
      </c>
      <c r="U180" t="str">
        <f t="shared" si="16"/>
        <v>Spring</v>
      </c>
      <c r="V180" t="str">
        <f t="shared" si="17"/>
        <v>Clear</v>
      </c>
    </row>
    <row r="181" spans="1:22">
      <c r="A181">
        <f>Master_Data!A181</f>
        <v>180</v>
      </c>
      <c r="B181">
        <f>Master_Data!B181</f>
        <v>40551</v>
      </c>
      <c r="C181">
        <f>Master_Data!C181</f>
        <v>1</v>
      </c>
      <c r="D181">
        <f>Master_Data!D181</f>
        <v>0</v>
      </c>
      <c r="E181">
        <f>Master_Data!E181</f>
        <v>1</v>
      </c>
      <c r="F181">
        <f>Master_Data!F181</f>
        <v>18</v>
      </c>
      <c r="G181" t="b">
        <f>Master_Data!G181</f>
        <v>0</v>
      </c>
      <c r="H181">
        <f>Master_Data!H181</f>
        <v>6</v>
      </c>
      <c r="I181">
        <f>Master_Data!I181</f>
        <v>1</v>
      </c>
      <c r="J181">
        <f>Master_Data!J181</f>
        <v>0.14000000000000001</v>
      </c>
      <c r="K181">
        <f>Master_Data!K181</f>
        <v>0.1212</v>
      </c>
      <c r="L181">
        <f>Master_Data!L181</f>
        <v>0.39</v>
      </c>
      <c r="M181">
        <f>Master_Data!M181</f>
        <v>0.29849999999999999</v>
      </c>
      <c r="N181">
        <f>Master_Data!N181</f>
        <v>3</v>
      </c>
      <c r="O181">
        <f>Master_Data!O181</f>
        <v>52</v>
      </c>
      <c r="P181">
        <f>Master_Data!P181</f>
        <v>55</v>
      </c>
      <c r="Q181" t="str">
        <f t="shared" si="12"/>
        <v>2011</v>
      </c>
      <c r="R181" t="str">
        <f t="shared" si="13"/>
        <v>January</v>
      </c>
      <c r="S181" t="str">
        <f t="shared" si="14"/>
        <v>Saturday</v>
      </c>
      <c r="T181" t="str">
        <f t="shared" si="15"/>
        <v>Evening</v>
      </c>
      <c r="U181" t="str">
        <f t="shared" si="16"/>
        <v>Spring</v>
      </c>
      <c r="V181" t="str">
        <f t="shared" si="17"/>
        <v>Clear</v>
      </c>
    </row>
    <row r="182" spans="1:22">
      <c r="A182">
        <f>Master_Data!A182</f>
        <v>181</v>
      </c>
      <c r="B182">
        <f>Master_Data!B182</f>
        <v>40551</v>
      </c>
      <c r="C182">
        <f>Master_Data!C182</f>
        <v>1</v>
      </c>
      <c r="D182">
        <f>Master_Data!D182</f>
        <v>0</v>
      </c>
      <c r="E182">
        <f>Master_Data!E182</f>
        <v>1</v>
      </c>
      <c r="F182">
        <f>Master_Data!F182</f>
        <v>19</v>
      </c>
      <c r="G182" t="b">
        <f>Master_Data!G182</f>
        <v>0</v>
      </c>
      <c r="H182">
        <f>Master_Data!H182</f>
        <v>6</v>
      </c>
      <c r="I182">
        <f>Master_Data!I182</f>
        <v>1</v>
      </c>
      <c r="J182">
        <f>Master_Data!J182</f>
        <v>0.14000000000000001</v>
      </c>
      <c r="K182">
        <f>Master_Data!K182</f>
        <v>0.1212</v>
      </c>
      <c r="L182">
        <f>Master_Data!L182</f>
        <v>0.36</v>
      </c>
      <c r="M182">
        <f>Master_Data!M182</f>
        <v>0.25369999999999998</v>
      </c>
      <c r="N182">
        <f>Master_Data!N182</f>
        <v>4</v>
      </c>
      <c r="O182">
        <f>Master_Data!O182</f>
        <v>26</v>
      </c>
      <c r="P182">
        <f>Master_Data!P182</f>
        <v>30</v>
      </c>
      <c r="Q182" t="str">
        <f t="shared" si="12"/>
        <v>2011</v>
      </c>
      <c r="R182" t="str">
        <f t="shared" si="13"/>
        <v>January</v>
      </c>
      <c r="S182" t="str">
        <f t="shared" si="14"/>
        <v>Saturday</v>
      </c>
      <c r="T182" t="str">
        <f t="shared" si="15"/>
        <v>Evening</v>
      </c>
      <c r="U182" t="str">
        <f t="shared" si="16"/>
        <v>Spring</v>
      </c>
      <c r="V182" t="str">
        <f t="shared" si="17"/>
        <v>Clear</v>
      </c>
    </row>
    <row r="183" spans="1:22">
      <c r="A183">
        <f>Master_Data!A183</f>
        <v>182</v>
      </c>
      <c r="B183">
        <f>Master_Data!B183</f>
        <v>40551</v>
      </c>
      <c r="C183">
        <f>Master_Data!C183</f>
        <v>1</v>
      </c>
      <c r="D183">
        <f>Master_Data!D183</f>
        <v>0</v>
      </c>
      <c r="E183">
        <f>Master_Data!E183</f>
        <v>1</v>
      </c>
      <c r="F183">
        <f>Master_Data!F183</f>
        <v>20</v>
      </c>
      <c r="G183" t="b">
        <f>Master_Data!G183</f>
        <v>0</v>
      </c>
      <c r="H183">
        <f>Master_Data!H183</f>
        <v>6</v>
      </c>
      <c r="I183">
        <f>Master_Data!I183</f>
        <v>1</v>
      </c>
      <c r="J183">
        <f>Master_Data!J183</f>
        <v>0.12</v>
      </c>
      <c r="K183">
        <f>Master_Data!K183</f>
        <v>0.1212</v>
      </c>
      <c r="L183">
        <f>Master_Data!L183</f>
        <v>0.36</v>
      </c>
      <c r="M183">
        <f>Master_Data!M183</f>
        <v>0.25369999999999998</v>
      </c>
      <c r="N183">
        <f>Master_Data!N183</f>
        <v>0</v>
      </c>
      <c r="O183">
        <f>Master_Data!O183</f>
        <v>28</v>
      </c>
      <c r="P183">
        <f>Master_Data!P183</f>
        <v>28</v>
      </c>
      <c r="Q183" t="str">
        <f t="shared" si="12"/>
        <v>2011</v>
      </c>
      <c r="R183" t="str">
        <f t="shared" si="13"/>
        <v>January</v>
      </c>
      <c r="S183" t="str">
        <f t="shared" si="14"/>
        <v>Saturday</v>
      </c>
      <c r="T183" t="str">
        <f t="shared" si="15"/>
        <v>Evening</v>
      </c>
      <c r="U183" t="str">
        <f t="shared" si="16"/>
        <v>Spring</v>
      </c>
      <c r="V183" t="str">
        <f t="shared" si="17"/>
        <v>Clear</v>
      </c>
    </row>
    <row r="184" spans="1:22">
      <c r="A184">
        <f>Master_Data!A184</f>
        <v>183</v>
      </c>
      <c r="B184">
        <f>Master_Data!B184</f>
        <v>40551</v>
      </c>
      <c r="C184">
        <f>Master_Data!C184</f>
        <v>1</v>
      </c>
      <c r="D184">
        <f>Master_Data!D184</f>
        <v>0</v>
      </c>
      <c r="E184">
        <f>Master_Data!E184</f>
        <v>1</v>
      </c>
      <c r="F184">
        <f>Master_Data!F184</f>
        <v>21</v>
      </c>
      <c r="G184" t="b">
        <f>Master_Data!G184</f>
        <v>0</v>
      </c>
      <c r="H184">
        <f>Master_Data!H184</f>
        <v>6</v>
      </c>
      <c r="I184">
        <f>Master_Data!I184</f>
        <v>1</v>
      </c>
      <c r="J184">
        <f>Master_Data!J184</f>
        <v>0.12</v>
      </c>
      <c r="K184">
        <f>Master_Data!K184</f>
        <v>0.1061</v>
      </c>
      <c r="L184">
        <f>Master_Data!L184</f>
        <v>0.39</v>
      </c>
      <c r="M184">
        <f>Master_Data!M184</f>
        <v>0.35820000000000002</v>
      </c>
      <c r="N184">
        <f>Master_Data!N184</f>
        <v>2</v>
      </c>
      <c r="O184">
        <f>Master_Data!O184</f>
        <v>35</v>
      </c>
      <c r="P184">
        <f>Master_Data!P184</f>
        <v>37</v>
      </c>
      <c r="Q184" t="str">
        <f t="shared" si="12"/>
        <v>2011</v>
      </c>
      <c r="R184" t="str">
        <f t="shared" si="13"/>
        <v>January</v>
      </c>
      <c r="S184" t="str">
        <f t="shared" si="14"/>
        <v>Saturday</v>
      </c>
      <c r="T184" t="str">
        <f t="shared" si="15"/>
        <v>Night</v>
      </c>
      <c r="U184" t="str">
        <f t="shared" si="16"/>
        <v>Spring</v>
      </c>
      <c r="V184" t="str">
        <f t="shared" si="17"/>
        <v>Clear</v>
      </c>
    </row>
    <row r="185" spans="1:22">
      <c r="A185">
        <f>Master_Data!A185</f>
        <v>184</v>
      </c>
      <c r="B185">
        <f>Master_Data!B185</f>
        <v>40551</v>
      </c>
      <c r="C185">
        <f>Master_Data!C185</f>
        <v>1</v>
      </c>
      <c r="D185">
        <f>Master_Data!D185</f>
        <v>0</v>
      </c>
      <c r="E185">
        <f>Master_Data!E185</f>
        <v>1</v>
      </c>
      <c r="F185">
        <f>Master_Data!F185</f>
        <v>22</v>
      </c>
      <c r="G185" t="b">
        <f>Master_Data!G185</f>
        <v>0</v>
      </c>
      <c r="H185">
        <f>Master_Data!H185</f>
        <v>6</v>
      </c>
      <c r="I185">
        <f>Master_Data!I185</f>
        <v>1</v>
      </c>
      <c r="J185">
        <f>Master_Data!J185</f>
        <v>0.12</v>
      </c>
      <c r="K185">
        <f>Master_Data!K185</f>
        <v>0.1061</v>
      </c>
      <c r="L185">
        <f>Master_Data!L185</f>
        <v>0.36</v>
      </c>
      <c r="M185">
        <f>Master_Data!M185</f>
        <v>0.3881</v>
      </c>
      <c r="N185">
        <f>Master_Data!N185</f>
        <v>1</v>
      </c>
      <c r="O185">
        <f>Master_Data!O185</f>
        <v>33</v>
      </c>
      <c r="P185">
        <f>Master_Data!P185</f>
        <v>34</v>
      </c>
      <c r="Q185" t="str">
        <f t="shared" si="12"/>
        <v>2011</v>
      </c>
      <c r="R185" t="str">
        <f t="shared" si="13"/>
        <v>January</v>
      </c>
      <c r="S185" t="str">
        <f t="shared" si="14"/>
        <v>Saturday</v>
      </c>
      <c r="T185" t="str">
        <f t="shared" si="15"/>
        <v>Night</v>
      </c>
      <c r="U185" t="str">
        <f t="shared" si="16"/>
        <v>Spring</v>
      </c>
      <c r="V185" t="str">
        <f t="shared" si="17"/>
        <v>Clear</v>
      </c>
    </row>
    <row r="186" spans="1:22">
      <c r="A186">
        <f>Master_Data!A186</f>
        <v>185</v>
      </c>
      <c r="B186">
        <f>Master_Data!B186</f>
        <v>40551</v>
      </c>
      <c r="C186">
        <f>Master_Data!C186</f>
        <v>1</v>
      </c>
      <c r="D186">
        <f>Master_Data!D186</f>
        <v>0</v>
      </c>
      <c r="E186">
        <f>Master_Data!E186</f>
        <v>1</v>
      </c>
      <c r="F186">
        <f>Master_Data!F186</f>
        <v>23</v>
      </c>
      <c r="G186" t="b">
        <f>Master_Data!G186</f>
        <v>0</v>
      </c>
      <c r="H186">
        <f>Master_Data!H186</f>
        <v>6</v>
      </c>
      <c r="I186">
        <f>Master_Data!I186</f>
        <v>1</v>
      </c>
      <c r="J186">
        <f>Master_Data!J186</f>
        <v>0.1</v>
      </c>
      <c r="K186">
        <f>Master_Data!K186</f>
        <v>6.0600000000000001E-2</v>
      </c>
      <c r="L186">
        <f>Master_Data!L186</f>
        <v>0.39</v>
      </c>
      <c r="M186">
        <f>Master_Data!M186</f>
        <v>0.44779999999999998</v>
      </c>
      <c r="N186">
        <f>Master_Data!N186</f>
        <v>0</v>
      </c>
      <c r="O186">
        <f>Master_Data!O186</f>
        <v>22</v>
      </c>
      <c r="P186">
        <f>Master_Data!P186</f>
        <v>22</v>
      </c>
      <c r="Q186" t="str">
        <f t="shared" si="12"/>
        <v>2011</v>
      </c>
      <c r="R186" t="str">
        <f t="shared" si="13"/>
        <v>January</v>
      </c>
      <c r="S186" t="str">
        <f t="shared" si="14"/>
        <v>Saturday</v>
      </c>
      <c r="T186" t="str">
        <f t="shared" si="15"/>
        <v>Night</v>
      </c>
      <c r="U186" t="str">
        <f t="shared" si="16"/>
        <v>Spring</v>
      </c>
      <c r="V186" t="str">
        <f t="shared" si="17"/>
        <v>Clear</v>
      </c>
    </row>
    <row r="187" spans="1:22">
      <c r="A187">
        <f>Master_Data!A187</f>
        <v>186</v>
      </c>
      <c r="B187">
        <f>Master_Data!B187</f>
        <v>40552</v>
      </c>
      <c r="C187">
        <f>Master_Data!C187</f>
        <v>1</v>
      </c>
      <c r="D187">
        <f>Master_Data!D187</f>
        <v>0</v>
      </c>
      <c r="E187">
        <f>Master_Data!E187</f>
        <v>1</v>
      </c>
      <c r="F187">
        <f>Master_Data!F187</f>
        <v>0</v>
      </c>
      <c r="G187" t="b">
        <f>Master_Data!G187</f>
        <v>0</v>
      </c>
      <c r="H187">
        <f>Master_Data!H187</f>
        <v>0</v>
      </c>
      <c r="I187">
        <f>Master_Data!I187</f>
        <v>1</v>
      </c>
      <c r="J187">
        <f>Master_Data!J187</f>
        <v>0.1</v>
      </c>
      <c r="K187">
        <f>Master_Data!K187</f>
        <v>7.5800000000000006E-2</v>
      </c>
      <c r="L187">
        <f>Master_Data!L187</f>
        <v>0.42</v>
      </c>
      <c r="M187">
        <f>Master_Data!M187</f>
        <v>0.3881</v>
      </c>
      <c r="N187">
        <f>Master_Data!N187</f>
        <v>1</v>
      </c>
      <c r="O187">
        <f>Master_Data!O187</f>
        <v>24</v>
      </c>
      <c r="P187">
        <f>Master_Data!P187</f>
        <v>25</v>
      </c>
      <c r="Q187" t="str">
        <f t="shared" si="12"/>
        <v>2011</v>
      </c>
      <c r="R187" t="str">
        <f t="shared" si="13"/>
        <v>January</v>
      </c>
      <c r="S187" t="str">
        <f t="shared" si="14"/>
        <v>Sunday</v>
      </c>
      <c r="T187" t="str">
        <f t="shared" si="15"/>
        <v>Night</v>
      </c>
      <c r="U187" t="str">
        <f t="shared" si="16"/>
        <v>Spring</v>
      </c>
      <c r="V187" t="str">
        <f t="shared" si="17"/>
        <v>Clear</v>
      </c>
    </row>
    <row r="188" spans="1:22">
      <c r="A188">
        <f>Master_Data!A188</f>
        <v>187</v>
      </c>
      <c r="B188">
        <f>Master_Data!B188</f>
        <v>40552</v>
      </c>
      <c r="C188">
        <f>Master_Data!C188</f>
        <v>1</v>
      </c>
      <c r="D188">
        <f>Master_Data!D188</f>
        <v>0</v>
      </c>
      <c r="E188">
        <f>Master_Data!E188</f>
        <v>1</v>
      </c>
      <c r="F188">
        <f>Master_Data!F188</f>
        <v>1</v>
      </c>
      <c r="G188" t="b">
        <f>Master_Data!G188</f>
        <v>0</v>
      </c>
      <c r="H188">
        <f>Master_Data!H188</f>
        <v>0</v>
      </c>
      <c r="I188">
        <f>Master_Data!I188</f>
        <v>1</v>
      </c>
      <c r="J188">
        <f>Master_Data!J188</f>
        <v>0.1</v>
      </c>
      <c r="K188">
        <f>Master_Data!K188</f>
        <v>6.0600000000000001E-2</v>
      </c>
      <c r="L188">
        <f>Master_Data!L188</f>
        <v>0.42</v>
      </c>
      <c r="M188">
        <f>Master_Data!M188</f>
        <v>0.4627</v>
      </c>
      <c r="N188">
        <f>Master_Data!N188</f>
        <v>0</v>
      </c>
      <c r="O188">
        <f>Master_Data!O188</f>
        <v>12</v>
      </c>
      <c r="P188">
        <f>Master_Data!P188</f>
        <v>12</v>
      </c>
      <c r="Q188" t="str">
        <f t="shared" si="12"/>
        <v>2011</v>
      </c>
      <c r="R188" t="str">
        <f t="shared" si="13"/>
        <v>January</v>
      </c>
      <c r="S188" t="str">
        <f t="shared" si="14"/>
        <v>Sunday</v>
      </c>
      <c r="T188" t="str">
        <f t="shared" si="15"/>
        <v>Night</v>
      </c>
      <c r="U188" t="str">
        <f t="shared" si="16"/>
        <v>Spring</v>
      </c>
      <c r="V188" t="str">
        <f t="shared" si="17"/>
        <v>Clear</v>
      </c>
    </row>
    <row r="189" spans="1:22">
      <c r="A189">
        <f>Master_Data!A189</f>
        <v>188</v>
      </c>
      <c r="B189">
        <f>Master_Data!B189</f>
        <v>40552</v>
      </c>
      <c r="C189">
        <f>Master_Data!C189</f>
        <v>1</v>
      </c>
      <c r="D189">
        <f>Master_Data!D189</f>
        <v>0</v>
      </c>
      <c r="E189">
        <f>Master_Data!E189</f>
        <v>1</v>
      </c>
      <c r="F189">
        <f>Master_Data!F189</f>
        <v>2</v>
      </c>
      <c r="G189" t="b">
        <f>Master_Data!G189</f>
        <v>0</v>
      </c>
      <c r="H189">
        <f>Master_Data!H189</f>
        <v>0</v>
      </c>
      <c r="I189">
        <f>Master_Data!I189</f>
        <v>1</v>
      </c>
      <c r="J189">
        <f>Master_Data!J189</f>
        <v>0.1</v>
      </c>
      <c r="K189">
        <f>Master_Data!K189</f>
        <v>6.0600000000000001E-2</v>
      </c>
      <c r="L189">
        <f>Master_Data!L189</f>
        <v>0.46</v>
      </c>
      <c r="M189">
        <f>Master_Data!M189</f>
        <v>0.4627</v>
      </c>
      <c r="N189">
        <f>Master_Data!N189</f>
        <v>0</v>
      </c>
      <c r="O189">
        <f>Master_Data!O189</f>
        <v>11</v>
      </c>
      <c r="P189">
        <f>Master_Data!P189</f>
        <v>11</v>
      </c>
      <c r="Q189" t="str">
        <f t="shared" si="12"/>
        <v>2011</v>
      </c>
      <c r="R189" t="str">
        <f t="shared" si="13"/>
        <v>January</v>
      </c>
      <c r="S189" t="str">
        <f t="shared" si="14"/>
        <v>Sunday</v>
      </c>
      <c r="T189" t="str">
        <f t="shared" si="15"/>
        <v>Night</v>
      </c>
      <c r="U189" t="str">
        <f t="shared" si="16"/>
        <v>Spring</v>
      </c>
      <c r="V189" t="str">
        <f t="shared" si="17"/>
        <v>Clear</v>
      </c>
    </row>
    <row r="190" spans="1:22">
      <c r="A190">
        <f>Master_Data!A190</f>
        <v>189</v>
      </c>
      <c r="B190">
        <f>Master_Data!B190</f>
        <v>40552</v>
      </c>
      <c r="C190">
        <f>Master_Data!C190</f>
        <v>1</v>
      </c>
      <c r="D190">
        <f>Master_Data!D190</f>
        <v>0</v>
      </c>
      <c r="E190">
        <f>Master_Data!E190</f>
        <v>1</v>
      </c>
      <c r="F190">
        <f>Master_Data!F190</f>
        <v>3</v>
      </c>
      <c r="G190" t="b">
        <f>Master_Data!G190</f>
        <v>0</v>
      </c>
      <c r="H190">
        <f>Master_Data!H190</f>
        <v>0</v>
      </c>
      <c r="I190">
        <f>Master_Data!I190</f>
        <v>1</v>
      </c>
      <c r="J190">
        <f>Master_Data!J190</f>
        <v>0.1</v>
      </c>
      <c r="K190">
        <f>Master_Data!K190</f>
        <v>7.5800000000000006E-2</v>
      </c>
      <c r="L190">
        <f>Master_Data!L190</f>
        <v>0.46</v>
      </c>
      <c r="M190">
        <f>Master_Data!M190</f>
        <v>0.41789999999999999</v>
      </c>
      <c r="N190">
        <f>Master_Data!N190</f>
        <v>0</v>
      </c>
      <c r="O190">
        <f>Master_Data!O190</f>
        <v>4</v>
      </c>
      <c r="P190">
        <f>Master_Data!P190</f>
        <v>4</v>
      </c>
      <c r="Q190" t="str">
        <f t="shared" si="12"/>
        <v>2011</v>
      </c>
      <c r="R190" t="str">
        <f t="shared" si="13"/>
        <v>January</v>
      </c>
      <c r="S190" t="str">
        <f t="shared" si="14"/>
        <v>Sunday</v>
      </c>
      <c r="T190" t="str">
        <f t="shared" si="15"/>
        <v>Night</v>
      </c>
      <c r="U190" t="str">
        <f t="shared" si="16"/>
        <v>Spring</v>
      </c>
      <c r="V190" t="str">
        <f t="shared" si="17"/>
        <v>Clear</v>
      </c>
    </row>
    <row r="191" spans="1:22">
      <c r="A191">
        <f>Master_Data!A191</f>
        <v>190</v>
      </c>
      <c r="B191">
        <f>Master_Data!B191</f>
        <v>40552</v>
      </c>
      <c r="C191">
        <f>Master_Data!C191</f>
        <v>1</v>
      </c>
      <c r="D191">
        <f>Master_Data!D191</f>
        <v>0</v>
      </c>
      <c r="E191">
        <f>Master_Data!E191</f>
        <v>1</v>
      </c>
      <c r="F191">
        <f>Master_Data!F191</f>
        <v>4</v>
      </c>
      <c r="G191" t="b">
        <f>Master_Data!G191</f>
        <v>0</v>
      </c>
      <c r="H191">
        <f>Master_Data!H191</f>
        <v>0</v>
      </c>
      <c r="I191">
        <f>Master_Data!I191</f>
        <v>1</v>
      </c>
      <c r="J191">
        <f>Master_Data!J191</f>
        <v>0.08</v>
      </c>
      <c r="K191">
        <f>Master_Data!K191</f>
        <v>9.0899999999999995E-2</v>
      </c>
      <c r="L191">
        <f>Master_Data!L191</f>
        <v>0.53</v>
      </c>
      <c r="M191">
        <f>Master_Data!M191</f>
        <v>0.19400000000000001</v>
      </c>
      <c r="N191">
        <f>Master_Data!N191</f>
        <v>0</v>
      </c>
      <c r="O191">
        <f>Master_Data!O191</f>
        <v>1</v>
      </c>
      <c r="P191">
        <f>Master_Data!P191</f>
        <v>1</v>
      </c>
      <c r="Q191" t="str">
        <f t="shared" si="12"/>
        <v>2011</v>
      </c>
      <c r="R191" t="str">
        <f t="shared" si="13"/>
        <v>January</v>
      </c>
      <c r="S191" t="str">
        <f t="shared" si="14"/>
        <v>Sunday</v>
      </c>
      <c r="T191" t="str">
        <f t="shared" si="15"/>
        <v>Night</v>
      </c>
      <c r="U191" t="str">
        <f t="shared" si="16"/>
        <v>Spring</v>
      </c>
      <c r="V191" t="str">
        <f t="shared" si="17"/>
        <v>Clear</v>
      </c>
    </row>
    <row r="192" spans="1:22">
      <c r="A192">
        <f>Master_Data!A192</f>
        <v>191</v>
      </c>
      <c r="B192">
        <f>Master_Data!B192</f>
        <v>40552</v>
      </c>
      <c r="C192">
        <f>Master_Data!C192</f>
        <v>1</v>
      </c>
      <c r="D192">
        <f>Master_Data!D192</f>
        <v>0</v>
      </c>
      <c r="E192">
        <f>Master_Data!E192</f>
        <v>1</v>
      </c>
      <c r="F192">
        <f>Master_Data!F192</f>
        <v>5</v>
      </c>
      <c r="G192" t="b">
        <f>Master_Data!G192</f>
        <v>0</v>
      </c>
      <c r="H192">
        <f>Master_Data!H192</f>
        <v>0</v>
      </c>
      <c r="I192">
        <f>Master_Data!I192</f>
        <v>1</v>
      </c>
      <c r="J192">
        <f>Master_Data!J192</f>
        <v>0.08</v>
      </c>
      <c r="K192">
        <f>Master_Data!K192</f>
        <v>9.0899999999999995E-2</v>
      </c>
      <c r="L192">
        <f>Master_Data!L192</f>
        <v>0.53</v>
      </c>
      <c r="M192">
        <f>Master_Data!M192</f>
        <v>0.19400000000000001</v>
      </c>
      <c r="N192">
        <f>Master_Data!N192</f>
        <v>0</v>
      </c>
      <c r="O192">
        <f>Master_Data!O192</f>
        <v>1</v>
      </c>
      <c r="P192">
        <f>Master_Data!P192</f>
        <v>1</v>
      </c>
      <c r="Q192" t="str">
        <f t="shared" si="12"/>
        <v>2011</v>
      </c>
      <c r="R192" t="str">
        <f t="shared" si="13"/>
        <v>January</v>
      </c>
      <c r="S192" t="str">
        <f t="shared" si="14"/>
        <v>Sunday</v>
      </c>
      <c r="T192" t="str">
        <f t="shared" si="15"/>
        <v>Night</v>
      </c>
      <c r="U192" t="str">
        <f t="shared" si="16"/>
        <v>Spring</v>
      </c>
      <c r="V192" t="str">
        <f t="shared" si="17"/>
        <v>Clear</v>
      </c>
    </row>
    <row r="193" spans="1:22">
      <c r="A193">
        <f>Master_Data!A193</f>
        <v>192</v>
      </c>
      <c r="B193">
        <f>Master_Data!B193</f>
        <v>40552</v>
      </c>
      <c r="C193">
        <f>Master_Data!C193</f>
        <v>1</v>
      </c>
      <c r="D193">
        <f>Master_Data!D193</f>
        <v>0</v>
      </c>
      <c r="E193">
        <f>Master_Data!E193</f>
        <v>1</v>
      </c>
      <c r="F193">
        <f>Master_Data!F193</f>
        <v>6</v>
      </c>
      <c r="G193" t="b">
        <f>Master_Data!G193</f>
        <v>0</v>
      </c>
      <c r="H193">
        <f>Master_Data!H193</f>
        <v>0</v>
      </c>
      <c r="I193">
        <f>Master_Data!I193</f>
        <v>1</v>
      </c>
      <c r="J193">
        <f>Master_Data!J193</f>
        <v>0.1</v>
      </c>
      <c r="K193">
        <f>Master_Data!K193</f>
        <v>9.0899999999999995E-2</v>
      </c>
      <c r="L193">
        <f>Master_Data!L193</f>
        <v>0.49</v>
      </c>
      <c r="M193">
        <f>Master_Data!M193</f>
        <v>0.28360000000000002</v>
      </c>
      <c r="N193">
        <f>Master_Data!N193</f>
        <v>0</v>
      </c>
      <c r="O193">
        <f>Master_Data!O193</f>
        <v>1</v>
      </c>
      <c r="P193">
        <f>Master_Data!P193</f>
        <v>1</v>
      </c>
      <c r="Q193" t="str">
        <f t="shared" si="12"/>
        <v>2011</v>
      </c>
      <c r="R193" t="str">
        <f t="shared" si="13"/>
        <v>January</v>
      </c>
      <c r="S193" t="str">
        <f t="shared" si="14"/>
        <v>Sunday</v>
      </c>
      <c r="T193" t="str">
        <f t="shared" si="15"/>
        <v>Morning</v>
      </c>
      <c r="U193" t="str">
        <f t="shared" si="16"/>
        <v>Spring</v>
      </c>
      <c r="V193" t="str">
        <f t="shared" si="17"/>
        <v>Clear</v>
      </c>
    </row>
    <row r="194" spans="1:22">
      <c r="A194">
        <f>Master_Data!A194</f>
        <v>193</v>
      </c>
      <c r="B194">
        <f>Master_Data!B194</f>
        <v>40552</v>
      </c>
      <c r="C194">
        <f>Master_Data!C194</f>
        <v>1</v>
      </c>
      <c r="D194">
        <f>Master_Data!D194</f>
        <v>0</v>
      </c>
      <c r="E194">
        <f>Master_Data!E194</f>
        <v>1</v>
      </c>
      <c r="F194">
        <f>Master_Data!F194</f>
        <v>7</v>
      </c>
      <c r="G194" t="b">
        <f>Master_Data!G194</f>
        <v>0</v>
      </c>
      <c r="H194">
        <f>Master_Data!H194</f>
        <v>0</v>
      </c>
      <c r="I194">
        <f>Master_Data!I194</f>
        <v>1</v>
      </c>
      <c r="J194">
        <f>Master_Data!J194</f>
        <v>0.08</v>
      </c>
      <c r="K194">
        <f>Master_Data!K194</f>
        <v>9.0899999999999995E-2</v>
      </c>
      <c r="L194">
        <f>Master_Data!L194</f>
        <v>0.53</v>
      </c>
      <c r="M194">
        <f>Master_Data!M194</f>
        <v>0.19400000000000001</v>
      </c>
      <c r="N194">
        <f>Master_Data!N194</f>
        <v>1</v>
      </c>
      <c r="O194">
        <f>Master_Data!O194</f>
        <v>5</v>
      </c>
      <c r="P194">
        <f>Master_Data!P194</f>
        <v>6</v>
      </c>
      <c r="Q194" t="str">
        <f t="shared" ref="Q194:Q257" si="18">IF(D194=0,"2011","2012")</f>
        <v>2011</v>
      </c>
      <c r="R194" t="str">
        <f t="shared" ref="R194:R257" si="19">TEXT(B194,"mmmm")</f>
        <v>January</v>
      </c>
      <c r="S194" t="str">
        <f t="shared" ref="S194:S257" si="20">IF(G194=TRUE,"Holiday",IF(H194=0,"Sunday",IF(H194=6,"Saturday","Weekday")))</f>
        <v>Sunday</v>
      </c>
      <c r="T194" t="str">
        <f t="shared" ref="T194:T257" si="21">IF(F194&lt;6,"Night",IF(F194&lt;12,"Morning",IF(F194&lt;17,"Afternoon",IF(F194&lt;21,"Evening","Night"))))</f>
        <v>Morning</v>
      </c>
      <c r="U194" t="str">
        <f t="shared" ref="U194:U257" si="22">CHOOSE(C194,"Spring","Summer","Fall","Winter")</f>
        <v>Spring</v>
      </c>
      <c r="V194" t="str">
        <f t="shared" ref="V194:V257" si="23">CHOOSE(I194,"Clear","Mist/Cloudy","Light Rain/Snow","Heavy Rain/Snow")</f>
        <v>Clear</v>
      </c>
    </row>
    <row r="195" spans="1:22">
      <c r="A195">
        <f>Master_Data!A195</f>
        <v>194</v>
      </c>
      <c r="B195">
        <f>Master_Data!B195</f>
        <v>40552</v>
      </c>
      <c r="C195">
        <f>Master_Data!C195</f>
        <v>1</v>
      </c>
      <c r="D195">
        <f>Master_Data!D195</f>
        <v>0</v>
      </c>
      <c r="E195">
        <f>Master_Data!E195</f>
        <v>1</v>
      </c>
      <c r="F195">
        <f>Master_Data!F195</f>
        <v>8</v>
      </c>
      <c r="G195" t="b">
        <f>Master_Data!G195</f>
        <v>0</v>
      </c>
      <c r="H195">
        <f>Master_Data!H195</f>
        <v>0</v>
      </c>
      <c r="I195">
        <f>Master_Data!I195</f>
        <v>1</v>
      </c>
      <c r="J195">
        <f>Master_Data!J195</f>
        <v>0.1</v>
      </c>
      <c r="K195">
        <f>Master_Data!K195</f>
        <v>9.0899999999999995E-2</v>
      </c>
      <c r="L195">
        <f>Master_Data!L195</f>
        <v>0.49</v>
      </c>
      <c r="M195">
        <f>Master_Data!M195</f>
        <v>0.28360000000000002</v>
      </c>
      <c r="N195">
        <f>Master_Data!N195</f>
        <v>0</v>
      </c>
      <c r="O195">
        <f>Master_Data!O195</f>
        <v>10</v>
      </c>
      <c r="P195">
        <f>Master_Data!P195</f>
        <v>10</v>
      </c>
      <c r="Q195" t="str">
        <f t="shared" si="18"/>
        <v>2011</v>
      </c>
      <c r="R195" t="str">
        <f t="shared" si="19"/>
        <v>January</v>
      </c>
      <c r="S195" t="str">
        <f t="shared" si="20"/>
        <v>Sunday</v>
      </c>
      <c r="T195" t="str">
        <f t="shared" si="21"/>
        <v>Morning</v>
      </c>
      <c r="U195" t="str">
        <f t="shared" si="22"/>
        <v>Spring</v>
      </c>
      <c r="V195" t="str">
        <f t="shared" si="23"/>
        <v>Clear</v>
      </c>
    </row>
    <row r="196" spans="1:22">
      <c r="A196">
        <f>Master_Data!A196</f>
        <v>195</v>
      </c>
      <c r="B196">
        <f>Master_Data!B196</f>
        <v>40552</v>
      </c>
      <c r="C196">
        <f>Master_Data!C196</f>
        <v>1</v>
      </c>
      <c r="D196">
        <f>Master_Data!D196</f>
        <v>0</v>
      </c>
      <c r="E196">
        <f>Master_Data!E196</f>
        <v>1</v>
      </c>
      <c r="F196">
        <f>Master_Data!F196</f>
        <v>9</v>
      </c>
      <c r="G196" t="b">
        <f>Master_Data!G196</f>
        <v>0</v>
      </c>
      <c r="H196">
        <f>Master_Data!H196</f>
        <v>0</v>
      </c>
      <c r="I196">
        <f>Master_Data!I196</f>
        <v>1</v>
      </c>
      <c r="J196">
        <f>Master_Data!J196</f>
        <v>0.12</v>
      </c>
      <c r="K196">
        <f>Master_Data!K196</f>
        <v>7.5800000000000006E-2</v>
      </c>
      <c r="L196">
        <f>Master_Data!L196</f>
        <v>0.46</v>
      </c>
      <c r="M196">
        <f>Master_Data!M196</f>
        <v>0.52239999999999998</v>
      </c>
      <c r="N196">
        <f>Master_Data!N196</f>
        <v>0</v>
      </c>
      <c r="O196">
        <f>Master_Data!O196</f>
        <v>19</v>
      </c>
      <c r="P196">
        <f>Master_Data!P196</f>
        <v>19</v>
      </c>
      <c r="Q196" t="str">
        <f t="shared" si="18"/>
        <v>2011</v>
      </c>
      <c r="R196" t="str">
        <f t="shared" si="19"/>
        <v>January</v>
      </c>
      <c r="S196" t="str">
        <f t="shared" si="20"/>
        <v>Sunday</v>
      </c>
      <c r="T196" t="str">
        <f t="shared" si="21"/>
        <v>Morning</v>
      </c>
      <c r="U196" t="str">
        <f t="shared" si="22"/>
        <v>Spring</v>
      </c>
      <c r="V196" t="str">
        <f t="shared" si="23"/>
        <v>Clear</v>
      </c>
    </row>
    <row r="197" spans="1:22">
      <c r="A197">
        <f>Master_Data!A197</f>
        <v>196</v>
      </c>
      <c r="B197">
        <f>Master_Data!B197</f>
        <v>40552</v>
      </c>
      <c r="C197">
        <f>Master_Data!C197</f>
        <v>1</v>
      </c>
      <c r="D197">
        <f>Master_Data!D197</f>
        <v>0</v>
      </c>
      <c r="E197">
        <f>Master_Data!E197</f>
        <v>1</v>
      </c>
      <c r="F197">
        <f>Master_Data!F197</f>
        <v>10</v>
      </c>
      <c r="G197" t="b">
        <f>Master_Data!G197</f>
        <v>0</v>
      </c>
      <c r="H197">
        <f>Master_Data!H197</f>
        <v>0</v>
      </c>
      <c r="I197">
        <f>Master_Data!I197</f>
        <v>1</v>
      </c>
      <c r="J197">
        <f>Master_Data!J197</f>
        <v>0.14000000000000001</v>
      </c>
      <c r="K197">
        <f>Master_Data!K197</f>
        <v>0.1061</v>
      </c>
      <c r="L197">
        <f>Master_Data!L197</f>
        <v>0.43</v>
      </c>
      <c r="M197">
        <f>Master_Data!M197</f>
        <v>0.3881</v>
      </c>
      <c r="N197">
        <f>Master_Data!N197</f>
        <v>0</v>
      </c>
      <c r="O197">
        <f>Master_Data!O197</f>
        <v>49</v>
      </c>
      <c r="P197">
        <f>Master_Data!P197</f>
        <v>49</v>
      </c>
      <c r="Q197" t="str">
        <f t="shared" si="18"/>
        <v>2011</v>
      </c>
      <c r="R197" t="str">
        <f t="shared" si="19"/>
        <v>January</v>
      </c>
      <c r="S197" t="str">
        <f t="shared" si="20"/>
        <v>Sunday</v>
      </c>
      <c r="T197" t="str">
        <f t="shared" si="21"/>
        <v>Morning</v>
      </c>
      <c r="U197" t="str">
        <f t="shared" si="22"/>
        <v>Spring</v>
      </c>
      <c r="V197" t="str">
        <f t="shared" si="23"/>
        <v>Clear</v>
      </c>
    </row>
    <row r="198" spans="1:22">
      <c r="A198">
        <f>Master_Data!A198</f>
        <v>197</v>
      </c>
      <c r="B198">
        <f>Master_Data!B198</f>
        <v>40552</v>
      </c>
      <c r="C198">
        <f>Master_Data!C198</f>
        <v>1</v>
      </c>
      <c r="D198">
        <f>Master_Data!D198</f>
        <v>0</v>
      </c>
      <c r="E198">
        <f>Master_Data!E198</f>
        <v>1</v>
      </c>
      <c r="F198">
        <f>Master_Data!F198</f>
        <v>11</v>
      </c>
      <c r="G198" t="b">
        <f>Master_Data!G198</f>
        <v>0</v>
      </c>
      <c r="H198">
        <f>Master_Data!H198</f>
        <v>0</v>
      </c>
      <c r="I198">
        <f>Master_Data!I198</f>
        <v>1</v>
      </c>
      <c r="J198">
        <f>Master_Data!J198</f>
        <v>0.16</v>
      </c>
      <c r="K198">
        <f>Master_Data!K198</f>
        <v>0.1212</v>
      </c>
      <c r="L198">
        <f>Master_Data!L198</f>
        <v>0.4</v>
      </c>
      <c r="M198">
        <f>Master_Data!M198</f>
        <v>0.52239999999999998</v>
      </c>
      <c r="N198">
        <f>Master_Data!N198</f>
        <v>2</v>
      </c>
      <c r="O198">
        <f>Master_Data!O198</f>
        <v>47</v>
      </c>
      <c r="P198">
        <f>Master_Data!P198</f>
        <v>49</v>
      </c>
      <c r="Q198" t="str">
        <f t="shared" si="18"/>
        <v>2011</v>
      </c>
      <c r="R198" t="str">
        <f t="shared" si="19"/>
        <v>January</v>
      </c>
      <c r="S198" t="str">
        <f t="shared" si="20"/>
        <v>Sunday</v>
      </c>
      <c r="T198" t="str">
        <f t="shared" si="21"/>
        <v>Morning</v>
      </c>
      <c r="U198" t="str">
        <f t="shared" si="22"/>
        <v>Spring</v>
      </c>
      <c r="V198" t="str">
        <f t="shared" si="23"/>
        <v>Clear</v>
      </c>
    </row>
    <row r="199" spans="1:22">
      <c r="A199">
        <f>Master_Data!A199</f>
        <v>198</v>
      </c>
      <c r="B199">
        <f>Master_Data!B199</f>
        <v>40552</v>
      </c>
      <c r="C199">
        <f>Master_Data!C199</f>
        <v>1</v>
      </c>
      <c r="D199">
        <f>Master_Data!D199</f>
        <v>0</v>
      </c>
      <c r="E199">
        <f>Master_Data!E199</f>
        <v>1</v>
      </c>
      <c r="F199">
        <f>Master_Data!F199</f>
        <v>12</v>
      </c>
      <c r="G199" t="b">
        <f>Master_Data!G199</f>
        <v>0</v>
      </c>
      <c r="H199">
        <f>Master_Data!H199</f>
        <v>0</v>
      </c>
      <c r="I199">
        <f>Master_Data!I199</f>
        <v>1</v>
      </c>
      <c r="J199">
        <f>Master_Data!J199</f>
        <v>0.18</v>
      </c>
      <c r="K199">
        <f>Master_Data!K199</f>
        <v>0.13639999999999999</v>
      </c>
      <c r="L199">
        <f>Master_Data!L199</f>
        <v>0.37</v>
      </c>
      <c r="M199">
        <f>Master_Data!M199</f>
        <v>0.44779999999999998</v>
      </c>
      <c r="N199">
        <f>Master_Data!N199</f>
        <v>4</v>
      </c>
      <c r="O199">
        <f>Master_Data!O199</f>
        <v>79</v>
      </c>
      <c r="P199">
        <f>Master_Data!P199</f>
        <v>83</v>
      </c>
      <c r="Q199" t="str">
        <f t="shared" si="18"/>
        <v>2011</v>
      </c>
      <c r="R199" t="str">
        <f t="shared" si="19"/>
        <v>January</v>
      </c>
      <c r="S199" t="str">
        <f t="shared" si="20"/>
        <v>Sunday</v>
      </c>
      <c r="T199" t="str">
        <f t="shared" si="21"/>
        <v>Afternoon</v>
      </c>
      <c r="U199" t="str">
        <f t="shared" si="22"/>
        <v>Spring</v>
      </c>
      <c r="V199" t="str">
        <f t="shared" si="23"/>
        <v>Clear</v>
      </c>
    </row>
    <row r="200" spans="1:22">
      <c r="A200">
        <f>Master_Data!A200</f>
        <v>199</v>
      </c>
      <c r="B200">
        <f>Master_Data!B200</f>
        <v>40552</v>
      </c>
      <c r="C200">
        <f>Master_Data!C200</f>
        <v>1</v>
      </c>
      <c r="D200">
        <f>Master_Data!D200</f>
        <v>0</v>
      </c>
      <c r="E200">
        <f>Master_Data!E200</f>
        <v>1</v>
      </c>
      <c r="F200">
        <f>Master_Data!F200</f>
        <v>13</v>
      </c>
      <c r="G200" t="b">
        <f>Master_Data!G200</f>
        <v>0</v>
      </c>
      <c r="H200">
        <f>Master_Data!H200</f>
        <v>0</v>
      </c>
      <c r="I200">
        <f>Master_Data!I200</f>
        <v>1</v>
      </c>
      <c r="J200">
        <f>Master_Data!J200</f>
        <v>0.2</v>
      </c>
      <c r="K200">
        <f>Master_Data!K200</f>
        <v>0.16669999999999999</v>
      </c>
      <c r="L200">
        <f>Master_Data!L200</f>
        <v>0.34</v>
      </c>
      <c r="M200">
        <f>Master_Data!M200</f>
        <v>0.44779999999999998</v>
      </c>
      <c r="N200">
        <f>Master_Data!N200</f>
        <v>6</v>
      </c>
      <c r="O200">
        <f>Master_Data!O200</f>
        <v>69</v>
      </c>
      <c r="P200">
        <f>Master_Data!P200</f>
        <v>75</v>
      </c>
      <c r="Q200" t="str">
        <f t="shared" si="18"/>
        <v>2011</v>
      </c>
      <c r="R200" t="str">
        <f t="shared" si="19"/>
        <v>January</v>
      </c>
      <c r="S200" t="str">
        <f t="shared" si="20"/>
        <v>Sunday</v>
      </c>
      <c r="T200" t="str">
        <f t="shared" si="21"/>
        <v>Afternoon</v>
      </c>
      <c r="U200" t="str">
        <f t="shared" si="22"/>
        <v>Spring</v>
      </c>
      <c r="V200" t="str">
        <f t="shared" si="23"/>
        <v>Clear</v>
      </c>
    </row>
    <row r="201" spans="1:22">
      <c r="A201">
        <f>Master_Data!A201</f>
        <v>200</v>
      </c>
      <c r="B201">
        <f>Master_Data!B201</f>
        <v>40552</v>
      </c>
      <c r="C201">
        <f>Master_Data!C201</f>
        <v>1</v>
      </c>
      <c r="D201">
        <f>Master_Data!D201</f>
        <v>0</v>
      </c>
      <c r="E201">
        <f>Master_Data!E201</f>
        <v>1</v>
      </c>
      <c r="F201">
        <f>Master_Data!F201</f>
        <v>14</v>
      </c>
      <c r="G201" t="b">
        <f>Master_Data!G201</f>
        <v>0</v>
      </c>
      <c r="H201">
        <f>Master_Data!H201</f>
        <v>0</v>
      </c>
      <c r="I201">
        <f>Master_Data!I201</f>
        <v>1</v>
      </c>
      <c r="J201">
        <f>Master_Data!J201</f>
        <v>0.22</v>
      </c>
      <c r="K201">
        <f>Master_Data!K201</f>
        <v>0.18179999999999999</v>
      </c>
      <c r="L201">
        <f>Master_Data!L201</f>
        <v>0.32</v>
      </c>
      <c r="M201">
        <f>Master_Data!M201</f>
        <v>0.4627</v>
      </c>
      <c r="N201">
        <f>Master_Data!N201</f>
        <v>8</v>
      </c>
      <c r="O201">
        <f>Master_Data!O201</f>
        <v>64</v>
      </c>
      <c r="P201">
        <f>Master_Data!P201</f>
        <v>72</v>
      </c>
      <c r="Q201" t="str">
        <f t="shared" si="18"/>
        <v>2011</v>
      </c>
      <c r="R201" t="str">
        <f t="shared" si="19"/>
        <v>January</v>
      </c>
      <c r="S201" t="str">
        <f t="shared" si="20"/>
        <v>Sunday</v>
      </c>
      <c r="T201" t="str">
        <f t="shared" si="21"/>
        <v>Afternoon</v>
      </c>
      <c r="U201" t="str">
        <f t="shared" si="22"/>
        <v>Spring</v>
      </c>
      <c r="V201" t="str">
        <f t="shared" si="23"/>
        <v>Clear</v>
      </c>
    </row>
    <row r="202" spans="1:22">
      <c r="A202">
        <f>Master_Data!A202</f>
        <v>201</v>
      </c>
      <c r="B202">
        <f>Master_Data!B202</f>
        <v>40552</v>
      </c>
      <c r="C202">
        <f>Master_Data!C202</f>
        <v>1</v>
      </c>
      <c r="D202">
        <f>Master_Data!D202</f>
        <v>0</v>
      </c>
      <c r="E202">
        <f>Master_Data!E202</f>
        <v>1</v>
      </c>
      <c r="F202">
        <f>Master_Data!F202</f>
        <v>15</v>
      </c>
      <c r="G202" t="b">
        <f>Master_Data!G202</f>
        <v>0</v>
      </c>
      <c r="H202">
        <f>Master_Data!H202</f>
        <v>0</v>
      </c>
      <c r="I202">
        <f>Master_Data!I202</f>
        <v>1</v>
      </c>
      <c r="J202">
        <f>Master_Data!J202</f>
        <v>0.22</v>
      </c>
      <c r="K202">
        <f>Master_Data!K202</f>
        <v>0.19700000000000001</v>
      </c>
      <c r="L202">
        <f>Master_Data!L202</f>
        <v>0.35</v>
      </c>
      <c r="M202">
        <f>Master_Data!M202</f>
        <v>0.35820000000000002</v>
      </c>
      <c r="N202">
        <f>Master_Data!N202</f>
        <v>5</v>
      </c>
      <c r="O202">
        <f>Master_Data!O202</f>
        <v>77</v>
      </c>
      <c r="P202">
        <f>Master_Data!P202</f>
        <v>82</v>
      </c>
      <c r="Q202" t="str">
        <f t="shared" si="18"/>
        <v>2011</v>
      </c>
      <c r="R202" t="str">
        <f t="shared" si="19"/>
        <v>January</v>
      </c>
      <c r="S202" t="str">
        <f t="shared" si="20"/>
        <v>Sunday</v>
      </c>
      <c r="T202" t="str">
        <f t="shared" si="21"/>
        <v>Afternoon</v>
      </c>
      <c r="U202" t="str">
        <f t="shared" si="22"/>
        <v>Spring</v>
      </c>
      <c r="V202" t="str">
        <f t="shared" si="23"/>
        <v>Clear</v>
      </c>
    </row>
    <row r="203" spans="1:22">
      <c r="A203">
        <f>Master_Data!A203</f>
        <v>202</v>
      </c>
      <c r="B203">
        <f>Master_Data!B203</f>
        <v>40552</v>
      </c>
      <c r="C203">
        <f>Master_Data!C203</f>
        <v>1</v>
      </c>
      <c r="D203">
        <f>Master_Data!D203</f>
        <v>0</v>
      </c>
      <c r="E203">
        <f>Master_Data!E203</f>
        <v>1</v>
      </c>
      <c r="F203">
        <f>Master_Data!F203</f>
        <v>16</v>
      </c>
      <c r="G203" t="b">
        <f>Master_Data!G203</f>
        <v>0</v>
      </c>
      <c r="H203">
        <f>Master_Data!H203</f>
        <v>0</v>
      </c>
      <c r="I203">
        <f>Master_Data!I203</f>
        <v>1</v>
      </c>
      <c r="J203">
        <f>Master_Data!J203</f>
        <v>0.2</v>
      </c>
      <c r="K203">
        <f>Master_Data!K203</f>
        <v>0.16669999999999999</v>
      </c>
      <c r="L203">
        <f>Master_Data!L203</f>
        <v>0.34</v>
      </c>
      <c r="M203">
        <f>Master_Data!M203</f>
        <v>0.44779999999999998</v>
      </c>
      <c r="N203">
        <f>Master_Data!N203</f>
        <v>13</v>
      </c>
      <c r="O203">
        <f>Master_Data!O203</f>
        <v>79</v>
      </c>
      <c r="P203">
        <f>Master_Data!P203</f>
        <v>92</v>
      </c>
      <c r="Q203" t="str">
        <f t="shared" si="18"/>
        <v>2011</v>
      </c>
      <c r="R203" t="str">
        <f t="shared" si="19"/>
        <v>January</v>
      </c>
      <c r="S203" t="str">
        <f t="shared" si="20"/>
        <v>Sunday</v>
      </c>
      <c r="T203" t="str">
        <f t="shared" si="21"/>
        <v>Afternoon</v>
      </c>
      <c r="U203" t="str">
        <f t="shared" si="22"/>
        <v>Spring</v>
      </c>
      <c r="V203" t="str">
        <f t="shared" si="23"/>
        <v>Clear</v>
      </c>
    </row>
    <row r="204" spans="1:22">
      <c r="A204">
        <f>Master_Data!A204</f>
        <v>203</v>
      </c>
      <c r="B204">
        <f>Master_Data!B204</f>
        <v>40552</v>
      </c>
      <c r="C204">
        <f>Master_Data!C204</f>
        <v>1</v>
      </c>
      <c r="D204">
        <f>Master_Data!D204</f>
        <v>0</v>
      </c>
      <c r="E204">
        <f>Master_Data!E204</f>
        <v>1</v>
      </c>
      <c r="F204">
        <f>Master_Data!F204</f>
        <v>17</v>
      </c>
      <c r="G204" t="b">
        <f>Master_Data!G204</f>
        <v>0</v>
      </c>
      <c r="H204">
        <f>Master_Data!H204</f>
        <v>0</v>
      </c>
      <c r="I204">
        <f>Master_Data!I204</f>
        <v>1</v>
      </c>
      <c r="J204">
        <f>Master_Data!J204</f>
        <v>0.18</v>
      </c>
      <c r="K204">
        <f>Master_Data!K204</f>
        <v>0.1515</v>
      </c>
      <c r="L204">
        <f>Master_Data!L204</f>
        <v>0.37</v>
      </c>
      <c r="M204">
        <f>Master_Data!M204</f>
        <v>0.3881</v>
      </c>
      <c r="N204">
        <f>Master_Data!N204</f>
        <v>3</v>
      </c>
      <c r="O204">
        <f>Master_Data!O204</f>
        <v>59</v>
      </c>
      <c r="P204">
        <f>Master_Data!P204</f>
        <v>62</v>
      </c>
      <c r="Q204" t="str">
        <f t="shared" si="18"/>
        <v>2011</v>
      </c>
      <c r="R204" t="str">
        <f t="shared" si="19"/>
        <v>January</v>
      </c>
      <c r="S204" t="str">
        <f t="shared" si="20"/>
        <v>Sunday</v>
      </c>
      <c r="T204" t="str">
        <f t="shared" si="21"/>
        <v>Evening</v>
      </c>
      <c r="U204" t="str">
        <f t="shared" si="22"/>
        <v>Spring</v>
      </c>
      <c r="V204" t="str">
        <f t="shared" si="23"/>
        <v>Clear</v>
      </c>
    </row>
    <row r="205" spans="1:22">
      <c r="A205">
        <f>Master_Data!A205</f>
        <v>204</v>
      </c>
      <c r="B205">
        <f>Master_Data!B205</f>
        <v>40552</v>
      </c>
      <c r="C205">
        <f>Master_Data!C205</f>
        <v>1</v>
      </c>
      <c r="D205">
        <f>Master_Data!D205</f>
        <v>0</v>
      </c>
      <c r="E205">
        <f>Master_Data!E205</f>
        <v>1</v>
      </c>
      <c r="F205">
        <f>Master_Data!F205</f>
        <v>18</v>
      </c>
      <c r="G205" t="b">
        <f>Master_Data!G205</f>
        <v>0</v>
      </c>
      <c r="H205">
        <f>Master_Data!H205</f>
        <v>0</v>
      </c>
      <c r="I205">
        <f>Master_Data!I205</f>
        <v>1</v>
      </c>
      <c r="J205">
        <f>Master_Data!J205</f>
        <v>0.16</v>
      </c>
      <c r="K205">
        <f>Master_Data!K205</f>
        <v>0.13639999999999999</v>
      </c>
      <c r="L205">
        <f>Master_Data!L205</f>
        <v>0.4</v>
      </c>
      <c r="M205">
        <f>Master_Data!M205</f>
        <v>0.32840000000000003</v>
      </c>
      <c r="N205">
        <f>Master_Data!N205</f>
        <v>4</v>
      </c>
      <c r="O205">
        <f>Master_Data!O205</f>
        <v>44</v>
      </c>
      <c r="P205">
        <f>Master_Data!P205</f>
        <v>48</v>
      </c>
      <c r="Q205" t="str">
        <f t="shared" si="18"/>
        <v>2011</v>
      </c>
      <c r="R205" t="str">
        <f t="shared" si="19"/>
        <v>January</v>
      </c>
      <c r="S205" t="str">
        <f t="shared" si="20"/>
        <v>Sunday</v>
      </c>
      <c r="T205" t="str">
        <f t="shared" si="21"/>
        <v>Evening</v>
      </c>
      <c r="U205" t="str">
        <f t="shared" si="22"/>
        <v>Spring</v>
      </c>
      <c r="V205" t="str">
        <f t="shared" si="23"/>
        <v>Clear</v>
      </c>
    </row>
    <row r="206" spans="1:22">
      <c r="A206">
        <f>Master_Data!A206</f>
        <v>205</v>
      </c>
      <c r="B206">
        <f>Master_Data!B206</f>
        <v>40552</v>
      </c>
      <c r="C206">
        <f>Master_Data!C206</f>
        <v>1</v>
      </c>
      <c r="D206">
        <f>Master_Data!D206</f>
        <v>0</v>
      </c>
      <c r="E206">
        <f>Master_Data!E206</f>
        <v>1</v>
      </c>
      <c r="F206">
        <f>Master_Data!F206</f>
        <v>19</v>
      </c>
      <c r="G206" t="b">
        <f>Master_Data!G206</f>
        <v>0</v>
      </c>
      <c r="H206">
        <f>Master_Data!H206</f>
        <v>0</v>
      </c>
      <c r="I206">
        <f>Master_Data!I206</f>
        <v>1</v>
      </c>
      <c r="J206">
        <f>Master_Data!J206</f>
        <v>0.16</v>
      </c>
      <c r="K206">
        <f>Master_Data!K206</f>
        <v>0.13639999999999999</v>
      </c>
      <c r="L206">
        <f>Master_Data!L206</f>
        <v>0.43</v>
      </c>
      <c r="M206">
        <f>Master_Data!M206</f>
        <v>0.32840000000000003</v>
      </c>
      <c r="N206">
        <f>Master_Data!N206</f>
        <v>1</v>
      </c>
      <c r="O206">
        <f>Master_Data!O206</f>
        <v>40</v>
      </c>
      <c r="P206">
        <f>Master_Data!P206</f>
        <v>41</v>
      </c>
      <c r="Q206" t="str">
        <f t="shared" si="18"/>
        <v>2011</v>
      </c>
      <c r="R206" t="str">
        <f t="shared" si="19"/>
        <v>January</v>
      </c>
      <c r="S206" t="str">
        <f t="shared" si="20"/>
        <v>Sunday</v>
      </c>
      <c r="T206" t="str">
        <f t="shared" si="21"/>
        <v>Evening</v>
      </c>
      <c r="U206" t="str">
        <f t="shared" si="22"/>
        <v>Spring</v>
      </c>
      <c r="V206" t="str">
        <f t="shared" si="23"/>
        <v>Clear</v>
      </c>
    </row>
    <row r="207" spans="1:22">
      <c r="A207">
        <f>Master_Data!A207</f>
        <v>206</v>
      </c>
      <c r="B207">
        <f>Master_Data!B207</f>
        <v>40552</v>
      </c>
      <c r="C207">
        <f>Master_Data!C207</f>
        <v>1</v>
      </c>
      <c r="D207">
        <f>Master_Data!D207</f>
        <v>0</v>
      </c>
      <c r="E207">
        <f>Master_Data!E207</f>
        <v>1</v>
      </c>
      <c r="F207">
        <f>Master_Data!F207</f>
        <v>20</v>
      </c>
      <c r="G207" t="b">
        <f>Master_Data!G207</f>
        <v>0</v>
      </c>
      <c r="H207">
        <f>Master_Data!H207</f>
        <v>0</v>
      </c>
      <c r="I207">
        <f>Master_Data!I207</f>
        <v>1</v>
      </c>
      <c r="J207">
        <f>Master_Data!J207</f>
        <v>0.14000000000000001</v>
      </c>
      <c r="K207">
        <f>Master_Data!K207</f>
        <v>0.1212</v>
      </c>
      <c r="L207">
        <f>Master_Data!L207</f>
        <v>0.46</v>
      </c>
      <c r="M207">
        <f>Master_Data!M207</f>
        <v>0.25369999999999998</v>
      </c>
      <c r="N207">
        <f>Master_Data!N207</f>
        <v>0</v>
      </c>
      <c r="O207">
        <f>Master_Data!O207</f>
        <v>38</v>
      </c>
      <c r="P207">
        <f>Master_Data!P207</f>
        <v>38</v>
      </c>
      <c r="Q207" t="str">
        <f t="shared" si="18"/>
        <v>2011</v>
      </c>
      <c r="R207" t="str">
        <f t="shared" si="19"/>
        <v>January</v>
      </c>
      <c r="S207" t="str">
        <f t="shared" si="20"/>
        <v>Sunday</v>
      </c>
      <c r="T207" t="str">
        <f t="shared" si="21"/>
        <v>Evening</v>
      </c>
      <c r="U207" t="str">
        <f t="shared" si="22"/>
        <v>Spring</v>
      </c>
      <c r="V207" t="str">
        <f t="shared" si="23"/>
        <v>Clear</v>
      </c>
    </row>
    <row r="208" spans="1:22">
      <c r="A208">
        <f>Master_Data!A208</f>
        <v>207</v>
      </c>
      <c r="B208">
        <f>Master_Data!B208</f>
        <v>40552</v>
      </c>
      <c r="C208">
        <f>Master_Data!C208</f>
        <v>1</v>
      </c>
      <c r="D208">
        <f>Master_Data!D208</f>
        <v>0</v>
      </c>
      <c r="E208">
        <f>Master_Data!E208</f>
        <v>1</v>
      </c>
      <c r="F208">
        <f>Master_Data!F208</f>
        <v>21</v>
      </c>
      <c r="G208" t="b">
        <f>Master_Data!G208</f>
        <v>0</v>
      </c>
      <c r="H208">
        <f>Master_Data!H208</f>
        <v>0</v>
      </c>
      <c r="I208">
        <f>Master_Data!I208</f>
        <v>1</v>
      </c>
      <c r="J208">
        <f>Master_Data!J208</f>
        <v>0.14000000000000001</v>
      </c>
      <c r="K208">
        <f>Master_Data!K208</f>
        <v>0.1061</v>
      </c>
      <c r="L208">
        <f>Master_Data!L208</f>
        <v>0.46</v>
      </c>
      <c r="M208">
        <f>Master_Data!M208</f>
        <v>0.41789999999999999</v>
      </c>
      <c r="N208">
        <f>Master_Data!N208</f>
        <v>1</v>
      </c>
      <c r="O208">
        <f>Master_Data!O208</f>
        <v>19</v>
      </c>
      <c r="P208">
        <f>Master_Data!P208</f>
        <v>20</v>
      </c>
      <c r="Q208" t="str">
        <f t="shared" si="18"/>
        <v>2011</v>
      </c>
      <c r="R208" t="str">
        <f t="shared" si="19"/>
        <v>January</v>
      </c>
      <c r="S208" t="str">
        <f t="shared" si="20"/>
        <v>Sunday</v>
      </c>
      <c r="T208" t="str">
        <f t="shared" si="21"/>
        <v>Night</v>
      </c>
      <c r="U208" t="str">
        <f t="shared" si="22"/>
        <v>Spring</v>
      </c>
      <c r="V208" t="str">
        <f t="shared" si="23"/>
        <v>Clear</v>
      </c>
    </row>
    <row r="209" spans="1:22">
      <c r="A209">
        <f>Master_Data!A209</f>
        <v>208</v>
      </c>
      <c r="B209">
        <f>Master_Data!B209</f>
        <v>40552</v>
      </c>
      <c r="C209">
        <f>Master_Data!C209</f>
        <v>1</v>
      </c>
      <c r="D209">
        <f>Master_Data!D209</f>
        <v>0</v>
      </c>
      <c r="E209">
        <f>Master_Data!E209</f>
        <v>1</v>
      </c>
      <c r="F209">
        <f>Master_Data!F209</f>
        <v>22</v>
      </c>
      <c r="G209" t="b">
        <f>Master_Data!G209</f>
        <v>0</v>
      </c>
      <c r="H209">
        <f>Master_Data!H209</f>
        <v>0</v>
      </c>
      <c r="I209">
        <f>Master_Data!I209</f>
        <v>1</v>
      </c>
      <c r="J209">
        <f>Master_Data!J209</f>
        <v>0.14000000000000001</v>
      </c>
      <c r="K209">
        <f>Master_Data!K209</f>
        <v>0.1212</v>
      </c>
      <c r="L209">
        <f>Master_Data!L209</f>
        <v>0.46</v>
      </c>
      <c r="M209">
        <f>Master_Data!M209</f>
        <v>0.29849999999999999</v>
      </c>
      <c r="N209">
        <f>Master_Data!N209</f>
        <v>5</v>
      </c>
      <c r="O209">
        <f>Master_Data!O209</f>
        <v>10</v>
      </c>
      <c r="P209">
        <f>Master_Data!P209</f>
        <v>15</v>
      </c>
      <c r="Q209" t="str">
        <f t="shared" si="18"/>
        <v>2011</v>
      </c>
      <c r="R209" t="str">
        <f t="shared" si="19"/>
        <v>January</v>
      </c>
      <c r="S209" t="str">
        <f t="shared" si="20"/>
        <v>Sunday</v>
      </c>
      <c r="T209" t="str">
        <f t="shared" si="21"/>
        <v>Night</v>
      </c>
      <c r="U209" t="str">
        <f t="shared" si="22"/>
        <v>Spring</v>
      </c>
      <c r="V209" t="str">
        <f t="shared" si="23"/>
        <v>Clear</v>
      </c>
    </row>
    <row r="210" spans="1:22">
      <c r="A210">
        <f>Master_Data!A210</f>
        <v>209</v>
      </c>
      <c r="B210">
        <f>Master_Data!B210</f>
        <v>40552</v>
      </c>
      <c r="C210">
        <f>Master_Data!C210</f>
        <v>1</v>
      </c>
      <c r="D210">
        <f>Master_Data!D210</f>
        <v>0</v>
      </c>
      <c r="E210">
        <f>Master_Data!E210</f>
        <v>1</v>
      </c>
      <c r="F210">
        <f>Master_Data!F210</f>
        <v>23</v>
      </c>
      <c r="G210" t="b">
        <f>Master_Data!G210</f>
        <v>0</v>
      </c>
      <c r="H210">
        <f>Master_Data!H210</f>
        <v>0</v>
      </c>
      <c r="I210">
        <f>Master_Data!I210</f>
        <v>1</v>
      </c>
      <c r="J210">
        <f>Master_Data!J210</f>
        <v>0.12</v>
      </c>
      <c r="K210">
        <f>Master_Data!K210</f>
        <v>0.13639999999999999</v>
      </c>
      <c r="L210">
        <f>Master_Data!L210</f>
        <v>0.5</v>
      </c>
      <c r="M210">
        <f>Master_Data!M210</f>
        <v>0.19400000000000001</v>
      </c>
      <c r="N210">
        <f>Master_Data!N210</f>
        <v>0</v>
      </c>
      <c r="O210">
        <f>Master_Data!O210</f>
        <v>6</v>
      </c>
      <c r="P210">
        <f>Master_Data!P210</f>
        <v>6</v>
      </c>
      <c r="Q210" t="str">
        <f t="shared" si="18"/>
        <v>2011</v>
      </c>
      <c r="R210" t="str">
        <f t="shared" si="19"/>
        <v>January</v>
      </c>
      <c r="S210" t="str">
        <f t="shared" si="20"/>
        <v>Sunday</v>
      </c>
      <c r="T210" t="str">
        <f t="shared" si="21"/>
        <v>Night</v>
      </c>
      <c r="U210" t="str">
        <f t="shared" si="22"/>
        <v>Spring</v>
      </c>
      <c r="V210" t="str">
        <f t="shared" si="23"/>
        <v>Clear</v>
      </c>
    </row>
    <row r="211" spans="1:22">
      <c r="A211">
        <f>Master_Data!A211</f>
        <v>210</v>
      </c>
      <c r="B211">
        <f>Master_Data!B211</f>
        <v>40553</v>
      </c>
      <c r="C211">
        <f>Master_Data!C211</f>
        <v>1</v>
      </c>
      <c r="D211">
        <f>Master_Data!D211</f>
        <v>0</v>
      </c>
      <c r="E211">
        <f>Master_Data!E211</f>
        <v>1</v>
      </c>
      <c r="F211">
        <f>Master_Data!F211</f>
        <v>0</v>
      </c>
      <c r="G211" t="b">
        <f>Master_Data!G211</f>
        <v>0</v>
      </c>
      <c r="H211">
        <f>Master_Data!H211</f>
        <v>1</v>
      </c>
      <c r="I211">
        <f>Master_Data!I211</f>
        <v>1</v>
      </c>
      <c r="J211">
        <f>Master_Data!J211</f>
        <v>0.12</v>
      </c>
      <c r="K211">
        <f>Master_Data!K211</f>
        <v>0.1212</v>
      </c>
      <c r="L211">
        <f>Master_Data!L211</f>
        <v>0.5</v>
      </c>
      <c r="M211">
        <f>Master_Data!M211</f>
        <v>0.28360000000000002</v>
      </c>
      <c r="N211">
        <f>Master_Data!N211</f>
        <v>2</v>
      </c>
      <c r="O211">
        <f>Master_Data!O211</f>
        <v>3</v>
      </c>
      <c r="P211">
        <f>Master_Data!P211</f>
        <v>5</v>
      </c>
      <c r="Q211" t="str">
        <f t="shared" si="18"/>
        <v>2011</v>
      </c>
      <c r="R211" t="str">
        <f t="shared" si="19"/>
        <v>January</v>
      </c>
      <c r="S211" t="str">
        <f t="shared" si="20"/>
        <v>Weekday</v>
      </c>
      <c r="T211" t="str">
        <f t="shared" si="21"/>
        <v>Night</v>
      </c>
      <c r="U211" t="str">
        <f t="shared" si="22"/>
        <v>Spring</v>
      </c>
      <c r="V211" t="str">
        <f t="shared" si="23"/>
        <v>Clear</v>
      </c>
    </row>
    <row r="212" spans="1:22">
      <c r="A212">
        <f>Master_Data!A212</f>
        <v>211</v>
      </c>
      <c r="B212">
        <f>Master_Data!B212</f>
        <v>40553</v>
      </c>
      <c r="C212">
        <f>Master_Data!C212</f>
        <v>1</v>
      </c>
      <c r="D212">
        <f>Master_Data!D212</f>
        <v>0</v>
      </c>
      <c r="E212">
        <f>Master_Data!E212</f>
        <v>1</v>
      </c>
      <c r="F212">
        <f>Master_Data!F212</f>
        <v>1</v>
      </c>
      <c r="G212" t="b">
        <f>Master_Data!G212</f>
        <v>0</v>
      </c>
      <c r="H212">
        <f>Master_Data!H212</f>
        <v>1</v>
      </c>
      <c r="I212">
        <f>Master_Data!I212</f>
        <v>1</v>
      </c>
      <c r="J212">
        <f>Master_Data!J212</f>
        <v>0.12</v>
      </c>
      <c r="K212">
        <f>Master_Data!K212</f>
        <v>0.1212</v>
      </c>
      <c r="L212">
        <f>Master_Data!L212</f>
        <v>0.5</v>
      </c>
      <c r="M212">
        <f>Master_Data!M212</f>
        <v>0.28360000000000002</v>
      </c>
      <c r="N212">
        <f>Master_Data!N212</f>
        <v>1</v>
      </c>
      <c r="O212">
        <f>Master_Data!O212</f>
        <v>0</v>
      </c>
      <c r="P212">
        <f>Master_Data!P212</f>
        <v>1</v>
      </c>
      <c r="Q212" t="str">
        <f t="shared" si="18"/>
        <v>2011</v>
      </c>
      <c r="R212" t="str">
        <f t="shared" si="19"/>
        <v>January</v>
      </c>
      <c r="S212" t="str">
        <f t="shared" si="20"/>
        <v>Weekday</v>
      </c>
      <c r="T212" t="str">
        <f t="shared" si="21"/>
        <v>Night</v>
      </c>
      <c r="U212" t="str">
        <f t="shared" si="22"/>
        <v>Spring</v>
      </c>
      <c r="V212" t="str">
        <f t="shared" si="23"/>
        <v>Clear</v>
      </c>
    </row>
    <row r="213" spans="1:22">
      <c r="A213">
        <f>Master_Data!A213</f>
        <v>212</v>
      </c>
      <c r="B213">
        <f>Master_Data!B213</f>
        <v>40553</v>
      </c>
      <c r="C213">
        <f>Master_Data!C213</f>
        <v>1</v>
      </c>
      <c r="D213">
        <f>Master_Data!D213</f>
        <v>0</v>
      </c>
      <c r="E213">
        <f>Master_Data!E213</f>
        <v>1</v>
      </c>
      <c r="F213">
        <f>Master_Data!F213</f>
        <v>2</v>
      </c>
      <c r="G213" t="b">
        <f>Master_Data!G213</f>
        <v>0</v>
      </c>
      <c r="H213">
        <f>Master_Data!H213</f>
        <v>1</v>
      </c>
      <c r="I213">
        <f>Master_Data!I213</f>
        <v>1</v>
      </c>
      <c r="J213">
        <f>Master_Data!J213</f>
        <v>0.12</v>
      </c>
      <c r="K213">
        <f>Master_Data!K213</f>
        <v>0.1212</v>
      </c>
      <c r="L213">
        <f>Master_Data!L213</f>
        <v>0.5</v>
      </c>
      <c r="M213">
        <f>Master_Data!M213</f>
        <v>0.22389999999999999</v>
      </c>
      <c r="N213">
        <f>Master_Data!N213</f>
        <v>0</v>
      </c>
      <c r="O213">
        <f>Master_Data!O213</f>
        <v>3</v>
      </c>
      <c r="P213">
        <f>Master_Data!P213</f>
        <v>3</v>
      </c>
      <c r="Q213" t="str">
        <f t="shared" si="18"/>
        <v>2011</v>
      </c>
      <c r="R213" t="str">
        <f t="shared" si="19"/>
        <v>January</v>
      </c>
      <c r="S213" t="str">
        <f t="shared" si="20"/>
        <v>Weekday</v>
      </c>
      <c r="T213" t="str">
        <f t="shared" si="21"/>
        <v>Night</v>
      </c>
      <c r="U213" t="str">
        <f t="shared" si="22"/>
        <v>Spring</v>
      </c>
      <c r="V213" t="str">
        <f t="shared" si="23"/>
        <v>Clear</v>
      </c>
    </row>
    <row r="214" spans="1:22">
      <c r="A214">
        <f>Master_Data!A214</f>
        <v>213</v>
      </c>
      <c r="B214">
        <f>Master_Data!B214</f>
        <v>40553</v>
      </c>
      <c r="C214">
        <f>Master_Data!C214</f>
        <v>1</v>
      </c>
      <c r="D214">
        <f>Master_Data!D214</f>
        <v>0</v>
      </c>
      <c r="E214">
        <f>Master_Data!E214</f>
        <v>1</v>
      </c>
      <c r="F214">
        <f>Master_Data!F214</f>
        <v>3</v>
      </c>
      <c r="G214" t="b">
        <f>Master_Data!G214</f>
        <v>0</v>
      </c>
      <c r="H214">
        <f>Master_Data!H214</f>
        <v>1</v>
      </c>
      <c r="I214">
        <f>Master_Data!I214</f>
        <v>1</v>
      </c>
      <c r="J214">
        <f>Master_Data!J214</f>
        <v>0.12</v>
      </c>
      <c r="K214">
        <f>Master_Data!K214</f>
        <v>0.1212</v>
      </c>
      <c r="L214">
        <f>Master_Data!L214</f>
        <v>0.5</v>
      </c>
      <c r="M214">
        <f>Master_Data!M214</f>
        <v>0.22389999999999999</v>
      </c>
      <c r="N214">
        <f>Master_Data!N214</f>
        <v>0</v>
      </c>
      <c r="O214">
        <f>Master_Data!O214</f>
        <v>1</v>
      </c>
      <c r="P214">
        <f>Master_Data!P214</f>
        <v>1</v>
      </c>
      <c r="Q214" t="str">
        <f t="shared" si="18"/>
        <v>2011</v>
      </c>
      <c r="R214" t="str">
        <f t="shared" si="19"/>
        <v>January</v>
      </c>
      <c r="S214" t="str">
        <f t="shared" si="20"/>
        <v>Weekday</v>
      </c>
      <c r="T214" t="str">
        <f t="shared" si="21"/>
        <v>Night</v>
      </c>
      <c r="U214" t="str">
        <f t="shared" si="22"/>
        <v>Spring</v>
      </c>
      <c r="V214" t="str">
        <f t="shared" si="23"/>
        <v>Clear</v>
      </c>
    </row>
    <row r="215" spans="1:22">
      <c r="A215">
        <f>Master_Data!A215</f>
        <v>214</v>
      </c>
      <c r="B215">
        <f>Master_Data!B215</f>
        <v>40553</v>
      </c>
      <c r="C215">
        <f>Master_Data!C215</f>
        <v>1</v>
      </c>
      <c r="D215">
        <f>Master_Data!D215</f>
        <v>0</v>
      </c>
      <c r="E215">
        <f>Master_Data!E215</f>
        <v>1</v>
      </c>
      <c r="F215">
        <f>Master_Data!F215</f>
        <v>4</v>
      </c>
      <c r="G215" t="b">
        <f>Master_Data!G215</f>
        <v>0</v>
      </c>
      <c r="H215">
        <f>Master_Data!H215</f>
        <v>1</v>
      </c>
      <c r="I215">
        <f>Master_Data!I215</f>
        <v>1</v>
      </c>
      <c r="J215">
        <f>Master_Data!J215</f>
        <v>0.1</v>
      </c>
      <c r="K215">
        <f>Master_Data!K215</f>
        <v>0.1212</v>
      </c>
      <c r="L215">
        <f>Master_Data!L215</f>
        <v>0.54</v>
      </c>
      <c r="M215">
        <f>Master_Data!M215</f>
        <v>0.1343</v>
      </c>
      <c r="N215">
        <f>Master_Data!N215</f>
        <v>1</v>
      </c>
      <c r="O215">
        <f>Master_Data!O215</f>
        <v>2</v>
      </c>
      <c r="P215">
        <f>Master_Data!P215</f>
        <v>3</v>
      </c>
      <c r="Q215" t="str">
        <f t="shared" si="18"/>
        <v>2011</v>
      </c>
      <c r="R215" t="str">
        <f t="shared" si="19"/>
        <v>January</v>
      </c>
      <c r="S215" t="str">
        <f t="shared" si="20"/>
        <v>Weekday</v>
      </c>
      <c r="T215" t="str">
        <f t="shared" si="21"/>
        <v>Night</v>
      </c>
      <c r="U215" t="str">
        <f t="shared" si="22"/>
        <v>Spring</v>
      </c>
      <c r="V215" t="str">
        <f t="shared" si="23"/>
        <v>Clear</v>
      </c>
    </row>
    <row r="216" spans="1:22">
      <c r="A216">
        <f>Master_Data!A216</f>
        <v>215</v>
      </c>
      <c r="B216">
        <f>Master_Data!B216</f>
        <v>40553</v>
      </c>
      <c r="C216">
        <f>Master_Data!C216</f>
        <v>1</v>
      </c>
      <c r="D216">
        <f>Master_Data!D216</f>
        <v>0</v>
      </c>
      <c r="E216">
        <f>Master_Data!E216</f>
        <v>1</v>
      </c>
      <c r="F216">
        <f>Master_Data!F216</f>
        <v>5</v>
      </c>
      <c r="G216" t="b">
        <f>Master_Data!G216</f>
        <v>0</v>
      </c>
      <c r="H216">
        <f>Master_Data!H216</f>
        <v>1</v>
      </c>
      <c r="I216">
        <f>Master_Data!I216</f>
        <v>1</v>
      </c>
      <c r="J216">
        <f>Master_Data!J216</f>
        <v>0.1</v>
      </c>
      <c r="K216">
        <f>Master_Data!K216</f>
        <v>0.1061</v>
      </c>
      <c r="L216">
        <f>Master_Data!L216</f>
        <v>0.54</v>
      </c>
      <c r="M216">
        <f>Master_Data!M216</f>
        <v>0.25369999999999998</v>
      </c>
      <c r="N216">
        <f>Master_Data!N216</f>
        <v>0</v>
      </c>
      <c r="O216">
        <f>Master_Data!O216</f>
        <v>3</v>
      </c>
      <c r="P216">
        <f>Master_Data!P216</f>
        <v>3</v>
      </c>
      <c r="Q216" t="str">
        <f t="shared" si="18"/>
        <v>2011</v>
      </c>
      <c r="R216" t="str">
        <f t="shared" si="19"/>
        <v>January</v>
      </c>
      <c r="S216" t="str">
        <f t="shared" si="20"/>
        <v>Weekday</v>
      </c>
      <c r="T216" t="str">
        <f t="shared" si="21"/>
        <v>Night</v>
      </c>
      <c r="U216" t="str">
        <f t="shared" si="22"/>
        <v>Spring</v>
      </c>
      <c r="V216" t="str">
        <f t="shared" si="23"/>
        <v>Clear</v>
      </c>
    </row>
    <row r="217" spans="1:22">
      <c r="A217">
        <f>Master_Data!A217</f>
        <v>216</v>
      </c>
      <c r="B217">
        <f>Master_Data!B217</f>
        <v>40553</v>
      </c>
      <c r="C217">
        <f>Master_Data!C217</f>
        <v>1</v>
      </c>
      <c r="D217">
        <f>Master_Data!D217</f>
        <v>0</v>
      </c>
      <c r="E217">
        <f>Master_Data!E217</f>
        <v>1</v>
      </c>
      <c r="F217">
        <f>Master_Data!F217</f>
        <v>6</v>
      </c>
      <c r="G217" t="b">
        <f>Master_Data!G217</f>
        <v>0</v>
      </c>
      <c r="H217">
        <f>Master_Data!H217</f>
        <v>1</v>
      </c>
      <c r="I217">
        <f>Master_Data!I217</f>
        <v>1</v>
      </c>
      <c r="J217">
        <f>Master_Data!J217</f>
        <v>0.12</v>
      </c>
      <c r="K217">
        <f>Master_Data!K217</f>
        <v>0.1212</v>
      </c>
      <c r="L217">
        <f>Master_Data!L217</f>
        <v>0.5</v>
      </c>
      <c r="M217">
        <f>Master_Data!M217</f>
        <v>0.28360000000000002</v>
      </c>
      <c r="N217">
        <f>Master_Data!N217</f>
        <v>0</v>
      </c>
      <c r="O217">
        <f>Master_Data!O217</f>
        <v>31</v>
      </c>
      <c r="P217">
        <f>Master_Data!P217</f>
        <v>31</v>
      </c>
      <c r="Q217" t="str">
        <f t="shared" si="18"/>
        <v>2011</v>
      </c>
      <c r="R217" t="str">
        <f t="shared" si="19"/>
        <v>January</v>
      </c>
      <c r="S217" t="str">
        <f t="shared" si="20"/>
        <v>Weekday</v>
      </c>
      <c r="T217" t="str">
        <f t="shared" si="21"/>
        <v>Morning</v>
      </c>
      <c r="U217" t="str">
        <f t="shared" si="22"/>
        <v>Spring</v>
      </c>
      <c r="V217" t="str">
        <f t="shared" si="23"/>
        <v>Clear</v>
      </c>
    </row>
    <row r="218" spans="1:22">
      <c r="A218">
        <f>Master_Data!A218</f>
        <v>217</v>
      </c>
      <c r="B218">
        <f>Master_Data!B218</f>
        <v>40553</v>
      </c>
      <c r="C218">
        <f>Master_Data!C218</f>
        <v>1</v>
      </c>
      <c r="D218">
        <f>Master_Data!D218</f>
        <v>0</v>
      </c>
      <c r="E218">
        <f>Master_Data!E218</f>
        <v>1</v>
      </c>
      <c r="F218">
        <f>Master_Data!F218</f>
        <v>7</v>
      </c>
      <c r="G218" t="b">
        <f>Master_Data!G218</f>
        <v>0</v>
      </c>
      <c r="H218">
        <f>Master_Data!H218</f>
        <v>1</v>
      </c>
      <c r="I218">
        <f>Master_Data!I218</f>
        <v>1</v>
      </c>
      <c r="J218">
        <f>Master_Data!J218</f>
        <v>0.12</v>
      </c>
      <c r="K218">
        <f>Master_Data!K218</f>
        <v>0.1212</v>
      </c>
      <c r="L218">
        <f>Master_Data!L218</f>
        <v>0.5</v>
      </c>
      <c r="M218">
        <f>Master_Data!M218</f>
        <v>0.22389999999999999</v>
      </c>
      <c r="N218">
        <f>Master_Data!N218</f>
        <v>2</v>
      </c>
      <c r="O218">
        <f>Master_Data!O218</f>
        <v>75</v>
      </c>
      <c r="P218">
        <f>Master_Data!P218</f>
        <v>77</v>
      </c>
      <c r="Q218" t="str">
        <f t="shared" si="18"/>
        <v>2011</v>
      </c>
      <c r="R218" t="str">
        <f t="shared" si="19"/>
        <v>January</v>
      </c>
      <c r="S218" t="str">
        <f t="shared" si="20"/>
        <v>Weekday</v>
      </c>
      <c r="T218" t="str">
        <f t="shared" si="21"/>
        <v>Morning</v>
      </c>
      <c r="U218" t="str">
        <f t="shared" si="22"/>
        <v>Spring</v>
      </c>
      <c r="V218" t="str">
        <f t="shared" si="23"/>
        <v>Clear</v>
      </c>
    </row>
    <row r="219" spans="1:22">
      <c r="A219">
        <f>Master_Data!A219</f>
        <v>218</v>
      </c>
      <c r="B219">
        <f>Master_Data!B219</f>
        <v>40553</v>
      </c>
      <c r="C219">
        <f>Master_Data!C219</f>
        <v>1</v>
      </c>
      <c r="D219">
        <f>Master_Data!D219</f>
        <v>0</v>
      </c>
      <c r="E219">
        <f>Master_Data!E219</f>
        <v>1</v>
      </c>
      <c r="F219">
        <f>Master_Data!F219</f>
        <v>8</v>
      </c>
      <c r="G219" t="b">
        <f>Master_Data!G219</f>
        <v>0</v>
      </c>
      <c r="H219">
        <f>Master_Data!H219</f>
        <v>1</v>
      </c>
      <c r="I219">
        <f>Master_Data!I219</f>
        <v>2</v>
      </c>
      <c r="J219">
        <f>Master_Data!J219</f>
        <v>0.12</v>
      </c>
      <c r="K219">
        <f>Master_Data!K219</f>
        <v>0.1212</v>
      </c>
      <c r="L219">
        <f>Master_Data!L219</f>
        <v>0.5</v>
      </c>
      <c r="M219">
        <f>Master_Data!M219</f>
        <v>0.28360000000000002</v>
      </c>
      <c r="N219">
        <f>Master_Data!N219</f>
        <v>4</v>
      </c>
      <c r="O219">
        <f>Master_Data!O219</f>
        <v>184</v>
      </c>
      <c r="P219">
        <f>Master_Data!P219</f>
        <v>188</v>
      </c>
      <c r="Q219" t="str">
        <f t="shared" si="18"/>
        <v>2011</v>
      </c>
      <c r="R219" t="str">
        <f t="shared" si="19"/>
        <v>January</v>
      </c>
      <c r="S219" t="str">
        <f t="shared" si="20"/>
        <v>Weekday</v>
      </c>
      <c r="T219" t="str">
        <f t="shared" si="21"/>
        <v>Morning</v>
      </c>
      <c r="U219" t="str">
        <f t="shared" si="22"/>
        <v>Spring</v>
      </c>
      <c r="V219" t="str">
        <f t="shared" si="23"/>
        <v>Mist/Cloudy</v>
      </c>
    </row>
    <row r="220" spans="1:22">
      <c r="A220">
        <f>Master_Data!A220</f>
        <v>219</v>
      </c>
      <c r="B220">
        <f>Master_Data!B220</f>
        <v>40553</v>
      </c>
      <c r="C220">
        <f>Master_Data!C220</f>
        <v>1</v>
      </c>
      <c r="D220">
        <f>Master_Data!D220</f>
        <v>0</v>
      </c>
      <c r="E220">
        <f>Master_Data!E220</f>
        <v>1</v>
      </c>
      <c r="F220">
        <f>Master_Data!F220</f>
        <v>9</v>
      </c>
      <c r="G220" t="b">
        <f>Master_Data!G220</f>
        <v>0</v>
      </c>
      <c r="H220">
        <f>Master_Data!H220</f>
        <v>1</v>
      </c>
      <c r="I220">
        <f>Master_Data!I220</f>
        <v>2</v>
      </c>
      <c r="J220">
        <f>Master_Data!J220</f>
        <v>0.14000000000000001</v>
      </c>
      <c r="K220">
        <f>Master_Data!K220</f>
        <v>0.1212</v>
      </c>
      <c r="L220">
        <f>Master_Data!L220</f>
        <v>0.5</v>
      </c>
      <c r="M220">
        <f>Master_Data!M220</f>
        <v>0.25369999999999998</v>
      </c>
      <c r="N220">
        <f>Master_Data!N220</f>
        <v>2</v>
      </c>
      <c r="O220">
        <f>Master_Data!O220</f>
        <v>92</v>
      </c>
      <c r="P220">
        <f>Master_Data!P220</f>
        <v>94</v>
      </c>
      <c r="Q220" t="str">
        <f t="shared" si="18"/>
        <v>2011</v>
      </c>
      <c r="R220" t="str">
        <f t="shared" si="19"/>
        <v>January</v>
      </c>
      <c r="S220" t="str">
        <f t="shared" si="20"/>
        <v>Weekday</v>
      </c>
      <c r="T220" t="str">
        <f t="shared" si="21"/>
        <v>Morning</v>
      </c>
      <c r="U220" t="str">
        <f t="shared" si="22"/>
        <v>Spring</v>
      </c>
      <c r="V220" t="str">
        <f t="shared" si="23"/>
        <v>Mist/Cloudy</v>
      </c>
    </row>
    <row r="221" spans="1:22">
      <c r="A221">
        <f>Master_Data!A221</f>
        <v>220</v>
      </c>
      <c r="B221">
        <f>Master_Data!B221</f>
        <v>40553</v>
      </c>
      <c r="C221">
        <f>Master_Data!C221</f>
        <v>1</v>
      </c>
      <c r="D221">
        <f>Master_Data!D221</f>
        <v>0</v>
      </c>
      <c r="E221">
        <f>Master_Data!E221</f>
        <v>1</v>
      </c>
      <c r="F221">
        <f>Master_Data!F221</f>
        <v>10</v>
      </c>
      <c r="G221" t="b">
        <f>Master_Data!G221</f>
        <v>0</v>
      </c>
      <c r="H221">
        <f>Master_Data!H221</f>
        <v>1</v>
      </c>
      <c r="I221">
        <f>Master_Data!I221</f>
        <v>2</v>
      </c>
      <c r="J221">
        <f>Master_Data!J221</f>
        <v>0.14000000000000001</v>
      </c>
      <c r="K221">
        <f>Master_Data!K221</f>
        <v>0.1212</v>
      </c>
      <c r="L221">
        <f>Master_Data!L221</f>
        <v>0.5</v>
      </c>
      <c r="M221">
        <f>Master_Data!M221</f>
        <v>0.29849999999999999</v>
      </c>
      <c r="N221">
        <f>Master_Data!N221</f>
        <v>0</v>
      </c>
      <c r="O221">
        <f>Master_Data!O221</f>
        <v>31</v>
      </c>
      <c r="P221">
        <f>Master_Data!P221</f>
        <v>31</v>
      </c>
      <c r="Q221" t="str">
        <f t="shared" si="18"/>
        <v>2011</v>
      </c>
      <c r="R221" t="str">
        <f t="shared" si="19"/>
        <v>January</v>
      </c>
      <c r="S221" t="str">
        <f t="shared" si="20"/>
        <v>Weekday</v>
      </c>
      <c r="T221" t="str">
        <f t="shared" si="21"/>
        <v>Morning</v>
      </c>
      <c r="U221" t="str">
        <f t="shared" si="22"/>
        <v>Spring</v>
      </c>
      <c r="V221" t="str">
        <f t="shared" si="23"/>
        <v>Mist/Cloudy</v>
      </c>
    </row>
    <row r="222" spans="1:22">
      <c r="A222">
        <f>Master_Data!A222</f>
        <v>221</v>
      </c>
      <c r="B222">
        <f>Master_Data!B222</f>
        <v>40553</v>
      </c>
      <c r="C222">
        <f>Master_Data!C222</f>
        <v>1</v>
      </c>
      <c r="D222">
        <f>Master_Data!D222</f>
        <v>0</v>
      </c>
      <c r="E222">
        <f>Master_Data!E222</f>
        <v>1</v>
      </c>
      <c r="F222">
        <f>Master_Data!F222</f>
        <v>11</v>
      </c>
      <c r="G222" t="b">
        <f>Master_Data!G222</f>
        <v>0</v>
      </c>
      <c r="H222">
        <f>Master_Data!H222</f>
        <v>1</v>
      </c>
      <c r="I222">
        <f>Master_Data!I222</f>
        <v>2</v>
      </c>
      <c r="J222">
        <f>Master_Data!J222</f>
        <v>0.16</v>
      </c>
      <c r="K222">
        <f>Master_Data!K222</f>
        <v>0.13639999999999999</v>
      </c>
      <c r="L222">
        <f>Master_Data!L222</f>
        <v>0.47</v>
      </c>
      <c r="M222">
        <f>Master_Data!M222</f>
        <v>0.28360000000000002</v>
      </c>
      <c r="N222">
        <f>Master_Data!N222</f>
        <v>2</v>
      </c>
      <c r="O222">
        <f>Master_Data!O222</f>
        <v>28</v>
      </c>
      <c r="P222">
        <f>Master_Data!P222</f>
        <v>30</v>
      </c>
      <c r="Q222" t="str">
        <f t="shared" si="18"/>
        <v>2011</v>
      </c>
      <c r="R222" t="str">
        <f t="shared" si="19"/>
        <v>January</v>
      </c>
      <c r="S222" t="str">
        <f t="shared" si="20"/>
        <v>Weekday</v>
      </c>
      <c r="T222" t="str">
        <f t="shared" si="21"/>
        <v>Morning</v>
      </c>
      <c r="U222" t="str">
        <f t="shared" si="22"/>
        <v>Spring</v>
      </c>
      <c r="V222" t="str">
        <f t="shared" si="23"/>
        <v>Mist/Cloudy</v>
      </c>
    </row>
    <row r="223" spans="1:22">
      <c r="A223">
        <f>Master_Data!A223</f>
        <v>222</v>
      </c>
      <c r="B223">
        <f>Master_Data!B223</f>
        <v>40553</v>
      </c>
      <c r="C223">
        <f>Master_Data!C223</f>
        <v>1</v>
      </c>
      <c r="D223">
        <f>Master_Data!D223</f>
        <v>0</v>
      </c>
      <c r="E223">
        <f>Master_Data!E223</f>
        <v>1</v>
      </c>
      <c r="F223">
        <f>Master_Data!F223</f>
        <v>12</v>
      </c>
      <c r="G223" t="b">
        <f>Master_Data!G223</f>
        <v>0</v>
      </c>
      <c r="H223">
        <f>Master_Data!H223</f>
        <v>1</v>
      </c>
      <c r="I223">
        <f>Master_Data!I223</f>
        <v>2</v>
      </c>
      <c r="J223">
        <f>Master_Data!J223</f>
        <v>0.2</v>
      </c>
      <c r="K223">
        <f>Master_Data!K223</f>
        <v>0.18179999999999999</v>
      </c>
      <c r="L223">
        <f>Master_Data!L223</f>
        <v>0.4</v>
      </c>
      <c r="M223">
        <f>Master_Data!M223</f>
        <v>0.28360000000000002</v>
      </c>
      <c r="N223">
        <f>Master_Data!N223</f>
        <v>5</v>
      </c>
      <c r="O223">
        <f>Master_Data!O223</f>
        <v>47</v>
      </c>
      <c r="P223">
        <f>Master_Data!P223</f>
        <v>52</v>
      </c>
      <c r="Q223" t="str">
        <f t="shared" si="18"/>
        <v>2011</v>
      </c>
      <c r="R223" t="str">
        <f t="shared" si="19"/>
        <v>January</v>
      </c>
      <c r="S223" t="str">
        <f t="shared" si="20"/>
        <v>Weekday</v>
      </c>
      <c r="T223" t="str">
        <f t="shared" si="21"/>
        <v>Afternoon</v>
      </c>
      <c r="U223" t="str">
        <f t="shared" si="22"/>
        <v>Spring</v>
      </c>
      <c r="V223" t="str">
        <f t="shared" si="23"/>
        <v>Mist/Cloudy</v>
      </c>
    </row>
    <row r="224" spans="1:22">
      <c r="A224">
        <f>Master_Data!A224</f>
        <v>223</v>
      </c>
      <c r="B224">
        <f>Master_Data!B224</f>
        <v>40553</v>
      </c>
      <c r="C224">
        <f>Master_Data!C224</f>
        <v>1</v>
      </c>
      <c r="D224">
        <f>Master_Data!D224</f>
        <v>0</v>
      </c>
      <c r="E224">
        <f>Master_Data!E224</f>
        <v>1</v>
      </c>
      <c r="F224">
        <f>Master_Data!F224</f>
        <v>13</v>
      </c>
      <c r="G224" t="b">
        <f>Master_Data!G224</f>
        <v>0</v>
      </c>
      <c r="H224">
        <f>Master_Data!H224</f>
        <v>1</v>
      </c>
      <c r="I224">
        <f>Master_Data!I224</f>
        <v>2</v>
      </c>
      <c r="J224">
        <f>Master_Data!J224</f>
        <v>0.2</v>
      </c>
      <c r="K224">
        <f>Master_Data!K224</f>
        <v>0.18179999999999999</v>
      </c>
      <c r="L224">
        <f>Master_Data!L224</f>
        <v>0.4</v>
      </c>
      <c r="M224">
        <f>Master_Data!M224</f>
        <v>0.28360000000000002</v>
      </c>
      <c r="N224">
        <f>Master_Data!N224</f>
        <v>4</v>
      </c>
      <c r="O224">
        <f>Master_Data!O224</f>
        <v>50</v>
      </c>
      <c r="P224">
        <f>Master_Data!P224</f>
        <v>54</v>
      </c>
      <c r="Q224" t="str">
        <f t="shared" si="18"/>
        <v>2011</v>
      </c>
      <c r="R224" t="str">
        <f t="shared" si="19"/>
        <v>January</v>
      </c>
      <c r="S224" t="str">
        <f t="shared" si="20"/>
        <v>Weekday</v>
      </c>
      <c r="T224" t="str">
        <f t="shared" si="21"/>
        <v>Afternoon</v>
      </c>
      <c r="U224" t="str">
        <f t="shared" si="22"/>
        <v>Spring</v>
      </c>
      <c r="V224" t="str">
        <f t="shared" si="23"/>
        <v>Mist/Cloudy</v>
      </c>
    </row>
    <row r="225" spans="1:22">
      <c r="A225">
        <f>Master_Data!A225</f>
        <v>224</v>
      </c>
      <c r="B225">
        <f>Master_Data!B225</f>
        <v>40553</v>
      </c>
      <c r="C225">
        <f>Master_Data!C225</f>
        <v>1</v>
      </c>
      <c r="D225">
        <f>Master_Data!D225</f>
        <v>0</v>
      </c>
      <c r="E225">
        <f>Master_Data!E225</f>
        <v>1</v>
      </c>
      <c r="F225">
        <f>Master_Data!F225</f>
        <v>14</v>
      </c>
      <c r="G225" t="b">
        <f>Master_Data!G225</f>
        <v>0</v>
      </c>
      <c r="H225">
        <f>Master_Data!H225</f>
        <v>1</v>
      </c>
      <c r="I225">
        <f>Master_Data!I225</f>
        <v>2</v>
      </c>
      <c r="J225">
        <f>Master_Data!J225</f>
        <v>0.2</v>
      </c>
      <c r="K225">
        <f>Master_Data!K225</f>
        <v>0.19700000000000001</v>
      </c>
      <c r="L225">
        <f>Master_Data!L225</f>
        <v>0.4</v>
      </c>
      <c r="M225">
        <f>Master_Data!M225</f>
        <v>0.22389999999999999</v>
      </c>
      <c r="N225">
        <f>Master_Data!N225</f>
        <v>0</v>
      </c>
      <c r="O225">
        <f>Master_Data!O225</f>
        <v>47</v>
      </c>
      <c r="P225">
        <f>Master_Data!P225</f>
        <v>47</v>
      </c>
      <c r="Q225" t="str">
        <f t="shared" si="18"/>
        <v>2011</v>
      </c>
      <c r="R225" t="str">
        <f t="shared" si="19"/>
        <v>January</v>
      </c>
      <c r="S225" t="str">
        <f t="shared" si="20"/>
        <v>Weekday</v>
      </c>
      <c r="T225" t="str">
        <f t="shared" si="21"/>
        <v>Afternoon</v>
      </c>
      <c r="U225" t="str">
        <f t="shared" si="22"/>
        <v>Spring</v>
      </c>
      <c r="V225" t="str">
        <f t="shared" si="23"/>
        <v>Mist/Cloudy</v>
      </c>
    </row>
    <row r="226" spans="1:22">
      <c r="A226">
        <f>Master_Data!A226</f>
        <v>225</v>
      </c>
      <c r="B226">
        <f>Master_Data!B226</f>
        <v>40553</v>
      </c>
      <c r="C226">
        <f>Master_Data!C226</f>
        <v>1</v>
      </c>
      <c r="D226">
        <f>Master_Data!D226</f>
        <v>0</v>
      </c>
      <c r="E226">
        <f>Master_Data!E226</f>
        <v>1</v>
      </c>
      <c r="F226">
        <f>Master_Data!F226</f>
        <v>15</v>
      </c>
      <c r="G226" t="b">
        <f>Master_Data!G226</f>
        <v>0</v>
      </c>
      <c r="H226">
        <f>Master_Data!H226</f>
        <v>1</v>
      </c>
      <c r="I226">
        <f>Master_Data!I226</f>
        <v>2</v>
      </c>
      <c r="J226">
        <f>Master_Data!J226</f>
        <v>0.2</v>
      </c>
      <c r="K226">
        <f>Master_Data!K226</f>
        <v>0.19700000000000001</v>
      </c>
      <c r="L226">
        <f>Master_Data!L226</f>
        <v>0.4</v>
      </c>
      <c r="M226">
        <f>Master_Data!M226</f>
        <v>0.22389999999999999</v>
      </c>
      <c r="N226">
        <f>Master_Data!N226</f>
        <v>2</v>
      </c>
      <c r="O226">
        <f>Master_Data!O226</f>
        <v>43</v>
      </c>
      <c r="P226">
        <f>Master_Data!P226</f>
        <v>45</v>
      </c>
      <c r="Q226" t="str">
        <f t="shared" si="18"/>
        <v>2011</v>
      </c>
      <c r="R226" t="str">
        <f t="shared" si="19"/>
        <v>January</v>
      </c>
      <c r="S226" t="str">
        <f t="shared" si="20"/>
        <v>Weekday</v>
      </c>
      <c r="T226" t="str">
        <f t="shared" si="21"/>
        <v>Afternoon</v>
      </c>
      <c r="U226" t="str">
        <f t="shared" si="22"/>
        <v>Spring</v>
      </c>
      <c r="V226" t="str">
        <f t="shared" si="23"/>
        <v>Mist/Cloudy</v>
      </c>
    </row>
    <row r="227" spans="1:22">
      <c r="A227">
        <f>Master_Data!A227</f>
        <v>226</v>
      </c>
      <c r="B227">
        <f>Master_Data!B227</f>
        <v>40553</v>
      </c>
      <c r="C227">
        <f>Master_Data!C227</f>
        <v>1</v>
      </c>
      <c r="D227">
        <f>Master_Data!D227</f>
        <v>0</v>
      </c>
      <c r="E227">
        <f>Master_Data!E227</f>
        <v>1</v>
      </c>
      <c r="F227">
        <f>Master_Data!F227</f>
        <v>16</v>
      </c>
      <c r="G227" t="b">
        <f>Master_Data!G227</f>
        <v>0</v>
      </c>
      <c r="H227">
        <f>Master_Data!H227</f>
        <v>1</v>
      </c>
      <c r="I227">
        <f>Master_Data!I227</f>
        <v>1</v>
      </c>
      <c r="J227">
        <f>Master_Data!J227</f>
        <v>0.2</v>
      </c>
      <c r="K227">
        <f>Master_Data!K227</f>
        <v>0.21210000000000001</v>
      </c>
      <c r="L227">
        <f>Master_Data!L227</f>
        <v>0.4</v>
      </c>
      <c r="M227">
        <f>Master_Data!M227</f>
        <v>0.1343</v>
      </c>
      <c r="N227">
        <f>Master_Data!N227</f>
        <v>4</v>
      </c>
      <c r="O227">
        <f>Master_Data!O227</f>
        <v>70</v>
      </c>
      <c r="P227">
        <f>Master_Data!P227</f>
        <v>74</v>
      </c>
      <c r="Q227" t="str">
        <f t="shared" si="18"/>
        <v>2011</v>
      </c>
      <c r="R227" t="str">
        <f t="shared" si="19"/>
        <v>January</v>
      </c>
      <c r="S227" t="str">
        <f t="shared" si="20"/>
        <v>Weekday</v>
      </c>
      <c r="T227" t="str">
        <f t="shared" si="21"/>
        <v>Afternoon</v>
      </c>
      <c r="U227" t="str">
        <f t="shared" si="22"/>
        <v>Spring</v>
      </c>
      <c r="V227" t="str">
        <f t="shared" si="23"/>
        <v>Clear</v>
      </c>
    </row>
    <row r="228" spans="1:22">
      <c r="A228">
        <f>Master_Data!A228</f>
        <v>227</v>
      </c>
      <c r="B228">
        <f>Master_Data!B228</f>
        <v>40553</v>
      </c>
      <c r="C228">
        <f>Master_Data!C228</f>
        <v>1</v>
      </c>
      <c r="D228">
        <f>Master_Data!D228</f>
        <v>0</v>
      </c>
      <c r="E228">
        <f>Master_Data!E228</f>
        <v>1</v>
      </c>
      <c r="F228">
        <f>Master_Data!F228</f>
        <v>17</v>
      </c>
      <c r="G228" t="b">
        <f>Master_Data!G228</f>
        <v>0</v>
      </c>
      <c r="H228">
        <f>Master_Data!H228</f>
        <v>1</v>
      </c>
      <c r="I228">
        <f>Master_Data!I228</f>
        <v>1</v>
      </c>
      <c r="J228">
        <f>Master_Data!J228</f>
        <v>0.2</v>
      </c>
      <c r="K228">
        <f>Master_Data!K228</f>
        <v>0.2273</v>
      </c>
      <c r="L228">
        <f>Master_Data!L228</f>
        <v>0.4</v>
      </c>
      <c r="M228">
        <f>Master_Data!M228</f>
        <v>0.1045</v>
      </c>
      <c r="N228">
        <f>Master_Data!N228</f>
        <v>4</v>
      </c>
      <c r="O228">
        <f>Master_Data!O228</f>
        <v>174</v>
      </c>
      <c r="P228">
        <f>Master_Data!P228</f>
        <v>178</v>
      </c>
      <c r="Q228" t="str">
        <f t="shared" si="18"/>
        <v>2011</v>
      </c>
      <c r="R228" t="str">
        <f t="shared" si="19"/>
        <v>January</v>
      </c>
      <c r="S228" t="str">
        <f t="shared" si="20"/>
        <v>Weekday</v>
      </c>
      <c r="T228" t="str">
        <f t="shared" si="21"/>
        <v>Evening</v>
      </c>
      <c r="U228" t="str">
        <f t="shared" si="22"/>
        <v>Spring</v>
      </c>
      <c r="V228" t="str">
        <f t="shared" si="23"/>
        <v>Clear</v>
      </c>
    </row>
    <row r="229" spans="1:22">
      <c r="A229">
        <f>Master_Data!A229</f>
        <v>228</v>
      </c>
      <c r="B229">
        <f>Master_Data!B229</f>
        <v>40553</v>
      </c>
      <c r="C229">
        <f>Master_Data!C229</f>
        <v>1</v>
      </c>
      <c r="D229">
        <f>Master_Data!D229</f>
        <v>0</v>
      </c>
      <c r="E229">
        <f>Master_Data!E229</f>
        <v>1</v>
      </c>
      <c r="F229">
        <f>Master_Data!F229</f>
        <v>18</v>
      </c>
      <c r="G229" t="b">
        <f>Master_Data!G229</f>
        <v>0</v>
      </c>
      <c r="H229">
        <f>Master_Data!H229</f>
        <v>1</v>
      </c>
      <c r="I229">
        <f>Master_Data!I229</f>
        <v>1</v>
      </c>
      <c r="J229">
        <f>Master_Data!J229</f>
        <v>0.2</v>
      </c>
      <c r="K229">
        <f>Master_Data!K229</f>
        <v>0.19700000000000001</v>
      </c>
      <c r="L229">
        <f>Master_Data!L229</f>
        <v>0.4</v>
      </c>
      <c r="M229">
        <f>Master_Data!M229</f>
        <v>0.22389999999999999</v>
      </c>
      <c r="N229">
        <f>Master_Data!N229</f>
        <v>1</v>
      </c>
      <c r="O229">
        <f>Master_Data!O229</f>
        <v>154</v>
      </c>
      <c r="P229">
        <f>Master_Data!P229</f>
        <v>155</v>
      </c>
      <c r="Q229" t="str">
        <f t="shared" si="18"/>
        <v>2011</v>
      </c>
      <c r="R229" t="str">
        <f t="shared" si="19"/>
        <v>January</v>
      </c>
      <c r="S229" t="str">
        <f t="shared" si="20"/>
        <v>Weekday</v>
      </c>
      <c r="T229" t="str">
        <f t="shared" si="21"/>
        <v>Evening</v>
      </c>
      <c r="U229" t="str">
        <f t="shared" si="22"/>
        <v>Spring</v>
      </c>
      <c r="V229" t="str">
        <f t="shared" si="23"/>
        <v>Clear</v>
      </c>
    </row>
    <row r="230" spans="1:22">
      <c r="A230">
        <f>Master_Data!A230</f>
        <v>229</v>
      </c>
      <c r="B230">
        <f>Master_Data!B230</f>
        <v>40553</v>
      </c>
      <c r="C230">
        <f>Master_Data!C230</f>
        <v>1</v>
      </c>
      <c r="D230">
        <f>Master_Data!D230</f>
        <v>0</v>
      </c>
      <c r="E230">
        <f>Master_Data!E230</f>
        <v>1</v>
      </c>
      <c r="F230">
        <f>Master_Data!F230</f>
        <v>19</v>
      </c>
      <c r="G230" t="b">
        <f>Master_Data!G230</f>
        <v>0</v>
      </c>
      <c r="H230">
        <f>Master_Data!H230</f>
        <v>1</v>
      </c>
      <c r="I230">
        <f>Master_Data!I230</f>
        <v>1</v>
      </c>
      <c r="J230">
        <f>Master_Data!J230</f>
        <v>0.16</v>
      </c>
      <c r="K230">
        <f>Master_Data!K230</f>
        <v>0.16669999999999999</v>
      </c>
      <c r="L230">
        <f>Master_Data!L230</f>
        <v>0.47</v>
      </c>
      <c r="M230">
        <f>Master_Data!M230</f>
        <v>0.16420000000000001</v>
      </c>
      <c r="N230">
        <f>Master_Data!N230</f>
        <v>3</v>
      </c>
      <c r="O230">
        <f>Master_Data!O230</f>
        <v>92</v>
      </c>
      <c r="P230">
        <f>Master_Data!P230</f>
        <v>95</v>
      </c>
      <c r="Q230" t="str">
        <f t="shared" si="18"/>
        <v>2011</v>
      </c>
      <c r="R230" t="str">
        <f t="shared" si="19"/>
        <v>January</v>
      </c>
      <c r="S230" t="str">
        <f t="shared" si="20"/>
        <v>Weekday</v>
      </c>
      <c r="T230" t="str">
        <f t="shared" si="21"/>
        <v>Evening</v>
      </c>
      <c r="U230" t="str">
        <f t="shared" si="22"/>
        <v>Spring</v>
      </c>
      <c r="V230" t="str">
        <f t="shared" si="23"/>
        <v>Clear</v>
      </c>
    </row>
    <row r="231" spans="1:22">
      <c r="A231">
        <f>Master_Data!A231</f>
        <v>230</v>
      </c>
      <c r="B231">
        <f>Master_Data!B231</f>
        <v>40553</v>
      </c>
      <c r="C231">
        <f>Master_Data!C231</f>
        <v>1</v>
      </c>
      <c r="D231">
        <f>Master_Data!D231</f>
        <v>0</v>
      </c>
      <c r="E231">
        <f>Master_Data!E231</f>
        <v>1</v>
      </c>
      <c r="F231">
        <f>Master_Data!F231</f>
        <v>20</v>
      </c>
      <c r="G231" t="b">
        <f>Master_Data!G231</f>
        <v>0</v>
      </c>
      <c r="H231">
        <f>Master_Data!H231</f>
        <v>1</v>
      </c>
      <c r="I231">
        <f>Master_Data!I231</f>
        <v>1</v>
      </c>
      <c r="J231">
        <f>Master_Data!J231</f>
        <v>0.16</v>
      </c>
      <c r="K231">
        <f>Master_Data!K231</f>
        <v>0.16669999999999999</v>
      </c>
      <c r="L231">
        <f>Master_Data!L231</f>
        <v>0.5</v>
      </c>
      <c r="M231">
        <f>Master_Data!M231</f>
        <v>0.16420000000000001</v>
      </c>
      <c r="N231">
        <f>Master_Data!N231</f>
        <v>1</v>
      </c>
      <c r="O231">
        <f>Master_Data!O231</f>
        <v>73</v>
      </c>
      <c r="P231">
        <f>Master_Data!P231</f>
        <v>74</v>
      </c>
      <c r="Q231" t="str">
        <f t="shared" si="18"/>
        <v>2011</v>
      </c>
      <c r="R231" t="str">
        <f t="shared" si="19"/>
        <v>January</v>
      </c>
      <c r="S231" t="str">
        <f t="shared" si="20"/>
        <v>Weekday</v>
      </c>
      <c r="T231" t="str">
        <f t="shared" si="21"/>
        <v>Evening</v>
      </c>
      <c r="U231" t="str">
        <f t="shared" si="22"/>
        <v>Spring</v>
      </c>
      <c r="V231" t="str">
        <f t="shared" si="23"/>
        <v>Clear</v>
      </c>
    </row>
    <row r="232" spans="1:22">
      <c r="A232">
        <f>Master_Data!A232</f>
        <v>231</v>
      </c>
      <c r="B232">
        <f>Master_Data!B232</f>
        <v>40553</v>
      </c>
      <c r="C232">
        <f>Master_Data!C232</f>
        <v>1</v>
      </c>
      <c r="D232">
        <f>Master_Data!D232</f>
        <v>0</v>
      </c>
      <c r="E232">
        <f>Master_Data!E232</f>
        <v>1</v>
      </c>
      <c r="F232">
        <f>Master_Data!F232</f>
        <v>21</v>
      </c>
      <c r="G232" t="b">
        <f>Master_Data!G232</f>
        <v>0</v>
      </c>
      <c r="H232">
        <f>Master_Data!H232</f>
        <v>1</v>
      </c>
      <c r="I232">
        <f>Master_Data!I232</f>
        <v>1</v>
      </c>
      <c r="J232">
        <f>Master_Data!J232</f>
        <v>0.14000000000000001</v>
      </c>
      <c r="K232">
        <f>Master_Data!K232</f>
        <v>0.13639999999999999</v>
      </c>
      <c r="L232">
        <f>Master_Data!L232</f>
        <v>0.59</v>
      </c>
      <c r="M232">
        <f>Master_Data!M232</f>
        <v>0.19400000000000001</v>
      </c>
      <c r="N232">
        <f>Master_Data!N232</f>
        <v>1</v>
      </c>
      <c r="O232">
        <f>Master_Data!O232</f>
        <v>37</v>
      </c>
      <c r="P232">
        <f>Master_Data!P232</f>
        <v>38</v>
      </c>
      <c r="Q232" t="str">
        <f t="shared" si="18"/>
        <v>2011</v>
      </c>
      <c r="R232" t="str">
        <f t="shared" si="19"/>
        <v>January</v>
      </c>
      <c r="S232" t="str">
        <f t="shared" si="20"/>
        <v>Weekday</v>
      </c>
      <c r="T232" t="str">
        <f t="shared" si="21"/>
        <v>Night</v>
      </c>
      <c r="U232" t="str">
        <f t="shared" si="22"/>
        <v>Spring</v>
      </c>
      <c r="V232" t="str">
        <f t="shared" si="23"/>
        <v>Clear</v>
      </c>
    </row>
    <row r="233" spans="1:22">
      <c r="A233">
        <f>Master_Data!A233</f>
        <v>232</v>
      </c>
      <c r="B233">
        <f>Master_Data!B233</f>
        <v>40553</v>
      </c>
      <c r="C233">
        <f>Master_Data!C233</f>
        <v>1</v>
      </c>
      <c r="D233">
        <f>Master_Data!D233</f>
        <v>0</v>
      </c>
      <c r="E233">
        <f>Master_Data!E233</f>
        <v>1</v>
      </c>
      <c r="F233">
        <f>Master_Data!F233</f>
        <v>22</v>
      </c>
      <c r="G233" t="b">
        <f>Master_Data!G233</f>
        <v>0</v>
      </c>
      <c r="H233">
        <f>Master_Data!H233</f>
        <v>1</v>
      </c>
      <c r="I233">
        <f>Master_Data!I233</f>
        <v>1</v>
      </c>
      <c r="J233">
        <f>Master_Data!J233</f>
        <v>0.14000000000000001</v>
      </c>
      <c r="K233">
        <f>Master_Data!K233</f>
        <v>0.1515</v>
      </c>
      <c r="L233">
        <f>Master_Data!L233</f>
        <v>0.59</v>
      </c>
      <c r="M233">
        <f>Master_Data!M233</f>
        <v>0.16420000000000001</v>
      </c>
      <c r="N233">
        <f>Master_Data!N233</f>
        <v>2</v>
      </c>
      <c r="O233">
        <f>Master_Data!O233</f>
        <v>22</v>
      </c>
      <c r="P233">
        <f>Master_Data!P233</f>
        <v>24</v>
      </c>
      <c r="Q233" t="str">
        <f t="shared" si="18"/>
        <v>2011</v>
      </c>
      <c r="R233" t="str">
        <f t="shared" si="19"/>
        <v>January</v>
      </c>
      <c r="S233" t="str">
        <f t="shared" si="20"/>
        <v>Weekday</v>
      </c>
      <c r="T233" t="str">
        <f t="shared" si="21"/>
        <v>Night</v>
      </c>
      <c r="U233" t="str">
        <f t="shared" si="22"/>
        <v>Spring</v>
      </c>
      <c r="V233" t="str">
        <f t="shared" si="23"/>
        <v>Clear</v>
      </c>
    </row>
    <row r="234" spans="1:22">
      <c r="A234">
        <f>Master_Data!A234</f>
        <v>233</v>
      </c>
      <c r="B234">
        <f>Master_Data!B234</f>
        <v>40553</v>
      </c>
      <c r="C234">
        <f>Master_Data!C234</f>
        <v>1</v>
      </c>
      <c r="D234">
        <f>Master_Data!D234</f>
        <v>0</v>
      </c>
      <c r="E234">
        <f>Master_Data!E234</f>
        <v>1</v>
      </c>
      <c r="F234">
        <f>Master_Data!F234</f>
        <v>23</v>
      </c>
      <c r="G234" t="b">
        <f>Master_Data!G234</f>
        <v>0</v>
      </c>
      <c r="H234">
        <f>Master_Data!H234</f>
        <v>1</v>
      </c>
      <c r="I234">
        <f>Master_Data!I234</f>
        <v>1</v>
      </c>
      <c r="J234">
        <f>Master_Data!J234</f>
        <v>0.14000000000000001</v>
      </c>
      <c r="K234">
        <f>Master_Data!K234</f>
        <v>0.1515</v>
      </c>
      <c r="L234">
        <f>Master_Data!L234</f>
        <v>0.59</v>
      </c>
      <c r="M234">
        <f>Master_Data!M234</f>
        <v>0.16420000000000001</v>
      </c>
      <c r="N234">
        <f>Master_Data!N234</f>
        <v>0</v>
      </c>
      <c r="O234">
        <f>Master_Data!O234</f>
        <v>18</v>
      </c>
      <c r="P234">
        <f>Master_Data!P234</f>
        <v>18</v>
      </c>
      <c r="Q234" t="str">
        <f t="shared" si="18"/>
        <v>2011</v>
      </c>
      <c r="R234" t="str">
        <f t="shared" si="19"/>
        <v>January</v>
      </c>
      <c r="S234" t="str">
        <f t="shared" si="20"/>
        <v>Weekday</v>
      </c>
      <c r="T234" t="str">
        <f t="shared" si="21"/>
        <v>Night</v>
      </c>
      <c r="U234" t="str">
        <f t="shared" si="22"/>
        <v>Spring</v>
      </c>
      <c r="V234" t="str">
        <f t="shared" si="23"/>
        <v>Clear</v>
      </c>
    </row>
    <row r="235" spans="1:22">
      <c r="A235">
        <f>Master_Data!A235</f>
        <v>234</v>
      </c>
      <c r="B235">
        <f>Master_Data!B235</f>
        <v>40554</v>
      </c>
      <c r="C235">
        <f>Master_Data!C235</f>
        <v>1</v>
      </c>
      <c r="D235">
        <f>Master_Data!D235</f>
        <v>0</v>
      </c>
      <c r="E235">
        <f>Master_Data!E235</f>
        <v>1</v>
      </c>
      <c r="F235">
        <f>Master_Data!F235</f>
        <v>0</v>
      </c>
      <c r="G235" t="b">
        <f>Master_Data!G235</f>
        <v>0</v>
      </c>
      <c r="H235">
        <f>Master_Data!H235</f>
        <v>2</v>
      </c>
      <c r="I235">
        <f>Master_Data!I235</f>
        <v>1</v>
      </c>
      <c r="J235">
        <f>Master_Data!J235</f>
        <v>0.14000000000000001</v>
      </c>
      <c r="K235">
        <f>Master_Data!K235</f>
        <v>0.16669999999999999</v>
      </c>
      <c r="L235">
        <f>Master_Data!L235</f>
        <v>0.59</v>
      </c>
      <c r="M235">
        <f>Master_Data!M235</f>
        <v>0.1045</v>
      </c>
      <c r="N235">
        <f>Master_Data!N235</f>
        <v>2</v>
      </c>
      <c r="O235">
        <f>Master_Data!O235</f>
        <v>10</v>
      </c>
      <c r="P235">
        <f>Master_Data!P235</f>
        <v>12</v>
      </c>
      <c r="Q235" t="str">
        <f t="shared" si="18"/>
        <v>2011</v>
      </c>
      <c r="R235" t="str">
        <f t="shared" si="19"/>
        <v>January</v>
      </c>
      <c r="S235" t="str">
        <f t="shared" si="20"/>
        <v>Weekday</v>
      </c>
      <c r="T235" t="str">
        <f t="shared" si="21"/>
        <v>Night</v>
      </c>
      <c r="U235" t="str">
        <f t="shared" si="22"/>
        <v>Spring</v>
      </c>
      <c r="V235" t="str">
        <f t="shared" si="23"/>
        <v>Clear</v>
      </c>
    </row>
    <row r="236" spans="1:22">
      <c r="A236">
        <f>Master_Data!A236</f>
        <v>235</v>
      </c>
      <c r="B236">
        <f>Master_Data!B236</f>
        <v>40554</v>
      </c>
      <c r="C236">
        <f>Master_Data!C236</f>
        <v>1</v>
      </c>
      <c r="D236">
        <f>Master_Data!D236</f>
        <v>0</v>
      </c>
      <c r="E236">
        <f>Master_Data!E236</f>
        <v>1</v>
      </c>
      <c r="F236">
        <f>Master_Data!F236</f>
        <v>1</v>
      </c>
      <c r="G236" t="b">
        <f>Master_Data!G236</f>
        <v>0</v>
      </c>
      <c r="H236">
        <f>Master_Data!H236</f>
        <v>2</v>
      </c>
      <c r="I236">
        <f>Master_Data!I236</f>
        <v>1</v>
      </c>
      <c r="J236">
        <f>Master_Data!J236</f>
        <v>0.14000000000000001</v>
      </c>
      <c r="K236">
        <f>Master_Data!K236</f>
        <v>0.1515</v>
      </c>
      <c r="L236">
        <f>Master_Data!L236</f>
        <v>0.59</v>
      </c>
      <c r="M236">
        <f>Master_Data!M236</f>
        <v>0.16420000000000001</v>
      </c>
      <c r="N236">
        <f>Master_Data!N236</f>
        <v>0</v>
      </c>
      <c r="O236">
        <f>Master_Data!O236</f>
        <v>3</v>
      </c>
      <c r="P236">
        <f>Master_Data!P236</f>
        <v>3</v>
      </c>
      <c r="Q236" t="str">
        <f t="shared" si="18"/>
        <v>2011</v>
      </c>
      <c r="R236" t="str">
        <f t="shared" si="19"/>
        <v>January</v>
      </c>
      <c r="S236" t="str">
        <f t="shared" si="20"/>
        <v>Weekday</v>
      </c>
      <c r="T236" t="str">
        <f t="shared" si="21"/>
        <v>Night</v>
      </c>
      <c r="U236" t="str">
        <f t="shared" si="22"/>
        <v>Spring</v>
      </c>
      <c r="V236" t="str">
        <f t="shared" si="23"/>
        <v>Clear</v>
      </c>
    </row>
    <row r="237" spans="1:22">
      <c r="A237">
        <f>Master_Data!A237</f>
        <v>236</v>
      </c>
      <c r="B237">
        <f>Master_Data!B237</f>
        <v>40554</v>
      </c>
      <c r="C237">
        <f>Master_Data!C237</f>
        <v>1</v>
      </c>
      <c r="D237">
        <f>Master_Data!D237</f>
        <v>0</v>
      </c>
      <c r="E237">
        <f>Master_Data!E237</f>
        <v>1</v>
      </c>
      <c r="F237">
        <f>Master_Data!F237</f>
        <v>2</v>
      </c>
      <c r="G237" t="b">
        <f>Master_Data!G237</f>
        <v>0</v>
      </c>
      <c r="H237">
        <f>Master_Data!H237</f>
        <v>2</v>
      </c>
      <c r="I237">
        <f>Master_Data!I237</f>
        <v>2</v>
      </c>
      <c r="J237">
        <f>Master_Data!J237</f>
        <v>0.16</v>
      </c>
      <c r="K237">
        <f>Master_Data!K237</f>
        <v>0.1515</v>
      </c>
      <c r="L237">
        <f>Master_Data!L237</f>
        <v>0.55000000000000004</v>
      </c>
      <c r="M237">
        <f>Master_Data!M237</f>
        <v>0.19400000000000001</v>
      </c>
      <c r="N237">
        <f>Master_Data!N237</f>
        <v>0</v>
      </c>
      <c r="O237">
        <f>Master_Data!O237</f>
        <v>3</v>
      </c>
      <c r="P237">
        <f>Master_Data!P237</f>
        <v>3</v>
      </c>
      <c r="Q237" t="str">
        <f t="shared" si="18"/>
        <v>2011</v>
      </c>
      <c r="R237" t="str">
        <f t="shared" si="19"/>
        <v>January</v>
      </c>
      <c r="S237" t="str">
        <f t="shared" si="20"/>
        <v>Weekday</v>
      </c>
      <c r="T237" t="str">
        <f t="shared" si="21"/>
        <v>Night</v>
      </c>
      <c r="U237" t="str">
        <f t="shared" si="22"/>
        <v>Spring</v>
      </c>
      <c r="V237" t="str">
        <f t="shared" si="23"/>
        <v>Mist/Cloudy</v>
      </c>
    </row>
    <row r="238" spans="1:22">
      <c r="A238">
        <f>Master_Data!A238</f>
        <v>237</v>
      </c>
      <c r="B238">
        <f>Master_Data!B238</f>
        <v>40554</v>
      </c>
      <c r="C238">
        <f>Master_Data!C238</f>
        <v>1</v>
      </c>
      <c r="D238">
        <f>Master_Data!D238</f>
        <v>0</v>
      </c>
      <c r="E238">
        <f>Master_Data!E238</f>
        <v>1</v>
      </c>
      <c r="F238">
        <f>Master_Data!F238</f>
        <v>5</v>
      </c>
      <c r="G238" t="b">
        <f>Master_Data!G238</f>
        <v>0</v>
      </c>
      <c r="H238">
        <f>Master_Data!H238</f>
        <v>2</v>
      </c>
      <c r="I238">
        <f>Master_Data!I238</f>
        <v>2</v>
      </c>
      <c r="J238">
        <f>Master_Data!J238</f>
        <v>0.16</v>
      </c>
      <c r="K238">
        <f>Master_Data!K238</f>
        <v>0.18179999999999999</v>
      </c>
      <c r="L238">
        <f>Master_Data!L238</f>
        <v>0.55000000000000004</v>
      </c>
      <c r="M238">
        <f>Master_Data!M238</f>
        <v>0.1343</v>
      </c>
      <c r="N238">
        <f>Master_Data!N238</f>
        <v>0</v>
      </c>
      <c r="O238">
        <f>Master_Data!O238</f>
        <v>6</v>
      </c>
      <c r="P238">
        <f>Master_Data!P238</f>
        <v>6</v>
      </c>
      <c r="Q238" t="str">
        <f t="shared" si="18"/>
        <v>2011</v>
      </c>
      <c r="R238" t="str">
        <f t="shared" si="19"/>
        <v>January</v>
      </c>
      <c r="S238" t="str">
        <f t="shared" si="20"/>
        <v>Weekday</v>
      </c>
      <c r="T238" t="str">
        <f t="shared" si="21"/>
        <v>Night</v>
      </c>
      <c r="U238" t="str">
        <f t="shared" si="22"/>
        <v>Spring</v>
      </c>
      <c r="V238" t="str">
        <f t="shared" si="23"/>
        <v>Mist/Cloudy</v>
      </c>
    </row>
    <row r="239" spans="1:22">
      <c r="A239">
        <f>Master_Data!A239</f>
        <v>238</v>
      </c>
      <c r="B239">
        <f>Master_Data!B239</f>
        <v>40554</v>
      </c>
      <c r="C239">
        <f>Master_Data!C239</f>
        <v>1</v>
      </c>
      <c r="D239">
        <f>Master_Data!D239</f>
        <v>0</v>
      </c>
      <c r="E239">
        <f>Master_Data!E239</f>
        <v>1</v>
      </c>
      <c r="F239">
        <f>Master_Data!F239</f>
        <v>6</v>
      </c>
      <c r="G239" t="b">
        <f>Master_Data!G239</f>
        <v>0</v>
      </c>
      <c r="H239">
        <f>Master_Data!H239</f>
        <v>2</v>
      </c>
      <c r="I239">
        <f>Master_Data!I239</f>
        <v>2</v>
      </c>
      <c r="J239">
        <f>Master_Data!J239</f>
        <v>0.16</v>
      </c>
      <c r="K239">
        <f>Master_Data!K239</f>
        <v>0.18179999999999999</v>
      </c>
      <c r="L239">
        <f>Master_Data!L239</f>
        <v>0.55000000000000004</v>
      </c>
      <c r="M239">
        <f>Master_Data!M239</f>
        <v>0.1343</v>
      </c>
      <c r="N239">
        <f>Master_Data!N239</f>
        <v>0</v>
      </c>
      <c r="O239">
        <f>Master_Data!O239</f>
        <v>27</v>
      </c>
      <c r="P239">
        <f>Master_Data!P239</f>
        <v>27</v>
      </c>
      <c r="Q239" t="str">
        <f t="shared" si="18"/>
        <v>2011</v>
      </c>
      <c r="R239" t="str">
        <f t="shared" si="19"/>
        <v>January</v>
      </c>
      <c r="S239" t="str">
        <f t="shared" si="20"/>
        <v>Weekday</v>
      </c>
      <c r="T239" t="str">
        <f t="shared" si="21"/>
        <v>Morning</v>
      </c>
      <c r="U239" t="str">
        <f t="shared" si="22"/>
        <v>Spring</v>
      </c>
      <c r="V239" t="str">
        <f t="shared" si="23"/>
        <v>Mist/Cloudy</v>
      </c>
    </row>
    <row r="240" spans="1:22">
      <c r="A240">
        <f>Master_Data!A240</f>
        <v>239</v>
      </c>
      <c r="B240">
        <f>Master_Data!B240</f>
        <v>40554</v>
      </c>
      <c r="C240">
        <f>Master_Data!C240</f>
        <v>1</v>
      </c>
      <c r="D240">
        <f>Master_Data!D240</f>
        <v>0</v>
      </c>
      <c r="E240">
        <f>Master_Data!E240</f>
        <v>1</v>
      </c>
      <c r="F240">
        <f>Master_Data!F240</f>
        <v>7</v>
      </c>
      <c r="G240" t="b">
        <f>Master_Data!G240</f>
        <v>0</v>
      </c>
      <c r="H240">
        <f>Master_Data!H240</f>
        <v>2</v>
      </c>
      <c r="I240">
        <f>Master_Data!I240</f>
        <v>2</v>
      </c>
      <c r="J240">
        <f>Master_Data!J240</f>
        <v>0.16</v>
      </c>
      <c r="K240">
        <f>Master_Data!K240</f>
        <v>0.2273</v>
      </c>
      <c r="L240">
        <f>Master_Data!L240</f>
        <v>0.55000000000000004</v>
      </c>
      <c r="M240">
        <f>Master_Data!M240</f>
        <v>0</v>
      </c>
      <c r="N240">
        <f>Master_Data!N240</f>
        <v>2</v>
      </c>
      <c r="O240">
        <f>Master_Data!O240</f>
        <v>97</v>
      </c>
      <c r="P240">
        <f>Master_Data!P240</f>
        <v>99</v>
      </c>
      <c r="Q240" t="str">
        <f t="shared" si="18"/>
        <v>2011</v>
      </c>
      <c r="R240" t="str">
        <f t="shared" si="19"/>
        <v>January</v>
      </c>
      <c r="S240" t="str">
        <f t="shared" si="20"/>
        <v>Weekday</v>
      </c>
      <c r="T240" t="str">
        <f t="shared" si="21"/>
        <v>Morning</v>
      </c>
      <c r="U240" t="str">
        <f t="shared" si="22"/>
        <v>Spring</v>
      </c>
      <c r="V240" t="str">
        <f t="shared" si="23"/>
        <v>Mist/Cloudy</v>
      </c>
    </row>
    <row r="241" spans="1:22">
      <c r="A241">
        <f>Master_Data!A241</f>
        <v>240</v>
      </c>
      <c r="B241">
        <f>Master_Data!B241</f>
        <v>40554</v>
      </c>
      <c r="C241">
        <f>Master_Data!C241</f>
        <v>1</v>
      </c>
      <c r="D241">
        <f>Master_Data!D241</f>
        <v>0</v>
      </c>
      <c r="E241">
        <f>Master_Data!E241</f>
        <v>1</v>
      </c>
      <c r="F241">
        <f>Master_Data!F241</f>
        <v>8</v>
      </c>
      <c r="G241" t="b">
        <f>Master_Data!G241</f>
        <v>0</v>
      </c>
      <c r="H241">
        <f>Master_Data!H241</f>
        <v>2</v>
      </c>
      <c r="I241">
        <f>Master_Data!I241</f>
        <v>2</v>
      </c>
      <c r="J241">
        <f>Master_Data!J241</f>
        <v>0.18</v>
      </c>
      <c r="K241">
        <f>Master_Data!K241</f>
        <v>0.21210000000000001</v>
      </c>
      <c r="L241">
        <f>Master_Data!L241</f>
        <v>0.51</v>
      </c>
      <c r="M241">
        <f>Master_Data!M241</f>
        <v>8.9599999999999999E-2</v>
      </c>
      <c r="N241">
        <f>Master_Data!N241</f>
        <v>3</v>
      </c>
      <c r="O241">
        <f>Master_Data!O241</f>
        <v>214</v>
      </c>
      <c r="P241">
        <f>Master_Data!P241</f>
        <v>217</v>
      </c>
      <c r="Q241" t="str">
        <f t="shared" si="18"/>
        <v>2011</v>
      </c>
      <c r="R241" t="str">
        <f t="shared" si="19"/>
        <v>January</v>
      </c>
      <c r="S241" t="str">
        <f t="shared" si="20"/>
        <v>Weekday</v>
      </c>
      <c r="T241" t="str">
        <f t="shared" si="21"/>
        <v>Morning</v>
      </c>
      <c r="U241" t="str">
        <f t="shared" si="22"/>
        <v>Spring</v>
      </c>
      <c r="V241" t="str">
        <f t="shared" si="23"/>
        <v>Mist/Cloudy</v>
      </c>
    </row>
    <row r="242" spans="1:22">
      <c r="A242">
        <f>Master_Data!A242</f>
        <v>241</v>
      </c>
      <c r="B242">
        <f>Master_Data!B242</f>
        <v>40554</v>
      </c>
      <c r="C242">
        <f>Master_Data!C242</f>
        <v>1</v>
      </c>
      <c r="D242">
        <f>Master_Data!D242</f>
        <v>0</v>
      </c>
      <c r="E242">
        <f>Master_Data!E242</f>
        <v>1</v>
      </c>
      <c r="F242">
        <f>Master_Data!F242</f>
        <v>9</v>
      </c>
      <c r="G242" t="b">
        <f>Master_Data!G242</f>
        <v>0</v>
      </c>
      <c r="H242">
        <f>Master_Data!H242</f>
        <v>2</v>
      </c>
      <c r="I242">
        <f>Master_Data!I242</f>
        <v>2</v>
      </c>
      <c r="J242">
        <f>Master_Data!J242</f>
        <v>0.18</v>
      </c>
      <c r="K242">
        <f>Master_Data!K242</f>
        <v>0.19700000000000001</v>
      </c>
      <c r="L242">
        <f>Master_Data!L242</f>
        <v>0.51</v>
      </c>
      <c r="M242">
        <f>Master_Data!M242</f>
        <v>0.16420000000000001</v>
      </c>
      <c r="N242">
        <f>Master_Data!N242</f>
        <v>3</v>
      </c>
      <c r="O242">
        <f>Master_Data!O242</f>
        <v>127</v>
      </c>
      <c r="P242">
        <f>Master_Data!P242</f>
        <v>130</v>
      </c>
      <c r="Q242" t="str">
        <f t="shared" si="18"/>
        <v>2011</v>
      </c>
      <c r="R242" t="str">
        <f t="shared" si="19"/>
        <v>January</v>
      </c>
      <c r="S242" t="str">
        <f t="shared" si="20"/>
        <v>Weekday</v>
      </c>
      <c r="T242" t="str">
        <f t="shared" si="21"/>
        <v>Morning</v>
      </c>
      <c r="U242" t="str">
        <f t="shared" si="22"/>
        <v>Spring</v>
      </c>
      <c r="V242" t="str">
        <f t="shared" si="23"/>
        <v>Mist/Cloudy</v>
      </c>
    </row>
    <row r="243" spans="1:22">
      <c r="A243">
        <f>Master_Data!A243</f>
        <v>242</v>
      </c>
      <c r="B243">
        <f>Master_Data!B243</f>
        <v>40554</v>
      </c>
      <c r="C243">
        <f>Master_Data!C243</f>
        <v>1</v>
      </c>
      <c r="D243">
        <f>Master_Data!D243</f>
        <v>0</v>
      </c>
      <c r="E243">
        <f>Master_Data!E243</f>
        <v>1</v>
      </c>
      <c r="F243">
        <f>Master_Data!F243</f>
        <v>10</v>
      </c>
      <c r="G243" t="b">
        <f>Master_Data!G243</f>
        <v>0</v>
      </c>
      <c r="H243">
        <f>Master_Data!H243</f>
        <v>2</v>
      </c>
      <c r="I243">
        <f>Master_Data!I243</f>
        <v>2</v>
      </c>
      <c r="J243">
        <f>Master_Data!J243</f>
        <v>0.2</v>
      </c>
      <c r="K243">
        <f>Master_Data!K243</f>
        <v>0.21210000000000001</v>
      </c>
      <c r="L243">
        <f>Master_Data!L243</f>
        <v>0.51</v>
      </c>
      <c r="M243">
        <f>Master_Data!M243</f>
        <v>0.16420000000000001</v>
      </c>
      <c r="N243">
        <f>Master_Data!N243</f>
        <v>3</v>
      </c>
      <c r="O243">
        <f>Master_Data!O243</f>
        <v>51</v>
      </c>
      <c r="P243">
        <f>Master_Data!P243</f>
        <v>54</v>
      </c>
      <c r="Q243" t="str">
        <f t="shared" si="18"/>
        <v>2011</v>
      </c>
      <c r="R243" t="str">
        <f t="shared" si="19"/>
        <v>January</v>
      </c>
      <c r="S243" t="str">
        <f t="shared" si="20"/>
        <v>Weekday</v>
      </c>
      <c r="T243" t="str">
        <f t="shared" si="21"/>
        <v>Morning</v>
      </c>
      <c r="U243" t="str">
        <f t="shared" si="22"/>
        <v>Spring</v>
      </c>
      <c r="V243" t="str">
        <f t="shared" si="23"/>
        <v>Mist/Cloudy</v>
      </c>
    </row>
    <row r="244" spans="1:22">
      <c r="A244">
        <f>Master_Data!A244</f>
        <v>243</v>
      </c>
      <c r="B244">
        <f>Master_Data!B244</f>
        <v>40554</v>
      </c>
      <c r="C244">
        <f>Master_Data!C244</f>
        <v>1</v>
      </c>
      <c r="D244">
        <f>Master_Data!D244</f>
        <v>0</v>
      </c>
      <c r="E244">
        <f>Master_Data!E244</f>
        <v>1</v>
      </c>
      <c r="F244">
        <f>Master_Data!F244</f>
        <v>11</v>
      </c>
      <c r="G244" t="b">
        <f>Master_Data!G244</f>
        <v>0</v>
      </c>
      <c r="H244">
        <f>Master_Data!H244</f>
        <v>2</v>
      </c>
      <c r="I244">
        <f>Master_Data!I244</f>
        <v>2</v>
      </c>
      <c r="J244">
        <f>Master_Data!J244</f>
        <v>0.2</v>
      </c>
      <c r="K244">
        <f>Master_Data!K244</f>
        <v>0.21210000000000001</v>
      </c>
      <c r="L244">
        <f>Master_Data!L244</f>
        <v>0.47</v>
      </c>
      <c r="M244">
        <f>Master_Data!M244</f>
        <v>0.1343</v>
      </c>
      <c r="N244">
        <f>Master_Data!N244</f>
        <v>4</v>
      </c>
      <c r="O244">
        <f>Master_Data!O244</f>
        <v>31</v>
      </c>
      <c r="P244">
        <f>Master_Data!P244</f>
        <v>35</v>
      </c>
      <c r="Q244" t="str">
        <f t="shared" si="18"/>
        <v>2011</v>
      </c>
      <c r="R244" t="str">
        <f t="shared" si="19"/>
        <v>January</v>
      </c>
      <c r="S244" t="str">
        <f t="shared" si="20"/>
        <v>Weekday</v>
      </c>
      <c r="T244" t="str">
        <f t="shared" si="21"/>
        <v>Morning</v>
      </c>
      <c r="U244" t="str">
        <f t="shared" si="22"/>
        <v>Spring</v>
      </c>
      <c r="V244" t="str">
        <f t="shared" si="23"/>
        <v>Mist/Cloudy</v>
      </c>
    </row>
    <row r="245" spans="1:22">
      <c r="A245">
        <f>Master_Data!A245</f>
        <v>244</v>
      </c>
      <c r="B245">
        <f>Master_Data!B245</f>
        <v>40554</v>
      </c>
      <c r="C245">
        <f>Master_Data!C245</f>
        <v>1</v>
      </c>
      <c r="D245">
        <f>Master_Data!D245</f>
        <v>0</v>
      </c>
      <c r="E245">
        <f>Master_Data!E245</f>
        <v>1</v>
      </c>
      <c r="F245">
        <f>Master_Data!F245</f>
        <v>12</v>
      </c>
      <c r="G245" t="b">
        <f>Master_Data!G245</f>
        <v>0</v>
      </c>
      <c r="H245">
        <f>Master_Data!H245</f>
        <v>2</v>
      </c>
      <c r="I245">
        <f>Master_Data!I245</f>
        <v>2</v>
      </c>
      <c r="J245">
        <f>Master_Data!J245</f>
        <v>0.2</v>
      </c>
      <c r="K245">
        <f>Master_Data!K245</f>
        <v>0.2273</v>
      </c>
      <c r="L245">
        <f>Master_Data!L245</f>
        <v>0.51</v>
      </c>
      <c r="M245">
        <f>Master_Data!M245</f>
        <v>0.1045</v>
      </c>
      <c r="N245">
        <f>Master_Data!N245</f>
        <v>2</v>
      </c>
      <c r="O245">
        <f>Master_Data!O245</f>
        <v>55</v>
      </c>
      <c r="P245">
        <f>Master_Data!P245</f>
        <v>57</v>
      </c>
      <c r="Q245" t="str">
        <f t="shared" si="18"/>
        <v>2011</v>
      </c>
      <c r="R245" t="str">
        <f t="shared" si="19"/>
        <v>January</v>
      </c>
      <c r="S245" t="str">
        <f t="shared" si="20"/>
        <v>Weekday</v>
      </c>
      <c r="T245" t="str">
        <f t="shared" si="21"/>
        <v>Afternoon</v>
      </c>
      <c r="U245" t="str">
        <f t="shared" si="22"/>
        <v>Spring</v>
      </c>
      <c r="V245" t="str">
        <f t="shared" si="23"/>
        <v>Mist/Cloudy</v>
      </c>
    </row>
    <row r="246" spans="1:22">
      <c r="A246">
        <f>Master_Data!A246</f>
        <v>245</v>
      </c>
      <c r="B246">
        <f>Master_Data!B246</f>
        <v>40554</v>
      </c>
      <c r="C246">
        <f>Master_Data!C246</f>
        <v>1</v>
      </c>
      <c r="D246">
        <f>Master_Data!D246</f>
        <v>0</v>
      </c>
      <c r="E246">
        <f>Master_Data!E246</f>
        <v>1</v>
      </c>
      <c r="F246">
        <f>Master_Data!F246</f>
        <v>13</v>
      </c>
      <c r="G246" t="b">
        <f>Master_Data!G246</f>
        <v>0</v>
      </c>
      <c r="H246">
        <f>Master_Data!H246</f>
        <v>2</v>
      </c>
      <c r="I246">
        <f>Master_Data!I246</f>
        <v>2</v>
      </c>
      <c r="J246">
        <f>Master_Data!J246</f>
        <v>0.2</v>
      </c>
      <c r="K246">
        <f>Master_Data!K246</f>
        <v>0.2273</v>
      </c>
      <c r="L246">
        <f>Master_Data!L246</f>
        <v>0.59</v>
      </c>
      <c r="M246">
        <f>Master_Data!M246</f>
        <v>8.9599999999999999E-2</v>
      </c>
      <c r="N246">
        <f>Master_Data!N246</f>
        <v>6</v>
      </c>
      <c r="O246">
        <f>Master_Data!O246</f>
        <v>46</v>
      </c>
      <c r="P246">
        <f>Master_Data!P246</f>
        <v>52</v>
      </c>
      <c r="Q246" t="str">
        <f t="shared" si="18"/>
        <v>2011</v>
      </c>
      <c r="R246" t="str">
        <f t="shared" si="19"/>
        <v>January</v>
      </c>
      <c r="S246" t="str">
        <f t="shared" si="20"/>
        <v>Weekday</v>
      </c>
      <c r="T246" t="str">
        <f t="shared" si="21"/>
        <v>Afternoon</v>
      </c>
      <c r="U246" t="str">
        <f t="shared" si="22"/>
        <v>Spring</v>
      </c>
      <c r="V246" t="str">
        <f t="shared" si="23"/>
        <v>Mist/Cloudy</v>
      </c>
    </row>
    <row r="247" spans="1:22">
      <c r="A247">
        <f>Master_Data!A247</f>
        <v>246</v>
      </c>
      <c r="B247">
        <f>Master_Data!B247</f>
        <v>40554</v>
      </c>
      <c r="C247">
        <f>Master_Data!C247</f>
        <v>1</v>
      </c>
      <c r="D247">
        <f>Master_Data!D247</f>
        <v>0</v>
      </c>
      <c r="E247">
        <f>Master_Data!E247</f>
        <v>1</v>
      </c>
      <c r="F247">
        <f>Master_Data!F247</f>
        <v>14</v>
      </c>
      <c r="G247" t="b">
        <f>Master_Data!G247</f>
        <v>0</v>
      </c>
      <c r="H247">
        <f>Master_Data!H247</f>
        <v>2</v>
      </c>
      <c r="I247">
        <f>Master_Data!I247</f>
        <v>2</v>
      </c>
      <c r="J247">
        <f>Master_Data!J247</f>
        <v>0.2</v>
      </c>
      <c r="K247">
        <f>Master_Data!K247</f>
        <v>0.2273</v>
      </c>
      <c r="L247">
        <f>Master_Data!L247</f>
        <v>0.59</v>
      </c>
      <c r="M247">
        <f>Master_Data!M247</f>
        <v>8.9599999999999999E-2</v>
      </c>
      <c r="N247">
        <f>Master_Data!N247</f>
        <v>3</v>
      </c>
      <c r="O247">
        <f>Master_Data!O247</f>
        <v>60</v>
      </c>
      <c r="P247">
        <f>Master_Data!P247</f>
        <v>63</v>
      </c>
      <c r="Q247" t="str">
        <f t="shared" si="18"/>
        <v>2011</v>
      </c>
      <c r="R247" t="str">
        <f t="shared" si="19"/>
        <v>January</v>
      </c>
      <c r="S247" t="str">
        <f t="shared" si="20"/>
        <v>Weekday</v>
      </c>
      <c r="T247" t="str">
        <f t="shared" si="21"/>
        <v>Afternoon</v>
      </c>
      <c r="U247" t="str">
        <f t="shared" si="22"/>
        <v>Spring</v>
      </c>
      <c r="V247" t="str">
        <f t="shared" si="23"/>
        <v>Mist/Cloudy</v>
      </c>
    </row>
    <row r="248" spans="1:22">
      <c r="A248">
        <f>Master_Data!A248</f>
        <v>247</v>
      </c>
      <c r="B248">
        <f>Master_Data!B248</f>
        <v>40554</v>
      </c>
      <c r="C248">
        <f>Master_Data!C248</f>
        <v>1</v>
      </c>
      <c r="D248">
        <f>Master_Data!D248</f>
        <v>0</v>
      </c>
      <c r="E248">
        <f>Master_Data!E248</f>
        <v>1</v>
      </c>
      <c r="F248">
        <f>Master_Data!F248</f>
        <v>15</v>
      </c>
      <c r="G248" t="b">
        <f>Master_Data!G248</f>
        <v>0</v>
      </c>
      <c r="H248">
        <f>Master_Data!H248</f>
        <v>2</v>
      </c>
      <c r="I248">
        <f>Master_Data!I248</f>
        <v>2</v>
      </c>
      <c r="J248">
        <f>Master_Data!J248</f>
        <v>0.16</v>
      </c>
      <c r="K248">
        <f>Master_Data!K248</f>
        <v>0.19700000000000001</v>
      </c>
      <c r="L248">
        <f>Master_Data!L248</f>
        <v>0.8</v>
      </c>
      <c r="M248">
        <f>Master_Data!M248</f>
        <v>8.9599999999999999E-2</v>
      </c>
      <c r="N248">
        <f>Master_Data!N248</f>
        <v>2</v>
      </c>
      <c r="O248">
        <f>Master_Data!O248</f>
        <v>45</v>
      </c>
      <c r="P248">
        <f>Master_Data!P248</f>
        <v>47</v>
      </c>
      <c r="Q248" t="str">
        <f t="shared" si="18"/>
        <v>2011</v>
      </c>
      <c r="R248" t="str">
        <f t="shared" si="19"/>
        <v>January</v>
      </c>
      <c r="S248" t="str">
        <f t="shared" si="20"/>
        <v>Weekday</v>
      </c>
      <c r="T248" t="str">
        <f t="shared" si="21"/>
        <v>Afternoon</v>
      </c>
      <c r="U248" t="str">
        <f t="shared" si="22"/>
        <v>Spring</v>
      </c>
      <c r="V248" t="str">
        <f t="shared" si="23"/>
        <v>Mist/Cloudy</v>
      </c>
    </row>
    <row r="249" spans="1:22">
      <c r="A249">
        <f>Master_Data!A249</f>
        <v>248</v>
      </c>
      <c r="B249">
        <f>Master_Data!B249</f>
        <v>40554</v>
      </c>
      <c r="C249">
        <f>Master_Data!C249</f>
        <v>1</v>
      </c>
      <c r="D249">
        <f>Master_Data!D249</f>
        <v>0</v>
      </c>
      <c r="E249">
        <f>Master_Data!E249</f>
        <v>1</v>
      </c>
      <c r="F249">
        <f>Master_Data!F249</f>
        <v>16</v>
      </c>
      <c r="G249" t="b">
        <f>Master_Data!G249</f>
        <v>0</v>
      </c>
      <c r="H249">
        <f>Master_Data!H249</f>
        <v>2</v>
      </c>
      <c r="I249">
        <f>Master_Data!I249</f>
        <v>2</v>
      </c>
      <c r="J249">
        <f>Master_Data!J249</f>
        <v>0.16</v>
      </c>
      <c r="K249">
        <f>Master_Data!K249</f>
        <v>0.1515</v>
      </c>
      <c r="L249">
        <f>Master_Data!L249</f>
        <v>0.86</v>
      </c>
      <c r="M249">
        <f>Master_Data!M249</f>
        <v>0.22389999999999999</v>
      </c>
      <c r="N249">
        <f>Master_Data!N249</f>
        <v>4</v>
      </c>
      <c r="O249">
        <f>Master_Data!O249</f>
        <v>72</v>
      </c>
      <c r="P249">
        <f>Master_Data!P249</f>
        <v>76</v>
      </c>
      <c r="Q249" t="str">
        <f t="shared" si="18"/>
        <v>2011</v>
      </c>
      <c r="R249" t="str">
        <f t="shared" si="19"/>
        <v>January</v>
      </c>
      <c r="S249" t="str">
        <f t="shared" si="20"/>
        <v>Weekday</v>
      </c>
      <c r="T249" t="str">
        <f t="shared" si="21"/>
        <v>Afternoon</v>
      </c>
      <c r="U249" t="str">
        <f t="shared" si="22"/>
        <v>Spring</v>
      </c>
      <c r="V249" t="str">
        <f t="shared" si="23"/>
        <v>Mist/Cloudy</v>
      </c>
    </row>
    <row r="250" spans="1:22">
      <c r="A250">
        <f>Master_Data!A250</f>
        <v>249</v>
      </c>
      <c r="B250">
        <f>Master_Data!B250</f>
        <v>40554</v>
      </c>
      <c r="C250">
        <f>Master_Data!C250</f>
        <v>1</v>
      </c>
      <c r="D250">
        <f>Master_Data!D250</f>
        <v>0</v>
      </c>
      <c r="E250">
        <f>Master_Data!E250</f>
        <v>1</v>
      </c>
      <c r="F250">
        <f>Master_Data!F250</f>
        <v>17</v>
      </c>
      <c r="G250" t="b">
        <f>Master_Data!G250</f>
        <v>0</v>
      </c>
      <c r="H250">
        <f>Master_Data!H250</f>
        <v>2</v>
      </c>
      <c r="I250">
        <f>Master_Data!I250</f>
        <v>2</v>
      </c>
      <c r="J250">
        <f>Master_Data!J250</f>
        <v>0.16</v>
      </c>
      <c r="K250">
        <f>Master_Data!K250</f>
        <v>0.1515</v>
      </c>
      <c r="L250">
        <f>Master_Data!L250</f>
        <v>0.86</v>
      </c>
      <c r="M250">
        <f>Master_Data!M250</f>
        <v>0.22389999999999999</v>
      </c>
      <c r="N250">
        <f>Master_Data!N250</f>
        <v>6</v>
      </c>
      <c r="O250">
        <f>Master_Data!O250</f>
        <v>130</v>
      </c>
      <c r="P250">
        <f>Master_Data!P250</f>
        <v>136</v>
      </c>
      <c r="Q250" t="str">
        <f t="shared" si="18"/>
        <v>2011</v>
      </c>
      <c r="R250" t="str">
        <f t="shared" si="19"/>
        <v>January</v>
      </c>
      <c r="S250" t="str">
        <f t="shared" si="20"/>
        <v>Weekday</v>
      </c>
      <c r="T250" t="str">
        <f t="shared" si="21"/>
        <v>Evening</v>
      </c>
      <c r="U250" t="str">
        <f t="shared" si="22"/>
        <v>Spring</v>
      </c>
      <c r="V250" t="str">
        <f t="shared" si="23"/>
        <v>Mist/Cloudy</v>
      </c>
    </row>
    <row r="251" spans="1:22">
      <c r="A251">
        <f>Master_Data!A251</f>
        <v>250</v>
      </c>
      <c r="B251">
        <f>Master_Data!B251</f>
        <v>40554</v>
      </c>
      <c r="C251">
        <f>Master_Data!C251</f>
        <v>1</v>
      </c>
      <c r="D251">
        <f>Master_Data!D251</f>
        <v>0</v>
      </c>
      <c r="E251">
        <f>Master_Data!E251</f>
        <v>1</v>
      </c>
      <c r="F251">
        <f>Master_Data!F251</f>
        <v>18</v>
      </c>
      <c r="G251" t="b">
        <f>Master_Data!G251</f>
        <v>0</v>
      </c>
      <c r="H251">
        <f>Master_Data!H251</f>
        <v>2</v>
      </c>
      <c r="I251">
        <f>Master_Data!I251</f>
        <v>3</v>
      </c>
      <c r="J251">
        <f>Master_Data!J251</f>
        <v>0.16</v>
      </c>
      <c r="K251">
        <f>Master_Data!K251</f>
        <v>0.18179999999999999</v>
      </c>
      <c r="L251">
        <f>Master_Data!L251</f>
        <v>0.93</v>
      </c>
      <c r="M251">
        <f>Master_Data!M251</f>
        <v>0.1045</v>
      </c>
      <c r="N251">
        <f>Master_Data!N251</f>
        <v>1</v>
      </c>
      <c r="O251">
        <f>Master_Data!O251</f>
        <v>94</v>
      </c>
      <c r="P251">
        <f>Master_Data!P251</f>
        <v>95</v>
      </c>
      <c r="Q251" t="str">
        <f t="shared" si="18"/>
        <v>2011</v>
      </c>
      <c r="R251" t="str">
        <f t="shared" si="19"/>
        <v>January</v>
      </c>
      <c r="S251" t="str">
        <f t="shared" si="20"/>
        <v>Weekday</v>
      </c>
      <c r="T251" t="str">
        <f t="shared" si="21"/>
        <v>Evening</v>
      </c>
      <c r="U251" t="str">
        <f t="shared" si="22"/>
        <v>Spring</v>
      </c>
      <c r="V251" t="str">
        <f t="shared" si="23"/>
        <v>Light Rain/Snow</v>
      </c>
    </row>
    <row r="252" spans="1:22">
      <c r="A252">
        <f>Master_Data!A252</f>
        <v>251</v>
      </c>
      <c r="B252">
        <f>Master_Data!B252</f>
        <v>40554</v>
      </c>
      <c r="C252">
        <f>Master_Data!C252</f>
        <v>1</v>
      </c>
      <c r="D252">
        <f>Master_Data!D252</f>
        <v>0</v>
      </c>
      <c r="E252">
        <f>Master_Data!E252</f>
        <v>1</v>
      </c>
      <c r="F252">
        <f>Master_Data!F252</f>
        <v>19</v>
      </c>
      <c r="G252" t="b">
        <f>Master_Data!G252</f>
        <v>0</v>
      </c>
      <c r="H252">
        <f>Master_Data!H252</f>
        <v>2</v>
      </c>
      <c r="I252">
        <f>Master_Data!I252</f>
        <v>3</v>
      </c>
      <c r="J252">
        <f>Master_Data!J252</f>
        <v>0.16</v>
      </c>
      <c r="K252">
        <f>Master_Data!K252</f>
        <v>0.2273</v>
      </c>
      <c r="L252">
        <f>Master_Data!L252</f>
        <v>0.93</v>
      </c>
      <c r="M252">
        <f>Master_Data!M252</f>
        <v>0</v>
      </c>
      <c r="N252">
        <f>Master_Data!N252</f>
        <v>0</v>
      </c>
      <c r="O252">
        <f>Master_Data!O252</f>
        <v>51</v>
      </c>
      <c r="P252">
        <f>Master_Data!P252</f>
        <v>51</v>
      </c>
      <c r="Q252" t="str">
        <f t="shared" si="18"/>
        <v>2011</v>
      </c>
      <c r="R252" t="str">
        <f t="shared" si="19"/>
        <v>January</v>
      </c>
      <c r="S252" t="str">
        <f t="shared" si="20"/>
        <v>Weekday</v>
      </c>
      <c r="T252" t="str">
        <f t="shared" si="21"/>
        <v>Evening</v>
      </c>
      <c r="U252" t="str">
        <f t="shared" si="22"/>
        <v>Spring</v>
      </c>
      <c r="V252" t="str">
        <f t="shared" si="23"/>
        <v>Light Rain/Snow</v>
      </c>
    </row>
    <row r="253" spans="1:22">
      <c r="A253">
        <f>Master_Data!A253</f>
        <v>252</v>
      </c>
      <c r="B253">
        <f>Master_Data!B253</f>
        <v>40554</v>
      </c>
      <c r="C253">
        <f>Master_Data!C253</f>
        <v>1</v>
      </c>
      <c r="D253">
        <f>Master_Data!D253</f>
        <v>0</v>
      </c>
      <c r="E253">
        <f>Master_Data!E253</f>
        <v>1</v>
      </c>
      <c r="F253">
        <f>Master_Data!F253</f>
        <v>20</v>
      </c>
      <c r="G253" t="b">
        <f>Master_Data!G253</f>
        <v>0</v>
      </c>
      <c r="H253">
        <f>Master_Data!H253</f>
        <v>2</v>
      </c>
      <c r="I253">
        <f>Master_Data!I253</f>
        <v>3</v>
      </c>
      <c r="J253">
        <f>Master_Data!J253</f>
        <v>0.16</v>
      </c>
      <c r="K253">
        <f>Master_Data!K253</f>
        <v>0.1515</v>
      </c>
      <c r="L253">
        <f>Master_Data!L253</f>
        <v>0.93</v>
      </c>
      <c r="M253">
        <f>Master_Data!M253</f>
        <v>0.19400000000000001</v>
      </c>
      <c r="N253">
        <f>Master_Data!N253</f>
        <v>0</v>
      </c>
      <c r="O253">
        <f>Master_Data!O253</f>
        <v>32</v>
      </c>
      <c r="P253">
        <f>Master_Data!P253</f>
        <v>32</v>
      </c>
      <c r="Q253" t="str">
        <f t="shared" si="18"/>
        <v>2011</v>
      </c>
      <c r="R253" t="str">
        <f t="shared" si="19"/>
        <v>January</v>
      </c>
      <c r="S253" t="str">
        <f t="shared" si="20"/>
        <v>Weekday</v>
      </c>
      <c r="T253" t="str">
        <f t="shared" si="21"/>
        <v>Evening</v>
      </c>
      <c r="U253" t="str">
        <f t="shared" si="22"/>
        <v>Spring</v>
      </c>
      <c r="V253" t="str">
        <f t="shared" si="23"/>
        <v>Light Rain/Snow</v>
      </c>
    </row>
    <row r="254" spans="1:22">
      <c r="A254">
        <f>Master_Data!A254</f>
        <v>253</v>
      </c>
      <c r="B254">
        <f>Master_Data!B254</f>
        <v>40554</v>
      </c>
      <c r="C254">
        <f>Master_Data!C254</f>
        <v>1</v>
      </c>
      <c r="D254">
        <f>Master_Data!D254</f>
        <v>0</v>
      </c>
      <c r="E254">
        <f>Master_Data!E254</f>
        <v>1</v>
      </c>
      <c r="F254">
        <f>Master_Data!F254</f>
        <v>21</v>
      </c>
      <c r="G254" t="b">
        <f>Master_Data!G254</f>
        <v>0</v>
      </c>
      <c r="H254">
        <f>Master_Data!H254</f>
        <v>2</v>
      </c>
      <c r="I254">
        <f>Master_Data!I254</f>
        <v>3</v>
      </c>
      <c r="J254">
        <f>Master_Data!J254</f>
        <v>0.16</v>
      </c>
      <c r="K254">
        <f>Master_Data!K254</f>
        <v>0.19700000000000001</v>
      </c>
      <c r="L254">
        <f>Master_Data!L254</f>
        <v>0.86</v>
      </c>
      <c r="M254">
        <f>Master_Data!M254</f>
        <v>8.9599999999999999E-2</v>
      </c>
      <c r="N254">
        <f>Master_Data!N254</f>
        <v>0</v>
      </c>
      <c r="O254">
        <f>Master_Data!O254</f>
        <v>20</v>
      </c>
      <c r="P254">
        <f>Master_Data!P254</f>
        <v>20</v>
      </c>
      <c r="Q254" t="str">
        <f t="shared" si="18"/>
        <v>2011</v>
      </c>
      <c r="R254" t="str">
        <f t="shared" si="19"/>
        <v>January</v>
      </c>
      <c r="S254" t="str">
        <f t="shared" si="20"/>
        <v>Weekday</v>
      </c>
      <c r="T254" t="str">
        <f t="shared" si="21"/>
        <v>Night</v>
      </c>
      <c r="U254" t="str">
        <f t="shared" si="22"/>
        <v>Spring</v>
      </c>
      <c r="V254" t="str">
        <f t="shared" si="23"/>
        <v>Light Rain/Snow</v>
      </c>
    </row>
    <row r="255" spans="1:22">
      <c r="A255">
        <f>Master_Data!A255</f>
        <v>254</v>
      </c>
      <c r="B255">
        <f>Master_Data!B255</f>
        <v>40554</v>
      </c>
      <c r="C255">
        <f>Master_Data!C255</f>
        <v>1</v>
      </c>
      <c r="D255">
        <f>Master_Data!D255</f>
        <v>0</v>
      </c>
      <c r="E255">
        <f>Master_Data!E255</f>
        <v>1</v>
      </c>
      <c r="F255">
        <f>Master_Data!F255</f>
        <v>22</v>
      </c>
      <c r="G255" t="b">
        <f>Master_Data!G255</f>
        <v>0</v>
      </c>
      <c r="H255">
        <f>Master_Data!H255</f>
        <v>2</v>
      </c>
      <c r="I255">
        <f>Master_Data!I255</f>
        <v>3</v>
      </c>
      <c r="J255">
        <f>Master_Data!J255</f>
        <v>0.16</v>
      </c>
      <c r="K255">
        <f>Master_Data!K255</f>
        <v>0.18179999999999999</v>
      </c>
      <c r="L255">
        <f>Master_Data!L255</f>
        <v>0.93</v>
      </c>
      <c r="M255">
        <f>Master_Data!M255</f>
        <v>0.1045</v>
      </c>
      <c r="N255">
        <f>Master_Data!N255</f>
        <v>1</v>
      </c>
      <c r="O255">
        <f>Master_Data!O255</f>
        <v>28</v>
      </c>
      <c r="P255">
        <f>Master_Data!P255</f>
        <v>29</v>
      </c>
      <c r="Q255" t="str">
        <f t="shared" si="18"/>
        <v>2011</v>
      </c>
      <c r="R255" t="str">
        <f t="shared" si="19"/>
        <v>January</v>
      </c>
      <c r="S255" t="str">
        <f t="shared" si="20"/>
        <v>Weekday</v>
      </c>
      <c r="T255" t="str">
        <f t="shared" si="21"/>
        <v>Night</v>
      </c>
      <c r="U255" t="str">
        <f t="shared" si="22"/>
        <v>Spring</v>
      </c>
      <c r="V255" t="str">
        <f t="shared" si="23"/>
        <v>Light Rain/Snow</v>
      </c>
    </row>
    <row r="256" spans="1:22">
      <c r="A256">
        <f>Master_Data!A256</f>
        <v>255</v>
      </c>
      <c r="B256">
        <f>Master_Data!B256</f>
        <v>40554</v>
      </c>
      <c r="C256">
        <f>Master_Data!C256</f>
        <v>1</v>
      </c>
      <c r="D256">
        <f>Master_Data!D256</f>
        <v>0</v>
      </c>
      <c r="E256">
        <f>Master_Data!E256</f>
        <v>1</v>
      </c>
      <c r="F256">
        <f>Master_Data!F256</f>
        <v>23</v>
      </c>
      <c r="G256" t="b">
        <f>Master_Data!G256</f>
        <v>0</v>
      </c>
      <c r="H256">
        <f>Master_Data!H256</f>
        <v>2</v>
      </c>
      <c r="I256">
        <f>Master_Data!I256</f>
        <v>3</v>
      </c>
      <c r="J256">
        <f>Master_Data!J256</f>
        <v>0.16</v>
      </c>
      <c r="K256">
        <f>Master_Data!K256</f>
        <v>0.19700000000000001</v>
      </c>
      <c r="L256">
        <f>Master_Data!L256</f>
        <v>0.93</v>
      </c>
      <c r="M256">
        <f>Master_Data!M256</f>
        <v>8.9599999999999999E-2</v>
      </c>
      <c r="N256">
        <f>Master_Data!N256</f>
        <v>1</v>
      </c>
      <c r="O256">
        <f>Master_Data!O256</f>
        <v>18</v>
      </c>
      <c r="P256">
        <f>Master_Data!P256</f>
        <v>19</v>
      </c>
      <c r="Q256" t="str">
        <f t="shared" si="18"/>
        <v>2011</v>
      </c>
      <c r="R256" t="str">
        <f t="shared" si="19"/>
        <v>January</v>
      </c>
      <c r="S256" t="str">
        <f t="shared" si="20"/>
        <v>Weekday</v>
      </c>
      <c r="T256" t="str">
        <f t="shared" si="21"/>
        <v>Night</v>
      </c>
      <c r="U256" t="str">
        <f t="shared" si="22"/>
        <v>Spring</v>
      </c>
      <c r="V256" t="str">
        <f t="shared" si="23"/>
        <v>Light Rain/Snow</v>
      </c>
    </row>
    <row r="257" spans="1:22">
      <c r="A257">
        <f>Master_Data!A257</f>
        <v>256</v>
      </c>
      <c r="B257">
        <f>Master_Data!B257</f>
        <v>40555</v>
      </c>
      <c r="C257">
        <f>Master_Data!C257</f>
        <v>1</v>
      </c>
      <c r="D257">
        <f>Master_Data!D257</f>
        <v>0</v>
      </c>
      <c r="E257">
        <f>Master_Data!E257</f>
        <v>1</v>
      </c>
      <c r="F257">
        <f>Master_Data!F257</f>
        <v>0</v>
      </c>
      <c r="G257" t="b">
        <f>Master_Data!G257</f>
        <v>0</v>
      </c>
      <c r="H257">
        <f>Master_Data!H257</f>
        <v>3</v>
      </c>
      <c r="I257">
        <f>Master_Data!I257</f>
        <v>2</v>
      </c>
      <c r="J257">
        <f>Master_Data!J257</f>
        <v>0.16</v>
      </c>
      <c r="K257">
        <f>Master_Data!K257</f>
        <v>0.19700000000000001</v>
      </c>
      <c r="L257">
        <f>Master_Data!L257</f>
        <v>0.86</v>
      </c>
      <c r="M257">
        <f>Master_Data!M257</f>
        <v>8.9599999999999999E-2</v>
      </c>
      <c r="N257">
        <f>Master_Data!N257</f>
        <v>0</v>
      </c>
      <c r="O257">
        <f>Master_Data!O257</f>
        <v>7</v>
      </c>
      <c r="P257">
        <f>Master_Data!P257</f>
        <v>7</v>
      </c>
      <c r="Q257" t="str">
        <f t="shared" si="18"/>
        <v>2011</v>
      </c>
      <c r="R257" t="str">
        <f t="shared" si="19"/>
        <v>January</v>
      </c>
      <c r="S257" t="str">
        <f t="shared" si="20"/>
        <v>Weekday</v>
      </c>
      <c r="T257" t="str">
        <f t="shared" si="21"/>
        <v>Night</v>
      </c>
      <c r="U257" t="str">
        <f t="shared" si="22"/>
        <v>Spring</v>
      </c>
      <c r="V257" t="str">
        <f t="shared" si="23"/>
        <v>Mist/Cloudy</v>
      </c>
    </row>
    <row r="258" spans="1:22">
      <c r="A258">
        <f>Master_Data!A258</f>
        <v>257</v>
      </c>
      <c r="B258">
        <f>Master_Data!B258</f>
        <v>40555</v>
      </c>
      <c r="C258">
        <f>Master_Data!C258</f>
        <v>1</v>
      </c>
      <c r="D258">
        <f>Master_Data!D258</f>
        <v>0</v>
      </c>
      <c r="E258">
        <f>Master_Data!E258</f>
        <v>1</v>
      </c>
      <c r="F258">
        <f>Master_Data!F258</f>
        <v>1</v>
      </c>
      <c r="G258" t="b">
        <f>Master_Data!G258</f>
        <v>0</v>
      </c>
      <c r="H258">
        <f>Master_Data!H258</f>
        <v>3</v>
      </c>
      <c r="I258">
        <f>Master_Data!I258</f>
        <v>2</v>
      </c>
      <c r="J258">
        <f>Master_Data!J258</f>
        <v>0.16</v>
      </c>
      <c r="K258">
        <f>Master_Data!K258</f>
        <v>0.18179999999999999</v>
      </c>
      <c r="L258">
        <f>Master_Data!L258</f>
        <v>0.86</v>
      </c>
      <c r="M258">
        <f>Master_Data!M258</f>
        <v>0.1045</v>
      </c>
      <c r="N258">
        <f>Master_Data!N258</f>
        <v>0</v>
      </c>
      <c r="O258">
        <f>Master_Data!O258</f>
        <v>6</v>
      </c>
      <c r="P258">
        <f>Master_Data!P258</f>
        <v>6</v>
      </c>
      <c r="Q258" t="str">
        <f t="shared" ref="Q258:Q321" si="24">IF(D258=0,"2011","2012")</f>
        <v>2011</v>
      </c>
      <c r="R258" t="str">
        <f t="shared" ref="R258:R321" si="25">TEXT(B258,"mmmm")</f>
        <v>January</v>
      </c>
      <c r="S258" t="str">
        <f t="shared" ref="S258:S321" si="26">IF(G258=TRUE,"Holiday",IF(H258=0,"Sunday",IF(H258=6,"Saturday","Weekday")))</f>
        <v>Weekday</v>
      </c>
      <c r="T258" t="str">
        <f t="shared" ref="T258:T321" si="27">IF(F258&lt;6,"Night",IF(F258&lt;12,"Morning",IF(F258&lt;17,"Afternoon",IF(F258&lt;21,"Evening","Night"))))</f>
        <v>Night</v>
      </c>
      <c r="U258" t="str">
        <f t="shared" ref="U258:U321" si="28">CHOOSE(C258,"Spring","Summer","Fall","Winter")</f>
        <v>Spring</v>
      </c>
      <c r="V258" t="str">
        <f t="shared" ref="V258:V321" si="29">CHOOSE(I258,"Clear","Mist/Cloudy","Light Rain/Snow","Heavy Rain/Snow")</f>
        <v>Mist/Cloudy</v>
      </c>
    </row>
    <row r="259" spans="1:22">
      <c r="A259">
        <f>Master_Data!A259</f>
        <v>258</v>
      </c>
      <c r="B259">
        <f>Master_Data!B259</f>
        <v>40555</v>
      </c>
      <c r="C259">
        <f>Master_Data!C259</f>
        <v>1</v>
      </c>
      <c r="D259">
        <f>Master_Data!D259</f>
        <v>0</v>
      </c>
      <c r="E259">
        <f>Master_Data!E259</f>
        <v>1</v>
      </c>
      <c r="F259">
        <f>Master_Data!F259</f>
        <v>2</v>
      </c>
      <c r="G259" t="b">
        <f>Master_Data!G259</f>
        <v>0</v>
      </c>
      <c r="H259">
        <f>Master_Data!H259</f>
        <v>3</v>
      </c>
      <c r="I259">
        <f>Master_Data!I259</f>
        <v>1</v>
      </c>
      <c r="J259">
        <f>Master_Data!J259</f>
        <v>0.14000000000000001</v>
      </c>
      <c r="K259">
        <f>Master_Data!K259</f>
        <v>0.1515</v>
      </c>
      <c r="L259">
        <f>Master_Data!L259</f>
        <v>0.86</v>
      </c>
      <c r="M259">
        <f>Master_Data!M259</f>
        <v>0.1343</v>
      </c>
      <c r="N259">
        <f>Master_Data!N259</f>
        <v>0</v>
      </c>
      <c r="O259">
        <f>Master_Data!O259</f>
        <v>1</v>
      </c>
      <c r="P259">
        <f>Master_Data!P259</f>
        <v>1</v>
      </c>
      <c r="Q259" t="str">
        <f t="shared" si="24"/>
        <v>2011</v>
      </c>
      <c r="R259" t="str">
        <f t="shared" si="25"/>
        <v>January</v>
      </c>
      <c r="S259" t="str">
        <f t="shared" si="26"/>
        <v>Weekday</v>
      </c>
      <c r="T259" t="str">
        <f t="shared" si="27"/>
        <v>Night</v>
      </c>
      <c r="U259" t="str">
        <f t="shared" si="28"/>
        <v>Spring</v>
      </c>
      <c r="V259" t="str">
        <f t="shared" si="29"/>
        <v>Clear</v>
      </c>
    </row>
    <row r="260" spans="1:22">
      <c r="A260">
        <f>Master_Data!A260</f>
        <v>259</v>
      </c>
      <c r="B260">
        <f>Master_Data!B260</f>
        <v>40555</v>
      </c>
      <c r="C260">
        <f>Master_Data!C260</f>
        <v>1</v>
      </c>
      <c r="D260">
        <f>Master_Data!D260</f>
        <v>0</v>
      </c>
      <c r="E260">
        <f>Master_Data!E260</f>
        <v>1</v>
      </c>
      <c r="F260">
        <f>Master_Data!F260</f>
        <v>5</v>
      </c>
      <c r="G260" t="b">
        <f>Master_Data!G260</f>
        <v>0</v>
      </c>
      <c r="H260">
        <f>Master_Data!H260</f>
        <v>3</v>
      </c>
      <c r="I260">
        <f>Master_Data!I260</f>
        <v>1</v>
      </c>
      <c r="J260">
        <f>Master_Data!J260</f>
        <v>0.14000000000000001</v>
      </c>
      <c r="K260">
        <f>Master_Data!K260</f>
        <v>0.1515</v>
      </c>
      <c r="L260">
        <f>Master_Data!L260</f>
        <v>0.86</v>
      </c>
      <c r="M260">
        <f>Master_Data!M260</f>
        <v>0.16420000000000001</v>
      </c>
      <c r="N260">
        <f>Master_Data!N260</f>
        <v>0</v>
      </c>
      <c r="O260">
        <f>Master_Data!O260</f>
        <v>5</v>
      </c>
      <c r="P260">
        <f>Master_Data!P260</f>
        <v>5</v>
      </c>
      <c r="Q260" t="str">
        <f t="shared" si="24"/>
        <v>2011</v>
      </c>
      <c r="R260" t="str">
        <f t="shared" si="25"/>
        <v>January</v>
      </c>
      <c r="S260" t="str">
        <f t="shared" si="26"/>
        <v>Weekday</v>
      </c>
      <c r="T260" t="str">
        <f t="shared" si="27"/>
        <v>Night</v>
      </c>
      <c r="U260" t="str">
        <f t="shared" si="28"/>
        <v>Spring</v>
      </c>
      <c r="V260" t="str">
        <f t="shared" si="29"/>
        <v>Clear</v>
      </c>
    </row>
    <row r="261" spans="1:22">
      <c r="A261">
        <f>Master_Data!A261</f>
        <v>260</v>
      </c>
      <c r="B261">
        <f>Master_Data!B261</f>
        <v>40555</v>
      </c>
      <c r="C261">
        <f>Master_Data!C261</f>
        <v>1</v>
      </c>
      <c r="D261">
        <f>Master_Data!D261</f>
        <v>0</v>
      </c>
      <c r="E261">
        <f>Master_Data!E261</f>
        <v>1</v>
      </c>
      <c r="F261">
        <f>Master_Data!F261</f>
        <v>6</v>
      </c>
      <c r="G261" t="b">
        <f>Master_Data!G261</f>
        <v>0</v>
      </c>
      <c r="H261">
        <f>Master_Data!H261</f>
        <v>3</v>
      </c>
      <c r="I261">
        <f>Master_Data!I261</f>
        <v>1</v>
      </c>
      <c r="J261">
        <f>Master_Data!J261</f>
        <v>0.12</v>
      </c>
      <c r="K261">
        <f>Master_Data!K261</f>
        <v>0.1515</v>
      </c>
      <c r="L261">
        <f>Master_Data!L261</f>
        <v>0.93</v>
      </c>
      <c r="M261">
        <f>Master_Data!M261</f>
        <v>0.1343</v>
      </c>
      <c r="N261">
        <f>Master_Data!N261</f>
        <v>0</v>
      </c>
      <c r="O261">
        <f>Master_Data!O261</f>
        <v>16</v>
      </c>
      <c r="P261">
        <f>Master_Data!P261</f>
        <v>16</v>
      </c>
      <c r="Q261" t="str">
        <f t="shared" si="24"/>
        <v>2011</v>
      </c>
      <c r="R261" t="str">
        <f t="shared" si="25"/>
        <v>January</v>
      </c>
      <c r="S261" t="str">
        <f t="shared" si="26"/>
        <v>Weekday</v>
      </c>
      <c r="T261" t="str">
        <f t="shared" si="27"/>
        <v>Morning</v>
      </c>
      <c r="U261" t="str">
        <f t="shared" si="28"/>
        <v>Spring</v>
      </c>
      <c r="V261" t="str">
        <f t="shared" si="29"/>
        <v>Clear</v>
      </c>
    </row>
    <row r="262" spans="1:22">
      <c r="A262">
        <f>Master_Data!A262</f>
        <v>261</v>
      </c>
      <c r="B262">
        <f>Master_Data!B262</f>
        <v>40555</v>
      </c>
      <c r="C262">
        <f>Master_Data!C262</f>
        <v>1</v>
      </c>
      <c r="D262">
        <f>Master_Data!D262</f>
        <v>0</v>
      </c>
      <c r="E262">
        <f>Master_Data!E262</f>
        <v>1</v>
      </c>
      <c r="F262">
        <f>Master_Data!F262</f>
        <v>7</v>
      </c>
      <c r="G262" t="b">
        <f>Master_Data!G262</f>
        <v>0</v>
      </c>
      <c r="H262">
        <f>Master_Data!H262</f>
        <v>3</v>
      </c>
      <c r="I262">
        <f>Master_Data!I262</f>
        <v>1</v>
      </c>
      <c r="J262">
        <f>Master_Data!J262</f>
        <v>0.14000000000000001</v>
      </c>
      <c r="K262">
        <f>Master_Data!K262</f>
        <v>0.1515</v>
      </c>
      <c r="L262">
        <f>Master_Data!L262</f>
        <v>0.69</v>
      </c>
      <c r="M262">
        <f>Master_Data!M262</f>
        <v>0.1343</v>
      </c>
      <c r="N262">
        <f>Master_Data!N262</f>
        <v>0</v>
      </c>
      <c r="O262">
        <f>Master_Data!O262</f>
        <v>54</v>
      </c>
      <c r="P262">
        <f>Master_Data!P262</f>
        <v>54</v>
      </c>
      <c r="Q262" t="str">
        <f t="shared" si="24"/>
        <v>2011</v>
      </c>
      <c r="R262" t="str">
        <f t="shared" si="25"/>
        <v>January</v>
      </c>
      <c r="S262" t="str">
        <f t="shared" si="26"/>
        <v>Weekday</v>
      </c>
      <c r="T262" t="str">
        <f t="shared" si="27"/>
        <v>Morning</v>
      </c>
      <c r="U262" t="str">
        <f t="shared" si="28"/>
        <v>Spring</v>
      </c>
      <c r="V262" t="str">
        <f t="shared" si="29"/>
        <v>Clear</v>
      </c>
    </row>
    <row r="263" spans="1:22">
      <c r="A263">
        <f>Master_Data!A263</f>
        <v>262</v>
      </c>
      <c r="B263">
        <f>Master_Data!B263</f>
        <v>40555</v>
      </c>
      <c r="C263">
        <f>Master_Data!C263</f>
        <v>1</v>
      </c>
      <c r="D263">
        <f>Master_Data!D263</f>
        <v>0</v>
      </c>
      <c r="E263">
        <f>Master_Data!E263</f>
        <v>1</v>
      </c>
      <c r="F263">
        <f>Master_Data!F263</f>
        <v>8</v>
      </c>
      <c r="G263" t="b">
        <f>Master_Data!G263</f>
        <v>0</v>
      </c>
      <c r="H263">
        <f>Master_Data!H263</f>
        <v>3</v>
      </c>
      <c r="I263">
        <f>Master_Data!I263</f>
        <v>1</v>
      </c>
      <c r="J263">
        <f>Master_Data!J263</f>
        <v>0.16</v>
      </c>
      <c r="K263">
        <f>Master_Data!K263</f>
        <v>0.16669999999999999</v>
      </c>
      <c r="L263">
        <f>Master_Data!L263</f>
        <v>0.59</v>
      </c>
      <c r="M263">
        <f>Master_Data!M263</f>
        <v>0.16420000000000001</v>
      </c>
      <c r="N263">
        <f>Master_Data!N263</f>
        <v>3</v>
      </c>
      <c r="O263">
        <f>Master_Data!O263</f>
        <v>125</v>
      </c>
      <c r="P263">
        <f>Master_Data!P263</f>
        <v>128</v>
      </c>
      <c r="Q263" t="str">
        <f t="shared" si="24"/>
        <v>2011</v>
      </c>
      <c r="R263" t="str">
        <f t="shared" si="25"/>
        <v>January</v>
      </c>
      <c r="S263" t="str">
        <f t="shared" si="26"/>
        <v>Weekday</v>
      </c>
      <c r="T263" t="str">
        <f t="shared" si="27"/>
        <v>Morning</v>
      </c>
      <c r="U263" t="str">
        <f t="shared" si="28"/>
        <v>Spring</v>
      </c>
      <c r="V263" t="str">
        <f t="shared" si="29"/>
        <v>Clear</v>
      </c>
    </row>
    <row r="264" spans="1:22">
      <c r="A264">
        <f>Master_Data!A264</f>
        <v>263</v>
      </c>
      <c r="B264">
        <f>Master_Data!B264</f>
        <v>40555</v>
      </c>
      <c r="C264">
        <f>Master_Data!C264</f>
        <v>1</v>
      </c>
      <c r="D264">
        <f>Master_Data!D264</f>
        <v>0</v>
      </c>
      <c r="E264">
        <f>Master_Data!E264</f>
        <v>1</v>
      </c>
      <c r="F264">
        <f>Master_Data!F264</f>
        <v>9</v>
      </c>
      <c r="G264" t="b">
        <f>Master_Data!G264</f>
        <v>0</v>
      </c>
      <c r="H264">
        <f>Master_Data!H264</f>
        <v>3</v>
      </c>
      <c r="I264">
        <f>Master_Data!I264</f>
        <v>1</v>
      </c>
      <c r="J264">
        <f>Master_Data!J264</f>
        <v>0.16</v>
      </c>
      <c r="K264">
        <f>Master_Data!K264</f>
        <v>0.13639999999999999</v>
      </c>
      <c r="L264">
        <f>Master_Data!L264</f>
        <v>0.59</v>
      </c>
      <c r="M264">
        <f>Master_Data!M264</f>
        <v>0.32840000000000003</v>
      </c>
      <c r="N264">
        <f>Master_Data!N264</f>
        <v>3</v>
      </c>
      <c r="O264">
        <f>Master_Data!O264</f>
        <v>78</v>
      </c>
      <c r="P264">
        <f>Master_Data!P264</f>
        <v>81</v>
      </c>
      <c r="Q264" t="str">
        <f t="shared" si="24"/>
        <v>2011</v>
      </c>
      <c r="R264" t="str">
        <f t="shared" si="25"/>
        <v>January</v>
      </c>
      <c r="S264" t="str">
        <f t="shared" si="26"/>
        <v>Weekday</v>
      </c>
      <c r="T264" t="str">
        <f t="shared" si="27"/>
        <v>Morning</v>
      </c>
      <c r="U264" t="str">
        <f t="shared" si="28"/>
        <v>Spring</v>
      </c>
      <c r="V264" t="str">
        <f t="shared" si="29"/>
        <v>Clear</v>
      </c>
    </row>
    <row r="265" spans="1:22">
      <c r="A265">
        <f>Master_Data!A265</f>
        <v>264</v>
      </c>
      <c r="B265">
        <f>Master_Data!B265</f>
        <v>40555</v>
      </c>
      <c r="C265">
        <f>Master_Data!C265</f>
        <v>1</v>
      </c>
      <c r="D265">
        <f>Master_Data!D265</f>
        <v>0</v>
      </c>
      <c r="E265">
        <f>Master_Data!E265</f>
        <v>1</v>
      </c>
      <c r="F265">
        <f>Master_Data!F265</f>
        <v>10</v>
      </c>
      <c r="G265" t="b">
        <f>Master_Data!G265</f>
        <v>0</v>
      </c>
      <c r="H265">
        <f>Master_Data!H265</f>
        <v>3</v>
      </c>
      <c r="I265">
        <f>Master_Data!I265</f>
        <v>1</v>
      </c>
      <c r="J265">
        <f>Master_Data!J265</f>
        <v>0.18</v>
      </c>
      <c r="K265">
        <f>Master_Data!K265</f>
        <v>0.18179999999999999</v>
      </c>
      <c r="L265">
        <f>Master_Data!L265</f>
        <v>0.55000000000000004</v>
      </c>
      <c r="M265">
        <f>Master_Data!M265</f>
        <v>0.22389999999999999</v>
      </c>
      <c r="N265">
        <f>Master_Data!N265</f>
        <v>0</v>
      </c>
      <c r="O265">
        <f>Master_Data!O265</f>
        <v>39</v>
      </c>
      <c r="P265">
        <f>Master_Data!P265</f>
        <v>39</v>
      </c>
      <c r="Q265" t="str">
        <f t="shared" si="24"/>
        <v>2011</v>
      </c>
      <c r="R265" t="str">
        <f t="shared" si="25"/>
        <v>January</v>
      </c>
      <c r="S265" t="str">
        <f t="shared" si="26"/>
        <v>Weekday</v>
      </c>
      <c r="T265" t="str">
        <f t="shared" si="27"/>
        <v>Morning</v>
      </c>
      <c r="U265" t="str">
        <f t="shared" si="28"/>
        <v>Spring</v>
      </c>
      <c r="V265" t="str">
        <f t="shared" si="29"/>
        <v>Clear</v>
      </c>
    </row>
    <row r="266" spans="1:22">
      <c r="A266">
        <f>Master_Data!A266</f>
        <v>265</v>
      </c>
      <c r="B266">
        <f>Master_Data!B266</f>
        <v>40555</v>
      </c>
      <c r="C266">
        <f>Master_Data!C266</f>
        <v>1</v>
      </c>
      <c r="D266">
        <f>Master_Data!D266</f>
        <v>0</v>
      </c>
      <c r="E266">
        <f>Master_Data!E266</f>
        <v>1</v>
      </c>
      <c r="F266">
        <f>Master_Data!F266</f>
        <v>11</v>
      </c>
      <c r="G266" t="b">
        <f>Master_Data!G266</f>
        <v>0</v>
      </c>
      <c r="H266">
        <f>Master_Data!H266</f>
        <v>3</v>
      </c>
      <c r="I266">
        <f>Master_Data!I266</f>
        <v>1</v>
      </c>
      <c r="J266">
        <f>Master_Data!J266</f>
        <v>0.2</v>
      </c>
      <c r="K266">
        <f>Master_Data!K266</f>
        <v>0.18179999999999999</v>
      </c>
      <c r="L266">
        <f>Master_Data!L266</f>
        <v>0.51</v>
      </c>
      <c r="M266">
        <f>Master_Data!M266</f>
        <v>0.3881</v>
      </c>
      <c r="N266">
        <f>Master_Data!N266</f>
        <v>3</v>
      </c>
      <c r="O266">
        <f>Master_Data!O266</f>
        <v>32</v>
      </c>
      <c r="P266">
        <f>Master_Data!P266</f>
        <v>35</v>
      </c>
      <c r="Q266" t="str">
        <f t="shared" si="24"/>
        <v>2011</v>
      </c>
      <c r="R266" t="str">
        <f t="shared" si="25"/>
        <v>January</v>
      </c>
      <c r="S266" t="str">
        <f t="shared" si="26"/>
        <v>Weekday</v>
      </c>
      <c r="T266" t="str">
        <f t="shared" si="27"/>
        <v>Morning</v>
      </c>
      <c r="U266" t="str">
        <f t="shared" si="28"/>
        <v>Spring</v>
      </c>
      <c r="V266" t="str">
        <f t="shared" si="29"/>
        <v>Clear</v>
      </c>
    </row>
    <row r="267" spans="1:22">
      <c r="A267">
        <f>Master_Data!A267</f>
        <v>266</v>
      </c>
      <c r="B267">
        <f>Master_Data!B267</f>
        <v>40555</v>
      </c>
      <c r="C267">
        <f>Master_Data!C267</f>
        <v>1</v>
      </c>
      <c r="D267">
        <f>Master_Data!D267</f>
        <v>0</v>
      </c>
      <c r="E267">
        <f>Master_Data!E267</f>
        <v>1</v>
      </c>
      <c r="F267">
        <f>Master_Data!F267</f>
        <v>12</v>
      </c>
      <c r="G267" t="b">
        <f>Master_Data!G267</f>
        <v>0</v>
      </c>
      <c r="H267">
        <f>Master_Data!H267</f>
        <v>3</v>
      </c>
      <c r="I267">
        <f>Master_Data!I267</f>
        <v>1</v>
      </c>
      <c r="J267">
        <f>Master_Data!J267</f>
        <v>0.2</v>
      </c>
      <c r="K267">
        <f>Master_Data!K267</f>
        <v>0.1515</v>
      </c>
      <c r="L267">
        <f>Master_Data!L267</f>
        <v>0.47</v>
      </c>
      <c r="M267">
        <f>Master_Data!M267</f>
        <v>0.58209999999999995</v>
      </c>
      <c r="N267">
        <f>Master_Data!N267</f>
        <v>3</v>
      </c>
      <c r="O267">
        <f>Master_Data!O267</f>
        <v>52</v>
      </c>
      <c r="P267">
        <f>Master_Data!P267</f>
        <v>55</v>
      </c>
      <c r="Q267" t="str">
        <f t="shared" si="24"/>
        <v>2011</v>
      </c>
      <c r="R267" t="str">
        <f t="shared" si="25"/>
        <v>January</v>
      </c>
      <c r="S267" t="str">
        <f t="shared" si="26"/>
        <v>Weekday</v>
      </c>
      <c r="T267" t="str">
        <f t="shared" si="27"/>
        <v>Afternoon</v>
      </c>
      <c r="U267" t="str">
        <f t="shared" si="28"/>
        <v>Spring</v>
      </c>
      <c r="V267" t="str">
        <f t="shared" si="29"/>
        <v>Clear</v>
      </c>
    </row>
    <row r="268" spans="1:22">
      <c r="A268">
        <f>Master_Data!A268</f>
        <v>267</v>
      </c>
      <c r="B268">
        <f>Master_Data!B268</f>
        <v>40555</v>
      </c>
      <c r="C268">
        <f>Master_Data!C268</f>
        <v>1</v>
      </c>
      <c r="D268">
        <f>Master_Data!D268</f>
        <v>0</v>
      </c>
      <c r="E268">
        <f>Master_Data!E268</f>
        <v>1</v>
      </c>
      <c r="F268">
        <f>Master_Data!F268</f>
        <v>13</v>
      </c>
      <c r="G268" t="b">
        <f>Master_Data!G268</f>
        <v>0</v>
      </c>
      <c r="H268">
        <f>Master_Data!H268</f>
        <v>3</v>
      </c>
      <c r="I268">
        <f>Master_Data!I268</f>
        <v>1</v>
      </c>
      <c r="J268">
        <f>Master_Data!J268</f>
        <v>0.22</v>
      </c>
      <c r="K268">
        <f>Master_Data!K268</f>
        <v>0.19700000000000001</v>
      </c>
      <c r="L268">
        <f>Master_Data!L268</f>
        <v>0.44</v>
      </c>
      <c r="M268">
        <f>Master_Data!M268</f>
        <v>0.35820000000000002</v>
      </c>
      <c r="N268">
        <f>Master_Data!N268</f>
        <v>0</v>
      </c>
      <c r="O268">
        <f>Master_Data!O268</f>
        <v>49</v>
      </c>
      <c r="P268">
        <f>Master_Data!P268</f>
        <v>49</v>
      </c>
      <c r="Q268" t="str">
        <f t="shared" si="24"/>
        <v>2011</v>
      </c>
      <c r="R268" t="str">
        <f t="shared" si="25"/>
        <v>January</v>
      </c>
      <c r="S268" t="str">
        <f t="shared" si="26"/>
        <v>Weekday</v>
      </c>
      <c r="T268" t="str">
        <f t="shared" si="27"/>
        <v>Afternoon</v>
      </c>
      <c r="U268" t="str">
        <f t="shared" si="28"/>
        <v>Spring</v>
      </c>
      <c r="V268" t="str">
        <f t="shared" si="29"/>
        <v>Clear</v>
      </c>
    </row>
    <row r="269" spans="1:22">
      <c r="A269">
        <f>Master_Data!A269</f>
        <v>268</v>
      </c>
      <c r="B269">
        <f>Master_Data!B269</f>
        <v>40555</v>
      </c>
      <c r="C269">
        <f>Master_Data!C269</f>
        <v>1</v>
      </c>
      <c r="D269">
        <f>Master_Data!D269</f>
        <v>0</v>
      </c>
      <c r="E269">
        <f>Master_Data!E269</f>
        <v>1</v>
      </c>
      <c r="F269">
        <f>Master_Data!F269</f>
        <v>14</v>
      </c>
      <c r="G269" t="b">
        <f>Master_Data!G269</f>
        <v>0</v>
      </c>
      <c r="H269">
        <f>Master_Data!H269</f>
        <v>3</v>
      </c>
      <c r="I269">
        <f>Master_Data!I269</f>
        <v>1</v>
      </c>
      <c r="J269">
        <f>Master_Data!J269</f>
        <v>0.2</v>
      </c>
      <c r="K269">
        <f>Master_Data!K269</f>
        <v>0.18179999999999999</v>
      </c>
      <c r="L269">
        <f>Master_Data!L269</f>
        <v>0.47</v>
      </c>
      <c r="M269">
        <f>Master_Data!M269</f>
        <v>0.32840000000000003</v>
      </c>
      <c r="N269">
        <f>Master_Data!N269</f>
        <v>0</v>
      </c>
      <c r="O269">
        <f>Master_Data!O269</f>
        <v>44</v>
      </c>
      <c r="P269">
        <f>Master_Data!P269</f>
        <v>44</v>
      </c>
      <c r="Q269" t="str">
        <f t="shared" si="24"/>
        <v>2011</v>
      </c>
      <c r="R269" t="str">
        <f t="shared" si="25"/>
        <v>January</v>
      </c>
      <c r="S269" t="str">
        <f t="shared" si="26"/>
        <v>Weekday</v>
      </c>
      <c r="T269" t="str">
        <f t="shared" si="27"/>
        <v>Afternoon</v>
      </c>
      <c r="U269" t="str">
        <f t="shared" si="28"/>
        <v>Spring</v>
      </c>
      <c r="V269" t="str">
        <f t="shared" si="29"/>
        <v>Clear</v>
      </c>
    </row>
    <row r="270" spans="1:22">
      <c r="A270">
        <f>Master_Data!A270</f>
        <v>269</v>
      </c>
      <c r="B270">
        <f>Master_Data!B270</f>
        <v>40555</v>
      </c>
      <c r="C270">
        <f>Master_Data!C270</f>
        <v>1</v>
      </c>
      <c r="D270">
        <f>Master_Data!D270</f>
        <v>0</v>
      </c>
      <c r="E270">
        <f>Master_Data!E270</f>
        <v>1</v>
      </c>
      <c r="F270">
        <f>Master_Data!F270</f>
        <v>15</v>
      </c>
      <c r="G270" t="b">
        <f>Master_Data!G270</f>
        <v>0</v>
      </c>
      <c r="H270">
        <f>Master_Data!H270</f>
        <v>3</v>
      </c>
      <c r="I270">
        <f>Master_Data!I270</f>
        <v>1</v>
      </c>
      <c r="J270">
        <f>Master_Data!J270</f>
        <v>0.2</v>
      </c>
      <c r="K270">
        <f>Master_Data!K270</f>
        <v>0.16669999999999999</v>
      </c>
      <c r="L270">
        <f>Master_Data!L270</f>
        <v>0.47</v>
      </c>
      <c r="M270">
        <f>Master_Data!M270</f>
        <v>0.41789999999999999</v>
      </c>
      <c r="N270">
        <f>Master_Data!N270</f>
        <v>1</v>
      </c>
      <c r="O270">
        <f>Master_Data!O270</f>
        <v>48</v>
      </c>
      <c r="P270">
        <f>Master_Data!P270</f>
        <v>49</v>
      </c>
      <c r="Q270" t="str">
        <f t="shared" si="24"/>
        <v>2011</v>
      </c>
      <c r="R270" t="str">
        <f t="shared" si="25"/>
        <v>January</v>
      </c>
      <c r="S270" t="str">
        <f t="shared" si="26"/>
        <v>Weekday</v>
      </c>
      <c r="T270" t="str">
        <f t="shared" si="27"/>
        <v>Afternoon</v>
      </c>
      <c r="U270" t="str">
        <f t="shared" si="28"/>
        <v>Spring</v>
      </c>
      <c r="V270" t="str">
        <f t="shared" si="29"/>
        <v>Clear</v>
      </c>
    </row>
    <row r="271" spans="1:22">
      <c r="A271">
        <f>Master_Data!A271</f>
        <v>270</v>
      </c>
      <c r="B271">
        <f>Master_Data!B271</f>
        <v>40555</v>
      </c>
      <c r="C271">
        <f>Master_Data!C271</f>
        <v>1</v>
      </c>
      <c r="D271">
        <f>Master_Data!D271</f>
        <v>0</v>
      </c>
      <c r="E271">
        <f>Master_Data!E271</f>
        <v>1</v>
      </c>
      <c r="F271">
        <f>Master_Data!F271</f>
        <v>16</v>
      </c>
      <c r="G271" t="b">
        <f>Master_Data!G271</f>
        <v>0</v>
      </c>
      <c r="H271">
        <f>Master_Data!H271</f>
        <v>3</v>
      </c>
      <c r="I271">
        <f>Master_Data!I271</f>
        <v>1</v>
      </c>
      <c r="J271">
        <f>Master_Data!J271</f>
        <v>0.22</v>
      </c>
      <c r="K271">
        <f>Master_Data!K271</f>
        <v>0.19700000000000001</v>
      </c>
      <c r="L271">
        <f>Master_Data!L271</f>
        <v>0.44</v>
      </c>
      <c r="M271">
        <f>Master_Data!M271</f>
        <v>0.32840000000000003</v>
      </c>
      <c r="N271">
        <f>Master_Data!N271</f>
        <v>5</v>
      </c>
      <c r="O271">
        <f>Master_Data!O271</f>
        <v>63</v>
      </c>
      <c r="P271">
        <f>Master_Data!P271</f>
        <v>68</v>
      </c>
      <c r="Q271" t="str">
        <f t="shared" si="24"/>
        <v>2011</v>
      </c>
      <c r="R271" t="str">
        <f t="shared" si="25"/>
        <v>January</v>
      </c>
      <c r="S271" t="str">
        <f t="shared" si="26"/>
        <v>Weekday</v>
      </c>
      <c r="T271" t="str">
        <f t="shared" si="27"/>
        <v>Afternoon</v>
      </c>
      <c r="U271" t="str">
        <f t="shared" si="28"/>
        <v>Spring</v>
      </c>
      <c r="V271" t="str">
        <f t="shared" si="29"/>
        <v>Clear</v>
      </c>
    </row>
    <row r="272" spans="1:22">
      <c r="A272">
        <f>Master_Data!A272</f>
        <v>271</v>
      </c>
      <c r="B272">
        <f>Master_Data!B272</f>
        <v>40555</v>
      </c>
      <c r="C272">
        <f>Master_Data!C272</f>
        <v>1</v>
      </c>
      <c r="D272">
        <f>Master_Data!D272</f>
        <v>0</v>
      </c>
      <c r="E272">
        <f>Master_Data!E272</f>
        <v>1</v>
      </c>
      <c r="F272">
        <f>Master_Data!F272</f>
        <v>17</v>
      </c>
      <c r="G272" t="b">
        <f>Master_Data!G272</f>
        <v>0</v>
      </c>
      <c r="H272">
        <f>Master_Data!H272</f>
        <v>3</v>
      </c>
      <c r="I272">
        <f>Master_Data!I272</f>
        <v>1</v>
      </c>
      <c r="J272">
        <f>Master_Data!J272</f>
        <v>0.2</v>
      </c>
      <c r="K272">
        <f>Master_Data!K272</f>
        <v>0.18179999999999999</v>
      </c>
      <c r="L272">
        <f>Master_Data!L272</f>
        <v>0.47</v>
      </c>
      <c r="M272">
        <f>Master_Data!M272</f>
        <v>0.35820000000000002</v>
      </c>
      <c r="N272">
        <f>Master_Data!N272</f>
        <v>0</v>
      </c>
      <c r="O272">
        <f>Master_Data!O272</f>
        <v>139</v>
      </c>
      <c r="P272">
        <f>Master_Data!P272</f>
        <v>139</v>
      </c>
      <c r="Q272" t="str">
        <f t="shared" si="24"/>
        <v>2011</v>
      </c>
      <c r="R272" t="str">
        <f t="shared" si="25"/>
        <v>January</v>
      </c>
      <c r="S272" t="str">
        <f t="shared" si="26"/>
        <v>Weekday</v>
      </c>
      <c r="T272" t="str">
        <f t="shared" si="27"/>
        <v>Evening</v>
      </c>
      <c r="U272" t="str">
        <f t="shared" si="28"/>
        <v>Spring</v>
      </c>
      <c r="V272" t="str">
        <f t="shared" si="29"/>
        <v>Clear</v>
      </c>
    </row>
    <row r="273" spans="1:22">
      <c r="A273">
        <f>Master_Data!A273</f>
        <v>272</v>
      </c>
      <c r="B273">
        <f>Master_Data!B273</f>
        <v>40555</v>
      </c>
      <c r="C273">
        <f>Master_Data!C273</f>
        <v>1</v>
      </c>
      <c r="D273">
        <f>Master_Data!D273</f>
        <v>0</v>
      </c>
      <c r="E273">
        <f>Master_Data!E273</f>
        <v>1</v>
      </c>
      <c r="F273">
        <f>Master_Data!F273</f>
        <v>18</v>
      </c>
      <c r="G273" t="b">
        <f>Master_Data!G273</f>
        <v>0</v>
      </c>
      <c r="H273">
        <f>Master_Data!H273</f>
        <v>3</v>
      </c>
      <c r="I273">
        <f>Master_Data!I273</f>
        <v>1</v>
      </c>
      <c r="J273">
        <f>Master_Data!J273</f>
        <v>0.2</v>
      </c>
      <c r="K273">
        <f>Master_Data!K273</f>
        <v>0.1515</v>
      </c>
      <c r="L273">
        <f>Master_Data!L273</f>
        <v>0.47</v>
      </c>
      <c r="M273">
        <f>Master_Data!M273</f>
        <v>0.52239999999999998</v>
      </c>
      <c r="N273">
        <f>Master_Data!N273</f>
        <v>2</v>
      </c>
      <c r="O273">
        <f>Master_Data!O273</f>
        <v>135</v>
      </c>
      <c r="P273">
        <f>Master_Data!P273</f>
        <v>137</v>
      </c>
      <c r="Q273" t="str">
        <f t="shared" si="24"/>
        <v>2011</v>
      </c>
      <c r="R273" t="str">
        <f t="shared" si="25"/>
        <v>January</v>
      </c>
      <c r="S273" t="str">
        <f t="shared" si="26"/>
        <v>Weekday</v>
      </c>
      <c r="T273" t="str">
        <f t="shared" si="27"/>
        <v>Evening</v>
      </c>
      <c r="U273" t="str">
        <f t="shared" si="28"/>
        <v>Spring</v>
      </c>
      <c r="V273" t="str">
        <f t="shared" si="29"/>
        <v>Clear</v>
      </c>
    </row>
    <row r="274" spans="1:22">
      <c r="A274">
        <f>Master_Data!A274</f>
        <v>273</v>
      </c>
      <c r="B274">
        <f>Master_Data!B274</f>
        <v>40555</v>
      </c>
      <c r="C274">
        <f>Master_Data!C274</f>
        <v>1</v>
      </c>
      <c r="D274">
        <f>Master_Data!D274</f>
        <v>0</v>
      </c>
      <c r="E274">
        <f>Master_Data!E274</f>
        <v>1</v>
      </c>
      <c r="F274">
        <f>Master_Data!F274</f>
        <v>19</v>
      </c>
      <c r="G274" t="b">
        <f>Master_Data!G274</f>
        <v>0</v>
      </c>
      <c r="H274">
        <f>Master_Data!H274</f>
        <v>3</v>
      </c>
      <c r="I274">
        <f>Master_Data!I274</f>
        <v>1</v>
      </c>
      <c r="J274">
        <f>Master_Data!J274</f>
        <v>0.18</v>
      </c>
      <c r="K274">
        <f>Master_Data!K274</f>
        <v>0.1515</v>
      </c>
      <c r="L274">
        <f>Master_Data!L274</f>
        <v>0.47</v>
      </c>
      <c r="M274">
        <f>Master_Data!M274</f>
        <v>0.41789999999999999</v>
      </c>
      <c r="N274">
        <f>Master_Data!N274</f>
        <v>1</v>
      </c>
      <c r="O274">
        <f>Master_Data!O274</f>
        <v>82</v>
      </c>
      <c r="P274">
        <f>Master_Data!P274</f>
        <v>83</v>
      </c>
      <c r="Q274" t="str">
        <f t="shared" si="24"/>
        <v>2011</v>
      </c>
      <c r="R274" t="str">
        <f t="shared" si="25"/>
        <v>January</v>
      </c>
      <c r="S274" t="str">
        <f t="shared" si="26"/>
        <v>Weekday</v>
      </c>
      <c r="T274" t="str">
        <f t="shared" si="27"/>
        <v>Evening</v>
      </c>
      <c r="U274" t="str">
        <f t="shared" si="28"/>
        <v>Spring</v>
      </c>
      <c r="V274" t="str">
        <f t="shared" si="29"/>
        <v>Clear</v>
      </c>
    </row>
    <row r="275" spans="1:22">
      <c r="A275">
        <f>Master_Data!A275</f>
        <v>274</v>
      </c>
      <c r="B275">
        <f>Master_Data!B275</f>
        <v>40555</v>
      </c>
      <c r="C275">
        <f>Master_Data!C275</f>
        <v>1</v>
      </c>
      <c r="D275">
        <f>Master_Data!D275</f>
        <v>0</v>
      </c>
      <c r="E275">
        <f>Master_Data!E275</f>
        <v>1</v>
      </c>
      <c r="F275">
        <f>Master_Data!F275</f>
        <v>20</v>
      </c>
      <c r="G275" t="b">
        <f>Master_Data!G275</f>
        <v>0</v>
      </c>
      <c r="H275">
        <f>Master_Data!H275</f>
        <v>3</v>
      </c>
      <c r="I275">
        <f>Master_Data!I275</f>
        <v>1</v>
      </c>
      <c r="J275">
        <f>Master_Data!J275</f>
        <v>0.16</v>
      </c>
      <c r="K275">
        <f>Master_Data!K275</f>
        <v>0.13639999999999999</v>
      </c>
      <c r="L275">
        <f>Master_Data!L275</f>
        <v>0.5</v>
      </c>
      <c r="M275">
        <f>Master_Data!M275</f>
        <v>0.32840000000000003</v>
      </c>
      <c r="N275">
        <f>Master_Data!N275</f>
        <v>2</v>
      </c>
      <c r="O275">
        <f>Master_Data!O275</f>
        <v>54</v>
      </c>
      <c r="P275">
        <f>Master_Data!P275</f>
        <v>56</v>
      </c>
      <c r="Q275" t="str">
        <f t="shared" si="24"/>
        <v>2011</v>
      </c>
      <c r="R275" t="str">
        <f t="shared" si="25"/>
        <v>January</v>
      </c>
      <c r="S275" t="str">
        <f t="shared" si="26"/>
        <v>Weekday</v>
      </c>
      <c r="T275" t="str">
        <f t="shared" si="27"/>
        <v>Evening</v>
      </c>
      <c r="U275" t="str">
        <f t="shared" si="28"/>
        <v>Spring</v>
      </c>
      <c r="V275" t="str">
        <f t="shared" si="29"/>
        <v>Clear</v>
      </c>
    </row>
    <row r="276" spans="1:22">
      <c r="A276">
        <f>Master_Data!A276</f>
        <v>275</v>
      </c>
      <c r="B276">
        <f>Master_Data!B276</f>
        <v>40555</v>
      </c>
      <c r="C276">
        <f>Master_Data!C276</f>
        <v>1</v>
      </c>
      <c r="D276">
        <f>Master_Data!D276</f>
        <v>0</v>
      </c>
      <c r="E276">
        <f>Master_Data!E276</f>
        <v>1</v>
      </c>
      <c r="F276">
        <f>Master_Data!F276</f>
        <v>21</v>
      </c>
      <c r="G276" t="b">
        <f>Master_Data!G276</f>
        <v>0</v>
      </c>
      <c r="H276">
        <f>Master_Data!H276</f>
        <v>3</v>
      </c>
      <c r="I276">
        <f>Master_Data!I276</f>
        <v>1</v>
      </c>
      <c r="J276">
        <f>Master_Data!J276</f>
        <v>0.16</v>
      </c>
      <c r="K276">
        <f>Master_Data!K276</f>
        <v>0.13639999999999999</v>
      </c>
      <c r="L276">
        <f>Master_Data!L276</f>
        <v>0.55000000000000004</v>
      </c>
      <c r="M276">
        <f>Master_Data!M276</f>
        <v>0.32840000000000003</v>
      </c>
      <c r="N276">
        <f>Master_Data!N276</f>
        <v>0</v>
      </c>
      <c r="O276">
        <f>Master_Data!O276</f>
        <v>57</v>
      </c>
      <c r="P276">
        <f>Master_Data!P276</f>
        <v>57</v>
      </c>
      <c r="Q276" t="str">
        <f t="shared" si="24"/>
        <v>2011</v>
      </c>
      <c r="R276" t="str">
        <f t="shared" si="25"/>
        <v>January</v>
      </c>
      <c r="S276" t="str">
        <f t="shared" si="26"/>
        <v>Weekday</v>
      </c>
      <c r="T276" t="str">
        <f t="shared" si="27"/>
        <v>Night</v>
      </c>
      <c r="U276" t="str">
        <f t="shared" si="28"/>
        <v>Spring</v>
      </c>
      <c r="V276" t="str">
        <f t="shared" si="29"/>
        <v>Clear</v>
      </c>
    </row>
    <row r="277" spans="1:22">
      <c r="A277">
        <f>Master_Data!A277</f>
        <v>276</v>
      </c>
      <c r="B277">
        <f>Master_Data!B277</f>
        <v>40555</v>
      </c>
      <c r="C277">
        <f>Master_Data!C277</f>
        <v>1</v>
      </c>
      <c r="D277">
        <f>Master_Data!D277</f>
        <v>0</v>
      </c>
      <c r="E277">
        <f>Master_Data!E277</f>
        <v>1</v>
      </c>
      <c r="F277">
        <f>Master_Data!F277</f>
        <v>22</v>
      </c>
      <c r="G277" t="b">
        <f>Master_Data!G277</f>
        <v>0</v>
      </c>
      <c r="H277">
        <f>Master_Data!H277</f>
        <v>3</v>
      </c>
      <c r="I277">
        <f>Master_Data!I277</f>
        <v>1</v>
      </c>
      <c r="J277">
        <f>Master_Data!J277</f>
        <v>0.16</v>
      </c>
      <c r="K277">
        <f>Master_Data!K277</f>
        <v>0.1212</v>
      </c>
      <c r="L277">
        <f>Master_Data!L277</f>
        <v>0.55000000000000004</v>
      </c>
      <c r="M277">
        <f>Master_Data!M277</f>
        <v>0.44779999999999998</v>
      </c>
      <c r="N277">
        <f>Master_Data!N277</f>
        <v>1</v>
      </c>
      <c r="O277">
        <f>Master_Data!O277</f>
        <v>32</v>
      </c>
      <c r="P277">
        <f>Master_Data!P277</f>
        <v>33</v>
      </c>
      <c r="Q277" t="str">
        <f t="shared" si="24"/>
        <v>2011</v>
      </c>
      <c r="R277" t="str">
        <f t="shared" si="25"/>
        <v>January</v>
      </c>
      <c r="S277" t="str">
        <f t="shared" si="26"/>
        <v>Weekday</v>
      </c>
      <c r="T277" t="str">
        <f t="shared" si="27"/>
        <v>Night</v>
      </c>
      <c r="U277" t="str">
        <f t="shared" si="28"/>
        <v>Spring</v>
      </c>
      <c r="V277" t="str">
        <f t="shared" si="29"/>
        <v>Clear</v>
      </c>
    </row>
    <row r="278" spans="1:22">
      <c r="A278">
        <f>Master_Data!A278</f>
        <v>277</v>
      </c>
      <c r="B278">
        <f>Master_Data!B278</f>
        <v>40555</v>
      </c>
      <c r="C278">
        <f>Master_Data!C278</f>
        <v>1</v>
      </c>
      <c r="D278">
        <f>Master_Data!D278</f>
        <v>0</v>
      </c>
      <c r="E278">
        <f>Master_Data!E278</f>
        <v>1</v>
      </c>
      <c r="F278">
        <f>Master_Data!F278</f>
        <v>23</v>
      </c>
      <c r="G278" t="b">
        <f>Master_Data!G278</f>
        <v>0</v>
      </c>
      <c r="H278">
        <f>Master_Data!H278</f>
        <v>3</v>
      </c>
      <c r="I278">
        <f>Master_Data!I278</f>
        <v>1</v>
      </c>
      <c r="J278">
        <f>Master_Data!J278</f>
        <v>0.14000000000000001</v>
      </c>
      <c r="K278">
        <f>Master_Data!K278</f>
        <v>0.1061</v>
      </c>
      <c r="L278">
        <f>Master_Data!L278</f>
        <v>0.59</v>
      </c>
      <c r="M278">
        <f>Master_Data!M278</f>
        <v>0.41789999999999999</v>
      </c>
      <c r="N278">
        <f>Master_Data!N278</f>
        <v>1</v>
      </c>
      <c r="O278">
        <f>Master_Data!O278</f>
        <v>19</v>
      </c>
      <c r="P278">
        <f>Master_Data!P278</f>
        <v>20</v>
      </c>
      <c r="Q278" t="str">
        <f t="shared" si="24"/>
        <v>2011</v>
      </c>
      <c r="R278" t="str">
        <f t="shared" si="25"/>
        <v>January</v>
      </c>
      <c r="S278" t="str">
        <f t="shared" si="26"/>
        <v>Weekday</v>
      </c>
      <c r="T278" t="str">
        <f t="shared" si="27"/>
        <v>Night</v>
      </c>
      <c r="U278" t="str">
        <f t="shared" si="28"/>
        <v>Spring</v>
      </c>
      <c r="V278" t="str">
        <f t="shared" si="29"/>
        <v>Clear</v>
      </c>
    </row>
    <row r="279" spans="1:22">
      <c r="A279">
        <f>Master_Data!A279</f>
        <v>278</v>
      </c>
      <c r="B279">
        <f>Master_Data!B279</f>
        <v>40556</v>
      </c>
      <c r="C279">
        <f>Master_Data!C279</f>
        <v>1</v>
      </c>
      <c r="D279">
        <f>Master_Data!D279</f>
        <v>0</v>
      </c>
      <c r="E279">
        <f>Master_Data!E279</f>
        <v>1</v>
      </c>
      <c r="F279">
        <f>Master_Data!F279</f>
        <v>0</v>
      </c>
      <c r="G279" t="b">
        <f>Master_Data!G279</f>
        <v>0</v>
      </c>
      <c r="H279">
        <f>Master_Data!H279</f>
        <v>4</v>
      </c>
      <c r="I279">
        <f>Master_Data!I279</f>
        <v>1</v>
      </c>
      <c r="J279">
        <f>Master_Data!J279</f>
        <v>0.14000000000000001</v>
      </c>
      <c r="K279">
        <f>Master_Data!K279</f>
        <v>0.1212</v>
      </c>
      <c r="L279">
        <f>Master_Data!L279</f>
        <v>0.59</v>
      </c>
      <c r="M279">
        <f>Master_Data!M279</f>
        <v>0.28360000000000002</v>
      </c>
      <c r="N279">
        <f>Master_Data!N279</f>
        <v>1</v>
      </c>
      <c r="O279">
        <f>Master_Data!O279</f>
        <v>6</v>
      </c>
      <c r="P279">
        <f>Master_Data!P279</f>
        <v>7</v>
      </c>
      <c r="Q279" t="str">
        <f t="shared" si="24"/>
        <v>2011</v>
      </c>
      <c r="R279" t="str">
        <f t="shared" si="25"/>
        <v>January</v>
      </c>
      <c r="S279" t="str">
        <f t="shared" si="26"/>
        <v>Weekday</v>
      </c>
      <c r="T279" t="str">
        <f t="shared" si="27"/>
        <v>Night</v>
      </c>
      <c r="U279" t="str">
        <f t="shared" si="28"/>
        <v>Spring</v>
      </c>
      <c r="V279" t="str">
        <f t="shared" si="29"/>
        <v>Clear</v>
      </c>
    </row>
    <row r="280" spans="1:22">
      <c r="A280">
        <f>Master_Data!A280</f>
        <v>279</v>
      </c>
      <c r="B280">
        <f>Master_Data!B280</f>
        <v>40556</v>
      </c>
      <c r="C280">
        <f>Master_Data!C280</f>
        <v>1</v>
      </c>
      <c r="D280">
        <f>Master_Data!D280</f>
        <v>0</v>
      </c>
      <c r="E280">
        <f>Master_Data!E280</f>
        <v>1</v>
      </c>
      <c r="F280">
        <f>Master_Data!F280</f>
        <v>1</v>
      </c>
      <c r="G280" t="b">
        <f>Master_Data!G280</f>
        <v>0</v>
      </c>
      <c r="H280">
        <f>Master_Data!H280</f>
        <v>4</v>
      </c>
      <c r="I280">
        <f>Master_Data!I280</f>
        <v>1</v>
      </c>
      <c r="J280">
        <f>Master_Data!J280</f>
        <v>0.14000000000000001</v>
      </c>
      <c r="K280">
        <f>Master_Data!K280</f>
        <v>0.1212</v>
      </c>
      <c r="L280">
        <f>Master_Data!L280</f>
        <v>0.5</v>
      </c>
      <c r="M280">
        <f>Master_Data!M280</f>
        <v>0.28360000000000002</v>
      </c>
      <c r="N280">
        <f>Master_Data!N280</f>
        <v>0</v>
      </c>
      <c r="O280">
        <f>Master_Data!O280</f>
        <v>2</v>
      </c>
      <c r="P280">
        <f>Master_Data!P280</f>
        <v>2</v>
      </c>
      <c r="Q280" t="str">
        <f t="shared" si="24"/>
        <v>2011</v>
      </c>
      <c r="R280" t="str">
        <f t="shared" si="25"/>
        <v>January</v>
      </c>
      <c r="S280" t="str">
        <f t="shared" si="26"/>
        <v>Weekday</v>
      </c>
      <c r="T280" t="str">
        <f t="shared" si="27"/>
        <v>Night</v>
      </c>
      <c r="U280" t="str">
        <f t="shared" si="28"/>
        <v>Spring</v>
      </c>
      <c r="V280" t="str">
        <f t="shared" si="29"/>
        <v>Clear</v>
      </c>
    </row>
    <row r="281" spans="1:22">
      <c r="A281">
        <f>Master_Data!A281</f>
        <v>280</v>
      </c>
      <c r="B281">
        <f>Master_Data!B281</f>
        <v>40556</v>
      </c>
      <c r="C281">
        <f>Master_Data!C281</f>
        <v>1</v>
      </c>
      <c r="D281">
        <f>Master_Data!D281</f>
        <v>0</v>
      </c>
      <c r="E281">
        <f>Master_Data!E281</f>
        <v>1</v>
      </c>
      <c r="F281">
        <f>Master_Data!F281</f>
        <v>2</v>
      </c>
      <c r="G281" t="b">
        <f>Master_Data!G281</f>
        <v>0</v>
      </c>
      <c r="H281">
        <f>Master_Data!H281</f>
        <v>4</v>
      </c>
      <c r="I281">
        <f>Master_Data!I281</f>
        <v>1</v>
      </c>
      <c r="J281">
        <f>Master_Data!J281</f>
        <v>0.14000000000000001</v>
      </c>
      <c r="K281">
        <f>Master_Data!K281</f>
        <v>0.1212</v>
      </c>
      <c r="L281">
        <f>Master_Data!L281</f>
        <v>0.5</v>
      </c>
      <c r="M281">
        <f>Master_Data!M281</f>
        <v>0.35820000000000002</v>
      </c>
      <c r="N281">
        <f>Master_Data!N281</f>
        <v>0</v>
      </c>
      <c r="O281">
        <f>Master_Data!O281</f>
        <v>2</v>
      </c>
      <c r="P281">
        <f>Master_Data!P281</f>
        <v>2</v>
      </c>
      <c r="Q281" t="str">
        <f t="shared" si="24"/>
        <v>2011</v>
      </c>
      <c r="R281" t="str">
        <f t="shared" si="25"/>
        <v>January</v>
      </c>
      <c r="S281" t="str">
        <f t="shared" si="26"/>
        <v>Weekday</v>
      </c>
      <c r="T281" t="str">
        <f t="shared" si="27"/>
        <v>Night</v>
      </c>
      <c r="U281" t="str">
        <f t="shared" si="28"/>
        <v>Spring</v>
      </c>
      <c r="V281" t="str">
        <f t="shared" si="29"/>
        <v>Clear</v>
      </c>
    </row>
    <row r="282" spans="1:22">
      <c r="A282">
        <f>Master_Data!A282</f>
        <v>281</v>
      </c>
      <c r="B282">
        <f>Master_Data!B282</f>
        <v>40556</v>
      </c>
      <c r="C282">
        <f>Master_Data!C282</f>
        <v>1</v>
      </c>
      <c r="D282">
        <f>Master_Data!D282</f>
        <v>0</v>
      </c>
      <c r="E282">
        <f>Master_Data!E282</f>
        <v>1</v>
      </c>
      <c r="F282">
        <f>Master_Data!F282</f>
        <v>3</v>
      </c>
      <c r="G282" t="b">
        <f>Master_Data!G282</f>
        <v>0</v>
      </c>
      <c r="H282">
        <f>Master_Data!H282</f>
        <v>4</v>
      </c>
      <c r="I282">
        <f>Master_Data!I282</f>
        <v>1</v>
      </c>
      <c r="J282">
        <f>Master_Data!J282</f>
        <v>0.14000000000000001</v>
      </c>
      <c r="K282">
        <f>Master_Data!K282</f>
        <v>0.1212</v>
      </c>
      <c r="L282">
        <f>Master_Data!L282</f>
        <v>0.5</v>
      </c>
      <c r="M282">
        <f>Master_Data!M282</f>
        <v>0.32840000000000003</v>
      </c>
      <c r="N282">
        <f>Master_Data!N282</f>
        <v>0</v>
      </c>
      <c r="O282">
        <f>Master_Data!O282</f>
        <v>3</v>
      </c>
      <c r="P282">
        <f>Master_Data!P282</f>
        <v>3</v>
      </c>
      <c r="Q282" t="str">
        <f t="shared" si="24"/>
        <v>2011</v>
      </c>
      <c r="R282" t="str">
        <f t="shared" si="25"/>
        <v>January</v>
      </c>
      <c r="S282" t="str">
        <f t="shared" si="26"/>
        <v>Weekday</v>
      </c>
      <c r="T282" t="str">
        <f t="shared" si="27"/>
        <v>Night</v>
      </c>
      <c r="U282" t="str">
        <f t="shared" si="28"/>
        <v>Spring</v>
      </c>
      <c r="V282" t="str">
        <f t="shared" si="29"/>
        <v>Clear</v>
      </c>
    </row>
    <row r="283" spans="1:22">
      <c r="A283">
        <f>Master_Data!A283</f>
        <v>282</v>
      </c>
      <c r="B283">
        <f>Master_Data!B283</f>
        <v>40556</v>
      </c>
      <c r="C283">
        <f>Master_Data!C283</f>
        <v>1</v>
      </c>
      <c r="D283">
        <f>Master_Data!D283</f>
        <v>0</v>
      </c>
      <c r="E283">
        <f>Master_Data!E283</f>
        <v>1</v>
      </c>
      <c r="F283">
        <f>Master_Data!F283</f>
        <v>4</v>
      </c>
      <c r="G283" t="b">
        <f>Master_Data!G283</f>
        <v>0</v>
      </c>
      <c r="H283">
        <f>Master_Data!H283</f>
        <v>4</v>
      </c>
      <c r="I283">
        <f>Master_Data!I283</f>
        <v>1</v>
      </c>
      <c r="J283">
        <f>Master_Data!J283</f>
        <v>0.14000000000000001</v>
      </c>
      <c r="K283">
        <f>Master_Data!K283</f>
        <v>0.1212</v>
      </c>
      <c r="L283">
        <f>Master_Data!L283</f>
        <v>0.5</v>
      </c>
      <c r="M283">
        <f>Master_Data!M283</f>
        <v>0.25369999999999998</v>
      </c>
      <c r="N283">
        <f>Master_Data!N283</f>
        <v>0</v>
      </c>
      <c r="O283">
        <f>Master_Data!O283</f>
        <v>4</v>
      </c>
      <c r="P283">
        <f>Master_Data!P283</f>
        <v>4</v>
      </c>
      <c r="Q283" t="str">
        <f t="shared" si="24"/>
        <v>2011</v>
      </c>
      <c r="R283" t="str">
        <f t="shared" si="25"/>
        <v>January</v>
      </c>
      <c r="S283" t="str">
        <f t="shared" si="26"/>
        <v>Weekday</v>
      </c>
      <c r="T283" t="str">
        <f t="shared" si="27"/>
        <v>Night</v>
      </c>
      <c r="U283" t="str">
        <f t="shared" si="28"/>
        <v>Spring</v>
      </c>
      <c r="V283" t="str">
        <f t="shared" si="29"/>
        <v>Clear</v>
      </c>
    </row>
    <row r="284" spans="1:22">
      <c r="A284">
        <f>Master_Data!A284</f>
        <v>283</v>
      </c>
      <c r="B284">
        <f>Master_Data!B284</f>
        <v>40556</v>
      </c>
      <c r="C284">
        <f>Master_Data!C284</f>
        <v>1</v>
      </c>
      <c r="D284">
        <f>Master_Data!D284</f>
        <v>0</v>
      </c>
      <c r="E284">
        <f>Master_Data!E284</f>
        <v>1</v>
      </c>
      <c r="F284">
        <f>Master_Data!F284</f>
        <v>5</v>
      </c>
      <c r="G284" t="b">
        <f>Master_Data!G284</f>
        <v>0</v>
      </c>
      <c r="H284">
        <f>Master_Data!H284</f>
        <v>4</v>
      </c>
      <c r="I284">
        <f>Master_Data!I284</f>
        <v>1</v>
      </c>
      <c r="J284">
        <f>Master_Data!J284</f>
        <v>0.14000000000000001</v>
      </c>
      <c r="K284">
        <f>Master_Data!K284</f>
        <v>0.1212</v>
      </c>
      <c r="L284">
        <f>Master_Data!L284</f>
        <v>0.5</v>
      </c>
      <c r="M284">
        <f>Master_Data!M284</f>
        <v>0.29849999999999999</v>
      </c>
      <c r="N284">
        <f>Master_Data!N284</f>
        <v>0</v>
      </c>
      <c r="O284">
        <f>Master_Data!O284</f>
        <v>3</v>
      </c>
      <c r="P284">
        <f>Master_Data!P284</f>
        <v>3</v>
      </c>
      <c r="Q284" t="str">
        <f t="shared" si="24"/>
        <v>2011</v>
      </c>
      <c r="R284" t="str">
        <f t="shared" si="25"/>
        <v>January</v>
      </c>
      <c r="S284" t="str">
        <f t="shared" si="26"/>
        <v>Weekday</v>
      </c>
      <c r="T284" t="str">
        <f t="shared" si="27"/>
        <v>Night</v>
      </c>
      <c r="U284" t="str">
        <f t="shared" si="28"/>
        <v>Spring</v>
      </c>
      <c r="V284" t="str">
        <f t="shared" si="29"/>
        <v>Clear</v>
      </c>
    </row>
    <row r="285" spans="1:22">
      <c r="A285">
        <f>Master_Data!A285</f>
        <v>284</v>
      </c>
      <c r="B285">
        <f>Master_Data!B285</f>
        <v>40556</v>
      </c>
      <c r="C285">
        <f>Master_Data!C285</f>
        <v>1</v>
      </c>
      <c r="D285">
        <f>Master_Data!D285</f>
        <v>0</v>
      </c>
      <c r="E285">
        <f>Master_Data!E285</f>
        <v>1</v>
      </c>
      <c r="F285">
        <f>Master_Data!F285</f>
        <v>6</v>
      </c>
      <c r="G285" t="b">
        <f>Master_Data!G285</f>
        <v>0</v>
      </c>
      <c r="H285">
        <f>Master_Data!H285</f>
        <v>4</v>
      </c>
      <c r="I285">
        <f>Master_Data!I285</f>
        <v>1</v>
      </c>
      <c r="J285">
        <f>Master_Data!J285</f>
        <v>0.12</v>
      </c>
      <c r="K285">
        <f>Master_Data!K285</f>
        <v>0.1515</v>
      </c>
      <c r="L285">
        <f>Master_Data!L285</f>
        <v>0.54</v>
      </c>
      <c r="M285">
        <f>Master_Data!M285</f>
        <v>0.1343</v>
      </c>
      <c r="N285">
        <f>Master_Data!N285</f>
        <v>0</v>
      </c>
      <c r="O285">
        <f>Master_Data!O285</f>
        <v>28</v>
      </c>
      <c r="P285">
        <f>Master_Data!P285</f>
        <v>28</v>
      </c>
      <c r="Q285" t="str">
        <f t="shared" si="24"/>
        <v>2011</v>
      </c>
      <c r="R285" t="str">
        <f t="shared" si="25"/>
        <v>January</v>
      </c>
      <c r="S285" t="str">
        <f t="shared" si="26"/>
        <v>Weekday</v>
      </c>
      <c r="T285" t="str">
        <f t="shared" si="27"/>
        <v>Morning</v>
      </c>
      <c r="U285" t="str">
        <f t="shared" si="28"/>
        <v>Spring</v>
      </c>
      <c r="V285" t="str">
        <f t="shared" si="29"/>
        <v>Clear</v>
      </c>
    </row>
    <row r="286" spans="1:22">
      <c r="A286">
        <f>Master_Data!A286</f>
        <v>285</v>
      </c>
      <c r="B286">
        <f>Master_Data!B286</f>
        <v>40556</v>
      </c>
      <c r="C286">
        <f>Master_Data!C286</f>
        <v>1</v>
      </c>
      <c r="D286">
        <f>Master_Data!D286</f>
        <v>0</v>
      </c>
      <c r="E286">
        <f>Master_Data!E286</f>
        <v>1</v>
      </c>
      <c r="F286">
        <f>Master_Data!F286</f>
        <v>7</v>
      </c>
      <c r="G286" t="b">
        <f>Master_Data!G286</f>
        <v>0</v>
      </c>
      <c r="H286">
        <f>Master_Data!H286</f>
        <v>4</v>
      </c>
      <c r="I286">
        <f>Master_Data!I286</f>
        <v>1</v>
      </c>
      <c r="J286">
        <f>Master_Data!J286</f>
        <v>0.12</v>
      </c>
      <c r="K286">
        <f>Master_Data!K286</f>
        <v>0.1515</v>
      </c>
      <c r="L286">
        <f>Master_Data!L286</f>
        <v>0.54</v>
      </c>
      <c r="M286">
        <f>Master_Data!M286</f>
        <v>0.1343</v>
      </c>
      <c r="N286">
        <f>Master_Data!N286</f>
        <v>0</v>
      </c>
      <c r="O286">
        <f>Master_Data!O286</f>
        <v>72</v>
      </c>
      <c r="P286">
        <f>Master_Data!P286</f>
        <v>72</v>
      </c>
      <c r="Q286" t="str">
        <f t="shared" si="24"/>
        <v>2011</v>
      </c>
      <c r="R286" t="str">
        <f t="shared" si="25"/>
        <v>January</v>
      </c>
      <c r="S286" t="str">
        <f t="shared" si="26"/>
        <v>Weekday</v>
      </c>
      <c r="T286" t="str">
        <f t="shared" si="27"/>
        <v>Morning</v>
      </c>
      <c r="U286" t="str">
        <f t="shared" si="28"/>
        <v>Spring</v>
      </c>
      <c r="V286" t="str">
        <f t="shared" si="29"/>
        <v>Clear</v>
      </c>
    </row>
    <row r="287" spans="1:22">
      <c r="A287">
        <f>Master_Data!A287</f>
        <v>286</v>
      </c>
      <c r="B287">
        <f>Master_Data!B287</f>
        <v>40556</v>
      </c>
      <c r="C287">
        <f>Master_Data!C287</f>
        <v>1</v>
      </c>
      <c r="D287">
        <f>Master_Data!D287</f>
        <v>0</v>
      </c>
      <c r="E287">
        <f>Master_Data!E287</f>
        <v>1</v>
      </c>
      <c r="F287">
        <f>Master_Data!F287</f>
        <v>8</v>
      </c>
      <c r="G287" t="b">
        <f>Master_Data!G287</f>
        <v>0</v>
      </c>
      <c r="H287">
        <f>Master_Data!H287</f>
        <v>4</v>
      </c>
      <c r="I287">
        <f>Master_Data!I287</f>
        <v>1</v>
      </c>
      <c r="J287">
        <f>Master_Data!J287</f>
        <v>0.14000000000000001</v>
      </c>
      <c r="K287">
        <f>Master_Data!K287</f>
        <v>0.13639999999999999</v>
      </c>
      <c r="L287">
        <f>Master_Data!L287</f>
        <v>0.5</v>
      </c>
      <c r="M287">
        <f>Master_Data!M287</f>
        <v>0.19400000000000001</v>
      </c>
      <c r="N287">
        <f>Master_Data!N287</f>
        <v>5</v>
      </c>
      <c r="O287">
        <f>Master_Data!O287</f>
        <v>197</v>
      </c>
      <c r="P287">
        <f>Master_Data!P287</f>
        <v>202</v>
      </c>
      <c r="Q287" t="str">
        <f t="shared" si="24"/>
        <v>2011</v>
      </c>
      <c r="R287" t="str">
        <f t="shared" si="25"/>
        <v>January</v>
      </c>
      <c r="S287" t="str">
        <f t="shared" si="26"/>
        <v>Weekday</v>
      </c>
      <c r="T287" t="str">
        <f t="shared" si="27"/>
        <v>Morning</v>
      </c>
      <c r="U287" t="str">
        <f t="shared" si="28"/>
        <v>Spring</v>
      </c>
      <c r="V287" t="str">
        <f t="shared" si="29"/>
        <v>Clear</v>
      </c>
    </row>
    <row r="288" spans="1:22">
      <c r="A288">
        <f>Master_Data!A288</f>
        <v>287</v>
      </c>
      <c r="B288">
        <f>Master_Data!B288</f>
        <v>40556</v>
      </c>
      <c r="C288">
        <f>Master_Data!C288</f>
        <v>1</v>
      </c>
      <c r="D288">
        <f>Master_Data!D288</f>
        <v>0</v>
      </c>
      <c r="E288">
        <f>Master_Data!E288</f>
        <v>1</v>
      </c>
      <c r="F288">
        <f>Master_Data!F288</f>
        <v>9</v>
      </c>
      <c r="G288" t="b">
        <f>Master_Data!G288</f>
        <v>0</v>
      </c>
      <c r="H288">
        <f>Master_Data!H288</f>
        <v>4</v>
      </c>
      <c r="I288">
        <f>Master_Data!I288</f>
        <v>1</v>
      </c>
      <c r="J288">
        <f>Master_Data!J288</f>
        <v>0.14000000000000001</v>
      </c>
      <c r="K288">
        <f>Master_Data!K288</f>
        <v>0.1212</v>
      </c>
      <c r="L288">
        <f>Master_Data!L288</f>
        <v>0.5</v>
      </c>
      <c r="M288">
        <f>Master_Data!M288</f>
        <v>0.32840000000000003</v>
      </c>
      <c r="N288">
        <f>Master_Data!N288</f>
        <v>2</v>
      </c>
      <c r="O288">
        <f>Master_Data!O288</f>
        <v>137</v>
      </c>
      <c r="P288">
        <f>Master_Data!P288</f>
        <v>139</v>
      </c>
      <c r="Q288" t="str">
        <f t="shared" si="24"/>
        <v>2011</v>
      </c>
      <c r="R288" t="str">
        <f t="shared" si="25"/>
        <v>January</v>
      </c>
      <c r="S288" t="str">
        <f t="shared" si="26"/>
        <v>Weekday</v>
      </c>
      <c r="T288" t="str">
        <f t="shared" si="27"/>
        <v>Morning</v>
      </c>
      <c r="U288" t="str">
        <f t="shared" si="28"/>
        <v>Spring</v>
      </c>
      <c r="V288" t="str">
        <f t="shared" si="29"/>
        <v>Clear</v>
      </c>
    </row>
    <row r="289" spans="1:22">
      <c r="A289">
        <f>Master_Data!A289</f>
        <v>288</v>
      </c>
      <c r="B289">
        <f>Master_Data!B289</f>
        <v>40556</v>
      </c>
      <c r="C289">
        <f>Master_Data!C289</f>
        <v>1</v>
      </c>
      <c r="D289">
        <f>Master_Data!D289</f>
        <v>0</v>
      </c>
      <c r="E289">
        <f>Master_Data!E289</f>
        <v>1</v>
      </c>
      <c r="F289">
        <f>Master_Data!F289</f>
        <v>10</v>
      </c>
      <c r="G289" t="b">
        <f>Master_Data!G289</f>
        <v>0</v>
      </c>
      <c r="H289">
        <f>Master_Data!H289</f>
        <v>4</v>
      </c>
      <c r="I289">
        <f>Master_Data!I289</f>
        <v>2</v>
      </c>
      <c r="J289">
        <f>Master_Data!J289</f>
        <v>0.16</v>
      </c>
      <c r="K289">
        <f>Master_Data!K289</f>
        <v>0.13639999999999999</v>
      </c>
      <c r="L289">
        <f>Master_Data!L289</f>
        <v>0.5</v>
      </c>
      <c r="M289">
        <f>Master_Data!M289</f>
        <v>0.35820000000000002</v>
      </c>
      <c r="N289">
        <f>Master_Data!N289</f>
        <v>2</v>
      </c>
      <c r="O289">
        <f>Master_Data!O289</f>
        <v>36</v>
      </c>
      <c r="P289">
        <f>Master_Data!P289</f>
        <v>38</v>
      </c>
      <c r="Q289" t="str">
        <f t="shared" si="24"/>
        <v>2011</v>
      </c>
      <c r="R289" t="str">
        <f t="shared" si="25"/>
        <v>January</v>
      </c>
      <c r="S289" t="str">
        <f t="shared" si="26"/>
        <v>Weekday</v>
      </c>
      <c r="T289" t="str">
        <f t="shared" si="27"/>
        <v>Morning</v>
      </c>
      <c r="U289" t="str">
        <f t="shared" si="28"/>
        <v>Spring</v>
      </c>
      <c r="V289" t="str">
        <f t="shared" si="29"/>
        <v>Mist/Cloudy</v>
      </c>
    </row>
    <row r="290" spans="1:22">
      <c r="A290">
        <f>Master_Data!A290</f>
        <v>289</v>
      </c>
      <c r="B290">
        <f>Master_Data!B290</f>
        <v>40556</v>
      </c>
      <c r="C290">
        <f>Master_Data!C290</f>
        <v>1</v>
      </c>
      <c r="D290">
        <f>Master_Data!D290</f>
        <v>0</v>
      </c>
      <c r="E290">
        <f>Master_Data!E290</f>
        <v>1</v>
      </c>
      <c r="F290">
        <f>Master_Data!F290</f>
        <v>11</v>
      </c>
      <c r="G290" t="b">
        <f>Master_Data!G290</f>
        <v>0</v>
      </c>
      <c r="H290">
        <f>Master_Data!H290</f>
        <v>4</v>
      </c>
      <c r="I290">
        <f>Master_Data!I290</f>
        <v>2</v>
      </c>
      <c r="J290">
        <f>Master_Data!J290</f>
        <v>0.2</v>
      </c>
      <c r="K290">
        <f>Master_Data!K290</f>
        <v>0.16669999999999999</v>
      </c>
      <c r="L290">
        <f>Master_Data!L290</f>
        <v>0.44</v>
      </c>
      <c r="M290">
        <f>Master_Data!M290</f>
        <v>0.44779999999999998</v>
      </c>
      <c r="N290">
        <f>Master_Data!N290</f>
        <v>4</v>
      </c>
      <c r="O290">
        <f>Master_Data!O290</f>
        <v>33</v>
      </c>
      <c r="P290">
        <f>Master_Data!P290</f>
        <v>37</v>
      </c>
      <c r="Q290" t="str">
        <f t="shared" si="24"/>
        <v>2011</v>
      </c>
      <c r="R290" t="str">
        <f t="shared" si="25"/>
        <v>January</v>
      </c>
      <c r="S290" t="str">
        <f t="shared" si="26"/>
        <v>Weekday</v>
      </c>
      <c r="T290" t="str">
        <f t="shared" si="27"/>
        <v>Morning</v>
      </c>
      <c r="U290" t="str">
        <f t="shared" si="28"/>
        <v>Spring</v>
      </c>
      <c r="V290" t="str">
        <f t="shared" si="29"/>
        <v>Mist/Cloudy</v>
      </c>
    </row>
    <row r="291" spans="1:22">
      <c r="A291">
        <f>Master_Data!A291</f>
        <v>290</v>
      </c>
      <c r="B291">
        <f>Master_Data!B291</f>
        <v>40556</v>
      </c>
      <c r="C291">
        <f>Master_Data!C291</f>
        <v>1</v>
      </c>
      <c r="D291">
        <f>Master_Data!D291</f>
        <v>0</v>
      </c>
      <c r="E291">
        <f>Master_Data!E291</f>
        <v>1</v>
      </c>
      <c r="F291">
        <f>Master_Data!F291</f>
        <v>12</v>
      </c>
      <c r="G291" t="b">
        <f>Master_Data!G291</f>
        <v>0</v>
      </c>
      <c r="H291">
        <f>Master_Data!H291</f>
        <v>4</v>
      </c>
      <c r="I291">
        <f>Master_Data!I291</f>
        <v>1</v>
      </c>
      <c r="J291">
        <f>Master_Data!J291</f>
        <v>0.2</v>
      </c>
      <c r="K291">
        <f>Master_Data!K291</f>
        <v>0.16669999999999999</v>
      </c>
      <c r="L291">
        <f>Master_Data!L291</f>
        <v>0.44</v>
      </c>
      <c r="M291">
        <f>Master_Data!M291</f>
        <v>0.41789999999999999</v>
      </c>
      <c r="N291">
        <f>Master_Data!N291</f>
        <v>3</v>
      </c>
      <c r="O291">
        <f>Master_Data!O291</f>
        <v>49</v>
      </c>
      <c r="P291">
        <f>Master_Data!P291</f>
        <v>52</v>
      </c>
      <c r="Q291" t="str">
        <f t="shared" si="24"/>
        <v>2011</v>
      </c>
      <c r="R291" t="str">
        <f t="shared" si="25"/>
        <v>January</v>
      </c>
      <c r="S291" t="str">
        <f t="shared" si="26"/>
        <v>Weekday</v>
      </c>
      <c r="T291" t="str">
        <f t="shared" si="27"/>
        <v>Afternoon</v>
      </c>
      <c r="U291" t="str">
        <f t="shared" si="28"/>
        <v>Spring</v>
      </c>
      <c r="V291" t="str">
        <f t="shared" si="29"/>
        <v>Clear</v>
      </c>
    </row>
    <row r="292" spans="1:22">
      <c r="A292">
        <f>Master_Data!A292</f>
        <v>291</v>
      </c>
      <c r="B292">
        <f>Master_Data!B292</f>
        <v>40556</v>
      </c>
      <c r="C292">
        <f>Master_Data!C292</f>
        <v>1</v>
      </c>
      <c r="D292">
        <f>Master_Data!D292</f>
        <v>0</v>
      </c>
      <c r="E292">
        <f>Master_Data!E292</f>
        <v>1</v>
      </c>
      <c r="F292">
        <f>Master_Data!F292</f>
        <v>13</v>
      </c>
      <c r="G292" t="b">
        <f>Master_Data!G292</f>
        <v>0</v>
      </c>
      <c r="H292">
        <f>Master_Data!H292</f>
        <v>4</v>
      </c>
      <c r="I292">
        <f>Master_Data!I292</f>
        <v>1</v>
      </c>
      <c r="J292">
        <f>Master_Data!J292</f>
        <v>0.22</v>
      </c>
      <c r="K292">
        <f>Master_Data!K292</f>
        <v>0.19700000000000001</v>
      </c>
      <c r="L292">
        <f>Master_Data!L292</f>
        <v>0.41</v>
      </c>
      <c r="M292">
        <f>Master_Data!M292</f>
        <v>0.44779999999999998</v>
      </c>
      <c r="N292">
        <f>Master_Data!N292</f>
        <v>2</v>
      </c>
      <c r="O292">
        <f>Master_Data!O292</f>
        <v>81</v>
      </c>
      <c r="P292">
        <f>Master_Data!P292</f>
        <v>83</v>
      </c>
      <c r="Q292" t="str">
        <f t="shared" si="24"/>
        <v>2011</v>
      </c>
      <c r="R292" t="str">
        <f t="shared" si="25"/>
        <v>January</v>
      </c>
      <c r="S292" t="str">
        <f t="shared" si="26"/>
        <v>Weekday</v>
      </c>
      <c r="T292" t="str">
        <f t="shared" si="27"/>
        <v>Afternoon</v>
      </c>
      <c r="U292" t="str">
        <f t="shared" si="28"/>
        <v>Spring</v>
      </c>
      <c r="V292" t="str">
        <f t="shared" si="29"/>
        <v>Clear</v>
      </c>
    </row>
    <row r="293" spans="1:22">
      <c r="A293">
        <f>Master_Data!A293</f>
        <v>292</v>
      </c>
      <c r="B293">
        <f>Master_Data!B293</f>
        <v>40556</v>
      </c>
      <c r="C293">
        <f>Master_Data!C293</f>
        <v>1</v>
      </c>
      <c r="D293">
        <f>Master_Data!D293</f>
        <v>0</v>
      </c>
      <c r="E293">
        <f>Master_Data!E293</f>
        <v>1</v>
      </c>
      <c r="F293">
        <f>Master_Data!F293</f>
        <v>14</v>
      </c>
      <c r="G293" t="b">
        <f>Master_Data!G293</f>
        <v>0</v>
      </c>
      <c r="H293">
        <f>Master_Data!H293</f>
        <v>4</v>
      </c>
      <c r="I293">
        <f>Master_Data!I293</f>
        <v>1</v>
      </c>
      <c r="J293">
        <f>Master_Data!J293</f>
        <v>0.22</v>
      </c>
      <c r="K293">
        <f>Master_Data!K293</f>
        <v>0.19700000000000001</v>
      </c>
      <c r="L293">
        <f>Master_Data!L293</f>
        <v>0.41</v>
      </c>
      <c r="M293">
        <f>Master_Data!M293</f>
        <v>0.3881</v>
      </c>
      <c r="N293">
        <f>Master_Data!N293</f>
        <v>3</v>
      </c>
      <c r="O293">
        <f>Master_Data!O293</f>
        <v>39</v>
      </c>
      <c r="P293">
        <f>Master_Data!P293</f>
        <v>42</v>
      </c>
      <c r="Q293" t="str">
        <f t="shared" si="24"/>
        <v>2011</v>
      </c>
      <c r="R293" t="str">
        <f t="shared" si="25"/>
        <v>January</v>
      </c>
      <c r="S293" t="str">
        <f t="shared" si="26"/>
        <v>Weekday</v>
      </c>
      <c r="T293" t="str">
        <f t="shared" si="27"/>
        <v>Afternoon</v>
      </c>
      <c r="U293" t="str">
        <f t="shared" si="28"/>
        <v>Spring</v>
      </c>
      <c r="V293" t="str">
        <f t="shared" si="29"/>
        <v>Clear</v>
      </c>
    </row>
    <row r="294" spans="1:22">
      <c r="A294">
        <f>Master_Data!A294</f>
        <v>293</v>
      </c>
      <c r="B294">
        <f>Master_Data!B294</f>
        <v>40556</v>
      </c>
      <c r="C294">
        <f>Master_Data!C294</f>
        <v>1</v>
      </c>
      <c r="D294">
        <f>Master_Data!D294</f>
        <v>0</v>
      </c>
      <c r="E294">
        <f>Master_Data!E294</f>
        <v>1</v>
      </c>
      <c r="F294">
        <f>Master_Data!F294</f>
        <v>15</v>
      </c>
      <c r="G294" t="b">
        <f>Master_Data!G294</f>
        <v>0</v>
      </c>
      <c r="H294">
        <f>Master_Data!H294</f>
        <v>4</v>
      </c>
      <c r="I294">
        <f>Master_Data!I294</f>
        <v>1</v>
      </c>
      <c r="J294">
        <f>Master_Data!J294</f>
        <v>0.24</v>
      </c>
      <c r="K294">
        <f>Master_Data!K294</f>
        <v>0.21210000000000001</v>
      </c>
      <c r="L294">
        <f>Master_Data!L294</f>
        <v>0.38</v>
      </c>
      <c r="M294">
        <f>Master_Data!M294</f>
        <v>0.29849999999999999</v>
      </c>
      <c r="N294">
        <f>Master_Data!N294</f>
        <v>5</v>
      </c>
      <c r="O294">
        <f>Master_Data!O294</f>
        <v>55</v>
      </c>
      <c r="P294">
        <f>Master_Data!P294</f>
        <v>60</v>
      </c>
      <c r="Q294" t="str">
        <f t="shared" si="24"/>
        <v>2011</v>
      </c>
      <c r="R294" t="str">
        <f t="shared" si="25"/>
        <v>January</v>
      </c>
      <c r="S294" t="str">
        <f t="shared" si="26"/>
        <v>Weekday</v>
      </c>
      <c r="T294" t="str">
        <f t="shared" si="27"/>
        <v>Afternoon</v>
      </c>
      <c r="U294" t="str">
        <f t="shared" si="28"/>
        <v>Spring</v>
      </c>
      <c r="V294" t="str">
        <f t="shared" si="29"/>
        <v>Clear</v>
      </c>
    </row>
    <row r="295" spans="1:22">
      <c r="A295">
        <f>Master_Data!A295</f>
        <v>294</v>
      </c>
      <c r="B295">
        <f>Master_Data!B295</f>
        <v>40556</v>
      </c>
      <c r="C295">
        <f>Master_Data!C295</f>
        <v>1</v>
      </c>
      <c r="D295">
        <f>Master_Data!D295</f>
        <v>0</v>
      </c>
      <c r="E295">
        <f>Master_Data!E295</f>
        <v>1</v>
      </c>
      <c r="F295">
        <f>Master_Data!F295</f>
        <v>16</v>
      </c>
      <c r="G295" t="b">
        <f>Master_Data!G295</f>
        <v>0</v>
      </c>
      <c r="H295">
        <f>Master_Data!H295</f>
        <v>4</v>
      </c>
      <c r="I295">
        <f>Master_Data!I295</f>
        <v>1</v>
      </c>
      <c r="J295">
        <f>Master_Data!J295</f>
        <v>0.24</v>
      </c>
      <c r="K295">
        <f>Master_Data!K295</f>
        <v>0.21210000000000001</v>
      </c>
      <c r="L295">
        <f>Master_Data!L295</f>
        <v>0.38</v>
      </c>
      <c r="M295">
        <f>Master_Data!M295</f>
        <v>0.35820000000000002</v>
      </c>
      <c r="N295">
        <f>Master_Data!N295</f>
        <v>2</v>
      </c>
      <c r="O295">
        <f>Master_Data!O295</f>
        <v>76</v>
      </c>
      <c r="P295">
        <f>Master_Data!P295</f>
        <v>78</v>
      </c>
      <c r="Q295" t="str">
        <f t="shared" si="24"/>
        <v>2011</v>
      </c>
      <c r="R295" t="str">
        <f t="shared" si="25"/>
        <v>January</v>
      </c>
      <c r="S295" t="str">
        <f t="shared" si="26"/>
        <v>Weekday</v>
      </c>
      <c r="T295" t="str">
        <f t="shared" si="27"/>
        <v>Afternoon</v>
      </c>
      <c r="U295" t="str">
        <f t="shared" si="28"/>
        <v>Spring</v>
      </c>
      <c r="V295" t="str">
        <f t="shared" si="29"/>
        <v>Clear</v>
      </c>
    </row>
    <row r="296" spans="1:22">
      <c r="A296">
        <f>Master_Data!A296</f>
        <v>295</v>
      </c>
      <c r="B296">
        <f>Master_Data!B296</f>
        <v>40556</v>
      </c>
      <c r="C296">
        <f>Master_Data!C296</f>
        <v>1</v>
      </c>
      <c r="D296">
        <f>Master_Data!D296</f>
        <v>0</v>
      </c>
      <c r="E296">
        <f>Master_Data!E296</f>
        <v>1</v>
      </c>
      <c r="F296">
        <f>Master_Data!F296</f>
        <v>17</v>
      </c>
      <c r="G296" t="b">
        <f>Master_Data!G296</f>
        <v>0</v>
      </c>
      <c r="H296">
        <f>Master_Data!H296</f>
        <v>4</v>
      </c>
      <c r="I296">
        <f>Master_Data!I296</f>
        <v>1</v>
      </c>
      <c r="J296">
        <f>Master_Data!J296</f>
        <v>0.2</v>
      </c>
      <c r="K296">
        <f>Master_Data!K296</f>
        <v>0.18179999999999999</v>
      </c>
      <c r="L296">
        <f>Master_Data!L296</f>
        <v>0.4</v>
      </c>
      <c r="M296">
        <f>Master_Data!M296</f>
        <v>0.28360000000000002</v>
      </c>
      <c r="N296">
        <f>Master_Data!N296</f>
        <v>4</v>
      </c>
      <c r="O296">
        <f>Master_Data!O296</f>
        <v>158</v>
      </c>
      <c r="P296">
        <f>Master_Data!P296</f>
        <v>162</v>
      </c>
      <c r="Q296" t="str">
        <f t="shared" si="24"/>
        <v>2011</v>
      </c>
      <c r="R296" t="str">
        <f t="shared" si="25"/>
        <v>January</v>
      </c>
      <c r="S296" t="str">
        <f t="shared" si="26"/>
        <v>Weekday</v>
      </c>
      <c r="T296" t="str">
        <f t="shared" si="27"/>
        <v>Evening</v>
      </c>
      <c r="U296" t="str">
        <f t="shared" si="28"/>
        <v>Spring</v>
      </c>
      <c r="V296" t="str">
        <f t="shared" si="29"/>
        <v>Clear</v>
      </c>
    </row>
    <row r="297" spans="1:22">
      <c r="A297">
        <f>Master_Data!A297</f>
        <v>296</v>
      </c>
      <c r="B297">
        <f>Master_Data!B297</f>
        <v>40556</v>
      </c>
      <c r="C297">
        <f>Master_Data!C297</f>
        <v>1</v>
      </c>
      <c r="D297">
        <f>Master_Data!D297</f>
        <v>0</v>
      </c>
      <c r="E297">
        <f>Master_Data!E297</f>
        <v>1</v>
      </c>
      <c r="F297">
        <f>Master_Data!F297</f>
        <v>18</v>
      </c>
      <c r="G297" t="b">
        <f>Master_Data!G297</f>
        <v>0</v>
      </c>
      <c r="H297">
        <f>Master_Data!H297</f>
        <v>4</v>
      </c>
      <c r="I297">
        <f>Master_Data!I297</f>
        <v>1</v>
      </c>
      <c r="J297">
        <f>Master_Data!J297</f>
        <v>0.2</v>
      </c>
      <c r="K297">
        <f>Master_Data!K297</f>
        <v>0.18179999999999999</v>
      </c>
      <c r="L297">
        <f>Master_Data!L297</f>
        <v>0.4</v>
      </c>
      <c r="M297">
        <f>Master_Data!M297</f>
        <v>0.32840000000000003</v>
      </c>
      <c r="N297">
        <f>Master_Data!N297</f>
        <v>3</v>
      </c>
      <c r="O297">
        <f>Master_Data!O297</f>
        <v>141</v>
      </c>
      <c r="P297">
        <f>Master_Data!P297</f>
        <v>144</v>
      </c>
      <c r="Q297" t="str">
        <f t="shared" si="24"/>
        <v>2011</v>
      </c>
      <c r="R297" t="str">
        <f t="shared" si="25"/>
        <v>January</v>
      </c>
      <c r="S297" t="str">
        <f t="shared" si="26"/>
        <v>Weekday</v>
      </c>
      <c r="T297" t="str">
        <f t="shared" si="27"/>
        <v>Evening</v>
      </c>
      <c r="U297" t="str">
        <f t="shared" si="28"/>
        <v>Spring</v>
      </c>
      <c r="V297" t="str">
        <f t="shared" si="29"/>
        <v>Clear</v>
      </c>
    </row>
    <row r="298" spans="1:22">
      <c r="A298">
        <f>Master_Data!A298</f>
        <v>297</v>
      </c>
      <c r="B298">
        <f>Master_Data!B298</f>
        <v>40556</v>
      </c>
      <c r="C298">
        <f>Master_Data!C298</f>
        <v>1</v>
      </c>
      <c r="D298">
        <f>Master_Data!D298</f>
        <v>0</v>
      </c>
      <c r="E298">
        <f>Master_Data!E298</f>
        <v>1</v>
      </c>
      <c r="F298">
        <f>Master_Data!F298</f>
        <v>19</v>
      </c>
      <c r="G298" t="b">
        <f>Master_Data!G298</f>
        <v>0</v>
      </c>
      <c r="H298">
        <f>Master_Data!H298</f>
        <v>4</v>
      </c>
      <c r="I298">
        <f>Master_Data!I298</f>
        <v>1</v>
      </c>
      <c r="J298">
        <f>Master_Data!J298</f>
        <v>0.16</v>
      </c>
      <c r="K298">
        <f>Master_Data!K298</f>
        <v>0.1515</v>
      </c>
      <c r="L298">
        <f>Master_Data!L298</f>
        <v>0.47</v>
      </c>
      <c r="M298">
        <f>Master_Data!M298</f>
        <v>0.25369999999999998</v>
      </c>
      <c r="N298">
        <f>Master_Data!N298</f>
        <v>1</v>
      </c>
      <c r="O298">
        <f>Master_Data!O298</f>
        <v>98</v>
      </c>
      <c r="P298">
        <f>Master_Data!P298</f>
        <v>99</v>
      </c>
      <c r="Q298" t="str">
        <f t="shared" si="24"/>
        <v>2011</v>
      </c>
      <c r="R298" t="str">
        <f t="shared" si="25"/>
        <v>January</v>
      </c>
      <c r="S298" t="str">
        <f t="shared" si="26"/>
        <v>Weekday</v>
      </c>
      <c r="T298" t="str">
        <f t="shared" si="27"/>
        <v>Evening</v>
      </c>
      <c r="U298" t="str">
        <f t="shared" si="28"/>
        <v>Spring</v>
      </c>
      <c r="V298" t="str">
        <f t="shared" si="29"/>
        <v>Clear</v>
      </c>
    </row>
    <row r="299" spans="1:22">
      <c r="A299">
        <f>Master_Data!A299</f>
        <v>298</v>
      </c>
      <c r="B299">
        <f>Master_Data!B299</f>
        <v>40556</v>
      </c>
      <c r="C299">
        <f>Master_Data!C299</f>
        <v>1</v>
      </c>
      <c r="D299">
        <f>Master_Data!D299</f>
        <v>0</v>
      </c>
      <c r="E299">
        <f>Master_Data!E299</f>
        <v>1</v>
      </c>
      <c r="F299">
        <f>Master_Data!F299</f>
        <v>20</v>
      </c>
      <c r="G299" t="b">
        <f>Master_Data!G299</f>
        <v>0</v>
      </c>
      <c r="H299">
        <f>Master_Data!H299</f>
        <v>4</v>
      </c>
      <c r="I299">
        <f>Master_Data!I299</f>
        <v>1</v>
      </c>
      <c r="J299">
        <f>Master_Data!J299</f>
        <v>0.16</v>
      </c>
      <c r="K299">
        <f>Master_Data!K299</f>
        <v>0.1515</v>
      </c>
      <c r="L299">
        <f>Master_Data!L299</f>
        <v>0.47</v>
      </c>
      <c r="M299">
        <f>Master_Data!M299</f>
        <v>0.22389999999999999</v>
      </c>
      <c r="N299">
        <f>Master_Data!N299</f>
        <v>0</v>
      </c>
      <c r="O299">
        <f>Master_Data!O299</f>
        <v>64</v>
      </c>
      <c r="P299">
        <f>Master_Data!P299</f>
        <v>64</v>
      </c>
      <c r="Q299" t="str">
        <f t="shared" si="24"/>
        <v>2011</v>
      </c>
      <c r="R299" t="str">
        <f t="shared" si="25"/>
        <v>January</v>
      </c>
      <c r="S299" t="str">
        <f t="shared" si="26"/>
        <v>Weekday</v>
      </c>
      <c r="T299" t="str">
        <f t="shared" si="27"/>
        <v>Evening</v>
      </c>
      <c r="U299" t="str">
        <f t="shared" si="28"/>
        <v>Spring</v>
      </c>
      <c r="V299" t="str">
        <f t="shared" si="29"/>
        <v>Clear</v>
      </c>
    </row>
    <row r="300" spans="1:22">
      <c r="A300">
        <f>Master_Data!A300</f>
        <v>299</v>
      </c>
      <c r="B300">
        <f>Master_Data!B300</f>
        <v>40556</v>
      </c>
      <c r="C300">
        <f>Master_Data!C300</f>
        <v>1</v>
      </c>
      <c r="D300">
        <f>Master_Data!D300</f>
        <v>0</v>
      </c>
      <c r="E300">
        <f>Master_Data!E300</f>
        <v>1</v>
      </c>
      <c r="F300">
        <f>Master_Data!F300</f>
        <v>21</v>
      </c>
      <c r="G300" t="b">
        <f>Master_Data!G300</f>
        <v>0</v>
      </c>
      <c r="H300">
        <f>Master_Data!H300</f>
        <v>4</v>
      </c>
      <c r="I300">
        <f>Master_Data!I300</f>
        <v>1</v>
      </c>
      <c r="J300">
        <f>Master_Data!J300</f>
        <v>0.14000000000000001</v>
      </c>
      <c r="K300">
        <f>Master_Data!K300</f>
        <v>0.1212</v>
      </c>
      <c r="L300">
        <f>Master_Data!L300</f>
        <v>0.46</v>
      </c>
      <c r="M300">
        <f>Master_Data!M300</f>
        <v>0.29849999999999999</v>
      </c>
      <c r="N300">
        <f>Master_Data!N300</f>
        <v>0</v>
      </c>
      <c r="O300">
        <f>Master_Data!O300</f>
        <v>40</v>
      </c>
      <c r="P300">
        <f>Master_Data!P300</f>
        <v>40</v>
      </c>
      <c r="Q300" t="str">
        <f t="shared" si="24"/>
        <v>2011</v>
      </c>
      <c r="R300" t="str">
        <f t="shared" si="25"/>
        <v>January</v>
      </c>
      <c r="S300" t="str">
        <f t="shared" si="26"/>
        <v>Weekday</v>
      </c>
      <c r="T300" t="str">
        <f t="shared" si="27"/>
        <v>Night</v>
      </c>
      <c r="U300" t="str">
        <f t="shared" si="28"/>
        <v>Spring</v>
      </c>
      <c r="V300" t="str">
        <f t="shared" si="29"/>
        <v>Clear</v>
      </c>
    </row>
    <row r="301" spans="1:22">
      <c r="A301">
        <f>Master_Data!A301</f>
        <v>300</v>
      </c>
      <c r="B301">
        <f>Master_Data!B301</f>
        <v>40556</v>
      </c>
      <c r="C301">
        <f>Master_Data!C301</f>
        <v>1</v>
      </c>
      <c r="D301">
        <f>Master_Data!D301</f>
        <v>0</v>
      </c>
      <c r="E301">
        <f>Master_Data!E301</f>
        <v>1</v>
      </c>
      <c r="F301">
        <f>Master_Data!F301</f>
        <v>22</v>
      </c>
      <c r="G301" t="b">
        <f>Master_Data!G301</f>
        <v>0</v>
      </c>
      <c r="H301">
        <f>Master_Data!H301</f>
        <v>4</v>
      </c>
      <c r="I301">
        <f>Master_Data!I301</f>
        <v>1</v>
      </c>
      <c r="J301">
        <f>Master_Data!J301</f>
        <v>0.14000000000000001</v>
      </c>
      <c r="K301">
        <f>Master_Data!K301</f>
        <v>0.1212</v>
      </c>
      <c r="L301">
        <f>Master_Data!L301</f>
        <v>0.46</v>
      </c>
      <c r="M301">
        <f>Master_Data!M301</f>
        <v>0.32840000000000003</v>
      </c>
      <c r="N301">
        <f>Master_Data!N301</f>
        <v>0</v>
      </c>
      <c r="O301">
        <f>Master_Data!O301</f>
        <v>30</v>
      </c>
      <c r="P301">
        <f>Master_Data!P301</f>
        <v>30</v>
      </c>
      <c r="Q301" t="str">
        <f t="shared" si="24"/>
        <v>2011</v>
      </c>
      <c r="R301" t="str">
        <f t="shared" si="25"/>
        <v>January</v>
      </c>
      <c r="S301" t="str">
        <f t="shared" si="26"/>
        <v>Weekday</v>
      </c>
      <c r="T301" t="str">
        <f t="shared" si="27"/>
        <v>Night</v>
      </c>
      <c r="U301" t="str">
        <f t="shared" si="28"/>
        <v>Spring</v>
      </c>
      <c r="V301" t="str">
        <f t="shared" si="29"/>
        <v>Clear</v>
      </c>
    </row>
    <row r="302" spans="1:22">
      <c r="A302">
        <f>Master_Data!A302</f>
        <v>301</v>
      </c>
      <c r="B302">
        <f>Master_Data!B302</f>
        <v>40556</v>
      </c>
      <c r="C302">
        <f>Master_Data!C302</f>
        <v>1</v>
      </c>
      <c r="D302">
        <f>Master_Data!D302</f>
        <v>0</v>
      </c>
      <c r="E302">
        <f>Master_Data!E302</f>
        <v>1</v>
      </c>
      <c r="F302">
        <f>Master_Data!F302</f>
        <v>23</v>
      </c>
      <c r="G302" t="b">
        <f>Master_Data!G302</f>
        <v>0</v>
      </c>
      <c r="H302">
        <f>Master_Data!H302</f>
        <v>4</v>
      </c>
      <c r="I302">
        <f>Master_Data!I302</f>
        <v>1</v>
      </c>
      <c r="J302">
        <f>Master_Data!J302</f>
        <v>0.12</v>
      </c>
      <c r="K302">
        <f>Master_Data!K302</f>
        <v>0.13639999999999999</v>
      </c>
      <c r="L302">
        <f>Master_Data!L302</f>
        <v>0.5</v>
      </c>
      <c r="M302">
        <f>Master_Data!M302</f>
        <v>0.19400000000000001</v>
      </c>
      <c r="N302">
        <f>Master_Data!N302</f>
        <v>1</v>
      </c>
      <c r="O302">
        <f>Master_Data!O302</f>
        <v>14</v>
      </c>
      <c r="P302">
        <f>Master_Data!P302</f>
        <v>15</v>
      </c>
      <c r="Q302" t="str">
        <f t="shared" si="24"/>
        <v>2011</v>
      </c>
      <c r="R302" t="str">
        <f t="shared" si="25"/>
        <v>January</v>
      </c>
      <c r="S302" t="str">
        <f t="shared" si="26"/>
        <v>Weekday</v>
      </c>
      <c r="T302" t="str">
        <f t="shared" si="27"/>
        <v>Night</v>
      </c>
      <c r="U302" t="str">
        <f t="shared" si="28"/>
        <v>Spring</v>
      </c>
      <c r="V302" t="str">
        <f t="shared" si="29"/>
        <v>Clear</v>
      </c>
    </row>
    <row r="303" spans="1:22">
      <c r="A303">
        <f>Master_Data!A303</f>
        <v>302</v>
      </c>
      <c r="B303">
        <f>Master_Data!B303</f>
        <v>40557</v>
      </c>
      <c r="C303">
        <f>Master_Data!C303</f>
        <v>1</v>
      </c>
      <c r="D303">
        <f>Master_Data!D303</f>
        <v>0</v>
      </c>
      <c r="E303">
        <f>Master_Data!E303</f>
        <v>1</v>
      </c>
      <c r="F303">
        <f>Master_Data!F303</f>
        <v>0</v>
      </c>
      <c r="G303" t="b">
        <f>Master_Data!G303</f>
        <v>0</v>
      </c>
      <c r="H303">
        <f>Master_Data!H303</f>
        <v>5</v>
      </c>
      <c r="I303">
        <f>Master_Data!I303</f>
        <v>1</v>
      </c>
      <c r="J303">
        <f>Master_Data!J303</f>
        <v>0.12</v>
      </c>
      <c r="K303">
        <f>Master_Data!K303</f>
        <v>0.13639999999999999</v>
      </c>
      <c r="L303">
        <f>Master_Data!L303</f>
        <v>0.5</v>
      </c>
      <c r="M303">
        <f>Master_Data!M303</f>
        <v>0.19400000000000001</v>
      </c>
      <c r="N303">
        <f>Master_Data!N303</f>
        <v>0</v>
      </c>
      <c r="O303">
        <f>Master_Data!O303</f>
        <v>14</v>
      </c>
      <c r="P303">
        <f>Master_Data!P303</f>
        <v>14</v>
      </c>
      <c r="Q303" t="str">
        <f t="shared" si="24"/>
        <v>2011</v>
      </c>
      <c r="R303" t="str">
        <f t="shared" si="25"/>
        <v>January</v>
      </c>
      <c r="S303" t="str">
        <f t="shared" si="26"/>
        <v>Weekday</v>
      </c>
      <c r="T303" t="str">
        <f t="shared" si="27"/>
        <v>Night</v>
      </c>
      <c r="U303" t="str">
        <f t="shared" si="28"/>
        <v>Spring</v>
      </c>
      <c r="V303" t="str">
        <f t="shared" si="29"/>
        <v>Clear</v>
      </c>
    </row>
    <row r="304" spans="1:22">
      <c r="A304">
        <f>Master_Data!A304</f>
        <v>303</v>
      </c>
      <c r="B304">
        <f>Master_Data!B304</f>
        <v>40557</v>
      </c>
      <c r="C304">
        <f>Master_Data!C304</f>
        <v>1</v>
      </c>
      <c r="D304">
        <f>Master_Data!D304</f>
        <v>0</v>
      </c>
      <c r="E304">
        <f>Master_Data!E304</f>
        <v>1</v>
      </c>
      <c r="F304">
        <f>Master_Data!F304</f>
        <v>1</v>
      </c>
      <c r="G304" t="b">
        <f>Master_Data!G304</f>
        <v>0</v>
      </c>
      <c r="H304">
        <f>Master_Data!H304</f>
        <v>5</v>
      </c>
      <c r="I304">
        <f>Master_Data!I304</f>
        <v>1</v>
      </c>
      <c r="J304">
        <f>Master_Data!J304</f>
        <v>0.1</v>
      </c>
      <c r="K304">
        <f>Master_Data!K304</f>
        <v>0.1212</v>
      </c>
      <c r="L304">
        <f>Master_Data!L304</f>
        <v>0.54</v>
      </c>
      <c r="M304">
        <f>Master_Data!M304</f>
        <v>0.16420000000000001</v>
      </c>
      <c r="N304">
        <f>Master_Data!N304</f>
        <v>0</v>
      </c>
      <c r="O304">
        <f>Master_Data!O304</f>
        <v>5</v>
      </c>
      <c r="P304">
        <f>Master_Data!P304</f>
        <v>5</v>
      </c>
      <c r="Q304" t="str">
        <f t="shared" si="24"/>
        <v>2011</v>
      </c>
      <c r="R304" t="str">
        <f t="shared" si="25"/>
        <v>January</v>
      </c>
      <c r="S304" t="str">
        <f t="shared" si="26"/>
        <v>Weekday</v>
      </c>
      <c r="T304" t="str">
        <f t="shared" si="27"/>
        <v>Night</v>
      </c>
      <c r="U304" t="str">
        <f t="shared" si="28"/>
        <v>Spring</v>
      </c>
      <c r="V304" t="str">
        <f t="shared" si="29"/>
        <v>Clear</v>
      </c>
    </row>
    <row r="305" spans="1:22">
      <c r="A305">
        <f>Master_Data!A305</f>
        <v>304</v>
      </c>
      <c r="B305">
        <f>Master_Data!B305</f>
        <v>40557</v>
      </c>
      <c r="C305">
        <f>Master_Data!C305</f>
        <v>1</v>
      </c>
      <c r="D305">
        <f>Master_Data!D305</f>
        <v>0</v>
      </c>
      <c r="E305">
        <f>Master_Data!E305</f>
        <v>1</v>
      </c>
      <c r="F305">
        <f>Master_Data!F305</f>
        <v>2</v>
      </c>
      <c r="G305" t="b">
        <f>Master_Data!G305</f>
        <v>0</v>
      </c>
      <c r="H305">
        <f>Master_Data!H305</f>
        <v>5</v>
      </c>
      <c r="I305">
        <f>Master_Data!I305</f>
        <v>1</v>
      </c>
      <c r="J305">
        <f>Master_Data!J305</f>
        <v>0.1</v>
      </c>
      <c r="K305">
        <f>Master_Data!K305</f>
        <v>0.1212</v>
      </c>
      <c r="L305">
        <f>Master_Data!L305</f>
        <v>0.54</v>
      </c>
      <c r="M305">
        <f>Master_Data!M305</f>
        <v>0.1343</v>
      </c>
      <c r="N305">
        <f>Master_Data!N305</f>
        <v>0</v>
      </c>
      <c r="O305">
        <f>Master_Data!O305</f>
        <v>1</v>
      </c>
      <c r="P305">
        <f>Master_Data!P305</f>
        <v>1</v>
      </c>
      <c r="Q305" t="str">
        <f t="shared" si="24"/>
        <v>2011</v>
      </c>
      <c r="R305" t="str">
        <f t="shared" si="25"/>
        <v>January</v>
      </c>
      <c r="S305" t="str">
        <f t="shared" si="26"/>
        <v>Weekday</v>
      </c>
      <c r="T305" t="str">
        <f t="shared" si="27"/>
        <v>Night</v>
      </c>
      <c r="U305" t="str">
        <f t="shared" si="28"/>
        <v>Spring</v>
      </c>
      <c r="V305" t="str">
        <f t="shared" si="29"/>
        <v>Clear</v>
      </c>
    </row>
    <row r="306" spans="1:22">
      <c r="A306">
        <f>Master_Data!A306</f>
        <v>305</v>
      </c>
      <c r="B306">
        <f>Master_Data!B306</f>
        <v>40557</v>
      </c>
      <c r="C306">
        <f>Master_Data!C306</f>
        <v>1</v>
      </c>
      <c r="D306">
        <f>Master_Data!D306</f>
        <v>0</v>
      </c>
      <c r="E306">
        <f>Master_Data!E306</f>
        <v>1</v>
      </c>
      <c r="F306">
        <f>Master_Data!F306</f>
        <v>3</v>
      </c>
      <c r="G306" t="b">
        <f>Master_Data!G306</f>
        <v>0</v>
      </c>
      <c r="H306">
        <f>Master_Data!H306</f>
        <v>5</v>
      </c>
      <c r="I306">
        <f>Master_Data!I306</f>
        <v>1</v>
      </c>
      <c r="J306">
        <f>Master_Data!J306</f>
        <v>0.1</v>
      </c>
      <c r="K306">
        <f>Master_Data!K306</f>
        <v>0.13639999999999999</v>
      </c>
      <c r="L306">
        <f>Master_Data!L306</f>
        <v>0.54</v>
      </c>
      <c r="M306">
        <f>Master_Data!M306</f>
        <v>0.1045</v>
      </c>
      <c r="N306">
        <f>Master_Data!N306</f>
        <v>0</v>
      </c>
      <c r="O306">
        <f>Master_Data!O306</f>
        <v>1</v>
      </c>
      <c r="P306">
        <f>Master_Data!P306</f>
        <v>1</v>
      </c>
      <c r="Q306" t="str">
        <f t="shared" si="24"/>
        <v>2011</v>
      </c>
      <c r="R306" t="str">
        <f t="shared" si="25"/>
        <v>January</v>
      </c>
      <c r="S306" t="str">
        <f t="shared" si="26"/>
        <v>Weekday</v>
      </c>
      <c r="T306" t="str">
        <f t="shared" si="27"/>
        <v>Night</v>
      </c>
      <c r="U306" t="str">
        <f t="shared" si="28"/>
        <v>Spring</v>
      </c>
      <c r="V306" t="str">
        <f t="shared" si="29"/>
        <v>Clear</v>
      </c>
    </row>
    <row r="307" spans="1:22">
      <c r="A307">
        <f>Master_Data!A307</f>
        <v>306</v>
      </c>
      <c r="B307">
        <f>Master_Data!B307</f>
        <v>40557</v>
      </c>
      <c r="C307">
        <f>Master_Data!C307</f>
        <v>1</v>
      </c>
      <c r="D307">
        <f>Master_Data!D307</f>
        <v>0</v>
      </c>
      <c r="E307">
        <f>Master_Data!E307</f>
        <v>1</v>
      </c>
      <c r="F307">
        <f>Master_Data!F307</f>
        <v>5</v>
      </c>
      <c r="G307" t="b">
        <f>Master_Data!G307</f>
        <v>0</v>
      </c>
      <c r="H307">
        <f>Master_Data!H307</f>
        <v>5</v>
      </c>
      <c r="I307">
        <f>Master_Data!I307</f>
        <v>1</v>
      </c>
      <c r="J307">
        <f>Master_Data!J307</f>
        <v>0.1</v>
      </c>
      <c r="K307">
        <f>Master_Data!K307</f>
        <v>0.13639999999999999</v>
      </c>
      <c r="L307">
        <f>Master_Data!L307</f>
        <v>0.54</v>
      </c>
      <c r="M307">
        <f>Master_Data!M307</f>
        <v>8.9599999999999999E-2</v>
      </c>
      <c r="N307">
        <f>Master_Data!N307</f>
        <v>0</v>
      </c>
      <c r="O307">
        <f>Master_Data!O307</f>
        <v>8</v>
      </c>
      <c r="P307">
        <f>Master_Data!P307</f>
        <v>8</v>
      </c>
      <c r="Q307" t="str">
        <f t="shared" si="24"/>
        <v>2011</v>
      </c>
      <c r="R307" t="str">
        <f t="shared" si="25"/>
        <v>January</v>
      </c>
      <c r="S307" t="str">
        <f t="shared" si="26"/>
        <v>Weekday</v>
      </c>
      <c r="T307" t="str">
        <f t="shared" si="27"/>
        <v>Night</v>
      </c>
      <c r="U307" t="str">
        <f t="shared" si="28"/>
        <v>Spring</v>
      </c>
      <c r="V307" t="str">
        <f t="shared" si="29"/>
        <v>Clear</v>
      </c>
    </row>
    <row r="308" spans="1:22">
      <c r="A308">
        <f>Master_Data!A308</f>
        <v>307</v>
      </c>
      <c r="B308">
        <f>Master_Data!B308</f>
        <v>40557</v>
      </c>
      <c r="C308">
        <f>Master_Data!C308</f>
        <v>1</v>
      </c>
      <c r="D308">
        <f>Master_Data!D308</f>
        <v>0</v>
      </c>
      <c r="E308">
        <f>Master_Data!E308</f>
        <v>1</v>
      </c>
      <c r="F308">
        <f>Master_Data!F308</f>
        <v>6</v>
      </c>
      <c r="G308" t="b">
        <f>Master_Data!G308</f>
        <v>0</v>
      </c>
      <c r="H308">
        <f>Master_Data!H308</f>
        <v>5</v>
      </c>
      <c r="I308">
        <f>Master_Data!I308</f>
        <v>1</v>
      </c>
      <c r="J308">
        <f>Master_Data!J308</f>
        <v>0.1</v>
      </c>
      <c r="K308">
        <f>Master_Data!K308</f>
        <v>0.18179999999999999</v>
      </c>
      <c r="L308">
        <f>Master_Data!L308</f>
        <v>0.54</v>
      </c>
      <c r="M308">
        <f>Master_Data!M308</f>
        <v>0</v>
      </c>
      <c r="N308">
        <f>Master_Data!N308</f>
        <v>0</v>
      </c>
      <c r="O308">
        <f>Master_Data!O308</f>
        <v>17</v>
      </c>
      <c r="P308">
        <f>Master_Data!P308</f>
        <v>17</v>
      </c>
      <c r="Q308" t="str">
        <f t="shared" si="24"/>
        <v>2011</v>
      </c>
      <c r="R308" t="str">
        <f t="shared" si="25"/>
        <v>January</v>
      </c>
      <c r="S308" t="str">
        <f t="shared" si="26"/>
        <v>Weekday</v>
      </c>
      <c r="T308" t="str">
        <f t="shared" si="27"/>
        <v>Morning</v>
      </c>
      <c r="U308" t="str">
        <f t="shared" si="28"/>
        <v>Spring</v>
      </c>
      <c r="V308" t="str">
        <f t="shared" si="29"/>
        <v>Clear</v>
      </c>
    </row>
    <row r="309" spans="1:22">
      <c r="A309">
        <f>Master_Data!A309</f>
        <v>308</v>
      </c>
      <c r="B309">
        <f>Master_Data!B309</f>
        <v>40557</v>
      </c>
      <c r="C309">
        <f>Master_Data!C309</f>
        <v>1</v>
      </c>
      <c r="D309">
        <f>Master_Data!D309</f>
        <v>0</v>
      </c>
      <c r="E309">
        <f>Master_Data!E309</f>
        <v>1</v>
      </c>
      <c r="F309">
        <f>Master_Data!F309</f>
        <v>7</v>
      </c>
      <c r="G309" t="b">
        <f>Master_Data!G309</f>
        <v>0</v>
      </c>
      <c r="H309">
        <f>Master_Data!H309</f>
        <v>5</v>
      </c>
      <c r="I309">
        <f>Master_Data!I309</f>
        <v>1</v>
      </c>
      <c r="J309">
        <f>Master_Data!J309</f>
        <v>0.1</v>
      </c>
      <c r="K309">
        <f>Master_Data!K309</f>
        <v>0.1212</v>
      </c>
      <c r="L309">
        <f>Master_Data!L309</f>
        <v>0.74</v>
      </c>
      <c r="M309">
        <f>Master_Data!M309</f>
        <v>0.16420000000000001</v>
      </c>
      <c r="N309">
        <f>Master_Data!N309</f>
        <v>0</v>
      </c>
      <c r="O309">
        <f>Master_Data!O309</f>
        <v>70</v>
      </c>
      <c r="P309">
        <f>Master_Data!P309</f>
        <v>70</v>
      </c>
      <c r="Q309" t="str">
        <f t="shared" si="24"/>
        <v>2011</v>
      </c>
      <c r="R309" t="str">
        <f t="shared" si="25"/>
        <v>January</v>
      </c>
      <c r="S309" t="str">
        <f t="shared" si="26"/>
        <v>Weekday</v>
      </c>
      <c r="T309" t="str">
        <f t="shared" si="27"/>
        <v>Morning</v>
      </c>
      <c r="U309" t="str">
        <f t="shared" si="28"/>
        <v>Spring</v>
      </c>
      <c r="V309" t="str">
        <f t="shared" si="29"/>
        <v>Clear</v>
      </c>
    </row>
    <row r="310" spans="1:22">
      <c r="A310">
        <f>Master_Data!A310</f>
        <v>309</v>
      </c>
      <c r="B310">
        <f>Master_Data!B310</f>
        <v>40557</v>
      </c>
      <c r="C310">
        <f>Master_Data!C310</f>
        <v>1</v>
      </c>
      <c r="D310">
        <f>Master_Data!D310</f>
        <v>0</v>
      </c>
      <c r="E310">
        <f>Master_Data!E310</f>
        <v>1</v>
      </c>
      <c r="F310">
        <f>Master_Data!F310</f>
        <v>8</v>
      </c>
      <c r="G310" t="b">
        <f>Master_Data!G310</f>
        <v>0</v>
      </c>
      <c r="H310">
        <f>Master_Data!H310</f>
        <v>5</v>
      </c>
      <c r="I310">
        <f>Master_Data!I310</f>
        <v>1</v>
      </c>
      <c r="J310">
        <f>Master_Data!J310</f>
        <v>0.12</v>
      </c>
      <c r="K310">
        <f>Master_Data!K310</f>
        <v>0.16669999999999999</v>
      </c>
      <c r="L310">
        <f>Master_Data!L310</f>
        <v>0.68</v>
      </c>
      <c r="M310">
        <f>Master_Data!M310</f>
        <v>0</v>
      </c>
      <c r="N310">
        <f>Master_Data!N310</f>
        <v>2</v>
      </c>
      <c r="O310">
        <f>Master_Data!O310</f>
        <v>156</v>
      </c>
      <c r="P310">
        <f>Master_Data!P310</f>
        <v>158</v>
      </c>
      <c r="Q310" t="str">
        <f t="shared" si="24"/>
        <v>2011</v>
      </c>
      <c r="R310" t="str">
        <f t="shared" si="25"/>
        <v>January</v>
      </c>
      <c r="S310" t="str">
        <f t="shared" si="26"/>
        <v>Weekday</v>
      </c>
      <c r="T310" t="str">
        <f t="shared" si="27"/>
        <v>Morning</v>
      </c>
      <c r="U310" t="str">
        <f t="shared" si="28"/>
        <v>Spring</v>
      </c>
      <c r="V310" t="str">
        <f t="shared" si="29"/>
        <v>Clear</v>
      </c>
    </row>
    <row r="311" spans="1:22">
      <c r="A311">
        <f>Master_Data!A311</f>
        <v>310</v>
      </c>
      <c r="B311">
        <f>Master_Data!B311</f>
        <v>40557</v>
      </c>
      <c r="C311">
        <f>Master_Data!C311</f>
        <v>1</v>
      </c>
      <c r="D311">
        <f>Master_Data!D311</f>
        <v>0</v>
      </c>
      <c r="E311">
        <f>Master_Data!E311</f>
        <v>1</v>
      </c>
      <c r="F311">
        <f>Master_Data!F311</f>
        <v>9</v>
      </c>
      <c r="G311" t="b">
        <f>Master_Data!G311</f>
        <v>0</v>
      </c>
      <c r="H311">
        <f>Master_Data!H311</f>
        <v>5</v>
      </c>
      <c r="I311">
        <f>Master_Data!I311</f>
        <v>1</v>
      </c>
      <c r="J311">
        <f>Master_Data!J311</f>
        <v>0.14000000000000001</v>
      </c>
      <c r="K311">
        <f>Master_Data!K311</f>
        <v>0.1515</v>
      </c>
      <c r="L311">
        <f>Master_Data!L311</f>
        <v>0.69</v>
      </c>
      <c r="M311">
        <f>Master_Data!M311</f>
        <v>0.1343</v>
      </c>
      <c r="N311">
        <f>Master_Data!N311</f>
        <v>0</v>
      </c>
      <c r="O311">
        <f>Master_Data!O311</f>
        <v>117</v>
      </c>
      <c r="P311">
        <f>Master_Data!P311</f>
        <v>117</v>
      </c>
      <c r="Q311" t="str">
        <f t="shared" si="24"/>
        <v>2011</v>
      </c>
      <c r="R311" t="str">
        <f t="shared" si="25"/>
        <v>January</v>
      </c>
      <c r="S311" t="str">
        <f t="shared" si="26"/>
        <v>Weekday</v>
      </c>
      <c r="T311" t="str">
        <f t="shared" si="27"/>
        <v>Morning</v>
      </c>
      <c r="U311" t="str">
        <f t="shared" si="28"/>
        <v>Spring</v>
      </c>
      <c r="V311" t="str">
        <f t="shared" si="29"/>
        <v>Clear</v>
      </c>
    </row>
    <row r="312" spans="1:22">
      <c r="A312">
        <f>Master_Data!A312</f>
        <v>311</v>
      </c>
      <c r="B312">
        <f>Master_Data!B312</f>
        <v>40557</v>
      </c>
      <c r="C312">
        <f>Master_Data!C312</f>
        <v>1</v>
      </c>
      <c r="D312">
        <f>Master_Data!D312</f>
        <v>0</v>
      </c>
      <c r="E312">
        <f>Master_Data!E312</f>
        <v>1</v>
      </c>
      <c r="F312">
        <f>Master_Data!F312</f>
        <v>10</v>
      </c>
      <c r="G312" t="b">
        <f>Master_Data!G312</f>
        <v>0</v>
      </c>
      <c r="H312">
        <f>Master_Data!H312</f>
        <v>5</v>
      </c>
      <c r="I312">
        <f>Master_Data!I312</f>
        <v>1</v>
      </c>
      <c r="J312">
        <f>Master_Data!J312</f>
        <v>0.18</v>
      </c>
      <c r="K312">
        <f>Master_Data!K312</f>
        <v>0.18179999999999999</v>
      </c>
      <c r="L312">
        <f>Master_Data!L312</f>
        <v>0.55000000000000004</v>
      </c>
      <c r="M312">
        <f>Master_Data!M312</f>
        <v>0.19400000000000001</v>
      </c>
      <c r="N312">
        <f>Master_Data!N312</f>
        <v>4</v>
      </c>
      <c r="O312">
        <f>Master_Data!O312</f>
        <v>40</v>
      </c>
      <c r="P312">
        <f>Master_Data!P312</f>
        <v>44</v>
      </c>
      <c r="Q312" t="str">
        <f t="shared" si="24"/>
        <v>2011</v>
      </c>
      <c r="R312" t="str">
        <f t="shared" si="25"/>
        <v>January</v>
      </c>
      <c r="S312" t="str">
        <f t="shared" si="26"/>
        <v>Weekday</v>
      </c>
      <c r="T312" t="str">
        <f t="shared" si="27"/>
        <v>Morning</v>
      </c>
      <c r="U312" t="str">
        <f t="shared" si="28"/>
        <v>Spring</v>
      </c>
      <c r="V312" t="str">
        <f t="shared" si="29"/>
        <v>Clear</v>
      </c>
    </row>
    <row r="313" spans="1:22">
      <c r="A313">
        <f>Master_Data!A313</f>
        <v>312</v>
      </c>
      <c r="B313">
        <f>Master_Data!B313</f>
        <v>40557</v>
      </c>
      <c r="C313">
        <f>Master_Data!C313</f>
        <v>1</v>
      </c>
      <c r="D313">
        <f>Master_Data!D313</f>
        <v>0</v>
      </c>
      <c r="E313">
        <f>Master_Data!E313</f>
        <v>1</v>
      </c>
      <c r="F313">
        <f>Master_Data!F313</f>
        <v>11</v>
      </c>
      <c r="G313" t="b">
        <f>Master_Data!G313</f>
        <v>0</v>
      </c>
      <c r="H313">
        <f>Master_Data!H313</f>
        <v>5</v>
      </c>
      <c r="I313">
        <f>Master_Data!I313</f>
        <v>1</v>
      </c>
      <c r="J313">
        <f>Master_Data!J313</f>
        <v>0.18</v>
      </c>
      <c r="K313">
        <f>Master_Data!K313</f>
        <v>0.16669999999999999</v>
      </c>
      <c r="L313">
        <f>Master_Data!L313</f>
        <v>0.51</v>
      </c>
      <c r="M313">
        <f>Master_Data!M313</f>
        <v>0.28360000000000002</v>
      </c>
      <c r="N313">
        <f>Master_Data!N313</f>
        <v>6</v>
      </c>
      <c r="O313">
        <f>Master_Data!O313</f>
        <v>47</v>
      </c>
      <c r="P313">
        <f>Master_Data!P313</f>
        <v>53</v>
      </c>
      <c r="Q313" t="str">
        <f t="shared" si="24"/>
        <v>2011</v>
      </c>
      <c r="R313" t="str">
        <f t="shared" si="25"/>
        <v>January</v>
      </c>
      <c r="S313" t="str">
        <f t="shared" si="26"/>
        <v>Weekday</v>
      </c>
      <c r="T313" t="str">
        <f t="shared" si="27"/>
        <v>Morning</v>
      </c>
      <c r="U313" t="str">
        <f t="shared" si="28"/>
        <v>Spring</v>
      </c>
      <c r="V313" t="str">
        <f t="shared" si="29"/>
        <v>Clear</v>
      </c>
    </row>
    <row r="314" spans="1:22">
      <c r="A314">
        <f>Master_Data!A314</f>
        <v>313</v>
      </c>
      <c r="B314">
        <f>Master_Data!B314</f>
        <v>40557</v>
      </c>
      <c r="C314">
        <f>Master_Data!C314</f>
        <v>1</v>
      </c>
      <c r="D314">
        <f>Master_Data!D314</f>
        <v>0</v>
      </c>
      <c r="E314">
        <f>Master_Data!E314</f>
        <v>1</v>
      </c>
      <c r="F314">
        <f>Master_Data!F314</f>
        <v>12</v>
      </c>
      <c r="G314" t="b">
        <f>Master_Data!G314</f>
        <v>0</v>
      </c>
      <c r="H314">
        <f>Master_Data!H314</f>
        <v>5</v>
      </c>
      <c r="I314">
        <f>Master_Data!I314</f>
        <v>1</v>
      </c>
      <c r="J314">
        <f>Master_Data!J314</f>
        <v>0.2</v>
      </c>
      <c r="K314">
        <f>Master_Data!K314</f>
        <v>0.19700000000000001</v>
      </c>
      <c r="L314">
        <f>Master_Data!L314</f>
        <v>0.44</v>
      </c>
      <c r="M314">
        <f>Master_Data!M314</f>
        <v>0.25369999999999998</v>
      </c>
      <c r="N314">
        <f>Master_Data!N314</f>
        <v>2</v>
      </c>
      <c r="O314">
        <f>Master_Data!O314</f>
        <v>59</v>
      </c>
      <c r="P314">
        <f>Master_Data!P314</f>
        <v>61</v>
      </c>
      <c r="Q314" t="str">
        <f t="shared" si="24"/>
        <v>2011</v>
      </c>
      <c r="R314" t="str">
        <f t="shared" si="25"/>
        <v>January</v>
      </c>
      <c r="S314" t="str">
        <f t="shared" si="26"/>
        <v>Weekday</v>
      </c>
      <c r="T314" t="str">
        <f t="shared" si="27"/>
        <v>Afternoon</v>
      </c>
      <c r="U314" t="str">
        <f t="shared" si="28"/>
        <v>Spring</v>
      </c>
      <c r="V314" t="str">
        <f t="shared" si="29"/>
        <v>Clear</v>
      </c>
    </row>
    <row r="315" spans="1:22">
      <c r="A315">
        <f>Master_Data!A315</f>
        <v>314</v>
      </c>
      <c r="B315">
        <f>Master_Data!B315</f>
        <v>40557</v>
      </c>
      <c r="C315">
        <f>Master_Data!C315</f>
        <v>1</v>
      </c>
      <c r="D315">
        <f>Master_Data!D315</f>
        <v>0</v>
      </c>
      <c r="E315">
        <f>Master_Data!E315</f>
        <v>1</v>
      </c>
      <c r="F315">
        <f>Master_Data!F315</f>
        <v>13</v>
      </c>
      <c r="G315" t="b">
        <f>Master_Data!G315</f>
        <v>0</v>
      </c>
      <c r="H315">
        <f>Master_Data!H315</f>
        <v>5</v>
      </c>
      <c r="I315">
        <f>Master_Data!I315</f>
        <v>1</v>
      </c>
      <c r="J315">
        <f>Master_Data!J315</f>
        <v>0.22</v>
      </c>
      <c r="K315">
        <f>Master_Data!K315</f>
        <v>0.19700000000000001</v>
      </c>
      <c r="L315">
        <f>Master_Data!L315</f>
        <v>0.37</v>
      </c>
      <c r="M315">
        <f>Master_Data!M315</f>
        <v>0.3881</v>
      </c>
      <c r="N315">
        <f>Master_Data!N315</f>
        <v>4</v>
      </c>
      <c r="O315">
        <f>Master_Data!O315</f>
        <v>73</v>
      </c>
      <c r="P315">
        <f>Master_Data!P315</f>
        <v>77</v>
      </c>
      <c r="Q315" t="str">
        <f t="shared" si="24"/>
        <v>2011</v>
      </c>
      <c r="R315" t="str">
        <f t="shared" si="25"/>
        <v>January</v>
      </c>
      <c r="S315" t="str">
        <f t="shared" si="26"/>
        <v>Weekday</v>
      </c>
      <c r="T315" t="str">
        <f t="shared" si="27"/>
        <v>Afternoon</v>
      </c>
      <c r="U315" t="str">
        <f t="shared" si="28"/>
        <v>Spring</v>
      </c>
      <c r="V315" t="str">
        <f t="shared" si="29"/>
        <v>Clear</v>
      </c>
    </row>
    <row r="316" spans="1:22">
      <c r="A316">
        <f>Master_Data!A316</f>
        <v>315</v>
      </c>
      <c r="B316">
        <f>Master_Data!B316</f>
        <v>40557</v>
      </c>
      <c r="C316">
        <f>Master_Data!C316</f>
        <v>1</v>
      </c>
      <c r="D316">
        <f>Master_Data!D316</f>
        <v>0</v>
      </c>
      <c r="E316">
        <f>Master_Data!E316</f>
        <v>1</v>
      </c>
      <c r="F316">
        <f>Master_Data!F316</f>
        <v>14</v>
      </c>
      <c r="G316" t="b">
        <f>Master_Data!G316</f>
        <v>0</v>
      </c>
      <c r="H316">
        <f>Master_Data!H316</f>
        <v>5</v>
      </c>
      <c r="I316">
        <f>Master_Data!I316</f>
        <v>1</v>
      </c>
      <c r="J316">
        <f>Master_Data!J316</f>
        <v>0.22</v>
      </c>
      <c r="K316">
        <f>Master_Data!K316</f>
        <v>0.21210000000000001</v>
      </c>
      <c r="L316">
        <f>Master_Data!L316</f>
        <v>0.41</v>
      </c>
      <c r="M316">
        <f>Master_Data!M316</f>
        <v>0.28360000000000002</v>
      </c>
      <c r="N316">
        <f>Master_Data!N316</f>
        <v>5</v>
      </c>
      <c r="O316">
        <f>Master_Data!O316</f>
        <v>59</v>
      </c>
      <c r="P316">
        <f>Master_Data!P316</f>
        <v>64</v>
      </c>
      <c r="Q316" t="str">
        <f t="shared" si="24"/>
        <v>2011</v>
      </c>
      <c r="R316" t="str">
        <f t="shared" si="25"/>
        <v>January</v>
      </c>
      <c r="S316" t="str">
        <f t="shared" si="26"/>
        <v>Weekday</v>
      </c>
      <c r="T316" t="str">
        <f t="shared" si="27"/>
        <v>Afternoon</v>
      </c>
      <c r="U316" t="str">
        <f t="shared" si="28"/>
        <v>Spring</v>
      </c>
      <c r="V316" t="str">
        <f t="shared" si="29"/>
        <v>Clear</v>
      </c>
    </row>
    <row r="317" spans="1:22">
      <c r="A317">
        <f>Master_Data!A317</f>
        <v>316</v>
      </c>
      <c r="B317">
        <f>Master_Data!B317</f>
        <v>40557</v>
      </c>
      <c r="C317">
        <f>Master_Data!C317</f>
        <v>1</v>
      </c>
      <c r="D317">
        <f>Master_Data!D317</f>
        <v>0</v>
      </c>
      <c r="E317">
        <f>Master_Data!E317</f>
        <v>1</v>
      </c>
      <c r="F317">
        <f>Master_Data!F317</f>
        <v>15</v>
      </c>
      <c r="G317" t="b">
        <f>Master_Data!G317</f>
        <v>0</v>
      </c>
      <c r="H317">
        <f>Master_Data!H317</f>
        <v>5</v>
      </c>
      <c r="I317">
        <f>Master_Data!I317</f>
        <v>1</v>
      </c>
      <c r="J317">
        <f>Master_Data!J317</f>
        <v>0.24</v>
      </c>
      <c r="K317">
        <f>Master_Data!K317</f>
        <v>0.2424</v>
      </c>
      <c r="L317">
        <f>Master_Data!L317</f>
        <v>0.38</v>
      </c>
      <c r="M317">
        <f>Master_Data!M317</f>
        <v>0.16420000000000001</v>
      </c>
      <c r="N317">
        <f>Master_Data!N317</f>
        <v>9</v>
      </c>
      <c r="O317">
        <f>Master_Data!O317</f>
        <v>59</v>
      </c>
      <c r="P317">
        <f>Master_Data!P317</f>
        <v>68</v>
      </c>
      <c r="Q317" t="str">
        <f t="shared" si="24"/>
        <v>2011</v>
      </c>
      <c r="R317" t="str">
        <f t="shared" si="25"/>
        <v>January</v>
      </c>
      <c r="S317" t="str">
        <f t="shared" si="26"/>
        <v>Weekday</v>
      </c>
      <c r="T317" t="str">
        <f t="shared" si="27"/>
        <v>Afternoon</v>
      </c>
      <c r="U317" t="str">
        <f t="shared" si="28"/>
        <v>Spring</v>
      </c>
      <c r="V317" t="str">
        <f t="shared" si="29"/>
        <v>Clear</v>
      </c>
    </row>
    <row r="318" spans="1:22">
      <c r="A318">
        <f>Master_Data!A318</f>
        <v>317</v>
      </c>
      <c r="B318">
        <f>Master_Data!B318</f>
        <v>40557</v>
      </c>
      <c r="C318">
        <f>Master_Data!C318</f>
        <v>1</v>
      </c>
      <c r="D318">
        <f>Master_Data!D318</f>
        <v>0</v>
      </c>
      <c r="E318">
        <f>Master_Data!E318</f>
        <v>1</v>
      </c>
      <c r="F318">
        <f>Master_Data!F318</f>
        <v>16</v>
      </c>
      <c r="G318" t="b">
        <f>Master_Data!G318</f>
        <v>0</v>
      </c>
      <c r="H318">
        <f>Master_Data!H318</f>
        <v>5</v>
      </c>
      <c r="I318">
        <f>Master_Data!I318</f>
        <v>1</v>
      </c>
      <c r="J318">
        <f>Master_Data!J318</f>
        <v>0.22</v>
      </c>
      <c r="K318">
        <f>Master_Data!K318</f>
        <v>0.2424</v>
      </c>
      <c r="L318">
        <f>Master_Data!L318</f>
        <v>0.41</v>
      </c>
      <c r="M318">
        <f>Master_Data!M318</f>
        <v>0.1045</v>
      </c>
      <c r="N318">
        <f>Master_Data!N318</f>
        <v>3</v>
      </c>
      <c r="O318">
        <f>Master_Data!O318</f>
        <v>87</v>
      </c>
      <c r="P318">
        <f>Master_Data!P318</f>
        <v>90</v>
      </c>
      <c r="Q318" t="str">
        <f t="shared" si="24"/>
        <v>2011</v>
      </c>
      <c r="R318" t="str">
        <f t="shared" si="25"/>
        <v>January</v>
      </c>
      <c r="S318" t="str">
        <f t="shared" si="26"/>
        <v>Weekday</v>
      </c>
      <c r="T318" t="str">
        <f t="shared" si="27"/>
        <v>Afternoon</v>
      </c>
      <c r="U318" t="str">
        <f t="shared" si="28"/>
        <v>Spring</v>
      </c>
      <c r="V318" t="str">
        <f t="shared" si="29"/>
        <v>Clear</v>
      </c>
    </row>
    <row r="319" spans="1:22">
      <c r="A319">
        <f>Master_Data!A319</f>
        <v>318</v>
      </c>
      <c r="B319">
        <f>Master_Data!B319</f>
        <v>40557</v>
      </c>
      <c r="C319">
        <f>Master_Data!C319</f>
        <v>1</v>
      </c>
      <c r="D319">
        <f>Master_Data!D319</f>
        <v>0</v>
      </c>
      <c r="E319">
        <f>Master_Data!E319</f>
        <v>1</v>
      </c>
      <c r="F319">
        <f>Master_Data!F319</f>
        <v>17</v>
      </c>
      <c r="G319" t="b">
        <f>Master_Data!G319</f>
        <v>0</v>
      </c>
      <c r="H319">
        <f>Master_Data!H319</f>
        <v>5</v>
      </c>
      <c r="I319">
        <f>Master_Data!I319</f>
        <v>1</v>
      </c>
      <c r="J319">
        <f>Master_Data!J319</f>
        <v>0.22</v>
      </c>
      <c r="K319">
        <f>Master_Data!K319</f>
        <v>0.2273</v>
      </c>
      <c r="L319">
        <f>Master_Data!L319</f>
        <v>0.41</v>
      </c>
      <c r="M319">
        <f>Master_Data!M319</f>
        <v>0.16420000000000001</v>
      </c>
      <c r="N319">
        <f>Master_Data!N319</f>
        <v>4</v>
      </c>
      <c r="O319">
        <f>Master_Data!O319</f>
        <v>155</v>
      </c>
      <c r="P319">
        <f>Master_Data!P319</f>
        <v>159</v>
      </c>
      <c r="Q319" t="str">
        <f t="shared" si="24"/>
        <v>2011</v>
      </c>
      <c r="R319" t="str">
        <f t="shared" si="25"/>
        <v>January</v>
      </c>
      <c r="S319" t="str">
        <f t="shared" si="26"/>
        <v>Weekday</v>
      </c>
      <c r="T319" t="str">
        <f t="shared" si="27"/>
        <v>Evening</v>
      </c>
      <c r="U319" t="str">
        <f t="shared" si="28"/>
        <v>Spring</v>
      </c>
      <c r="V319" t="str">
        <f t="shared" si="29"/>
        <v>Clear</v>
      </c>
    </row>
    <row r="320" spans="1:22">
      <c r="A320">
        <f>Master_Data!A320</f>
        <v>319</v>
      </c>
      <c r="B320">
        <f>Master_Data!B320</f>
        <v>40557</v>
      </c>
      <c r="C320">
        <f>Master_Data!C320</f>
        <v>1</v>
      </c>
      <c r="D320">
        <f>Master_Data!D320</f>
        <v>0</v>
      </c>
      <c r="E320">
        <f>Master_Data!E320</f>
        <v>1</v>
      </c>
      <c r="F320">
        <f>Master_Data!F320</f>
        <v>18</v>
      </c>
      <c r="G320" t="b">
        <f>Master_Data!G320</f>
        <v>0</v>
      </c>
      <c r="H320">
        <f>Master_Data!H320</f>
        <v>5</v>
      </c>
      <c r="I320">
        <f>Master_Data!I320</f>
        <v>1</v>
      </c>
      <c r="J320">
        <f>Master_Data!J320</f>
        <v>0.2</v>
      </c>
      <c r="K320">
        <f>Master_Data!K320</f>
        <v>0.2576</v>
      </c>
      <c r="L320">
        <f>Master_Data!L320</f>
        <v>0.47</v>
      </c>
      <c r="M320">
        <f>Master_Data!M320</f>
        <v>0</v>
      </c>
      <c r="N320">
        <f>Master_Data!N320</f>
        <v>5</v>
      </c>
      <c r="O320">
        <f>Master_Data!O320</f>
        <v>134</v>
      </c>
      <c r="P320">
        <f>Master_Data!P320</f>
        <v>139</v>
      </c>
      <c r="Q320" t="str">
        <f t="shared" si="24"/>
        <v>2011</v>
      </c>
      <c r="R320" t="str">
        <f t="shared" si="25"/>
        <v>January</v>
      </c>
      <c r="S320" t="str">
        <f t="shared" si="26"/>
        <v>Weekday</v>
      </c>
      <c r="T320" t="str">
        <f t="shared" si="27"/>
        <v>Evening</v>
      </c>
      <c r="U320" t="str">
        <f t="shared" si="28"/>
        <v>Spring</v>
      </c>
      <c r="V320" t="str">
        <f t="shared" si="29"/>
        <v>Clear</v>
      </c>
    </row>
    <row r="321" spans="1:22">
      <c r="A321">
        <f>Master_Data!A321</f>
        <v>320</v>
      </c>
      <c r="B321">
        <f>Master_Data!B321</f>
        <v>40557</v>
      </c>
      <c r="C321">
        <f>Master_Data!C321</f>
        <v>1</v>
      </c>
      <c r="D321">
        <f>Master_Data!D321</f>
        <v>0</v>
      </c>
      <c r="E321">
        <f>Master_Data!E321</f>
        <v>1</v>
      </c>
      <c r="F321">
        <f>Master_Data!F321</f>
        <v>19</v>
      </c>
      <c r="G321" t="b">
        <f>Master_Data!G321</f>
        <v>0</v>
      </c>
      <c r="H321">
        <f>Master_Data!H321</f>
        <v>5</v>
      </c>
      <c r="I321">
        <f>Master_Data!I321</f>
        <v>1</v>
      </c>
      <c r="J321">
        <f>Master_Data!J321</f>
        <v>0.16</v>
      </c>
      <c r="K321">
        <f>Master_Data!K321</f>
        <v>0.19700000000000001</v>
      </c>
      <c r="L321">
        <f>Master_Data!L321</f>
        <v>0.59</v>
      </c>
      <c r="M321">
        <f>Master_Data!M321</f>
        <v>8.9599999999999999E-2</v>
      </c>
      <c r="N321">
        <f>Master_Data!N321</f>
        <v>3</v>
      </c>
      <c r="O321">
        <f>Master_Data!O321</f>
        <v>89</v>
      </c>
      <c r="P321">
        <f>Master_Data!P321</f>
        <v>92</v>
      </c>
      <c r="Q321" t="str">
        <f t="shared" si="24"/>
        <v>2011</v>
      </c>
      <c r="R321" t="str">
        <f t="shared" si="25"/>
        <v>January</v>
      </c>
      <c r="S321" t="str">
        <f t="shared" si="26"/>
        <v>Weekday</v>
      </c>
      <c r="T321" t="str">
        <f t="shared" si="27"/>
        <v>Evening</v>
      </c>
      <c r="U321" t="str">
        <f t="shared" si="28"/>
        <v>Spring</v>
      </c>
      <c r="V321" t="str">
        <f t="shared" si="29"/>
        <v>Clear</v>
      </c>
    </row>
    <row r="322" spans="1:22">
      <c r="A322">
        <f>Master_Data!A322</f>
        <v>321</v>
      </c>
      <c r="B322">
        <f>Master_Data!B322</f>
        <v>40557</v>
      </c>
      <c r="C322">
        <f>Master_Data!C322</f>
        <v>1</v>
      </c>
      <c r="D322">
        <f>Master_Data!D322</f>
        <v>0</v>
      </c>
      <c r="E322">
        <f>Master_Data!E322</f>
        <v>1</v>
      </c>
      <c r="F322">
        <f>Master_Data!F322</f>
        <v>20</v>
      </c>
      <c r="G322" t="b">
        <f>Master_Data!G322</f>
        <v>0</v>
      </c>
      <c r="H322">
        <f>Master_Data!H322</f>
        <v>5</v>
      </c>
      <c r="I322">
        <f>Master_Data!I322</f>
        <v>1</v>
      </c>
      <c r="J322">
        <f>Master_Data!J322</f>
        <v>0.18</v>
      </c>
      <c r="K322">
        <f>Master_Data!K322</f>
        <v>0.2424</v>
      </c>
      <c r="L322">
        <f>Master_Data!L322</f>
        <v>0.59</v>
      </c>
      <c r="M322">
        <f>Master_Data!M322</f>
        <v>0</v>
      </c>
      <c r="N322">
        <f>Master_Data!N322</f>
        <v>0</v>
      </c>
      <c r="O322">
        <f>Master_Data!O322</f>
        <v>68</v>
      </c>
      <c r="P322">
        <f>Master_Data!P322</f>
        <v>68</v>
      </c>
      <c r="Q322" t="str">
        <f t="shared" ref="Q322:Q385" si="30">IF(D322=0,"2011","2012")</f>
        <v>2011</v>
      </c>
      <c r="R322" t="str">
        <f t="shared" ref="R322:R385" si="31">TEXT(B322,"mmmm")</f>
        <v>January</v>
      </c>
      <c r="S322" t="str">
        <f t="shared" ref="S322:S385" si="32">IF(G322=TRUE,"Holiday",IF(H322=0,"Sunday",IF(H322=6,"Saturday","Weekday")))</f>
        <v>Weekday</v>
      </c>
      <c r="T322" t="str">
        <f t="shared" ref="T322:T385" si="33">IF(F322&lt;6,"Night",IF(F322&lt;12,"Morning",IF(F322&lt;17,"Afternoon",IF(F322&lt;21,"Evening","Night"))))</f>
        <v>Evening</v>
      </c>
      <c r="U322" t="str">
        <f t="shared" ref="U322:U385" si="34">CHOOSE(C322,"Spring","Summer","Fall","Winter")</f>
        <v>Spring</v>
      </c>
      <c r="V322" t="str">
        <f t="shared" ref="V322:V385" si="35">CHOOSE(I322,"Clear","Mist/Cloudy","Light Rain/Snow","Heavy Rain/Snow")</f>
        <v>Clear</v>
      </c>
    </row>
    <row r="323" spans="1:22">
      <c r="A323">
        <f>Master_Data!A323</f>
        <v>322</v>
      </c>
      <c r="B323">
        <f>Master_Data!B323</f>
        <v>40557</v>
      </c>
      <c r="C323">
        <f>Master_Data!C323</f>
        <v>1</v>
      </c>
      <c r="D323">
        <f>Master_Data!D323</f>
        <v>0</v>
      </c>
      <c r="E323">
        <f>Master_Data!E323</f>
        <v>1</v>
      </c>
      <c r="F323">
        <f>Master_Data!F323</f>
        <v>21</v>
      </c>
      <c r="G323" t="b">
        <f>Master_Data!G323</f>
        <v>0</v>
      </c>
      <c r="H323">
        <f>Master_Data!H323</f>
        <v>5</v>
      </c>
      <c r="I323">
        <f>Master_Data!I323</f>
        <v>1</v>
      </c>
      <c r="J323">
        <f>Master_Data!J323</f>
        <v>0.16</v>
      </c>
      <c r="K323">
        <f>Master_Data!K323</f>
        <v>0.2273</v>
      </c>
      <c r="L323">
        <f>Master_Data!L323</f>
        <v>0.69</v>
      </c>
      <c r="M323">
        <f>Master_Data!M323</f>
        <v>0</v>
      </c>
      <c r="N323">
        <f>Master_Data!N323</f>
        <v>4</v>
      </c>
      <c r="O323">
        <f>Master_Data!O323</f>
        <v>48</v>
      </c>
      <c r="P323">
        <f>Master_Data!P323</f>
        <v>52</v>
      </c>
      <c r="Q323" t="str">
        <f t="shared" si="30"/>
        <v>2011</v>
      </c>
      <c r="R323" t="str">
        <f t="shared" si="31"/>
        <v>January</v>
      </c>
      <c r="S323" t="str">
        <f t="shared" si="32"/>
        <v>Weekday</v>
      </c>
      <c r="T323" t="str">
        <f t="shared" si="33"/>
        <v>Night</v>
      </c>
      <c r="U323" t="str">
        <f t="shared" si="34"/>
        <v>Spring</v>
      </c>
      <c r="V323" t="str">
        <f t="shared" si="35"/>
        <v>Clear</v>
      </c>
    </row>
    <row r="324" spans="1:22">
      <c r="A324">
        <f>Master_Data!A324</f>
        <v>323</v>
      </c>
      <c r="B324">
        <f>Master_Data!B324</f>
        <v>40557</v>
      </c>
      <c r="C324">
        <f>Master_Data!C324</f>
        <v>1</v>
      </c>
      <c r="D324">
        <f>Master_Data!D324</f>
        <v>0</v>
      </c>
      <c r="E324">
        <f>Master_Data!E324</f>
        <v>1</v>
      </c>
      <c r="F324">
        <f>Master_Data!F324</f>
        <v>22</v>
      </c>
      <c r="G324" t="b">
        <f>Master_Data!G324</f>
        <v>0</v>
      </c>
      <c r="H324">
        <f>Master_Data!H324</f>
        <v>5</v>
      </c>
      <c r="I324">
        <f>Master_Data!I324</f>
        <v>2</v>
      </c>
      <c r="J324">
        <f>Master_Data!J324</f>
        <v>0.16</v>
      </c>
      <c r="K324">
        <f>Master_Data!K324</f>
        <v>0.2273</v>
      </c>
      <c r="L324">
        <f>Master_Data!L324</f>
        <v>0.69</v>
      </c>
      <c r="M324">
        <f>Master_Data!M324</f>
        <v>0</v>
      </c>
      <c r="N324">
        <f>Master_Data!N324</f>
        <v>2</v>
      </c>
      <c r="O324">
        <f>Master_Data!O324</f>
        <v>34</v>
      </c>
      <c r="P324">
        <f>Master_Data!P324</f>
        <v>36</v>
      </c>
      <c r="Q324" t="str">
        <f t="shared" si="30"/>
        <v>2011</v>
      </c>
      <c r="R324" t="str">
        <f t="shared" si="31"/>
        <v>January</v>
      </c>
      <c r="S324" t="str">
        <f t="shared" si="32"/>
        <v>Weekday</v>
      </c>
      <c r="T324" t="str">
        <f t="shared" si="33"/>
        <v>Night</v>
      </c>
      <c r="U324" t="str">
        <f t="shared" si="34"/>
        <v>Spring</v>
      </c>
      <c r="V324" t="str">
        <f t="shared" si="35"/>
        <v>Mist/Cloudy</v>
      </c>
    </row>
    <row r="325" spans="1:22">
      <c r="A325">
        <f>Master_Data!A325</f>
        <v>324</v>
      </c>
      <c r="B325">
        <f>Master_Data!B325</f>
        <v>40557</v>
      </c>
      <c r="C325">
        <f>Master_Data!C325</f>
        <v>1</v>
      </c>
      <c r="D325">
        <f>Master_Data!D325</f>
        <v>0</v>
      </c>
      <c r="E325">
        <f>Master_Data!E325</f>
        <v>1</v>
      </c>
      <c r="F325">
        <f>Master_Data!F325</f>
        <v>23</v>
      </c>
      <c r="G325" t="b">
        <f>Master_Data!G325</f>
        <v>0</v>
      </c>
      <c r="H325">
        <f>Master_Data!H325</f>
        <v>5</v>
      </c>
      <c r="I325">
        <f>Master_Data!I325</f>
        <v>2</v>
      </c>
      <c r="J325">
        <f>Master_Data!J325</f>
        <v>0.18</v>
      </c>
      <c r="K325">
        <f>Master_Data!K325</f>
        <v>0.2424</v>
      </c>
      <c r="L325">
        <f>Master_Data!L325</f>
        <v>0.55000000000000004</v>
      </c>
      <c r="M325">
        <f>Master_Data!M325</f>
        <v>0</v>
      </c>
      <c r="N325">
        <f>Master_Data!N325</f>
        <v>1</v>
      </c>
      <c r="O325">
        <f>Master_Data!O325</f>
        <v>26</v>
      </c>
      <c r="P325">
        <f>Master_Data!P325</f>
        <v>27</v>
      </c>
      <c r="Q325" t="str">
        <f t="shared" si="30"/>
        <v>2011</v>
      </c>
      <c r="R325" t="str">
        <f t="shared" si="31"/>
        <v>January</v>
      </c>
      <c r="S325" t="str">
        <f t="shared" si="32"/>
        <v>Weekday</v>
      </c>
      <c r="T325" t="str">
        <f t="shared" si="33"/>
        <v>Night</v>
      </c>
      <c r="U325" t="str">
        <f t="shared" si="34"/>
        <v>Spring</v>
      </c>
      <c r="V325" t="str">
        <f t="shared" si="35"/>
        <v>Mist/Cloudy</v>
      </c>
    </row>
    <row r="326" spans="1:22">
      <c r="A326">
        <f>Master_Data!A326</f>
        <v>325</v>
      </c>
      <c r="B326">
        <f>Master_Data!B326</f>
        <v>40558</v>
      </c>
      <c r="C326">
        <f>Master_Data!C326</f>
        <v>1</v>
      </c>
      <c r="D326">
        <f>Master_Data!D326</f>
        <v>0</v>
      </c>
      <c r="E326">
        <f>Master_Data!E326</f>
        <v>1</v>
      </c>
      <c r="F326">
        <f>Master_Data!F326</f>
        <v>0</v>
      </c>
      <c r="G326" t="b">
        <f>Master_Data!G326</f>
        <v>0</v>
      </c>
      <c r="H326">
        <f>Master_Data!H326</f>
        <v>6</v>
      </c>
      <c r="I326">
        <f>Master_Data!I326</f>
        <v>1</v>
      </c>
      <c r="J326">
        <f>Master_Data!J326</f>
        <v>0.18</v>
      </c>
      <c r="K326">
        <f>Master_Data!K326</f>
        <v>0.2424</v>
      </c>
      <c r="L326">
        <f>Master_Data!L326</f>
        <v>0.55000000000000004</v>
      </c>
      <c r="M326">
        <f>Master_Data!M326</f>
        <v>0</v>
      </c>
      <c r="N326">
        <f>Master_Data!N326</f>
        <v>3</v>
      </c>
      <c r="O326">
        <f>Master_Data!O326</f>
        <v>25</v>
      </c>
      <c r="P326">
        <f>Master_Data!P326</f>
        <v>28</v>
      </c>
      <c r="Q326" t="str">
        <f t="shared" si="30"/>
        <v>2011</v>
      </c>
      <c r="R326" t="str">
        <f t="shared" si="31"/>
        <v>January</v>
      </c>
      <c r="S326" t="str">
        <f t="shared" si="32"/>
        <v>Saturday</v>
      </c>
      <c r="T326" t="str">
        <f t="shared" si="33"/>
        <v>Night</v>
      </c>
      <c r="U326" t="str">
        <f t="shared" si="34"/>
        <v>Spring</v>
      </c>
      <c r="V326" t="str">
        <f t="shared" si="35"/>
        <v>Clear</v>
      </c>
    </row>
    <row r="327" spans="1:22">
      <c r="A327">
        <f>Master_Data!A327</f>
        <v>326</v>
      </c>
      <c r="B327">
        <f>Master_Data!B327</f>
        <v>40558</v>
      </c>
      <c r="C327">
        <f>Master_Data!C327</f>
        <v>1</v>
      </c>
      <c r="D327">
        <f>Master_Data!D327</f>
        <v>0</v>
      </c>
      <c r="E327">
        <f>Master_Data!E327</f>
        <v>1</v>
      </c>
      <c r="F327">
        <f>Master_Data!F327</f>
        <v>1</v>
      </c>
      <c r="G327" t="b">
        <f>Master_Data!G327</f>
        <v>0</v>
      </c>
      <c r="H327">
        <f>Master_Data!H327</f>
        <v>6</v>
      </c>
      <c r="I327">
        <f>Master_Data!I327</f>
        <v>2</v>
      </c>
      <c r="J327">
        <f>Master_Data!J327</f>
        <v>0.16</v>
      </c>
      <c r="K327">
        <f>Master_Data!K327</f>
        <v>0.19700000000000001</v>
      </c>
      <c r="L327">
        <f>Master_Data!L327</f>
        <v>0.59</v>
      </c>
      <c r="M327">
        <f>Master_Data!M327</f>
        <v>8.9599999999999999E-2</v>
      </c>
      <c r="N327">
        <f>Master_Data!N327</f>
        <v>2</v>
      </c>
      <c r="O327">
        <f>Master_Data!O327</f>
        <v>18</v>
      </c>
      <c r="P327">
        <f>Master_Data!P327</f>
        <v>20</v>
      </c>
      <c r="Q327" t="str">
        <f t="shared" si="30"/>
        <v>2011</v>
      </c>
      <c r="R327" t="str">
        <f t="shared" si="31"/>
        <v>January</v>
      </c>
      <c r="S327" t="str">
        <f t="shared" si="32"/>
        <v>Saturday</v>
      </c>
      <c r="T327" t="str">
        <f t="shared" si="33"/>
        <v>Night</v>
      </c>
      <c r="U327" t="str">
        <f t="shared" si="34"/>
        <v>Spring</v>
      </c>
      <c r="V327" t="str">
        <f t="shared" si="35"/>
        <v>Mist/Cloudy</v>
      </c>
    </row>
    <row r="328" spans="1:22">
      <c r="A328">
        <f>Master_Data!A328</f>
        <v>327</v>
      </c>
      <c r="B328">
        <f>Master_Data!B328</f>
        <v>40558</v>
      </c>
      <c r="C328">
        <f>Master_Data!C328</f>
        <v>1</v>
      </c>
      <c r="D328">
        <f>Master_Data!D328</f>
        <v>0</v>
      </c>
      <c r="E328">
        <f>Master_Data!E328</f>
        <v>1</v>
      </c>
      <c r="F328">
        <f>Master_Data!F328</f>
        <v>2</v>
      </c>
      <c r="G328" t="b">
        <f>Master_Data!G328</f>
        <v>0</v>
      </c>
      <c r="H328">
        <f>Master_Data!H328</f>
        <v>6</v>
      </c>
      <c r="I328">
        <f>Master_Data!I328</f>
        <v>2</v>
      </c>
      <c r="J328">
        <f>Master_Data!J328</f>
        <v>0.16</v>
      </c>
      <c r="K328">
        <f>Master_Data!K328</f>
        <v>0.19700000000000001</v>
      </c>
      <c r="L328">
        <f>Master_Data!L328</f>
        <v>0.59</v>
      </c>
      <c r="M328">
        <f>Master_Data!M328</f>
        <v>8.9599999999999999E-2</v>
      </c>
      <c r="N328">
        <f>Master_Data!N328</f>
        <v>0</v>
      </c>
      <c r="O328">
        <f>Master_Data!O328</f>
        <v>12</v>
      </c>
      <c r="P328">
        <f>Master_Data!P328</f>
        <v>12</v>
      </c>
      <c r="Q328" t="str">
        <f t="shared" si="30"/>
        <v>2011</v>
      </c>
      <c r="R328" t="str">
        <f t="shared" si="31"/>
        <v>January</v>
      </c>
      <c r="S328" t="str">
        <f t="shared" si="32"/>
        <v>Saturday</v>
      </c>
      <c r="T328" t="str">
        <f t="shared" si="33"/>
        <v>Night</v>
      </c>
      <c r="U328" t="str">
        <f t="shared" si="34"/>
        <v>Spring</v>
      </c>
      <c r="V328" t="str">
        <f t="shared" si="35"/>
        <v>Mist/Cloudy</v>
      </c>
    </row>
    <row r="329" spans="1:22">
      <c r="A329">
        <f>Master_Data!A329</f>
        <v>328</v>
      </c>
      <c r="B329">
        <f>Master_Data!B329</f>
        <v>40558</v>
      </c>
      <c r="C329">
        <f>Master_Data!C329</f>
        <v>1</v>
      </c>
      <c r="D329">
        <f>Master_Data!D329</f>
        <v>0</v>
      </c>
      <c r="E329">
        <f>Master_Data!E329</f>
        <v>1</v>
      </c>
      <c r="F329">
        <f>Master_Data!F329</f>
        <v>3</v>
      </c>
      <c r="G329" t="b">
        <f>Master_Data!G329</f>
        <v>0</v>
      </c>
      <c r="H329">
        <f>Master_Data!H329</f>
        <v>6</v>
      </c>
      <c r="I329">
        <f>Master_Data!I329</f>
        <v>2</v>
      </c>
      <c r="J329">
        <f>Master_Data!J329</f>
        <v>0.16</v>
      </c>
      <c r="K329">
        <f>Master_Data!K329</f>
        <v>0.2273</v>
      </c>
      <c r="L329">
        <f>Master_Data!L329</f>
        <v>0.59</v>
      </c>
      <c r="M329">
        <f>Master_Data!M329</f>
        <v>0</v>
      </c>
      <c r="N329">
        <f>Master_Data!N329</f>
        <v>1</v>
      </c>
      <c r="O329">
        <f>Master_Data!O329</f>
        <v>7</v>
      </c>
      <c r="P329">
        <f>Master_Data!P329</f>
        <v>8</v>
      </c>
      <c r="Q329" t="str">
        <f t="shared" si="30"/>
        <v>2011</v>
      </c>
      <c r="R329" t="str">
        <f t="shared" si="31"/>
        <v>January</v>
      </c>
      <c r="S329" t="str">
        <f t="shared" si="32"/>
        <v>Saturday</v>
      </c>
      <c r="T329" t="str">
        <f t="shared" si="33"/>
        <v>Night</v>
      </c>
      <c r="U329" t="str">
        <f t="shared" si="34"/>
        <v>Spring</v>
      </c>
      <c r="V329" t="str">
        <f t="shared" si="35"/>
        <v>Mist/Cloudy</v>
      </c>
    </row>
    <row r="330" spans="1:22">
      <c r="A330">
        <f>Master_Data!A330</f>
        <v>329</v>
      </c>
      <c r="B330">
        <f>Master_Data!B330</f>
        <v>40558</v>
      </c>
      <c r="C330">
        <f>Master_Data!C330</f>
        <v>1</v>
      </c>
      <c r="D330">
        <f>Master_Data!D330</f>
        <v>0</v>
      </c>
      <c r="E330">
        <f>Master_Data!E330</f>
        <v>1</v>
      </c>
      <c r="F330">
        <f>Master_Data!F330</f>
        <v>4</v>
      </c>
      <c r="G330" t="b">
        <f>Master_Data!G330</f>
        <v>0</v>
      </c>
      <c r="H330">
        <f>Master_Data!H330</f>
        <v>6</v>
      </c>
      <c r="I330">
        <f>Master_Data!I330</f>
        <v>2</v>
      </c>
      <c r="J330">
        <f>Master_Data!J330</f>
        <v>0.16</v>
      </c>
      <c r="K330">
        <f>Master_Data!K330</f>
        <v>0.2273</v>
      </c>
      <c r="L330">
        <f>Master_Data!L330</f>
        <v>0.59</v>
      </c>
      <c r="M330">
        <f>Master_Data!M330</f>
        <v>0</v>
      </c>
      <c r="N330">
        <f>Master_Data!N330</f>
        <v>0</v>
      </c>
      <c r="O330">
        <f>Master_Data!O330</f>
        <v>5</v>
      </c>
      <c r="P330">
        <f>Master_Data!P330</f>
        <v>5</v>
      </c>
      <c r="Q330" t="str">
        <f t="shared" si="30"/>
        <v>2011</v>
      </c>
      <c r="R330" t="str">
        <f t="shared" si="31"/>
        <v>January</v>
      </c>
      <c r="S330" t="str">
        <f t="shared" si="32"/>
        <v>Saturday</v>
      </c>
      <c r="T330" t="str">
        <f t="shared" si="33"/>
        <v>Night</v>
      </c>
      <c r="U330" t="str">
        <f t="shared" si="34"/>
        <v>Spring</v>
      </c>
      <c r="V330" t="str">
        <f t="shared" si="35"/>
        <v>Mist/Cloudy</v>
      </c>
    </row>
    <row r="331" spans="1:22">
      <c r="A331">
        <f>Master_Data!A331</f>
        <v>330</v>
      </c>
      <c r="B331">
        <f>Master_Data!B331</f>
        <v>40558</v>
      </c>
      <c r="C331">
        <f>Master_Data!C331</f>
        <v>1</v>
      </c>
      <c r="D331">
        <f>Master_Data!D331</f>
        <v>0</v>
      </c>
      <c r="E331">
        <f>Master_Data!E331</f>
        <v>1</v>
      </c>
      <c r="F331">
        <f>Master_Data!F331</f>
        <v>5</v>
      </c>
      <c r="G331" t="b">
        <f>Master_Data!G331</f>
        <v>0</v>
      </c>
      <c r="H331">
        <f>Master_Data!H331</f>
        <v>6</v>
      </c>
      <c r="I331">
        <f>Master_Data!I331</f>
        <v>1</v>
      </c>
      <c r="J331">
        <f>Master_Data!J331</f>
        <v>0.16</v>
      </c>
      <c r="K331">
        <f>Master_Data!K331</f>
        <v>0.2273</v>
      </c>
      <c r="L331">
        <f>Master_Data!L331</f>
        <v>0.59</v>
      </c>
      <c r="M331">
        <f>Master_Data!M331</f>
        <v>0</v>
      </c>
      <c r="N331">
        <f>Master_Data!N331</f>
        <v>0</v>
      </c>
      <c r="O331">
        <f>Master_Data!O331</f>
        <v>1</v>
      </c>
      <c r="P331">
        <f>Master_Data!P331</f>
        <v>1</v>
      </c>
      <c r="Q331" t="str">
        <f t="shared" si="30"/>
        <v>2011</v>
      </c>
      <c r="R331" t="str">
        <f t="shared" si="31"/>
        <v>January</v>
      </c>
      <c r="S331" t="str">
        <f t="shared" si="32"/>
        <v>Saturday</v>
      </c>
      <c r="T331" t="str">
        <f t="shared" si="33"/>
        <v>Night</v>
      </c>
      <c r="U331" t="str">
        <f t="shared" si="34"/>
        <v>Spring</v>
      </c>
      <c r="V331" t="str">
        <f t="shared" si="35"/>
        <v>Clear</v>
      </c>
    </row>
    <row r="332" spans="1:22">
      <c r="A332">
        <f>Master_Data!A332</f>
        <v>331</v>
      </c>
      <c r="B332">
        <f>Master_Data!B332</f>
        <v>40558</v>
      </c>
      <c r="C332">
        <f>Master_Data!C332</f>
        <v>1</v>
      </c>
      <c r="D332">
        <f>Master_Data!D332</f>
        <v>0</v>
      </c>
      <c r="E332">
        <f>Master_Data!E332</f>
        <v>1</v>
      </c>
      <c r="F332">
        <f>Master_Data!F332</f>
        <v>6</v>
      </c>
      <c r="G332" t="b">
        <f>Master_Data!G332</f>
        <v>0</v>
      </c>
      <c r="H332">
        <f>Master_Data!H332</f>
        <v>6</v>
      </c>
      <c r="I332">
        <f>Master_Data!I332</f>
        <v>1</v>
      </c>
      <c r="J332">
        <f>Master_Data!J332</f>
        <v>0.14000000000000001</v>
      </c>
      <c r="K332">
        <f>Master_Data!K332</f>
        <v>0.16669999999999999</v>
      </c>
      <c r="L332">
        <f>Master_Data!L332</f>
        <v>0.63</v>
      </c>
      <c r="M332">
        <f>Master_Data!M332</f>
        <v>0.1045</v>
      </c>
      <c r="N332">
        <f>Master_Data!N332</f>
        <v>1</v>
      </c>
      <c r="O332">
        <f>Master_Data!O332</f>
        <v>2</v>
      </c>
      <c r="P332">
        <f>Master_Data!P332</f>
        <v>3</v>
      </c>
      <c r="Q332" t="str">
        <f t="shared" si="30"/>
        <v>2011</v>
      </c>
      <c r="R332" t="str">
        <f t="shared" si="31"/>
        <v>January</v>
      </c>
      <c r="S332" t="str">
        <f t="shared" si="32"/>
        <v>Saturday</v>
      </c>
      <c r="T332" t="str">
        <f t="shared" si="33"/>
        <v>Morning</v>
      </c>
      <c r="U332" t="str">
        <f t="shared" si="34"/>
        <v>Spring</v>
      </c>
      <c r="V332" t="str">
        <f t="shared" si="35"/>
        <v>Clear</v>
      </c>
    </row>
    <row r="333" spans="1:22">
      <c r="A333">
        <f>Master_Data!A333</f>
        <v>332</v>
      </c>
      <c r="B333">
        <f>Master_Data!B333</f>
        <v>40558</v>
      </c>
      <c r="C333">
        <f>Master_Data!C333</f>
        <v>1</v>
      </c>
      <c r="D333">
        <f>Master_Data!D333</f>
        <v>0</v>
      </c>
      <c r="E333">
        <f>Master_Data!E333</f>
        <v>1</v>
      </c>
      <c r="F333">
        <f>Master_Data!F333</f>
        <v>7</v>
      </c>
      <c r="G333" t="b">
        <f>Master_Data!G333</f>
        <v>0</v>
      </c>
      <c r="H333">
        <f>Master_Data!H333</f>
        <v>6</v>
      </c>
      <c r="I333">
        <f>Master_Data!I333</f>
        <v>1</v>
      </c>
      <c r="J333">
        <f>Master_Data!J333</f>
        <v>0.14000000000000001</v>
      </c>
      <c r="K333">
        <f>Master_Data!K333</f>
        <v>0.21210000000000001</v>
      </c>
      <c r="L333">
        <f>Master_Data!L333</f>
        <v>0.63</v>
      </c>
      <c r="M333">
        <f>Master_Data!M333</f>
        <v>0</v>
      </c>
      <c r="N333">
        <f>Master_Data!N333</f>
        <v>1</v>
      </c>
      <c r="O333">
        <f>Master_Data!O333</f>
        <v>9</v>
      </c>
      <c r="P333">
        <f>Master_Data!P333</f>
        <v>10</v>
      </c>
      <c r="Q333" t="str">
        <f t="shared" si="30"/>
        <v>2011</v>
      </c>
      <c r="R333" t="str">
        <f t="shared" si="31"/>
        <v>January</v>
      </c>
      <c r="S333" t="str">
        <f t="shared" si="32"/>
        <v>Saturday</v>
      </c>
      <c r="T333" t="str">
        <f t="shared" si="33"/>
        <v>Morning</v>
      </c>
      <c r="U333" t="str">
        <f t="shared" si="34"/>
        <v>Spring</v>
      </c>
      <c r="V333" t="str">
        <f t="shared" si="35"/>
        <v>Clear</v>
      </c>
    </row>
    <row r="334" spans="1:22">
      <c r="A334">
        <f>Master_Data!A334</f>
        <v>333</v>
      </c>
      <c r="B334">
        <f>Master_Data!B334</f>
        <v>40558</v>
      </c>
      <c r="C334">
        <f>Master_Data!C334</f>
        <v>1</v>
      </c>
      <c r="D334">
        <f>Master_Data!D334</f>
        <v>0</v>
      </c>
      <c r="E334">
        <f>Master_Data!E334</f>
        <v>1</v>
      </c>
      <c r="F334">
        <f>Master_Data!F334</f>
        <v>8</v>
      </c>
      <c r="G334" t="b">
        <f>Master_Data!G334</f>
        <v>0</v>
      </c>
      <c r="H334">
        <f>Master_Data!H334</f>
        <v>6</v>
      </c>
      <c r="I334">
        <f>Master_Data!I334</f>
        <v>1</v>
      </c>
      <c r="J334">
        <f>Master_Data!J334</f>
        <v>0.14000000000000001</v>
      </c>
      <c r="K334">
        <f>Master_Data!K334</f>
        <v>0.1515</v>
      </c>
      <c r="L334">
        <f>Master_Data!L334</f>
        <v>0.63</v>
      </c>
      <c r="M334">
        <f>Master_Data!M334</f>
        <v>0.1343</v>
      </c>
      <c r="N334">
        <f>Master_Data!N334</f>
        <v>1</v>
      </c>
      <c r="O334">
        <f>Master_Data!O334</f>
        <v>22</v>
      </c>
      <c r="P334">
        <f>Master_Data!P334</f>
        <v>23</v>
      </c>
      <c r="Q334" t="str">
        <f t="shared" si="30"/>
        <v>2011</v>
      </c>
      <c r="R334" t="str">
        <f t="shared" si="31"/>
        <v>January</v>
      </c>
      <c r="S334" t="str">
        <f t="shared" si="32"/>
        <v>Saturday</v>
      </c>
      <c r="T334" t="str">
        <f t="shared" si="33"/>
        <v>Morning</v>
      </c>
      <c r="U334" t="str">
        <f t="shared" si="34"/>
        <v>Spring</v>
      </c>
      <c r="V334" t="str">
        <f t="shared" si="35"/>
        <v>Clear</v>
      </c>
    </row>
    <row r="335" spans="1:22">
      <c r="A335">
        <f>Master_Data!A335</f>
        <v>334</v>
      </c>
      <c r="B335">
        <f>Master_Data!B335</f>
        <v>40558</v>
      </c>
      <c r="C335">
        <f>Master_Data!C335</f>
        <v>1</v>
      </c>
      <c r="D335">
        <f>Master_Data!D335</f>
        <v>0</v>
      </c>
      <c r="E335">
        <f>Master_Data!E335</f>
        <v>1</v>
      </c>
      <c r="F335">
        <f>Master_Data!F335</f>
        <v>9</v>
      </c>
      <c r="G335" t="b">
        <f>Master_Data!G335</f>
        <v>0</v>
      </c>
      <c r="H335">
        <f>Master_Data!H335</f>
        <v>6</v>
      </c>
      <c r="I335">
        <f>Master_Data!I335</f>
        <v>1</v>
      </c>
      <c r="J335">
        <f>Master_Data!J335</f>
        <v>0.16</v>
      </c>
      <c r="K335">
        <f>Master_Data!K335</f>
        <v>0.18179999999999999</v>
      </c>
      <c r="L335">
        <f>Master_Data!L335</f>
        <v>0.64</v>
      </c>
      <c r="M335">
        <f>Master_Data!M335</f>
        <v>0.1343</v>
      </c>
      <c r="N335">
        <f>Master_Data!N335</f>
        <v>2</v>
      </c>
      <c r="O335">
        <f>Master_Data!O335</f>
        <v>31</v>
      </c>
      <c r="P335">
        <f>Master_Data!P335</f>
        <v>33</v>
      </c>
      <c r="Q335" t="str">
        <f t="shared" si="30"/>
        <v>2011</v>
      </c>
      <c r="R335" t="str">
        <f t="shared" si="31"/>
        <v>January</v>
      </c>
      <c r="S335" t="str">
        <f t="shared" si="32"/>
        <v>Saturday</v>
      </c>
      <c r="T335" t="str">
        <f t="shared" si="33"/>
        <v>Morning</v>
      </c>
      <c r="U335" t="str">
        <f t="shared" si="34"/>
        <v>Spring</v>
      </c>
      <c r="V335" t="str">
        <f t="shared" si="35"/>
        <v>Clear</v>
      </c>
    </row>
    <row r="336" spans="1:22">
      <c r="A336">
        <f>Master_Data!A336</f>
        <v>335</v>
      </c>
      <c r="B336">
        <f>Master_Data!B336</f>
        <v>40558</v>
      </c>
      <c r="C336">
        <f>Master_Data!C336</f>
        <v>1</v>
      </c>
      <c r="D336">
        <f>Master_Data!D336</f>
        <v>0</v>
      </c>
      <c r="E336">
        <f>Master_Data!E336</f>
        <v>1</v>
      </c>
      <c r="F336">
        <f>Master_Data!F336</f>
        <v>10</v>
      </c>
      <c r="G336" t="b">
        <f>Master_Data!G336</f>
        <v>0</v>
      </c>
      <c r="H336">
        <f>Master_Data!H336</f>
        <v>6</v>
      </c>
      <c r="I336">
        <f>Master_Data!I336</f>
        <v>1</v>
      </c>
      <c r="J336">
        <f>Master_Data!J336</f>
        <v>0.18</v>
      </c>
      <c r="K336">
        <f>Master_Data!K336</f>
        <v>0.19700000000000001</v>
      </c>
      <c r="L336">
        <f>Master_Data!L336</f>
        <v>0.59</v>
      </c>
      <c r="M336">
        <f>Master_Data!M336</f>
        <v>0.16420000000000001</v>
      </c>
      <c r="N336">
        <f>Master_Data!N336</f>
        <v>2</v>
      </c>
      <c r="O336">
        <f>Master_Data!O336</f>
        <v>57</v>
      </c>
      <c r="P336">
        <f>Master_Data!P336</f>
        <v>59</v>
      </c>
      <c r="Q336" t="str">
        <f t="shared" si="30"/>
        <v>2011</v>
      </c>
      <c r="R336" t="str">
        <f t="shared" si="31"/>
        <v>January</v>
      </c>
      <c r="S336" t="str">
        <f t="shared" si="32"/>
        <v>Saturday</v>
      </c>
      <c r="T336" t="str">
        <f t="shared" si="33"/>
        <v>Morning</v>
      </c>
      <c r="U336" t="str">
        <f t="shared" si="34"/>
        <v>Spring</v>
      </c>
      <c r="V336" t="str">
        <f t="shared" si="35"/>
        <v>Clear</v>
      </c>
    </row>
    <row r="337" spans="1:22">
      <c r="A337">
        <f>Master_Data!A337</f>
        <v>336</v>
      </c>
      <c r="B337">
        <f>Master_Data!B337</f>
        <v>40558</v>
      </c>
      <c r="C337">
        <f>Master_Data!C337</f>
        <v>1</v>
      </c>
      <c r="D337">
        <f>Master_Data!D337</f>
        <v>0</v>
      </c>
      <c r="E337">
        <f>Master_Data!E337</f>
        <v>1</v>
      </c>
      <c r="F337">
        <f>Master_Data!F337</f>
        <v>11</v>
      </c>
      <c r="G337" t="b">
        <f>Master_Data!G337</f>
        <v>0</v>
      </c>
      <c r="H337">
        <f>Master_Data!H337</f>
        <v>6</v>
      </c>
      <c r="I337">
        <f>Master_Data!I337</f>
        <v>1</v>
      </c>
      <c r="J337">
        <f>Master_Data!J337</f>
        <v>0.2</v>
      </c>
      <c r="K337">
        <f>Master_Data!K337</f>
        <v>0.19700000000000001</v>
      </c>
      <c r="L337">
        <f>Master_Data!L337</f>
        <v>0.55000000000000004</v>
      </c>
      <c r="M337">
        <f>Master_Data!M337</f>
        <v>0.22389999999999999</v>
      </c>
      <c r="N337">
        <f>Master_Data!N337</f>
        <v>18</v>
      </c>
      <c r="O337">
        <f>Master_Data!O337</f>
        <v>54</v>
      </c>
      <c r="P337">
        <f>Master_Data!P337</f>
        <v>72</v>
      </c>
      <c r="Q337" t="str">
        <f t="shared" si="30"/>
        <v>2011</v>
      </c>
      <c r="R337" t="str">
        <f t="shared" si="31"/>
        <v>January</v>
      </c>
      <c r="S337" t="str">
        <f t="shared" si="32"/>
        <v>Saturday</v>
      </c>
      <c r="T337" t="str">
        <f t="shared" si="33"/>
        <v>Morning</v>
      </c>
      <c r="U337" t="str">
        <f t="shared" si="34"/>
        <v>Spring</v>
      </c>
      <c r="V337" t="str">
        <f t="shared" si="35"/>
        <v>Clear</v>
      </c>
    </row>
    <row r="338" spans="1:22">
      <c r="A338">
        <f>Master_Data!A338</f>
        <v>337</v>
      </c>
      <c r="B338">
        <f>Master_Data!B338</f>
        <v>40558</v>
      </c>
      <c r="C338">
        <f>Master_Data!C338</f>
        <v>1</v>
      </c>
      <c r="D338">
        <f>Master_Data!D338</f>
        <v>0</v>
      </c>
      <c r="E338">
        <f>Master_Data!E338</f>
        <v>1</v>
      </c>
      <c r="F338">
        <f>Master_Data!F338</f>
        <v>12</v>
      </c>
      <c r="G338" t="b">
        <f>Master_Data!G338</f>
        <v>0</v>
      </c>
      <c r="H338">
        <f>Master_Data!H338</f>
        <v>6</v>
      </c>
      <c r="I338">
        <f>Master_Data!I338</f>
        <v>1</v>
      </c>
      <c r="J338">
        <f>Master_Data!J338</f>
        <v>0.24</v>
      </c>
      <c r="K338">
        <f>Master_Data!K338</f>
        <v>0.2273</v>
      </c>
      <c r="L338">
        <f>Master_Data!L338</f>
        <v>0.48</v>
      </c>
      <c r="M338">
        <f>Master_Data!M338</f>
        <v>0.22389999999999999</v>
      </c>
      <c r="N338">
        <f>Master_Data!N338</f>
        <v>15</v>
      </c>
      <c r="O338">
        <f>Master_Data!O338</f>
        <v>74</v>
      </c>
      <c r="P338">
        <f>Master_Data!P338</f>
        <v>89</v>
      </c>
      <c r="Q338" t="str">
        <f t="shared" si="30"/>
        <v>2011</v>
      </c>
      <c r="R338" t="str">
        <f t="shared" si="31"/>
        <v>January</v>
      </c>
      <c r="S338" t="str">
        <f t="shared" si="32"/>
        <v>Saturday</v>
      </c>
      <c r="T338" t="str">
        <f t="shared" si="33"/>
        <v>Afternoon</v>
      </c>
      <c r="U338" t="str">
        <f t="shared" si="34"/>
        <v>Spring</v>
      </c>
      <c r="V338" t="str">
        <f t="shared" si="35"/>
        <v>Clear</v>
      </c>
    </row>
    <row r="339" spans="1:22">
      <c r="A339">
        <f>Master_Data!A339</f>
        <v>338</v>
      </c>
      <c r="B339">
        <f>Master_Data!B339</f>
        <v>40558</v>
      </c>
      <c r="C339">
        <f>Master_Data!C339</f>
        <v>1</v>
      </c>
      <c r="D339">
        <f>Master_Data!D339</f>
        <v>0</v>
      </c>
      <c r="E339">
        <f>Master_Data!E339</f>
        <v>1</v>
      </c>
      <c r="F339">
        <f>Master_Data!F339</f>
        <v>13</v>
      </c>
      <c r="G339" t="b">
        <f>Master_Data!G339</f>
        <v>0</v>
      </c>
      <c r="H339">
        <f>Master_Data!H339</f>
        <v>6</v>
      </c>
      <c r="I339">
        <f>Master_Data!I339</f>
        <v>1</v>
      </c>
      <c r="J339">
        <f>Master_Data!J339</f>
        <v>0.28000000000000003</v>
      </c>
      <c r="K339">
        <f>Master_Data!K339</f>
        <v>0.2576</v>
      </c>
      <c r="L339">
        <f>Master_Data!L339</f>
        <v>0.38</v>
      </c>
      <c r="M339">
        <f>Master_Data!M339</f>
        <v>0.29849999999999999</v>
      </c>
      <c r="N339">
        <f>Master_Data!N339</f>
        <v>21</v>
      </c>
      <c r="O339">
        <f>Master_Data!O339</f>
        <v>80</v>
      </c>
      <c r="P339">
        <f>Master_Data!P339</f>
        <v>101</v>
      </c>
      <c r="Q339" t="str">
        <f t="shared" si="30"/>
        <v>2011</v>
      </c>
      <c r="R339" t="str">
        <f t="shared" si="31"/>
        <v>January</v>
      </c>
      <c r="S339" t="str">
        <f t="shared" si="32"/>
        <v>Saturday</v>
      </c>
      <c r="T339" t="str">
        <f t="shared" si="33"/>
        <v>Afternoon</v>
      </c>
      <c r="U339" t="str">
        <f t="shared" si="34"/>
        <v>Spring</v>
      </c>
      <c r="V339" t="str">
        <f t="shared" si="35"/>
        <v>Clear</v>
      </c>
    </row>
    <row r="340" spans="1:22">
      <c r="A340">
        <f>Master_Data!A340</f>
        <v>339</v>
      </c>
      <c r="B340">
        <f>Master_Data!B340</f>
        <v>40558</v>
      </c>
      <c r="C340">
        <f>Master_Data!C340</f>
        <v>1</v>
      </c>
      <c r="D340">
        <f>Master_Data!D340</f>
        <v>0</v>
      </c>
      <c r="E340">
        <f>Master_Data!E340</f>
        <v>1</v>
      </c>
      <c r="F340">
        <f>Master_Data!F340</f>
        <v>14</v>
      </c>
      <c r="G340" t="b">
        <f>Master_Data!G340</f>
        <v>0</v>
      </c>
      <c r="H340">
        <f>Master_Data!H340</f>
        <v>6</v>
      </c>
      <c r="I340">
        <f>Master_Data!I340</f>
        <v>1</v>
      </c>
      <c r="J340">
        <f>Master_Data!J340</f>
        <v>0.3</v>
      </c>
      <c r="K340">
        <f>Master_Data!K340</f>
        <v>0.28789999999999999</v>
      </c>
      <c r="L340">
        <f>Master_Data!L340</f>
        <v>0.39</v>
      </c>
      <c r="M340">
        <f>Master_Data!M340</f>
        <v>0.28360000000000002</v>
      </c>
      <c r="N340">
        <f>Master_Data!N340</f>
        <v>26</v>
      </c>
      <c r="O340">
        <f>Master_Data!O340</f>
        <v>92</v>
      </c>
      <c r="P340">
        <f>Master_Data!P340</f>
        <v>118</v>
      </c>
      <c r="Q340" t="str">
        <f t="shared" si="30"/>
        <v>2011</v>
      </c>
      <c r="R340" t="str">
        <f t="shared" si="31"/>
        <v>January</v>
      </c>
      <c r="S340" t="str">
        <f t="shared" si="32"/>
        <v>Saturday</v>
      </c>
      <c r="T340" t="str">
        <f t="shared" si="33"/>
        <v>Afternoon</v>
      </c>
      <c r="U340" t="str">
        <f t="shared" si="34"/>
        <v>Spring</v>
      </c>
      <c r="V340" t="str">
        <f t="shared" si="35"/>
        <v>Clear</v>
      </c>
    </row>
    <row r="341" spans="1:22">
      <c r="A341">
        <f>Master_Data!A341</f>
        <v>340</v>
      </c>
      <c r="B341">
        <f>Master_Data!B341</f>
        <v>40558</v>
      </c>
      <c r="C341">
        <f>Master_Data!C341</f>
        <v>1</v>
      </c>
      <c r="D341">
        <f>Master_Data!D341</f>
        <v>0</v>
      </c>
      <c r="E341">
        <f>Master_Data!E341</f>
        <v>1</v>
      </c>
      <c r="F341">
        <f>Master_Data!F341</f>
        <v>15</v>
      </c>
      <c r="G341" t="b">
        <f>Master_Data!G341</f>
        <v>0</v>
      </c>
      <c r="H341">
        <f>Master_Data!H341</f>
        <v>6</v>
      </c>
      <c r="I341">
        <f>Master_Data!I341</f>
        <v>2</v>
      </c>
      <c r="J341">
        <f>Master_Data!J341</f>
        <v>0.32</v>
      </c>
      <c r="K341">
        <f>Master_Data!K341</f>
        <v>0.31819999999999998</v>
      </c>
      <c r="L341">
        <f>Master_Data!L341</f>
        <v>0.36</v>
      </c>
      <c r="M341">
        <f>Master_Data!M341</f>
        <v>0.19400000000000001</v>
      </c>
      <c r="N341">
        <f>Master_Data!N341</f>
        <v>21</v>
      </c>
      <c r="O341">
        <f>Master_Data!O341</f>
        <v>108</v>
      </c>
      <c r="P341">
        <f>Master_Data!P341</f>
        <v>129</v>
      </c>
      <c r="Q341" t="str">
        <f t="shared" si="30"/>
        <v>2011</v>
      </c>
      <c r="R341" t="str">
        <f t="shared" si="31"/>
        <v>January</v>
      </c>
      <c r="S341" t="str">
        <f t="shared" si="32"/>
        <v>Saturday</v>
      </c>
      <c r="T341" t="str">
        <f t="shared" si="33"/>
        <v>Afternoon</v>
      </c>
      <c r="U341" t="str">
        <f t="shared" si="34"/>
        <v>Spring</v>
      </c>
      <c r="V341" t="str">
        <f t="shared" si="35"/>
        <v>Mist/Cloudy</v>
      </c>
    </row>
    <row r="342" spans="1:22">
      <c r="A342">
        <f>Master_Data!A342</f>
        <v>341</v>
      </c>
      <c r="B342">
        <f>Master_Data!B342</f>
        <v>40558</v>
      </c>
      <c r="C342">
        <f>Master_Data!C342</f>
        <v>1</v>
      </c>
      <c r="D342">
        <f>Master_Data!D342</f>
        <v>0</v>
      </c>
      <c r="E342">
        <f>Master_Data!E342</f>
        <v>1</v>
      </c>
      <c r="F342">
        <f>Master_Data!F342</f>
        <v>16</v>
      </c>
      <c r="G342" t="b">
        <f>Master_Data!G342</f>
        <v>0</v>
      </c>
      <c r="H342">
        <f>Master_Data!H342</f>
        <v>6</v>
      </c>
      <c r="I342">
        <f>Master_Data!I342</f>
        <v>2</v>
      </c>
      <c r="J342">
        <f>Master_Data!J342</f>
        <v>0.34</v>
      </c>
      <c r="K342">
        <f>Master_Data!K342</f>
        <v>0.33329999999999999</v>
      </c>
      <c r="L342">
        <f>Master_Data!L342</f>
        <v>0.34</v>
      </c>
      <c r="M342">
        <f>Master_Data!M342</f>
        <v>0.19400000000000001</v>
      </c>
      <c r="N342">
        <f>Master_Data!N342</f>
        <v>33</v>
      </c>
      <c r="O342">
        <f>Master_Data!O342</f>
        <v>95</v>
      </c>
      <c r="P342">
        <f>Master_Data!P342</f>
        <v>128</v>
      </c>
      <c r="Q342" t="str">
        <f t="shared" si="30"/>
        <v>2011</v>
      </c>
      <c r="R342" t="str">
        <f t="shared" si="31"/>
        <v>January</v>
      </c>
      <c r="S342" t="str">
        <f t="shared" si="32"/>
        <v>Saturday</v>
      </c>
      <c r="T342" t="str">
        <f t="shared" si="33"/>
        <v>Afternoon</v>
      </c>
      <c r="U342" t="str">
        <f t="shared" si="34"/>
        <v>Spring</v>
      </c>
      <c r="V342" t="str">
        <f t="shared" si="35"/>
        <v>Mist/Cloudy</v>
      </c>
    </row>
    <row r="343" spans="1:22">
      <c r="A343">
        <f>Master_Data!A343</f>
        <v>342</v>
      </c>
      <c r="B343">
        <f>Master_Data!B343</f>
        <v>40558</v>
      </c>
      <c r="C343">
        <f>Master_Data!C343</f>
        <v>1</v>
      </c>
      <c r="D343">
        <f>Master_Data!D343</f>
        <v>0</v>
      </c>
      <c r="E343">
        <f>Master_Data!E343</f>
        <v>1</v>
      </c>
      <c r="F343">
        <f>Master_Data!F343</f>
        <v>17</v>
      </c>
      <c r="G343" t="b">
        <f>Master_Data!G343</f>
        <v>0</v>
      </c>
      <c r="H343">
        <f>Master_Data!H343</f>
        <v>6</v>
      </c>
      <c r="I343">
        <f>Master_Data!I343</f>
        <v>2</v>
      </c>
      <c r="J343">
        <f>Master_Data!J343</f>
        <v>0.32</v>
      </c>
      <c r="K343">
        <f>Master_Data!K343</f>
        <v>0.30299999999999999</v>
      </c>
      <c r="L343">
        <f>Master_Data!L343</f>
        <v>0.36</v>
      </c>
      <c r="M343">
        <f>Master_Data!M343</f>
        <v>0.28360000000000002</v>
      </c>
      <c r="N343">
        <f>Master_Data!N343</f>
        <v>29</v>
      </c>
      <c r="O343">
        <f>Master_Data!O343</f>
        <v>54</v>
      </c>
      <c r="P343">
        <f>Master_Data!P343</f>
        <v>83</v>
      </c>
      <c r="Q343" t="str">
        <f t="shared" si="30"/>
        <v>2011</v>
      </c>
      <c r="R343" t="str">
        <f t="shared" si="31"/>
        <v>January</v>
      </c>
      <c r="S343" t="str">
        <f t="shared" si="32"/>
        <v>Saturday</v>
      </c>
      <c r="T343" t="str">
        <f t="shared" si="33"/>
        <v>Evening</v>
      </c>
      <c r="U343" t="str">
        <f t="shared" si="34"/>
        <v>Spring</v>
      </c>
      <c r="V343" t="str">
        <f t="shared" si="35"/>
        <v>Mist/Cloudy</v>
      </c>
    </row>
    <row r="344" spans="1:22">
      <c r="A344">
        <f>Master_Data!A344</f>
        <v>343</v>
      </c>
      <c r="B344">
        <f>Master_Data!B344</f>
        <v>40558</v>
      </c>
      <c r="C344">
        <f>Master_Data!C344</f>
        <v>1</v>
      </c>
      <c r="D344">
        <f>Master_Data!D344</f>
        <v>0</v>
      </c>
      <c r="E344">
        <f>Master_Data!E344</f>
        <v>1</v>
      </c>
      <c r="F344">
        <f>Master_Data!F344</f>
        <v>18</v>
      </c>
      <c r="G344" t="b">
        <f>Master_Data!G344</f>
        <v>0</v>
      </c>
      <c r="H344">
        <f>Master_Data!H344</f>
        <v>6</v>
      </c>
      <c r="I344">
        <f>Master_Data!I344</f>
        <v>2</v>
      </c>
      <c r="J344">
        <f>Master_Data!J344</f>
        <v>0.3</v>
      </c>
      <c r="K344">
        <f>Master_Data!K344</f>
        <v>0.28789999999999999</v>
      </c>
      <c r="L344">
        <f>Master_Data!L344</f>
        <v>0.45</v>
      </c>
      <c r="M344">
        <f>Master_Data!M344</f>
        <v>0.25369999999999998</v>
      </c>
      <c r="N344">
        <f>Master_Data!N344</f>
        <v>15</v>
      </c>
      <c r="O344">
        <f>Master_Data!O344</f>
        <v>69</v>
      </c>
      <c r="P344">
        <f>Master_Data!P344</f>
        <v>84</v>
      </c>
      <c r="Q344" t="str">
        <f t="shared" si="30"/>
        <v>2011</v>
      </c>
      <c r="R344" t="str">
        <f t="shared" si="31"/>
        <v>January</v>
      </c>
      <c r="S344" t="str">
        <f t="shared" si="32"/>
        <v>Saturday</v>
      </c>
      <c r="T344" t="str">
        <f t="shared" si="33"/>
        <v>Evening</v>
      </c>
      <c r="U344" t="str">
        <f t="shared" si="34"/>
        <v>Spring</v>
      </c>
      <c r="V344" t="str">
        <f t="shared" si="35"/>
        <v>Mist/Cloudy</v>
      </c>
    </row>
    <row r="345" spans="1:22">
      <c r="A345">
        <f>Master_Data!A345</f>
        <v>344</v>
      </c>
      <c r="B345">
        <f>Master_Data!B345</f>
        <v>40558</v>
      </c>
      <c r="C345">
        <f>Master_Data!C345</f>
        <v>1</v>
      </c>
      <c r="D345">
        <f>Master_Data!D345</f>
        <v>0</v>
      </c>
      <c r="E345">
        <f>Master_Data!E345</f>
        <v>1</v>
      </c>
      <c r="F345">
        <f>Master_Data!F345</f>
        <v>19</v>
      </c>
      <c r="G345" t="b">
        <f>Master_Data!G345</f>
        <v>0</v>
      </c>
      <c r="H345">
        <f>Master_Data!H345</f>
        <v>6</v>
      </c>
      <c r="I345">
        <f>Master_Data!I345</f>
        <v>2</v>
      </c>
      <c r="J345">
        <f>Master_Data!J345</f>
        <v>0.32</v>
      </c>
      <c r="K345">
        <f>Master_Data!K345</f>
        <v>0.30299999999999999</v>
      </c>
      <c r="L345">
        <f>Master_Data!L345</f>
        <v>0.39</v>
      </c>
      <c r="M345">
        <f>Master_Data!M345</f>
        <v>0.25369999999999998</v>
      </c>
      <c r="N345">
        <f>Master_Data!N345</f>
        <v>14</v>
      </c>
      <c r="O345">
        <f>Master_Data!O345</f>
        <v>60</v>
      </c>
      <c r="P345">
        <f>Master_Data!P345</f>
        <v>74</v>
      </c>
      <c r="Q345" t="str">
        <f t="shared" si="30"/>
        <v>2011</v>
      </c>
      <c r="R345" t="str">
        <f t="shared" si="31"/>
        <v>January</v>
      </c>
      <c r="S345" t="str">
        <f t="shared" si="32"/>
        <v>Saturday</v>
      </c>
      <c r="T345" t="str">
        <f t="shared" si="33"/>
        <v>Evening</v>
      </c>
      <c r="U345" t="str">
        <f t="shared" si="34"/>
        <v>Spring</v>
      </c>
      <c r="V345" t="str">
        <f t="shared" si="35"/>
        <v>Mist/Cloudy</v>
      </c>
    </row>
    <row r="346" spans="1:22">
      <c r="A346">
        <f>Master_Data!A346</f>
        <v>345</v>
      </c>
      <c r="B346">
        <f>Master_Data!B346</f>
        <v>40558</v>
      </c>
      <c r="C346">
        <f>Master_Data!C346</f>
        <v>1</v>
      </c>
      <c r="D346">
        <f>Master_Data!D346</f>
        <v>0</v>
      </c>
      <c r="E346">
        <f>Master_Data!E346</f>
        <v>1</v>
      </c>
      <c r="F346">
        <f>Master_Data!F346</f>
        <v>20</v>
      </c>
      <c r="G346" t="b">
        <f>Master_Data!G346</f>
        <v>0</v>
      </c>
      <c r="H346">
        <f>Master_Data!H346</f>
        <v>6</v>
      </c>
      <c r="I346">
        <f>Master_Data!I346</f>
        <v>2</v>
      </c>
      <c r="J346">
        <f>Master_Data!J346</f>
        <v>0.32</v>
      </c>
      <c r="K346">
        <f>Master_Data!K346</f>
        <v>0.30299999999999999</v>
      </c>
      <c r="L346">
        <f>Master_Data!L346</f>
        <v>0.39</v>
      </c>
      <c r="M346">
        <f>Master_Data!M346</f>
        <v>0.25369999999999998</v>
      </c>
      <c r="N346">
        <f>Master_Data!N346</f>
        <v>6</v>
      </c>
      <c r="O346">
        <f>Master_Data!O346</f>
        <v>35</v>
      </c>
      <c r="P346">
        <f>Master_Data!P346</f>
        <v>41</v>
      </c>
      <c r="Q346" t="str">
        <f t="shared" si="30"/>
        <v>2011</v>
      </c>
      <c r="R346" t="str">
        <f t="shared" si="31"/>
        <v>January</v>
      </c>
      <c r="S346" t="str">
        <f t="shared" si="32"/>
        <v>Saturday</v>
      </c>
      <c r="T346" t="str">
        <f t="shared" si="33"/>
        <v>Evening</v>
      </c>
      <c r="U346" t="str">
        <f t="shared" si="34"/>
        <v>Spring</v>
      </c>
      <c r="V346" t="str">
        <f t="shared" si="35"/>
        <v>Mist/Cloudy</v>
      </c>
    </row>
    <row r="347" spans="1:22">
      <c r="A347">
        <f>Master_Data!A347</f>
        <v>346</v>
      </c>
      <c r="B347">
        <f>Master_Data!B347</f>
        <v>40558</v>
      </c>
      <c r="C347">
        <f>Master_Data!C347</f>
        <v>1</v>
      </c>
      <c r="D347">
        <f>Master_Data!D347</f>
        <v>0</v>
      </c>
      <c r="E347">
        <f>Master_Data!E347</f>
        <v>1</v>
      </c>
      <c r="F347">
        <f>Master_Data!F347</f>
        <v>21</v>
      </c>
      <c r="G347" t="b">
        <f>Master_Data!G347</f>
        <v>0</v>
      </c>
      <c r="H347">
        <f>Master_Data!H347</f>
        <v>6</v>
      </c>
      <c r="I347">
        <f>Master_Data!I347</f>
        <v>2</v>
      </c>
      <c r="J347">
        <f>Master_Data!J347</f>
        <v>0.32</v>
      </c>
      <c r="K347">
        <f>Master_Data!K347</f>
        <v>0.30299999999999999</v>
      </c>
      <c r="L347">
        <f>Master_Data!L347</f>
        <v>0.39</v>
      </c>
      <c r="M347">
        <f>Master_Data!M347</f>
        <v>0.22389999999999999</v>
      </c>
      <c r="N347">
        <f>Master_Data!N347</f>
        <v>6</v>
      </c>
      <c r="O347">
        <f>Master_Data!O347</f>
        <v>51</v>
      </c>
      <c r="P347">
        <f>Master_Data!P347</f>
        <v>57</v>
      </c>
      <c r="Q347" t="str">
        <f t="shared" si="30"/>
        <v>2011</v>
      </c>
      <c r="R347" t="str">
        <f t="shared" si="31"/>
        <v>January</v>
      </c>
      <c r="S347" t="str">
        <f t="shared" si="32"/>
        <v>Saturday</v>
      </c>
      <c r="T347" t="str">
        <f t="shared" si="33"/>
        <v>Night</v>
      </c>
      <c r="U347" t="str">
        <f t="shared" si="34"/>
        <v>Spring</v>
      </c>
      <c r="V347" t="str">
        <f t="shared" si="35"/>
        <v>Mist/Cloudy</v>
      </c>
    </row>
    <row r="348" spans="1:22">
      <c r="A348">
        <f>Master_Data!A348</f>
        <v>347</v>
      </c>
      <c r="B348">
        <f>Master_Data!B348</f>
        <v>40558</v>
      </c>
      <c r="C348">
        <f>Master_Data!C348</f>
        <v>1</v>
      </c>
      <c r="D348">
        <f>Master_Data!D348</f>
        <v>0</v>
      </c>
      <c r="E348">
        <f>Master_Data!E348</f>
        <v>1</v>
      </c>
      <c r="F348">
        <f>Master_Data!F348</f>
        <v>22</v>
      </c>
      <c r="G348" t="b">
        <f>Master_Data!G348</f>
        <v>0</v>
      </c>
      <c r="H348">
        <f>Master_Data!H348</f>
        <v>6</v>
      </c>
      <c r="I348">
        <f>Master_Data!I348</f>
        <v>2</v>
      </c>
      <c r="J348">
        <f>Master_Data!J348</f>
        <v>0.3</v>
      </c>
      <c r="K348">
        <f>Master_Data!K348</f>
        <v>0.31819999999999998</v>
      </c>
      <c r="L348">
        <f>Master_Data!L348</f>
        <v>0.42</v>
      </c>
      <c r="M348">
        <f>Master_Data!M348</f>
        <v>0.1045</v>
      </c>
      <c r="N348">
        <f>Master_Data!N348</f>
        <v>0</v>
      </c>
      <c r="O348">
        <f>Master_Data!O348</f>
        <v>26</v>
      </c>
      <c r="P348">
        <f>Master_Data!P348</f>
        <v>26</v>
      </c>
      <c r="Q348" t="str">
        <f t="shared" si="30"/>
        <v>2011</v>
      </c>
      <c r="R348" t="str">
        <f t="shared" si="31"/>
        <v>January</v>
      </c>
      <c r="S348" t="str">
        <f t="shared" si="32"/>
        <v>Saturday</v>
      </c>
      <c r="T348" t="str">
        <f t="shared" si="33"/>
        <v>Night</v>
      </c>
      <c r="U348" t="str">
        <f t="shared" si="34"/>
        <v>Spring</v>
      </c>
      <c r="V348" t="str">
        <f t="shared" si="35"/>
        <v>Mist/Cloudy</v>
      </c>
    </row>
    <row r="349" spans="1:22">
      <c r="A349">
        <f>Master_Data!A349</f>
        <v>348</v>
      </c>
      <c r="B349">
        <f>Master_Data!B349</f>
        <v>40558</v>
      </c>
      <c r="C349">
        <f>Master_Data!C349</f>
        <v>1</v>
      </c>
      <c r="D349">
        <f>Master_Data!D349</f>
        <v>0</v>
      </c>
      <c r="E349">
        <f>Master_Data!E349</f>
        <v>1</v>
      </c>
      <c r="F349">
        <f>Master_Data!F349</f>
        <v>23</v>
      </c>
      <c r="G349" t="b">
        <f>Master_Data!G349</f>
        <v>0</v>
      </c>
      <c r="H349">
        <f>Master_Data!H349</f>
        <v>6</v>
      </c>
      <c r="I349">
        <f>Master_Data!I349</f>
        <v>1</v>
      </c>
      <c r="J349">
        <f>Master_Data!J349</f>
        <v>0.3</v>
      </c>
      <c r="K349">
        <f>Master_Data!K349</f>
        <v>0.28789999999999999</v>
      </c>
      <c r="L349">
        <f>Master_Data!L349</f>
        <v>0.45</v>
      </c>
      <c r="M349">
        <f>Master_Data!M349</f>
        <v>0.28360000000000002</v>
      </c>
      <c r="N349">
        <f>Master_Data!N349</f>
        <v>5</v>
      </c>
      <c r="O349">
        <f>Master_Data!O349</f>
        <v>39</v>
      </c>
      <c r="P349">
        <f>Master_Data!P349</f>
        <v>44</v>
      </c>
      <c r="Q349" t="str">
        <f t="shared" si="30"/>
        <v>2011</v>
      </c>
      <c r="R349" t="str">
        <f t="shared" si="31"/>
        <v>January</v>
      </c>
      <c r="S349" t="str">
        <f t="shared" si="32"/>
        <v>Saturday</v>
      </c>
      <c r="T349" t="str">
        <f t="shared" si="33"/>
        <v>Night</v>
      </c>
      <c r="U349" t="str">
        <f t="shared" si="34"/>
        <v>Spring</v>
      </c>
      <c r="V349" t="str">
        <f t="shared" si="35"/>
        <v>Clear</v>
      </c>
    </row>
    <row r="350" spans="1:22">
      <c r="A350">
        <f>Master_Data!A350</f>
        <v>349</v>
      </c>
      <c r="B350">
        <f>Master_Data!B350</f>
        <v>40559</v>
      </c>
      <c r="C350">
        <f>Master_Data!C350</f>
        <v>1</v>
      </c>
      <c r="D350">
        <f>Master_Data!D350</f>
        <v>0</v>
      </c>
      <c r="E350">
        <f>Master_Data!E350</f>
        <v>1</v>
      </c>
      <c r="F350">
        <f>Master_Data!F350</f>
        <v>0</v>
      </c>
      <c r="G350" t="b">
        <f>Master_Data!G350</f>
        <v>0</v>
      </c>
      <c r="H350">
        <f>Master_Data!H350</f>
        <v>0</v>
      </c>
      <c r="I350">
        <f>Master_Data!I350</f>
        <v>1</v>
      </c>
      <c r="J350">
        <f>Master_Data!J350</f>
        <v>0.26</v>
      </c>
      <c r="K350">
        <f>Master_Data!K350</f>
        <v>0.30299999999999999</v>
      </c>
      <c r="L350">
        <f>Master_Data!L350</f>
        <v>0.56000000000000005</v>
      </c>
      <c r="M350">
        <f>Master_Data!M350</f>
        <v>0</v>
      </c>
      <c r="N350">
        <f>Master_Data!N350</f>
        <v>6</v>
      </c>
      <c r="O350">
        <f>Master_Data!O350</f>
        <v>33</v>
      </c>
      <c r="P350">
        <f>Master_Data!P350</f>
        <v>39</v>
      </c>
      <c r="Q350" t="str">
        <f t="shared" si="30"/>
        <v>2011</v>
      </c>
      <c r="R350" t="str">
        <f t="shared" si="31"/>
        <v>January</v>
      </c>
      <c r="S350" t="str">
        <f t="shared" si="32"/>
        <v>Sunday</v>
      </c>
      <c r="T350" t="str">
        <f t="shared" si="33"/>
        <v>Night</v>
      </c>
      <c r="U350" t="str">
        <f t="shared" si="34"/>
        <v>Spring</v>
      </c>
      <c r="V350" t="str">
        <f t="shared" si="35"/>
        <v>Clear</v>
      </c>
    </row>
    <row r="351" spans="1:22">
      <c r="A351">
        <f>Master_Data!A351</f>
        <v>350</v>
      </c>
      <c r="B351">
        <f>Master_Data!B351</f>
        <v>40559</v>
      </c>
      <c r="C351">
        <f>Master_Data!C351</f>
        <v>1</v>
      </c>
      <c r="D351">
        <f>Master_Data!D351</f>
        <v>0</v>
      </c>
      <c r="E351">
        <f>Master_Data!E351</f>
        <v>1</v>
      </c>
      <c r="F351">
        <f>Master_Data!F351</f>
        <v>1</v>
      </c>
      <c r="G351" t="b">
        <f>Master_Data!G351</f>
        <v>0</v>
      </c>
      <c r="H351">
        <f>Master_Data!H351</f>
        <v>0</v>
      </c>
      <c r="I351">
        <f>Master_Data!I351</f>
        <v>1</v>
      </c>
      <c r="J351">
        <f>Master_Data!J351</f>
        <v>0.26</v>
      </c>
      <c r="K351">
        <f>Master_Data!K351</f>
        <v>0.2727</v>
      </c>
      <c r="L351">
        <f>Master_Data!L351</f>
        <v>0.56000000000000005</v>
      </c>
      <c r="M351">
        <f>Master_Data!M351</f>
        <v>0.1343</v>
      </c>
      <c r="N351">
        <f>Master_Data!N351</f>
        <v>4</v>
      </c>
      <c r="O351">
        <f>Master_Data!O351</f>
        <v>19</v>
      </c>
      <c r="P351">
        <f>Master_Data!P351</f>
        <v>23</v>
      </c>
      <c r="Q351" t="str">
        <f t="shared" si="30"/>
        <v>2011</v>
      </c>
      <c r="R351" t="str">
        <f t="shared" si="31"/>
        <v>January</v>
      </c>
      <c r="S351" t="str">
        <f t="shared" si="32"/>
        <v>Sunday</v>
      </c>
      <c r="T351" t="str">
        <f t="shared" si="33"/>
        <v>Night</v>
      </c>
      <c r="U351" t="str">
        <f t="shared" si="34"/>
        <v>Spring</v>
      </c>
      <c r="V351" t="str">
        <f t="shared" si="35"/>
        <v>Clear</v>
      </c>
    </row>
    <row r="352" spans="1:22">
      <c r="A352">
        <f>Master_Data!A352</f>
        <v>351</v>
      </c>
      <c r="B352">
        <f>Master_Data!B352</f>
        <v>40559</v>
      </c>
      <c r="C352">
        <f>Master_Data!C352</f>
        <v>1</v>
      </c>
      <c r="D352">
        <f>Master_Data!D352</f>
        <v>0</v>
      </c>
      <c r="E352">
        <f>Master_Data!E352</f>
        <v>1</v>
      </c>
      <c r="F352">
        <f>Master_Data!F352</f>
        <v>2</v>
      </c>
      <c r="G352" t="b">
        <f>Master_Data!G352</f>
        <v>0</v>
      </c>
      <c r="H352">
        <f>Master_Data!H352</f>
        <v>0</v>
      </c>
      <c r="I352">
        <f>Master_Data!I352</f>
        <v>1</v>
      </c>
      <c r="J352">
        <f>Master_Data!J352</f>
        <v>0.26</v>
      </c>
      <c r="K352">
        <f>Master_Data!K352</f>
        <v>0.28789999999999999</v>
      </c>
      <c r="L352">
        <f>Master_Data!L352</f>
        <v>0.56000000000000005</v>
      </c>
      <c r="M352">
        <f>Master_Data!M352</f>
        <v>8.9599999999999999E-2</v>
      </c>
      <c r="N352">
        <f>Master_Data!N352</f>
        <v>3</v>
      </c>
      <c r="O352">
        <f>Master_Data!O352</f>
        <v>13</v>
      </c>
      <c r="P352">
        <f>Master_Data!P352</f>
        <v>16</v>
      </c>
      <c r="Q352" t="str">
        <f t="shared" si="30"/>
        <v>2011</v>
      </c>
      <c r="R352" t="str">
        <f t="shared" si="31"/>
        <v>January</v>
      </c>
      <c r="S352" t="str">
        <f t="shared" si="32"/>
        <v>Sunday</v>
      </c>
      <c r="T352" t="str">
        <f t="shared" si="33"/>
        <v>Night</v>
      </c>
      <c r="U352" t="str">
        <f t="shared" si="34"/>
        <v>Spring</v>
      </c>
      <c r="V352" t="str">
        <f t="shared" si="35"/>
        <v>Clear</v>
      </c>
    </row>
    <row r="353" spans="1:22">
      <c r="A353">
        <f>Master_Data!A353</f>
        <v>352</v>
      </c>
      <c r="B353">
        <f>Master_Data!B353</f>
        <v>40559</v>
      </c>
      <c r="C353">
        <f>Master_Data!C353</f>
        <v>1</v>
      </c>
      <c r="D353">
        <f>Master_Data!D353</f>
        <v>0</v>
      </c>
      <c r="E353">
        <f>Master_Data!E353</f>
        <v>1</v>
      </c>
      <c r="F353">
        <f>Master_Data!F353</f>
        <v>3</v>
      </c>
      <c r="G353" t="b">
        <f>Master_Data!G353</f>
        <v>0</v>
      </c>
      <c r="H353">
        <f>Master_Data!H353</f>
        <v>0</v>
      </c>
      <c r="I353">
        <f>Master_Data!I353</f>
        <v>1</v>
      </c>
      <c r="J353">
        <f>Master_Data!J353</f>
        <v>0.22</v>
      </c>
      <c r="K353">
        <f>Master_Data!K353</f>
        <v>0.2727</v>
      </c>
      <c r="L353">
        <f>Master_Data!L353</f>
        <v>0.69</v>
      </c>
      <c r="M353">
        <f>Master_Data!M353</f>
        <v>0</v>
      </c>
      <c r="N353">
        <f>Master_Data!N353</f>
        <v>9</v>
      </c>
      <c r="O353">
        <f>Master_Data!O353</f>
        <v>6</v>
      </c>
      <c r="P353">
        <f>Master_Data!P353</f>
        <v>15</v>
      </c>
      <c r="Q353" t="str">
        <f t="shared" si="30"/>
        <v>2011</v>
      </c>
      <c r="R353" t="str">
        <f t="shared" si="31"/>
        <v>January</v>
      </c>
      <c r="S353" t="str">
        <f t="shared" si="32"/>
        <v>Sunday</v>
      </c>
      <c r="T353" t="str">
        <f t="shared" si="33"/>
        <v>Night</v>
      </c>
      <c r="U353" t="str">
        <f t="shared" si="34"/>
        <v>Spring</v>
      </c>
      <c r="V353" t="str">
        <f t="shared" si="35"/>
        <v>Clear</v>
      </c>
    </row>
    <row r="354" spans="1:22">
      <c r="A354">
        <f>Master_Data!A354</f>
        <v>353</v>
      </c>
      <c r="B354">
        <f>Master_Data!B354</f>
        <v>40559</v>
      </c>
      <c r="C354">
        <f>Master_Data!C354</f>
        <v>1</v>
      </c>
      <c r="D354">
        <f>Master_Data!D354</f>
        <v>0</v>
      </c>
      <c r="E354">
        <f>Master_Data!E354</f>
        <v>1</v>
      </c>
      <c r="F354">
        <f>Master_Data!F354</f>
        <v>4</v>
      </c>
      <c r="G354" t="b">
        <f>Master_Data!G354</f>
        <v>0</v>
      </c>
      <c r="H354">
        <f>Master_Data!H354</f>
        <v>0</v>
      </c>
      <c r="I354">
        <f>Master_Data!I354</f>
        <v>1</v>
      </c>
      <c r="J354">
        <f>Master_Data!J354</f>
        <v>0.26</v>
      </c>
      <c r="K354">
        <f>Master_Data!K354</f>
        <v>0.2576</v>
      </c>
      <c r="L354">
        <f>Master_Data!L354</f>
        <v>0.56000000000000005</v>
      </c>
      <c r="M354">
        <f>Master_Data!M354</f>
        <v>0.16420000000000001</v>
      </c>
      <c r="N354">
        <f>Master_Data!N354</f>
        <v>0</v>
      </c>
      <c r="O354">
        <f>Master_Data!O354</f>
        <v>1</v>
      </c>
      <c r="P354">
        <f>Master_Data!P354</f>
        <v>1</v>
      </c>
      <c r="Q354" t="str">
        <f t="shared" si="30"/>
        <v>2011</v>
      </c>
      <c r="R354" t="str">
        <f t="shared" si="31"/>
        <v>January</v>
      </c>
      <c r="S354" t="str">
        <f t="shared" si="32"/>
        <v>Sunday</v>
      </c>
      <c r="T354" t="str">
        <f t="shared" si="33"/>
        <v>Night</v>
      </c>
      <c r="U354" t="str">
        <f t="shared" si="34"/>
        <v>Spring</v>
      </c>
      <c r="V354" t="str">
        <f t="shared" si="35"/>
        <v>Clear</v>
      </c>
    </row>
    <row r="355" spans="1:22">
      <c r="A355">
        <f>Master_Data!A355</f>
        <v>354</v>
      </c>
      <c r="B355">
        <f>Master_Data!B355</f>
        <v>40559</v>
      </c>
      <c r="C355">
        <f>Master_Data!C355</f>
        <v>1</v>
      </c>
      <c r="D355">
        <f>Master_Data!D355</f>
        <v>0</v>
      </c>
      <c r="E355">
        <f>Master_Data!E355</f>
        <v>1</v>
      </c>
      <c r="F355">
        <f>Master_Data!F355</f>
        <v>5</v>
      </c>
      <c r="G355" t="b">
        <f>Master_Data!G355</f>
        <v>0</v>
      </c>
      <c r="H355">
        <f>Master_Data!H355</f>
        <v>0</v>
      </c>
      <c r="I355">
        <f>Master_Data!I355</f>
        <v>2</v>
      </c>
      <c r="J355">
        <f>Master_Data!J355</f>
        <v>0.26</v>
      </c>
      <c r="K355">
        <f>Master_Data!K355</f>
        <v>0.2576</v>
      </c>
      <c r="L355">
        <f>Master_Data!L355</f>
        <v>0.56000000000000005</v>
      </c>
      <c r="M355">
        <f>Master_Data!M355</f>
        <v>0.16420000000000001</v>
      </c>
      <c r="N355">
        <f>Master_Data!N355</f>
        <v>1</v>
      </c>
      <c r="O355">
        <f>Master_Data!O355</f>
        <v>1</v>
      </c>
      <c r="P355">
        <f>Master_Data!P355</f>
        <v>2</v>
      </c>
      <c r="Q355" t="str">
        <f t="shared" si="30"/>
        <v>2011</v>
      </c>
      <c r="R355" t="str">
        <f t="shared" si="31"/>
        <v>January</v>
      </c>
      <c r="S355" t="str">
        <f t="shared" si="32"/>
        <v>Sunday</v>
      </c>
      <c r="T355" t="str">
        <f t="shared" si="33"/>
        <v>Night</v>
      </c>
      <c r="U355" t="str">
        <f t="shared" si="34"/>
        <v>Spring</v>
      </c>
      <c r="V355" t="str">
        <f t="shared" si="35"/>
        <v>Mist/Cloudy</v>
      </c>
    </row>
    <row r="356" spans="1:22">
      <c r="A356">
        <f>Master_Data!A356</f>
        <v>355</v>
      </c>
      <c r="B356">
        <f>Master_Data!B356</f>
        <v>40559</v>
      </c>
      <c r="C356">
        <f>Master_Data!C356</f>
        <v>1</v>
      </c>
      <c r="D356">
        <f>Master_Data!D356</f>
        <v>0</v>
      </c>
      <c r="E356">
        <f>Master_Data!E356</f>
        <v>1</v>
      </c>
      <c r="F356">
        <f>Master_Data!F356</f>
        <v>6</v>
      </c>
      <c r="G356" t="b">
        <f>Master_Data!G356</f>
        <v>0</v>
      </c>
      <c r="H356">
        <f>Master_Data!H356</f>
        <v>0</v>
      </c>
      <c r="I356">
        <f>Master_Data!I356</f>
        <v>2</v>
      </c>
      <c r="J356">
        <f>Master_Data!J356</f>
        <v>0.26</v>
      </c>
      <c r="K356">
        <f>Master_Data!K356</f>
        <v>0.2576</v>
      </c>
      <c r="L356">
        <f>Master_Data!L356</f>
        <v>0.56000000000000005</v>
      </c>
      <c r="M356">
        <f>Master_Data!M356</f>
        <v>0.16420000000000001</v>
      </c>
      <c r="N356">
        <f>Master_Data!N356</f>
        <v>0</v>
      </c>
      <c r="O356">
        <f>Master_Data!O356</f>
        <v>1</v>
      </c>
      <c r="P356">
        <f>Master_Data!P356</f>
        <v>1</v>
      </c>
      <c r="Q356" t="str">
        <f t="shared" si="30"/>
        <v>2011</v>
      </c>
      <c r="R356" t="str">
        <f t="shared" si="31"/>
        <v>January</v>
      </c>
      <c r="S356" t="str">
        <f t="shared" si="32"/>
        <v>Sunday</v>
      </c>
      <c r="T356" t="str">
        <f t="shared" si="33"/>
        <v>Morning</v>
      </c>
      <c r="U356" t="str">
        <f t="shared" si="34"/>
        <v>Spring</v>
      </c>
      <c r="V356" t="str">
        <f t="shared" si="35"/>
        <v>Mist/Cloudy</v>
      </c>
    </row>
    <row r="357" spans="1:22">
      <c r="A357">
        <f>Master_Data!A357</f>
        <v>356</v>
      </c>
      <c r="B357">
        <f>Master_Data!B357</f>
        <v>40559</v>
      </c>
      <c r="C357">
        <f>Master_Data!C357</f>
        <v>1</v>
      </c>
      <c r="D357">
        <f>Master_Data!D357</f>
        <v>0</v>
      </c>
      <c r="E357">
        <f>Master_Data!E357</f>
        <v>1</v>
      </c>
      <c r="F357">
        <f>Master_Data!F357</f>
        <v>7</v>
      </c>
      <c r="G357" t="b">
        <f>Master_Data!G357</f>
        <v>0</v>
      </c>
      <c r="H357">
        <f>Master_Data!H357</f>
        <v>0</v>
      </c>
      <c r="I357">
        <f>Master_Data!I357</f>
        <v>2</v>
      </c>
      <c r="J357">
        <f>Master_Data!J357</f>
        <v>0.24</v>
      </c>
      <c r="K357">
        <f>Master_Data!K357</f>
        <v>0.21210000000000001</v>
      </c>
      <c r="L357">
        <f>Master_Data!L357</f>
        <v>0.56000000000000005</v>
      </c>
      <c r="M357">
        <f>Master_Data!M357</f>
        <v>0.29849999999999999</v>
      </c>
      <c r="N357">
        <f>Master_Data!N357</f>
        <v>0</v>
      </c>
      <c r="O357">
        <f>Master_Data!O357</f>
        <v>3</v>
      </c>
      <c r="P357">
        <f>Master_Data!P357</f>
        <v>3</v>
      </c>
      <c r="Q357" t="str">
        <f t="shared" si="30"/>
        <v>2011</v>
      </c>
      <c r="R357" t="str">
        <f t="shared" si="31"/>
        <v>January</v>
      </c>
      <c r="S357" t="str">
        <f t="shared" si="32"/>
        <v>Sunday</v>
      </c>
      <c r="T357" t="str">
        <f t="shared" si="33"/>
        <v>Morning</v>
      </c>
      <c r="U357" t="str">
        <f t="shared" si="34"/>
        <v>Spring</v>
      </c>
      <c r="V357" t="str">
        <f t="shared" si="35"/>
        <v>Mist/Cloudy</v>
      </c>
    </row>
    <row r="358" spans="1:22">
      <c r="A358">
        <f>Master_Data!A358</f>
        <v>357</v>
      </c>
      <c r="B358">
        <f>Master_Data!B358</f>
        <v>40559</v>
      </c>
      <c r="C358">
        <f>Master_Data!C358</f>
        <v>1</v>
      </c>
      <c r="D358">
        <f>Master_Data!D358</f>
        <v>0</v>
      </c>
      <c r="E358">
        <f>Master_Data!E358</f>
        <v>1</v>
      </c>
      <c r="F358">
        <f>Master_Data!F358</f>
        <v>8</v>
      </c>
      <c r="G358" t="b">
        <f>Master_Data!G358</f>
        <v>0</v>
      </c>
      <c r="H358">
        <f>Master_Data!H358</f>
        <v>0</v>
      </c>
      <c r="I358">
        <f>Master_Data!I358</f>
        <v>1</v>
      </c>
      <c r="J358">
        <f>Master_Data!J358</f>
        <v>0.22</v>
      </c>
      <c r="K358">
        <f>Master_Data!K358</f>
        <v>0.21210000000000001</v>
      </c>
      <c r="L358">
        <f>Master_Data!L358</f>
        <v>0.55000000000000004</v>
      </c>
      <c r="M358">
        <f>Master_Data!M358</f>
        <v>0.28360000000000002</v>
      </c>
      <c r="N358">
        <f>Master_Data!N358</f>
        <v>0</v>
      </c>
      <c r="O358">
        <f>Master_Data!O358</f>
        <v>18</v>
      </c>
      <c r="P358">
        <f>Master_Data!P358</f>
        <v>18</v>
      </c>
      <c r="Q358" t="str">
        <f t="shared" si="30"/>
        <v>2011</v>
      </c>
      <c r="R358" t="str">
        <f t="shared" si="31"/>
        <v>January</v>
      </c>
      <c r="S358" t="str">
        <f t="shared" si="32"/>
        <v>Sunday</v>
      </c>
      <c r="T358" t="str">
        <f t="shared" si="33"/>
        <v>Morning</v>
      </c>
      <c r="U358" t="str">
        <f t="shared" si="34"/>
        <v>Spring</v>
      </c>
      <c r="V358" t="str">
        <f t="shared" si="35"/>
        <v>Clear</v>
      </c>
    </row>
    <row r="359" spans="1:22">
      <c r="A359">
        <f>Master_Data!A359</f>
        <v>358</v>
      </c>
      <c r="B359">
        <f>Master_Data!B359</f>
        <v>40559</v>
      </c>
      <c r="C359">
        <f>Master_Data!C359</f>
        <v>1</v>
      </c>
      <c r="D359">
        <f>Master_Data!D359</f>
        <v>0</v>
      </c>
      <c r="E359">
        <f>Master_Data!E359</f>
        <v>1</v>
      </c>
      <c r="F359">
        <f>Master_Data!F359</f>
        <v>9</v>
      </c>
      <c r="G359" t="b">
        <f>Master_Data!G359</f>
        <v>0</v>
      </c>
      <c r="H359">
        <f>Master_Data!H359</f>
        <v>0</v>
      </c>
      <c r="I359">
        <f>Master_Data!I359</f>
        <v>1</v>
      </c>
      <c r="J359">
        <f>Master_Data!J359</f>
        <v>0.22</v>
      </c>
      <c r="K359">
        <f>Master_Data!K359</f>
        <v>0.21210000000000001</v>
      </c>
      <c r="L359">
        <f>Master_Data!L359</f>
        <v>0.51</v>
      </c>
      <c r="M359">
        <f>Master_Data!M359</f>
        <v>0.25369999999999998</v>
      </c>
      <c r="N359">
        <f>Master_Data!N359</f>
        <v>3</v>
      </c>
      <c r="O359">
        <f>Master_Data!O359</f>
        <v>29</v>
      </c>
      <c r="P359">
        <f>Master_Data!P359</f>
        <v>32</v>
      </c>
      <c r="Q359" t="str">
        <f t="shared" si="30"/>
        <v>2011</v>
      </c>
      <c r="R359" t="str">
        <f t="shared" si="31"/>
        <v>January</v>
      </c>
      <c r="S359" t="str">
        <f t="shared" si="32"/>
        <v>Sunday</v>
      </c>
      <c r="T359" t="str">
        <f t="shared" si="33"/>
        <v>Morning</v>
      </c>
      <c r="U359" t="str">
        <f t="shared" si="34"/>
        <v>Spring</v>
      </c>
      <c r="V359" t="str">
        <f t="shared" si="35"/>
        <v>Clear</v>
      </c>
    </row>
    <row r="360" spans="1:22">
      <c r="A360">
        <f>Master_Data!A360</f>
        <v>359</v>
      </c>
      <c r="B360">
        <f>Master_Data!B360</f>
        <v>40559</v>
      </c>
      <c r="C360">
        <f>Master_Data!C360</f>
        <v>1</v>
      </c>
      <c r="D360">
        <f>Master_Data!D360</f>
        <v>0</v>
      </c>
      <c r="E360">
        <f>Master_Data!E360</f>
        <v>1</v>
      </c>
      <c r="F360">
        <f>Master_Data!F360</f>
        <v>10</v>
      </c>
      <c r="G360" t="b">
        <f>Master_Data!G360</f>
        <v>0</v>
      </c>
      <c r="H360">
        <f>Master_Data!H360</f>
        <v>0</v>
      </c>
      <c r="I360">
        <f>Master_Data!I360</f>
        <v>1</v>
      </c>
      <c r="J360">
        <f>Master_Data!J360</f>
        <v>0.22</v>
      </c>
      <c r="K360">
        <f>Master_Data!K360</f>
        <v>0.21210000000000001</v>
      </c>
      <c r="L360">
        <f>Master_Data!L360</f>
        <v>0.51</v>
      </c>
      <c r="M360">
        <f>Master_Data!M360</f>
        <v>0.28360000000000002</v>
      </c>
      <c r="N360">
        <f>Master_Data!N360</f>
        <v>8</v>
      </c>
      <c r="O360">
        <f>Master_Data!O360</f>
        <v>71</v>
      </c>
      <c r="P360">
        <f>Master_Data!P360</f>
        <v>79</v>
      </c>
      <c r="Q360" t="str">
        <f t="shared" si="30"/>
        <v>2011</v>
      </c>
      <c r="R360" t="str">
        <f t="shared" si="31"/>
        <v>January</v>
      </c>
      <c r="S360" t="str">
        <f t="shared" si="32"/>
        <v>Sunday</v>
      </c>
      <c r="T360" t="str">
        <f t="shared" si="33"/>
        <v>Morning</v>
      </c>
      <c r="U360" t="str">
        <f t="shared" si="34"/>
        <v>Spring</v>
      </c>
      <c r="V360" t="str">
        <f t="shared" si="35"/>
        <v>Clear</v>
      </c>
    </row>
    <row r="361" spans="1:22">
      <c r="A361">
        <f>Master_Data!A361</f>
        <v>360</v>
      </c>
      <c r="B361">
        <f>Master_Data!B361</f>
        <v>40559</v>
      </c>
      <c r="C361">
        <f>Master_Data!C361</f>
        <v>1</v>
      </c>
      <c r="D361">
        <f>Master_Data!D361</f>
        <v>0</v>
      </c>
      <c r="E361">
        <f>Master_Data!E361</f>
        <v>1</v>
      </c>
      <c r="F361">
        <f>Master_Data!F361</f>
        <v>11</v>
      </c>
      <c r="G361" t="b">
        <f>Master_Data!G361</f>
        <v>0</v>
      </c>
      <c r="H361">
        <f>Master_Data!H361</f>
        <v>0</v>
      </c>
      <c r="I361">
        <f>Master_Data!I361</f>
        <v>1</v>
      </c>
      <c r="J361">
        <f>Master_Data!J361</f>
        <v>0.24</v>
      </c>
      <c r="K361">
        <f>Master_Data!K361</f>
        <v>0.2273</v>
      </c>
      <c r="L361">
        <f>Master_Data!L361</f>
        <v>0.44</v>
      </c>
      <c r="M361">
        <f>Master_Data!M361</f>
        <v>0.25369999999999998</v>
      </c>
      <c r="N361">
        <f>Master_Data!N361</f>
        <v>23</v>
      </c>
      <c r="O361">
        <f>Master_Data!O361</f>
        <v>70</v>
      </c>
      <c r="P361">
        <f>Master_Data!P361</f>
        <v>93</v>
      </c>
      <c r="Q361" t="str">
        <f t="shared" si="30"/>
        <v>2011</v>
      </c>
      <c r="R361" t="str">
        <f t="shared" si="31"/>
        <v>January</v>
      </c>
      <c r="S361" t="str">
        <f t="shared" si="32"/>
        <v>Sunday</v>
      </c>
      <c r="T361" t="str">
        <f t="shared" si="33"/>
        <v>Morning</v>
      </c>
      <c r="U361" t="str">
        <f t="shared" si="34"/>
        <v>Spring</v>
      </c>
      <c r="V361" t="str">
        <f t="shared" si="35"/>
        <v>Clear</v>
      </c>
    </row>
    <row r="362" spans="1:22">
      <c r="A362">
        <f>Master_Data!A362</f>
        <v>361</v>
      </c>
      <c r="B362">
        <f>Master_Data!B362</f>
        <v>40559</v>
      </c>
      <c r="C362">
        <f>Master_Data!C362</f>
        <v>1</v>
      </c>
      <c r="D362">
        <f>Master_Data!D362</f>
        <v>0</v>
      </c>
      <c r="E362">
        <f>Master_Data!E362</f>
        <v>1</v>
      </c>
      <c r="F362">
        <f>Master_Data!F362</f>
        <v>12</v>
      </c>
      <c r="G362" t="b">
        <f>Master_Data!G362</f>
        <v>0</v>
      </c>
      <c r="H362">
        <f>Master_Data!H362</f>
        <v>0</v>
      </c>
      <c r="I362">
        <f>Master_Data!I362</f>
        <v>1</v>
      </c>
      <c r="J362">
        <f>Master_Data!J362</f>
        <v>0.24</v>
      </c>
      <c r="K362">
        <f>Master_Data!K362</f>
        <v>0.21210000000000001</v>
      </c>
      <c r="L362">
        <f>Master_Data!L362</f>
        <v>0.41</v>
      </c>
      <c r="M362">
        <f>Master_Data!M362</f>
        <v>0.28360000000000002</v>
      </c>
      <c r="N362">
        <f>Master_Data!N362</f>
        <v>29</v>
      </c>
      <c r="O362">
        <f>Master_Data!O362</f>
        <v>75</v>
      </c>
      <c r="P362">
        <f>Master_Data!P362</f>
        <v>104</v>
      </c>
      <c r="Q362" t="str">
        <f t="shared" si="30"/>
        <v>2011</v>
      </c>
      <c r="R362" t="str">
        <f t="shared" si="31"/>
        <v>January</v>
      </c>
      <c r="S362" t="str">
        <f t="shared" si="32"/>
        <v>Sunday</v>
      </c>
      <c r="T362" t="str">
        <f t="shared" si="33"/>
        <v>Afternoon</v>
      </c>
      <c r="U362" t="str">
        <f t="shared" si="34"/>
        <v>Spring</v>
      </c>
      <c r="V362" t="str">
        <f t="shared" si="35"/>
        <v>Clear</v>
      </c>
    </row>
    <row r="363" spans="1:22">
      <c r="A363">
        <f>Master_Data!A363</f>
        <v>362</v>
      </c>
      <c r="B363">
        <f>Master_Data!B363</f>
        <v>40559</v>
      </c>
      <c r="C363">
        <f>Master_Data!C363</f>
        <v>1</v>
      </c>
      <c r="D363">
        <f>Master_Data!D363</f>
        <v>0</v>
      </c>
      <c r="E363">
        <f>Master_Data!E363</f>
        <v>1</v>
      </c>
      <c r="F363">
        <f>Master_Data!F363</f>
        <v>13</v>
      </c>
      <c r="G363" t="b">
        <f>Master_Data!G363</f>
        <v>0</v>
      </c>
      <c r="H363">
        <f>Master_Data!H363</f>
        <v>0</v>
      </c>
      <c r="I363">
        <f>Master_Data!I363</f>
        <v>1</v>
      </c>
      <c r="J363">
        <f>Master_Data!J363</f>
        <v>0.26</v>
      </c>
      <c r="K363">
        <f>Master_Data!K363</f>
        <v>0.2273</v>
      </c>
      <c r="L363">
        <f>Master_Data!L363</f>
        <v>0.35</v>
      </c>
      <c r="M363">
        <f>Master_Data!M363</f>
        <v>0.29849999999999999</v>
      </c>
      <c r="N363">
        <f>Master_Data!N363</f>
        <v>23</v>
      </c>
      <c r="O363">
        <f>Master_Data!O363</f>
        <v>95</v>
      </c>
      <c r="P363">
        <f>Master_Data!P363</f>
        <v>118</v>
      </c>
      <c r="Q363" t="str">
        <f t="shared" si="30"/>
        <v>2011</v>
      </c>
      <c r="R363" t="str">
        <f t="shared" si="31"/>
        <v>January</v>
      </c>
      <c r="S363" t="str">
        <f t="shared" si="32"/>
        <v>Sunday</v>
      </c>
      <c r="T363" t="str">
        <f t="shared" si="33"/>
        <v>Afternoon</v>
      </c>
      <c r="U363" t="str">
        <f t="shared" si="34"/>
        <v>Spring</v>
      </c>
      <c r="V363" t="str">
        <f t="shared" si="35"/>
        <v>Clear</v>
      </c>
    </row>
    <row r="364" spans="1:22">
      <c r="A364">
        <f>Master_Data!A364</f>
        <v>363</v>
      </c>
      <c r="B364">
        <f>Master_Data!B364</f>
        <v>40559</v>
      </c>
      <c r="C364">
        <f>Master_Data!C364</f>
        <v>1</v>
      </c>
      <c r="D364">
        <f>Master_Data!D364</f>
        <v>0</v>
      </c>
      <c r="E364">
        <f>Master_Data!E364</f>
        <v>1</v>
      </c>
      <c r="F364">
        <f>Master_Data!F364</f>
        <v>14</v>
      </c>
      <c r="G364" t="b">
        <f>Master_Data!G364</f>
        <v>0</v>
      </c>
      <c r="H364">
        <f>Master_Data!H364</f>
        <v>0</v>
      </c>
      <c r="I364">
        <f>Master_Data!I364</f>
        <v>1</v>
      </c>
      <c r="J364">
        <f>Master_Data!J364</f>
        <v>0.28000000000000003</v>
      </c>
      <c r="K364">
        <f>Master_Data!K364</f>
        <v>0.2727</v>
      </c>
      <c r="L364">
        <f>Master_Data!L364</f>
        <v>0.36</v>
      </c>
      <c r="M364">
        <f>Master_Data!M364</f>
        <v>0.25369999999999998</v>
      </c>
      <c r="N364">
        <f>Master_Data!N364</f>
        <v>22</v>
      </c>
      <c r="O364">
        <f>Master_Data!O364</f>
        <v>69</v>
      </c>
      <c r="P364">
        <f>Master_Data!P364</f>
        <v>91</v>
      </c>
      <c r="Q364" t="str">
        <f t="shared" si="30"/>
        <v>2011</v>
      </c>
      <c r="R364" t="str">
        <f t="shared" si="31"/>
        <v>January</v>
      </c>
      <c r="S364" t="str">
        <f t="shared" si="32"/>
        <v>Sunday</v>
      </c>
      <c r="T364" t="str">
        <f t="shared" si="33"/>
        <v>Afternoon</v>
      </c>
      <c r="U364" t="str">
        <f t="shared" si="34"/>
        <v>Spring</v>
      </c>
      <c r="V364" t="str">
        <f t="shared" si="35"/>
        <v>Clear</v>
      </c>
    </row>
    <row r="365" spans="1:22">
      <c r="A365">
        <f>Master_Data!A365</f>
        <v>364</v>
      </c>
      <c r="B365">
        <f>Master_Data!B365</f>
        <v>40559</v>
      </c>
      <c r="C365">
        <f>Master_Data!C365</f>
        <v>1</v>
      </c>
      <c r="D365">
        <f>Master_Data!D365</f>
        <v>0</v>
      </c>
      <c r="E365">
        <f>Master_Data!E365</f>
        <v>1</v>
      </c>
      <c r="F365">
        <f>Master_Data!F365</f>
        <v>15</v>
      </c>
      <c r="G365" t="b">
        <f>Master_Data!G365</f>
        <v>0</v>
      </c>
      <c r="H365">
        <f>Master_Data!H365</f>
        <v>0</v>
      </c>
      <c r="I365">
        <f>Master_Data!I365</f>
        <v>1</v>
      </c>
      <c r="J365">
        <f>Master_Data!J365</f>
        <v>0.26</v>
      </c>
      <c r="K365">
        <f>Master_Data!K365</f>
        <v>0.2424</v>
      </c>
      <c r="L365">
        <f>Master_Data!L365</f>
        <v>0.38</v>
      </c>
      <c r="M365">
        <f>Master_Data!M365</f>
        <v>0.25369999999999998</v>
      </c>
      <c r="N365">
        <f>Master_Data!N365</f>
        <v>35</v>
      </c>
      <c r="O365">
        <f>Master_Data!O365</f>
        <v>78</v>
      </c>
      <c r="P365">
        <f>Master_Data!P365</f>
        <v>113</v>
      </c>
      <c r="Q365" t="str">
        <f t="shared" si="30"/>
        <v>2011</v>
      </c>
      <c r="R365" t="str">
        <f t="shared" si="31"/>
        <v>January</v>
      </c>
      <c r="S365" t="str">
        <f t="shared" si="32"/>
        <v>Sunday</v>
      </c>
      <c r="T365" t="str">
        <f t="shared" si="33"/>
        <v>Afternoon</v>
      </c>
      <c r="U365" t="str">
        <f t="shared" si="34"/>
        <v>Spring</v>
      </c>
      <c r="V365" t="str">
        <f t="shared" si="35"/>
        <v>Clear</v>
      </c>
    </row>
    <row r="366" spans="1:22">
      <c r="A366">
        <f>Master_Data!A366</f>
        <v>365</v>
      </c>
      <c r="B366">
        <f>Master_Data!B366</f>
        <v>40559</v>
      </c>
      <c r="C366">
        <f>Master_Data!C366</f>
        <v>1</v>
      </c>
      <c r="D366">
        <f>Master_Data!D366</f>
        <v>0</v>
      </c>
      <c r="E366">
        <f>Master_Data!E366</f>
        <v>1</v>
      </c>
      <c r="F366">
        <f>Master_Data!F366</f>
        <v>16</v>
      </c>
      <c r="G366" t="b">
        <f>Master_Data!G366</f>
        <v>0</v>
      </c>
      <c r="H366">
        <f>Master_Data!H366</f>
        <v>0</v>
      </c>
      <c r="I366">
        <f>Master_Data!I366</f>
        <v>1</v>
      </c>
      <c r="J366">
        <f>Master_Data!J366</f>
        <v>0.24</v>
      </c>
      <c r="K366">
        <f>Master_Data!K366</f>
        <v>0.2273</v>
      </c>
      <c r="L366">
        <f>Master_Data!L366</f>
        <v>0.38</v>
      </c>
      <c r="M366">
        <f>Master_Data!M366</f>
        <v>0.22389999999999999</v>
      </c>
      <c r="N366">
        <f>Master_Data!N366</f>
        <v>22</v>
      </c>
      <c r="O366">
        <f>Master_Data!O366</f>
        <v>77</v>
      </c>
      <c r="P366">
        <f>Master_Data!P366</f>
        <v>99</v>
      </c>
      <c r="Q366" t="str">
        <f t="shared" si="30"/>
        <v>2011</v>
      </c>
      <c r="R366" t="str">
        <f t="shared" si="31"/>
        <v>January</v>
      </c>
      <c r="S366" t="str">
        <f t="shared" si="32"/>
        <v>Sunday</v>
      </c>
      <c r="T366" t="str">
        <f t="shared" si="33"/>
        <v>Afternoon</v>
      </c>
      <c r="U366" t="str">
        <f t="shared" si="34"/>
        <v>Spring</v>
      </c>
      <c r="V366" t="str">
        <f t="shared" si="35"/>
        <v>Clear</v>
      </c>
    </row>
    <row r="367" spans="1:22">
      <c r="A367">
        <f>Master_Data!A367</f>
        <v>366</v>
      </c>
      <c r="B367">
        <f>Master_Data!B367</f>
        <v>40559</v>
      </c>
      <c r="C367">
        <f>Master_Data!C367</f>
        <v>1</v>
      </c>
      <c r="D367">
        <f>Master_Data!D367</f>
        <v>0</v>
      </c>
      <c r="E367">
        <f>Master_Data!E367</f>
        <v>1</v>
      </c>
      <c r="F367">
        <f>Master_Data!F367</f>
        <v>17</v>
      </c>
      <c r="G367" t="b">
        <f>Master_Data!G367</f>
        <v>0</v>
      </c>
      <c r="H367">
        <f>Master_Data!H367</f>
        <v>0</v>
      </c>
      <c r="I367">
        <f>Master_Data!I367</f>
        <v>1</v>
      </c>
      <c r="J367">
        <f>Master_Data!J367</f>
        <v>0.22</v>
      </c>
      <c r="K367">
        <f>Master_Data!K367</f>
        <v>0.21210000000000001</v>
      </c>
      <c r="L367">
        <f>Master_Data!L367</f>
        <v>0.37</v>
      </c>
      <c r="M367">
        <f>Master_Data!M367</f>
        <v>0.25369999999999998</v>
      </c>
      <c r="N367">
        <f>Master_Data!N367</f>
        <v>23</v>
      </c>
      <c r="O367">
        <f>Master_Data!O367</f>
        <v>82</v>
      </c>
      <c r="P367">
        <f>Master_Data!P367</f>
        <v>105</v>
      </c>
      <c r="Q367" t="str">
        <f t="shared" si="30"/>
        <v>2011</v>
      </c>
      <c r="R367" t="str">
        <f t="shared" si="31"/>
        <v>January</v>
      </c>
      <c r="S367" t="str">
        <f t="shared" si="32"/>
        <v>Sunday</v>
      </c>
      <c r="T367" t="str">
        <f t="shared" si="33"/>
        <v>Evening</v>
      </c>
      <c r="U367" t="str">
        <f t="shared" si="34"/>
        <v>Spring</v>
      </c>
      <c r="V367" t="str">
        <f t="shared" si="35"/>
        <v>Clear</v>
      </c>
    </row>
    <row r="368" spans="1:22">
      <c r="A368">
        <f>Master_Data!A368</f>
        <v>367</v>
      </c>
      <c r="B368">
        <f>Master_Data!B368</f>
        <v>40559</v>
      </c>
      <c r="C368">
        <f>Master_Data!C368</f>
        <v>1</v>
      </c>
      <c r="D368">
        <f>Master_Data!D368</f>
        <v>0</v>
      </c>
      <c r="E368">
        <f>Master_Data!E368</f>
        <v>1</v>
      </c>
      <c r="F368">
        <f>Master_Data!F368</f>
        <v>18</v>
      </c>
      <c r="G368" t="b">
        <f>Master_Data!G368</f>
        <v>0</v>
      </c>
      <c r="H368">
        <f>Master_Data!H368</f>
        <v>0</v>
      </c>
      <c r="I368">
        <f>Master_Data!I368</f>
        <v>1</v>
      </c>
      <c r="J368">
        <f>Master_Data!J368</f>
        <v>0.2</v>
      </c>
      <c r="K368">
        <f>Master_Data!K368</f>
        <v>0.21210000000000001</v>
      </c>
      <c r="L368">
        <f>Master_Data!L368</f>
        <v>0.4</v>
      </c>
      <c r="M368">
        <f>Master_Data!M368</f>
        <v>0.16420000000000001</v>
      </c>
      <c r="N368">
        <f>Master_Data!N368</f>
        <v>11</v>
      </c>
      <c r="O368">
        <f>Master_Data!O368</f>
        <v>56</v>
      </c>
      <c r="P368">
        <f>Master_Data!P368</f>
        <v>67</v>
      </c>
      <c r="Q368" t="str">
        <f t="shared" si="30"/>
        <v>2011</v>
      </c>
      <c r="R368" t="str">
        <f t="shared" si="31"/>
        <v>January</v>
      </c>
      <c r="S368" t="str">
        <f t="shared" si="32"/>
        <v>Sunday</v>
      </c>
      <c r="T368" t="str">
        <f t="shared" si="33"/>
        <v>Evening</v>
      </c>
      <c r="U368" t="str">
        <f t="shared" si="34"/>
        <v>Spring</v>
      </c>
      <c r="V368" t="str">
        <f t="shared" si="35"/>
        <v>Clear</v>
      </c>
    </row>
    <row r="369" spans="1:22">
      <c r="A369">
        <f>Master_Data!A369</f>
        <v>368</v>
      </c>
      <c r="B369">
        <f>Master_Data!B369</f>
        <v>40559</v>
      </c>
      <c r="C369">
        <f>Master_Data!C369</f>
        <v>1</v>
      </c>
      <c r="D369">
        <f>Master_Data!D369</f>
        <v>0</v>
      </c>
      <c r="E369">
        <f>Master_Data!E369</f>
        <v>1</v>
      </c>
      <c r="F369">
        <f>Master_Data!F369</f>
        <v>19</v>
      </c>
      <c r="G369" t="b">
        <f>Master_Data!G369</f>
        <v>0</v>
      </c>
      <c r="H369">
        <f>Master_Data!H369</f>
        <v>0</v>
      </c>
      <c r="I369">
        <f>Master_Data!I369</f>
        <v>1</v>
      </c>
      <c r="J369">
        <f>Master_Data!J369</f>
        <v>0.18</v>
      </c>
      <c r="K369">
        <f>Master_Data!K369</f>
        <v>0.19700000000000001</v>
      </c>
      <c r="L369">
        <f>Master_Data!L369</f>
        <v>0.47</v>
      </c>
      <c r="M369">
        <f>Master_Data!M369</f>
        <v>0.1343</v>
      </c>
      <c r="N369">
        <f>Master_Data!N369</f>
        <v>14</v>
      </c>
      <c r="O369">
        <f>Master_Data!O369</f>
        <v>47</v>
      </c>
      <c r="P369">
        <f>Master_Data!P369</f>
        <v>61</v>
      </c>
      <c r="Q369" t="str">
        <f t="shared" si="30"/>
        <v>2011</v>
      </c>
      <c r="R369" t="str">
        <f t="shared" si="31"/>
        <v>January</v>
      </c>
      <c r="S369" t="str">
        <f t="shared" si="32"/>
        <v>Sunday</v>
      </c>
      <c r="T369" t="str">
        <f t="shared" si="33"/>
        <v>Evening</v>
      </c>
      <c r="U369" t="str">
        <f t="shared" si="34"/>
        <v>Spring</v>
      </c>
      <c r="V369" t="str">
        <f t="shared" si="35"/>
        <v>Clear</v>
      </c>
    </row>
    <row r="370" spans="1:22">
      <c r="A370">
        <f>Master_Data!A370</f>
        <v>369</v>
      </c>
      <c r="B370">
        <f>Master_Data!B370</f>
        <v>40559</v>
      </c>
      <c r="C370">
        <f>Master_Data!C370</f>
        <v>1</v>
      </c>
      <c r="D370">
        <f>Master_Data!D370</f>
        <v>0</v>
      </c>
      <c r="E370">
        <f>Master_Data!E370</f>
        <v>1</v>
      </c>
      <c r="F370">
        <f>Master_Data!F370</f>
        <v>20</v>
      </c>
      <c r="G370" t="b">
        <f>Master_Data!G370</f>
        <v>0</v>
      </c>
      <c r="H370">
        <f>Master_Data!H370</f>
        <v>0</v>
      </c>
      <c r="I370">
        <f>Master_Data!I370</f>
        <v>1</v>
      </c>
      <c r="J370">
        <f>Master_Data!J370</f>
        <v>0.18</v>
      </c>
      <c r="K370">
        <f>Master_Data!K370</f>
        <v>0.19700000000000001</v>
      </c>
      <c r="L370">
        <f>Master_Data!L370</f>
        <v>0.47</v>
      </c>
      <c r="M370">
        <f>Master_Data!M370</f>
        <v>0.16420000000000001</v>
      </c>
      <c r="N370">
        <f>Master_Data!N370</f>
        <v>7</v>
      </c>
      <c r="O370">
        <f>Master_Data!O370</f>
        <v>50</v>
      </c>
      <c r="P370">
        <f>Master_Data!P370</f>
        <v>57</v>
      </c>
      <c r="Q370" t="str">
        <f t="shared" si="30"/>
        <v>2011</v>
      </c>
      <c r="R370" t="str">
        <f t="shared" si="31"/>
        <v>January</v>
      </c>
      <c r="S370" t="str">
        <f t="shared" si="32"/>
        <v>Sunday</v>
      </c>
      <c r="T370" t="str">
        <f t="shared" si="33"/>
        <v>Evening</v>
      </c>
      <c r="U370" t="str">
        <f t="shared" si="34"/>
        <v>Spring</v>
      </c>
      <c r="V370" t="str">
        <f t="shared" si="35"/>
        <v>Clear</v>
      </c>
    </row>
    <row r="371" spans="1:22">
      <c r="A371">
        <f>Master_Data!A371</f>
        <v>370</v>
      </c>
      <c r="B371">
        <f>Master_Data!B371</f>
        <v>40559</v>
      </c>
      <c r="C371">
        <f>Master_Data!C371</f>
        <v>1</v>
      </c>
      <c r="D371">
        <f>Master_Data!D371</f>
        <v>0</v>
      </c>
      <c r="E371">
        <f>Master_Data!E371</f>
        <v>1</v>
      </c>
      <c r="F371">
        <f>Master_Data!F371</f>
        <v>21</v>
      </c>
      <c r="G371" t="b">
        <f>Master_Data!G371</f>
        <v>0</v>
      </c>
      <c r="H371">
        <f>Master_Data!H371</f>
        <v>0</v>
      </c>
      <c r="I371">
        <f>Master_Data!I371</f>
        <v>1</v>
      </c>
      <c r="J371">
        <f>Master_Data!J371</f>
        <v>0.18</v>
      </c>
      <c r="K371">
        <f>Master_Data!K371</f>
        <v>0.19700000000000001</v>
      </c>
      <c r="L371">
        <f>Master_Data!L371</f>
        <v>0.51</v>
      </c>
      <c r="M371">
        <f>Master_Data!M371</f>
        <v>0.16420000000000001</v>
      </c>
      <c r="N371">
        <f>Master_Data!N371</f>
        <v>6</v>
      </c>
      <c r="O371">
        <f>Master_Data!O371</f>
        <v>22</v>
      </c>
      <c r="P371">
        <f>Master_Data!P371</f>
        <v>28</v>
      </c>
      <c r="Q371" t="str">
        <f t="shared" si="30"/>
        <v>2011</v>
      </c>
      <c r="R371" t="str">
        <f t="shared" si="31"/>
        <v>January</v>
      </c>
      <c r="S371" t="str">
        <f t="shared" si="32"/>
        <v>Sunday</v>
      </c>
      <c r="T371" t="str">
        <f t="shared" si="33"/>
        <v>Night</v>
      </c>
      <c r="U371" t="str">
        <f t="shared" si="34"/>
        <v>Spring</v>
      </c>
      <c r="V371" t="str">
        <f t="shared" si="35"/>
        <v>Clear</v>
      </c>
    </row>
    <row r="372" spans="1:22">
      <c r="A372">
        <f>Master_Data!A372</f>
        <v>371</v>
      </c>
      <c r="B372">
        <f>Master_Data!B372</f>
        <v>40559</v>
      </c>
      <c r="C372">
        <f>Master_Data!C372</f>
        <v>1</v>
      </c>
      <c r="D372">
        <f>Master_Data!D372</f>
        <v>0</v>
      </c>
      <c r="E372">
        <f>Master_Data!E372</f>
        <v>1</v>
      </c>
      <c r="F372">
        <f>Master_Data!F372</f>
        <v>22</v>
      </c>
      <c r="G372" t="b">
        <f>Master_Data!G372</f>
        <v>0</v>
      </c>
      <c r="H372">
        <f>Master_Data!H372</f>
        <v>0</v>
      </c>
      <c r="I372">
        <f>Master_Data!I372</f>
        <v>2</v>
      </c>
      <c r="J372">
        <f>Master_Data!J372</f>
        <v>0.2</v>
      </c>
      <c r="K372">
        <f>Master_Data!K372</f>
        <v>0.21210000000000001</v>
      </c>
      <c r="L372">
        <f>Master_Data!L372</f>
        <v>0.49</v>
      </c>
      <c r="M372">
        <f>Master_Data!M372</f>
        <v>0.1343</v>
      </c>
      <c r="N372">
        <f>Master_Data!N372</f>
        <v>2</v>
      </c>
      <c r="O372">
        <f>Master_Data!O372</f>
        <v>19</v>
      </c>
      <c r="P372">
        <f>Master_Data!P372</f>
        <v>21</v>
      </c>
      <c r="Q372" t="str">
        <f t="shared" si="30"/>
        <v>2011</v>
      </c>
      <c r="R372" t="str">
        <f t="shared" si="31"/>
        <v>January</v>
      </c>
      <c r="S372" t="str">
        <f t="shared" si="32"/>
        <v>Sunday</v>
      </c>
      <c r="T372" t="str">
        <f t="shared" si="33"/>
        <v>Night</v>
      </c>
      <c r="U372" t="str">
        <f t="shared" si="34"/>
        <v>Spring</v>
      </c>
      <c r="V372" t="str">
        <f t="shared" si="35"/>
        <v>Mist/Cloudy</v>
      </c>
    </row>
    <row r="373" spans="1:22">
      <c r="A373">
        <f>Master_Data!A373</f>
        <v>372</v>
      </c>
      <c r="B373">
        <f>Master_Data!B373</f>
        <v>40559</v>
      </c>
      <c r="C373">
        <f>Master_Data!C373</f>
        <v>1</v>
      </c>
      <c r="D373">
        <f>Master_Data!D373</f>
        <v>0</v>
      </c>
      <c r="E373">
        <f>Master_Data!E373</f>
        <v>1</v>
      </c>
      <c r="F373">
        <f>Master_Data!F373</f>
        <v>23</v>
      </c>
      <c r="G373" t="b">
        <f>Master_Data!G373</f>
        <v>0</v>
      </c>
      <c r="H373">
        <f>Master_Data!H373</f>
        <v>0</v>
      </c>
      <c r="I373">
        <f>Master_Data!I373</f>
        <v>2</v>
      </c>
      <c r="J373">
        <f>Master_Data!J373</f>
        <v>0.2</v>
      </c>
      <c r="K373">
        <f>Master_Data!K373</f>
        <v>0.2273</v>
      </c>
      <c r="L373">
        <f>Master_Data!L373</f>
        <v>0.4</v>
      </c>
      <c r="M373">
        <f>Master_Data!M373</f>
        <v>0.1045</v>
      </c>
      <c r="N373">
        <f>Master_Data!N373</f>
        <v>0</v>
      </c>
      <c r="O373">
        <f>Master_Data!O373</f>
        <v>18</v>
      </c>
      <c r="P373">
        <f>Master_Data!P373</f>
        <v>18</v>
      </c>
      <c r="Q373" t="str">
        <f t="shared" si="30"/>
        <v>2011</v>
      </c>
      <c r="R373" t="str">
        <f t="shared" si="31"/>
        <v>January</v>
      </c>
      <c r="S373" t="str">
        <f t="shared" si="32"/>
        <v>Sunday</v>
      </c>
      <c r="T373" t="str">
        <f t="shared" si="33"/>
        <v>Night</v>
      </c>
      <c r="U373" t="str">
        <f t="shared" si="34"/>
        <v>Spring</v>
      </c>
      <c r="V373" t="str">
        <f t="shared" si="35"/>
        <v>Mist/Cloudy</v>
      </c>
    </row>
    <row r="374" spans="1:22">
      <c r="A374">
        <f>Master_Data!A374</f>
        <v>373</v>
      </c>
      <c r="B374">
        <f>Master_Data!B374</f>
        <v>40560</v>
      </c>
      <c r="C374">
        <f>Master_Data!C374</f>
        <v>1</v>
      </c>
      <c r="D374">
        <f>Master_Data!D374</f>
        <v>0</v>
      </c>
      <c r="E374">
        <f>Master_Data!E374</f>
        <v>1</v>
      </c>
      <c r="F374">
        <f>Master_Data!F374</f>
        <v>0</v>
      </c>
      <c r="G374" t="b">
        <f>Master_Data!G374</f>
        <v>1</v>
      </c>
      <c r="H374">
        <f>Master_Data!H374</f>
        <v>1</v>
      </c>
      <c r="I374">
        <f>Master_Data!I374</f>
        <v>2</v>
      </c>
      <c r="J374">
        <f>Master_Data!J374</f>
        <v>0.2</v>
      </c>
      <c r="K374">
        <f>Master_Data!K374</f>
        <v>0.19700000000000001</v>
      </c>
      <c r="L374">
        <f>Master_Data!L374</f>
        <v>0.47</v>
      </c>
      <c r="M374">
        <f>Master_Data!M374</f>
        <v>0.22389999999999999</v>
      </c>
      <c r="N374">
        <f>Master_Data!N374</f>
        <v>1</v>
      </c>
      <c r="O374">
        <f>Master_Data!O374</f>
        <v>16</v>
      </c>
      <c r="P374">
        <f>Master_Data!P374</f>
        <v>17</v>
      </c>
      <c r="Q374" t="str">
        <f t="shared" si="30"/>
        <v>2011</v>
      </c>
      <c r="R374" t="str">
        <f t="shared" si="31"/>
        <v>January</v>
      </c>
      <c r="S374" t="str">
        <f t="shared" si="32"/>
        <v>Holiday</v>
      </c>
      <c r="T374" t="str">
        <f t="shared" si="33"/>
        <v>Night</v>
      </c>
      <c r="U374" t="str">
        <f t="shared" si="34"/>
        <v>Spring</v>
      </c>
      <c r="V374" t="str">
        <f t="shared" si="35"/>
        <v>Mist/Cloudy</v>
      </c>
    </row>
    <row r="375" spans="1:22">
      <c r="A375">
        <f>Master_Data!A375</f>
        <v>374</v>
      </c>
      <c r="B375">
        <f>Master_Data!B375</f>
        <v>40560</v>
      </c>
      <c r="C375">
        <f>Master_Data!C375</f>
        <v>1</v>
      </c>
      <c r="D375">
        <f>Master_Data!D375</f>
        <v>0</v>
      </c>
      <c r="E375">
        <f>Master_Data!E375</f>
        <v>1</v>
      </c>
      <c r="F375">
        <f>Master_Data!F375</f>
        <v>1</v>
      </c>
      <c r="G375" t="b">
        <f>Master_Data!G375</f>
        <v>1</v>
      </c>
      <c r="H375">
        <f>Master_Data!H375</f>
        <v>1</v>
      </c>
      <c r="I375">
        <f>Master_Data!I375</f>
        <v>2</v>
      </c>
      <c r="J375">
        <f>Master_Data!J375</f>
        <v>0.2</v>
      </c>
      <c r="K375">
        <f>Master_Data!K375</f>
        <v>0.19700000000000001</v>
      </c>
      <c r="L375">
        <f>Master_Data!L375</f>
        <v>0.44</v>
      </c>
      <c r="M375">
        <f>Master_Data!M375</f>
        <v>0.19400000000000001</v>
      </c>
      <c r="N375">
        <f>Master_Data!N375</f>
        <v>1</v>
      </c>
      <c r="O375">
        <f>Master_Data!O375</f>
        <v>15</v>
      </c>
      <c r="P375">
        <f>Master_Data!P375</f>
        <v>16</v>
      </c>
      <c r="Q375" t="str">
        <f t="shared" si="30"/>
        <v>2011</v>
      </c>
      <c r="R375" t="str">
        <f t="shared" si="31"/>
        <v>January</v>
      </c>
      <c r="S375" t="str">
        <f t="shared" si="32"/>
        <v>Holiday</v>
      </c>
      <c r="T375" t="str">
        <f t="shared" si="33"/>
        <v>Night</v>
      </c>
      <c r="U375" t="str">
        <f t="shared" si="34"/>
        <v>Spring</v>
      </c>
      <c r="V375" t="str">
        <f t="shared" si="35"/>
        <v>Mist/Cloudy</v>
      </c>
    </row>
    <row r="376" spans="1:22">
      <c r="A376">
        <f>Master_Data!A376</f>
        <v>375</v>
      </c>
      <c r="B376">
        <f>Master_Data!B376</f>
        <v>40560</v>
      </c>
      <c r="C376">
        <f>Master_Data!C376</f>
        <v>1</v>
      </c>
      <c r="D376">
        <f>Master_Data!D376</f>
        <v>0</v>
      </c>
      <c r="E376">
        <f>Master_Data!E376</f>
        <v>1</v>
      </c>
      <c r="F376">
        <f>Master_Data!F376</f>
        <v>2</v>
      </c>
      <c r="G376" t="b">
        <f>Master_Data!G376</f>
        <v>1</v>
      </c>
      <c r="H376">
        <f>Master_Data!H376</f>
        <v>1</v>
      </c>
      <c r="I376">
        <f>Master_Data!I376</f>
        <v>2</v>
      </c>
      <c r="J376">
        <f>Master_Data!J376</f>
        <v>0.18</v>
      </c>
      <c r="K376">
        <f>Master_Data!K376</f>
        <v>0.16669999999999999</v>
      </c>
      <c r="L376">
        <f>Master_Data!L376</f>
        <v>0.43</v>
      </c>
      <c r="M376">
        <f>Master_Data!M376</f>
        <v>0.25369999999999998</v>
      </c>
      <c r="N376">
        <f>Master_Data!N376</f>
        <v>0</v>
      </c>
      <c r="O376">
        <f>Master_Data!O376</f>
        <v>8</v>
      </c>
      <c r="P376">
        <f>Master_Data!P376</f>
        <v>8</v>
      </c>
      <c r="Q376" t="str">
        <f t="shared" si="30"/>
        <v>2011</v>
      </c>
      <c r="R376" t="str">
        <f t="shared" si="31"/>
        <v>January</v>
      </c>
      <c r="S376" t="str">
        <f t="shared" si="32"/>
        <v>Holiday</v>
      </c>
      <c r="T376" t="str">
        <f t="shared" si="33"/>
        <v>Night</v>
      </c>
      <c r="U376" t="str">
        <f t="shared" si="34"/>
        <v>Spring</v>
      </c>
      <c r="V376" t="str">
        <f t="shared" si="35"/>
        <v>Mist/Cloudy</v>
      </c>
    </row>
    <row r="377" spans="1:22">
      <c r="A377">
        <f>Master_Data!A377</f>
        <v>376</v>
      </c>
      <c r="B377">
        <f>Master_Data!B377</f>
        <v>40560</v>
      </c>
      <c r="C377">
        <f>Master_Data!C377</f>
        <v>1</v>
      </c>
      <c r="D377">
        <f>Master_Data!D377</f>
        <v>0</v>
      </c>
      <c r="E377">
        <f>Master_Data!E377</f>
        <v>1</v>
      </c>
      <c r="F377">
        <f>Master_Data!F377</f>
        <v>3</v>
      </c>
      <c r="G377" t="b">
        <f>Master_Data!G377</f>
        <v>1</v>
      </c>
      <c r="H377">
        <f>Master_Data!H377</f>
        <v>1</v>
      </c>
      <c r="I377">
        <f>Master_Data!I377</f>
        <v>2</v>
      </c>
      <c r="J377">
        <f>Master_Data!J377</f>
        <v>0.18</v>
      </c>
      <c r="K377">
        <f>Master_Data!K377</f>
        <v>0.18179999999999999</v>
      </c>
      <c r="L377">
        <f>Master_Data!L377</f>
        <v>0.43</v>
      </c>
      <c r="M377">
        <f>Master_Data!M377</f>
        <v>0.19400000000000001</v>
      </c>
      <c r="N377">
        <f>Master_Data!N377</f>
        <v>0</v>
      </c>
      <c r="O377">
        <f>Master_Data!O377</f>
        <v>2</v>
      </c>
      <c r="P377">
        <f>Master_Data!P377</f>
        <v>2</v>
      </c>
      <c r="Q377" t="str">
        <f t="shared" si="30"/>
        <v>2011</v>
      </c>
      <c r="R377" t="str">
        <f t="shared" si="31"/>
        <v>January</v>
      </c>
      <c r="S377" t="str">
        <f t="shared" si="32"/>
        <v>Holiday</v>
      </c>
      <c r="T377" t="str">
        <f t="shared" si="33"/>
        <v>Night</v>
      </c>
      <c r="U377" t="str">
        <f t="shared" si="34"/>
        <v>Spring</v>
      </c>
      <c r="V377" t="str">
        <f t="shared" si="35"/>
        <v>Mist/Cloudy</v>
      </c>
    </row>
    <row r="378" spans="1:22">
      <c r="A378">
        <f>Master_Data!A378</f>
        <v>377</v>
      </c>
      <c r="B378">
        <f>Master_Data!B378</f>
        <v>40560</v>
      </c>
      <c r="C378">
        <f>Master_Data!C378</f>
        <v>1</v>
      </c>
      <c r="D378">
        <f>Master_Data!D378</f>
        <v>0</v>
      </c>
      <c r="E378">
        <f>Master_Data!E378</f>
        <v>1</v>
      </c>
      <c r="F378">
        <f>Master_Data!F378</f>
        <v>4</v>
      </c>
      <c r="G378" t="b">
        <f>Master_Data!G378</f>
        <v>1</v>
      </c>
      <c r="H378">
        <f>Master_Data!H378</f>
        <v>1</v>
      </c>
      <c r="I378">
        <f>Master_Data!I378</f>
        <v>2</v>
      </c>
      <c r="J378">
        <f>Master_Data!J378</f>
        <v>0.18</v>
      </c>
      <c r="K378">
        <f>Master_Data!K378</f>
        <v>0.19700000000000001</v>
      </c>
      <c r="L378">
        <f>Master_Data!L378</f>
        <v>0.43</v>
      </c>
      <c r="M378">
        <f>Master_Data!M378</f>
        <v>0.1343</v>
      </c>
      <c r="N378">
        <f>Master_Data!N378</f>
        <v>1</v>
      </c>
      <c r="O378">
        <f>Master_Data!O378</f>
        <v>2</v>
      </c>
      <c r="P378">
        <f>Master_Data!P378</f>
        <v>3</v>
      </c>
      <c r="Q378" t="str">
        <f t="shared" si="30"/>
        <v>2011</v>
      </c>
      <c r="R378" t="str">
        <f t="shared" si="31"/>
        <v>January</v>
      </c>
      <c r="S378" t="str">
        <f t="shared" si="32"/>
        <v>Holiday</v>
      </c>
      <c r="T378" t="str">
        <f t="shared" si="33"/>
        <v>Night</v>
      </c>
      <c r="U378" t="str">
        <f t="shared" si="34"/>
        <v>Spring</v>
      </c>
      <c r="V378" t="str">
        <f t="shared" si="35"/>
        <v>Mist/Cloudy</v>
      </c>
    </row>
    <row r="379" spans="1:22">
      <c r="A379">
        <f>Master_Data!A379</f>
        <v>378</v>
      </c>
      <c r="B379">
        <f>Master_Data!B379</f>
        <v>40560</v>
      </c>
      <c r="C379">
        <f>Master_Data!C379</f>
        <v>1</v>
      </c>
      <c r="D379">
        <f>Master_Data!D379</f>
        <v>0</v>
      </c>
      <c r="E379">
        <f>Master_Data!E379</f>
        <v>1</v>
      </c>
      <c r="F379">
        <f>Master_Data!F379</f>
        <v>5</v>
      </c>
      <c r="G379" t="b">
        <f>Master_Data!G379</f>
        <v>1</v>
      </c>
      <c r="H379">
        <f>Master_Data!H379</f>
        <v>1</v>
      </c>
      <c r="I379">
        <f>Master_Data!I379</f>
        <v>2</v>
      </c>
      <c r="J379">
        <f>Master_Data!J379</f>
        <v>0.18</v>
      </c>
      <c r="K379">
        <f>Master_Data!K379</f>
        <v>0.19700000000000001</v>
      </c>
      <c r="L379">
        <f>Master_Data!L379</f>
        <v>0.43</v>
      </c>
      <c r="M379">
        <f>Master_Data!M379</f>
        <v>0.16420000000000001</v>
      </c>
      <c r="N379">
        <f>Master_Data!N379</f>
        <v>0</v>
      </c>
      <c r="O379">
        <f>Master_Data!O379</f>
        <v>1</v>
      </c>
      <c r="P379">
        <f>Master_Data!P379</f>
        <v>1</v>
      </c>
      <c r="Q379" t="str">
        <f t="shared" si="30"/>
        <v>2011</v>
      </c>
      <c r="R379" t="str">
        <f t="shared" si="31"/>
        <v>January</v>
      </c>
      <c r="S379" t="str">
        <f t="shared" si="32"/>
        <v>Holiday</v>
      </c>
      <c r="T379" t="str">
        <f t="shared" si="33"/>
        <v>Night</v>
      </c>
      <c r="U379" t="str">
        <f t="shared" si="34"/>
        <v>Spring</v>
      </c>
      <c r="V379" t="str">
        <f t="shared" si="35"/>
        <v>Mist/Cloudy</v>
      </c>
    </row>
    <row r="380" spans="1:22">
      <c r="A380">
        <f>Master_Data!A380</f>
        <v>379</v>
      </c>
      <c r="B380">
        <f>Master_Data!B380</f>
        <v>40560</v>
      </c>
      <c r="C380">
        <f>Master_Data!C380</f>
        <v>1</v>
      </c>
      <c r="D380">
        <f>Master_Data!D380</f>
        <v>0</v>
      </c>
      <c r="E380">
        <f>Master_Data!E380</f>
        <v>1</v>
      </c>
      <c r="F380">
        <f>Master_Data!F380</f>
        <v>6</v>
      </c>
      <c r="G380" t="b">
        <f>Master_Data!G380</f>
        <v>1</v>
      </c>
      <c r="H380">
        <f>Master_Data!H380</f>
        <v>1</v>
      </c>
      <c r="I380">
        <f>Master_Data!I380</f>
        <v>2</v>
      </c>
      <c r="J380">
        <f>Master_Data!J380</f>
        <v>0.18</v>
      </c>
      <c r="K380">
        <f>Master_Data!K380</f>
        <v>0.18179999999999999</v>
      </c>
      <c r="L380">
        <f>Master_Data!L380</f>
        <v>0.43</v>
      </c>
      <c r="M380">
        <f>Master_Data!M380</f>
        <v>0.19400000000000001</v>
      </c>
      <c r="N380">
        <f>Master_Data!N380</f>
        <v>0</v>
      </c>
      <c r="O380">
        <f>Master_Data!O380</f>
        <v>5</v>
      </c>
      <c r="P380">
        <f>Master_Data!P380</f>
        <v>5</v>
      </c>
      <c r="Q380" t="str">
        <f t="shared" si="30"/>
        <v>2011</v>
      </c>
      <c r="R380" t="str">
        <f t="shared" si="31"/>
        <v>January</v>
      </c>
      <c r="S380" t="str">
        <f t="shared" si="32"/>
        <v>Holiday</v>
      </c>
      <c r="T380" t="str">
        <f t="shared" si="33"/>
        <v>Morning</v>
      </c>
      <c r="U380" t="str">
        <f t="shared" si="34"/>
        <v>Spring</v>
      </c>
      <c r="V380" t="str">
        <f t="shared" si="35"/>
        <v>Mist/Cloudy</v>
      </c>
    </row>
    <row r="381" spans="1:22">
      <c r="A381">
        <f>Master_Data!A381</f>
        <v>380</v>
      </c>
      <c r="B381">
        <f>Master_Data!B381</f>
        <v>40560</v>
      </c>
      <c r="C381">
        <f>Master_Data!C381</f>
        <v>1</v>
      </c>
      <c r="D381">
        <f>Master_Data!D381</f>
        <v>0</v>
      </c>
      <c r="E381">
        <f>Master_Data!E381</f>
        <v>1</v>
      </c>
      <c r="F381">
        <f>Master_Data!F381</f>
        <v>7</v>
      </c>
      <c r="G381" t="b">
        <f>Master_Data!G381</f>
        <v>1</v>
      </c>
      <c r="H381">
        <f>Master_Data!H381</f>
        <v>1</v>
      </c>
      <c r="I381">
        <f>Master_Data!I381</f>
        <v>2</v>
      </c>
      <c r="J381">
        <f>Master_Data!J381</f>
        <v>0.16</v>
      </c>
      <c r="K381">
        <f>Master_Data!K381</f>
        <v>0.18179999999999999</v>
      </c>
      <c r="L381">
        <f>Master_Data!L381</f>
        <v>0.5</v>
      </c>
      <c r="M381">
        <f>Master_Data!M381</f>
        <v>0.1343</v>
      </c>
      <c r="N381">
        <f>Master_Data!N381</f>
        <v>4</v>
      </c>
      <c r="O381">
        <f>Master_Data!O381</f>
        <v>9</v>
      </c>
      <c r="P381">
        <f>Master_Data!P381</f>
        <v>13</v>
      </c>
      <c r="Q381" t="str">
        <f t="shared" si="30"/>
        <v>2011</v>
      </c>
      <c r="R381" t="str">
        <f t="shared" si="31"/>
        <v>January</v>
      </c>
      <c r="S381" t="str">
        <f t="shared" si="32"/>
        <v>Holiday</v>
      </c>
      <c r="T381" t="str">
        <f t="shared" si="33"/>
        <v>Morning</v>
      </c>
      <c r="U381" t="str">
        <f t="shared" si="34"/>
        <v>Spring</v>
      </c>
      <c r="V381" t="str">
        <f t="shared" si="35"/>
        <v>Mist/Cloudy</v>
      </c>
    </row>
    <row r="382" spans="1:22">
      <c r="A382">
        <f>Master_Data!A382</f>
        <v>381</v>
      </c>
      <c r="B382">
        <f>Master_Data!B382</f>
        <v>40560</v>
      </c>
      <c r="C382">
        <f>Master_Data!C382</f>
        <v>1</v>
      </c>
      <c r="D382">
        <f>Master_Data!D382</f>
        <v>0</v>
      </c>
      <c r="E382">
        <f>Master_Data!E382</f>
        <v>1</v>
      </c>
      <c r="F382">
        <f>Master_Data!F382</f>
        <v>8</v>
      </c>
      <c r="G382" t="b">
        <f>Master_Data!G382</f>
        <v>1</v>
      </c>
      <c r="H382">
        <f>Master_Data!H382</f>
        <v>1</v>
      </c>
      <c r="I382">
        <f>Master_Data!I382</f>
        <v>2</v>
      </c>
      <c r="J382">
        <f>Master_Data!J382</f>
        <v>0.16</v>
      </c>
      <c r="K382">
        <f>Master_Data!K382</f>
        <v>0.1515</v>
      </c>
      <c r="L382">
        <f>Master_Data!L382</f>
        <v>0.47</v>
      </c>
      <c r="M382">
        <f>Master_Data!M382</f>
        <v>0.22389999999999999</v>
      </c>
      <c r="N382">
        <f>Master_Data!N382</f>
        <v>3</v>
      </c>
      <c r="O382">
        <f>Master_Data!O382</f>
        <v>30</v>
      </c>
      <c r="P382">
        <f>Master_Data!P382</f>
        <v>33</v>
      </c>
      <c r="Q382" t="str">
        <f t="shared" si="30"/>
        <v>2011</v>
      </c>
      <c r="R382" t="str">
        <f t="shared" si="31"/>
        <v>January</v>
      </c>
      <c r="S382" t="str">
        <f t="shared" si="32"/>
        <v>Holiday</v>
      </c>
      <c r="T382" t="str">
        <f t="shared" si="33"/>
        <v>Morning</v>
      </c>
      <c r="U382" t="str">
        <f t="shared" si="34"/>
        <v>Spring</v>
      </c>
      <c r="V382" t="str">
        <f t="shared" si="35"/>
        <v>Mist/Cloudy</v>
      </c>
    </row>
    <row r="383" spans="1:22">
      <c r="A383">
        <f>Master_Data!A383</f>
        <v>382</v>
      </c>
      <c r="B383">
        <f>Master_Data!B383</f>
        <v>40560</v>
      </c>
      <c r="C383">
        <f>Master_Data!C383</f>
        <v>1</v>
      </c>
      <c r="D383">
        <f>Master_Data!D383</f>
        <v>0</v>
      </c>
      <c r="E383">
        <f>Master_Data!E383</f>
        <v>1</v>
      </c>
      <c r="F383">
        <f>Master_Data!F383</f>
        <v>9</v>
      </c>
      <c r="G383" t="b">
        <f>Master_Data!G383</f>
        <v>1</v>
      </c>
      <c r="H383">
        <f>Master_Data!H383</f>
        <v>1</v>
      </c>
      <c r="I383">
        <f>Master_Data!I383</f>
        <v>2</v>
      </c>
      <c r="J383">
        <f>Master_Data!J383</f>
        <v>0.16</v>
      </c>
      <c r="K383">
        <f>Master_Data!K383</f>
        <v>0.1515</v>
      </c>
      <c r="L383">
        <f>Master_Data!L383</f>
        <v>0.47</v>
      </c>
      <c r="M383">
        <f>Master_Data!M383</f>
        <v>0.22389999999999999</v>
      </c>
      <c r="N383">
        <f>Master_Data!N383</f>
        <v>8</v>
      </c>
      <c r="O383">
        <f>Master_Data!O383</f>
        <v>39</v>
      </c>
      <c r="P383">
        <f>Master_Data!P383</f>
        <v>47</v>
      </c>
      <c r="Q383" t="str">
        <f t="shared" si="30"/>
        <v>2011</v>
      </c>
      <c r="R383" t="str">
        <f t="shared" si="31"/>
        <v>January</v>
      </c>
      <c r="S383" t="str">
        <f t="shared" si="32"/>
        <v>Holiday</v>
      </c>
      <c r="T383" t="str">
        <f t="shared" si="33"/>
        <v>Morning</v>
      </c>
      <c r="U383" t="str">
        <f t="shared" si="34"/>
        <v>Spring</v>
      </c>
      <c r="V383" t="str">
        <f t="shared" si="35"/>
        <v>Mist/Cloudy</v>
      </c>
    </row>
    <row r="384" spans="1:22">
      <c r="A384">
        <f>Master_Data!A384</f>
        <v>383</v>
      </c>
      <c r="B384">
        <f>Master_Data!B384</f>
        <v>40560</v>
      </c>
      <c r="C384">
        <f>Master_Data!C384</f>
        <v>1</v>
      </c>
      <c r="D384">
        <f>Master_Data!D384</f>
        <v>0</v>
      </c>
      <c r="E384">
        <f>Master_Data!E384</f>
        <v>1</v>
      </c>
      <c r="F384">
        <f>Master_Data!F384</f>
        <v>10</v>
      </c>
      <c r="G384" t="b">
        <f>Master_Data!G384</f>
        <v>1</v>
      </c>
      <c r="H384">
        <f>Master_Data!H384</f>
        <v>1</v>
      </c>
      <c r="I384">
        <f>Master_Data!I384</f>
        <v>2</v>
      </c>
      <c r="J384">
        <f>Master_Data!J384</f>
        <v>0.16</v>
      </c>
      <c r="K384">
        <f>Master_Data!K384</f>
        <v>0.1515</v>
      </c>
      <c r="L384">
        <f>Master_Data!L384</f>
        <v>0.5</v>
      </c>
      <c r="M384">
        <f>Master_Data!M384</f>
        <v>0.25369999999999998</v>
      </c>
      <c r="N384">
        <f>Master_Data!N384</f>
        <v>7</v>
      </c>
      <c r="O384">
        <f>Master_Data!O384</f>
        <v>50</v>
      </c>
      <c r="P384">
        <f>Master_Data!P384</f>
        <v>57</v>
      </c>
      <c r="Q384" t="str">
        <f t="shared" si="30"/>
        <v>2011</v>
      </c>
      <c r="R384" t="str">
        <f t="shared" si="31"/>
        <v>January</v>
      </c>
      <c r="S384" t="str">
        <f t="shared" si="32"/>
        <v>Holiday</v>
      </c>
      <c r="T384" t="str">
        <f t="shared" si="33"/>
        <v>Morning</v>
      </c>
      <c r="U384" t="str">
        <f t="shared" si="34"/>
        <v>Spring</v>
      </c>
      <c r="V384" t="str">
        <f t="shared" si="35"/>
        <v>Mist/Cloudy</v>
      </c>
    </row>
    <row r="385" spans="1:22">
      <c r="A385">
        <f>Master_Data!A385</f>
        <v>384</v>
      </c>
      <c r="B385">
        <f>Master_Data!B385</f>
        <v>40560</v>
      </c>
      <c r="C385">
        <f>Master_Data!C385</f>
        <v>1</v>
      </c>
      <c r="D385">
        <f>Master_Data!D385</f>
        <v>0</v>
      </c>
      <c r="E385">
        <f>Master_Data!E385</f>
        <v>1</v>
      </c>
      <c r="F385">
        <f>Master_Data!F385</f>
        <v>11</v>
      </c>
      <c r="G385" t="b">
        <f>Master_Data!G385</f>
        <v>1</v>
      </c>
      <c r="H385">
        <f>Master_Data!H385</f>
        <v>1</v>
      </c>
      <c r="I385">
        <f>Master_Data!I385</f>
        <v>2</v>
      </c>
      <c r="J385">
        <f>Master_Data!J385</f>
        <v>0.16</v>
      </c>
      <c r="K385">
        <f>Master_Data!K385</f>
        <v>0.1515</v>
      </c>
      <c r="L385">
        <f>Master_Data!L385</f>
        <v>0.55000000000000004</v>
      </c>
      <c r="M385">
        <f>Master_Data!M385</f>
        <v>0.19400000000000001</v>
      </c>
      <c r="N385">
        <f>Master_Data!N385</f>
        <v>9</v>
      </c>
      <c r="O385">
        <f>Master_Data!O385</f>
        <v>55</v>
      </c>
      <c r="P385">
        <f>Master_Data!P385</f>
        <v>64</v>
      </c>
      <c r="Q385" t="str">
        <f t="shared" si="30"/>
        <v>2011</v>
      </c>
      <c r="R385" t="str">
        <f t="shared" si="31"/>
        <v>January</v>
      </c>
      <c r="S385" t="str">
        <f t="shared" si="32"/>
        <v>Holiday</v>
      </c>
      <c r="T385" t="str">
        <f t="shared" si="33"/>
        <v>Morning</v>
      </c>
      <c r="U385" t="str">
        <f t="shared" si="34"/>
        <v>Spring</v>
      </c>
      <c r="V385" t="str">
        <f t="shared" si="35"/>
        <v>Mist/Cloudy</v>
      </c>
    </row>
    <row r="386" spans="1:22">
      <c r="A386">
        <f>Master_Data!A386</f>
        <v>385</v>
      </c>
      <c r="B386">
        <f>Master_Data!B386</f>
        <v>40560</v>
      </c>
      <c r="C386">
        <f>Master_Data!C386</f>
        <v>1</v>
      </c>
      <c r="D386">
        <f>Master_Data!D386</f>
        <v>0</v>
      </c>
      <c r="E386">
        <f>Master_Data!E386</f>
        <v>1</v>
      </c>
      <c r="F386">
        <f>Master_Data!F386</f>
        <v>12</v>
      </c>
      <c r="G386" t="b">
        <f>Master_Data!G386</f>
        <v>1</v>
      </c>
      <c r="H386">
        <f>Master_Data!H386</f>
        <v>1</v>
      </c>
      <c r="I386">
        <f>Master_Data!I386</f>
        <v>2</v>
      </c>
      <c r="J386">
        <f>Master_Data!J386</f>
        <v>0.18</v>
      </c>
      <c r="K386">
        <f>Master_Data!K386</f>
        <v>0.19700000000000001</v>
      </c>
      <c r="L386">
        <f>Master_Data!L386</f>
        <v>0.47</v>
      </c>
      <c r="M386">
        <f>Master_Data!M386</f>
        <v>0.1343</v>
      </c>
      <c r="N386">
        <f>Master_Data!N386</f>
        <v>10</v>
      </c>
      <c r="O386">
        <f>Master_Data!O386</f>
        <v>70</v>
      </c>
      <c r="P386">
        <f>Master_Data!P386</f>
        <v>80</v>
      </c>
      <c r="Q386" t="str">
        <f t="shared" ref="Q386:Q449" si="36">IF(D386=0,"2011","2012")</f>
        <v>2011</v>
      </c>
      <c r="R386" t="str">
        <f t="shared" ref="R386:R449" si="37">TEXT(B386,"mmmm")</f>
        <v>January</v>
      </c>
      <c r="S386" t="str">
        <f t="shared" ref="S386:S449" si="38">IF(G386=TRUE,"Holiday",IF(H386=0,"Sunday",IF(H386=6,"Saturday","Weekday")))</f>
        <v>Holiday</v>
      </c>
      <c r="T386" t="str">
        <f t="shared" ref="T386:T449" si="39">IF(F386&lt;6,"Night",IF(F386&lt;12,"Morning",IF(F386&lt;17,"Afternoon",IF(F386&lt;21,"Evening","Night"))))</f>
        <v>Afternoon</v>
      </c>
      <c r="U386" t="str">
        <f t="shared" ref="U386:U449" si="40">CHOOSE(C386,"Spring","Summer","Fall","Winter")</f>
        <v>Spring</v>
      </c>
      <c r="V386" t="str">
        <f t="shared" ref="V386:V449" si="41">CHOOSE(I386,"Clear","Mist/Cloudy","Light Rain/Snow","Heavy Rain/Snow")</f>
        <v>Mist/Cloudy</v>
      </c>
    </row>
    <row r="387" spans="1:22">
      <c r="A387">
        <f>Master_Data!A387</f>
        <v>386</v>
      </c>
      <c r="B387">
        <f>Master_Data!B387</f>
        <v>40560</v>
      </c>
      <c r="C387">
        <f>Master_Data!C387</f>
        <v>1</v>
      </c>
      <c r="D387">
        <f>Master_Data!D387</f>
        <v>0</v>
      </c>
      <c r="E387">
        <f>Master_Data!E387</f>
        <v>1</v>
      </c>
      <c r="F387">
        <f>Master_Data!F387</f>
        <v>13</v>
      </c>
      <c r="G387" t="b">
        <f>Master_Data!G387</f>
        <v>1</v>
      </c>
      <c r="H387">
        <f>Master_Data!H387</f>
        <v>1</v>
      </c>
      <c r="I387">
        <f>Master_Data!I387</f>
        <v>2</v>
      </c>
      <c r="J387">
        <f>Master_Data!J387</f>
        <v>0.18</v>
      </c>
      <c r="K387">
        <f>Master_Data!K387</f>
        <v>0.19700000000000001</v>
      </c>
      <c r="L387">
        <f>Master_Data!L387</f>
        <v>0.47</v>
      </c>
      <c r="M387">
        <f>Master_Data!M387</f>
        <v>0.1343</v>
      </c>
      <c r="N387">
        <f>Master_Data!N387</f>
        <v>13</v>
      </c>
      <c r="O387">
        <f>Master_Data!O387</f>
        <v>80</v>
      </c>
      <c r="P387">
        <f>Master_Data!P387</f>
        <v>93</v>
      </c>
      <c r="Q387" t="str">
        <f t="shared" si="36"/>
        <v>2011</v>
      </c>
      <c r="R387" t="str">
        <f t="shared" si="37"/>
        <v>January</v>
      </c>
      <c r="S387" t="str">
        <f t="shared" si="38"/>
        <v>Holiday</v>
      </c>
      <c r="T387" t="str">
        <f t="shared" si="39"/>
        <v>Afternoon</v>
      </c>
      <c r="U387" t="str">
        <f t="shared" si="40"/>
        <v>Spring</v>
      </c>
      <c r="V387" t="str">
        <f t="shared" si="41"/>
        <v>Mist/Cloudy</v>
      </c>
    </row>
    <row r="388" spans="1:22">
      <c r="A388">
        <f>Master_Data!A388</f>
        <v>387</v>
      </c>
      <c r="B388">
        <f>Master_Data!B388</f>
        <v>40560</v>
      </c>
      <c r="C388">
        <f>Master_Data!C388</f>
        <v>1</v>
      </c>
      <c r="D388">
        <f>Master_Data!D388</f>
        <v>0</v>
      </c>
      <c r="E388">
        <f>Master_Data!E388</f>
        <v>1</v>
      </c>
      <c r="F388">
        <f>Master_Data!F388</f>
        <v>14</v>
      </c>
      <c r="G388" t="b">
        <f>Master_Data!G388</f>
        <v>1</v>
      </c>
      <c r="H388">
        <f>Master_Data!H388</f>
        <v>1</v>
      </c>
      <c r="I388">
        <f>Master_Data!I388</f>
        <v>2</v>
      </c>
      <c r="J388">
        <f>Master_Data!J388</f>
        <v>0.18</v>
      </c>
      <c r="K388">
        <f>Master_Data!K388</f>
        <v>0.21210000000000001</v>
      </c>
      <c r="L388">
        <f>Master_Data!L388</f>
        <v>0.43</v>
      </c>
      <c r="M388">
        <f>Master_Data!M388</f>
        <v>0.1045</v>
      </c>
      <c r="N388">
        <f>Master_Data!N388</f>
        <v>12</v>
      </c>
      <c r="O388">
        <f>Master_Data!O388</f>
        <v>74</v>
      </c>
      <c r="P388">
        <f>Master_Data!P388</f>
        <v>86</v>
      </c>
      <c r="Q388" t="str">
        <f t="shared" si="36"/>
        <v>2011</v>
      </c>
      <c r="R388" t="str">
        <f t="shared" si="37"/>
        <v>January</v>
      </c>
      <c r="S388" t="str">
        <f t="shared" si="38"/>
        <v>Holiday</v>
      </c>
      <c r="T388" t="str">
        <f t="shared" si="39"/>
        <v>Afternoon</v>
      </c>
      <c r="U388" t="str">
        <f t="shared" si="40"/>
        <v>Spring</v>
      </c>
      <c r="V388" t="str">
        <f t="shared" si="41"/>
        <v>Mist/Cloudy</v>
      </c>
    </row>
    <row r="389" spans="1:22">
      <c r="A389">
        <f>Master_Data!A389</f>
        <v>388</v>
      </c>
      <c r="B389">
        <f>Master_Data!B389</f>
        <v>40560</v>
      </c>
      <c r="C389">
        <f>Master_Data!C389</f>
        <v>1</v>
      </c>
      <c r="D389">
        <f>Master_Data!D389</f>
        <v>0</v>
      </c>
      <c r="E389">
        <f>Master_Data!E389</f>
        <v>1</v>
      </c>
      <c r="F389">
        <f>Master_Data!F389</f>
        <v>15</v>
      </c>
      <c r="G389" t="b">
        <f>Master_Data!G389</f>
        <v>1</v>
      </c>
      <c r="H389">
        <f>Master_Data!H389</f>
        <v>1</v>
      </c>
      <c r="I389">
        <f>Master_Data!I389</f>
        <v>2</v>
      </c>
      <c r="J389">
        <f>Master_Data!J389</f>
        <v>0.2</v>
      </c>
      <c r="K389">
        <f>Master_Data!K389</f>
        <v>0.21210000000000001</v>
      </c>
      <c r="L389">
        <f>Master_Data!L389</f>
        <v>0.47</v>
      </c>
      <c r="M389">
        <f>Master_Data!M389</f>
        <v>0.16420000000000001</v>
      </c>
      <c r="N389">
        <f>Master_Data!N389</f>
        <v>21</v>
      </c>
      <c r="O389">
        <f>Master_Data!O389</f>
        <v>72</v>
      </c>
      <c r="P389">
        <f>Master_Data!P389</f>
        <v>93</v>
      </c>
      <c r="Q389" t="str">
        <f t="shared" si="36"/>
        <v>2011</v>
      </c>
      <c r="R389" t="str">
        <f t="shared" si="37"/>
        <v>January</v>
      </c>
      <c r="S389" t="str">
        <f t="shared" si="38"/>
        <v>Holiday</v>
      </c>
      <c r="T389" t="str">
        <f t="shared" si="39"/>
        <v>Afternoon</v>
      </c>
      <c r="U389" t="str">
        <f t="shared" si="40"/>
        <v>Spring</v>
      </c>
      <c r="V389" t="str">
        <f t="shared" si="41"/>
        <v>Mist/Cloudy</v>
      </c>
    </row>
    <row r="390" spans="1:22">
      <c r="A390">
        <f>Master_Data!A390</f>
        <v>389</v>
      </c>
      <c r="B390">
        <f>Master_Data!B390</f>
        <v>40560</v>
      </c>
      <c r="C390">
        <f>Master_Data!C390</f>
        <v>1</v>
      </c>
      <c r="D390">
        <f>Master_Data!D390</f>
        <v>0</v>
      </c>
      <c r="E390">
        <f>Master_Data!E390</f>
        <v>1</v>
      </c>
      <c r="F390">
        <f>Master_Data!F390</f>
        <v>16</v>
      </c>
      <c r="G390" t="b">
        <f>Master_Data!G390</f>
        <v>1</v>
      </c>
      <c r="H390">
        <f>Master_Data!H390</f>
        <v>1</v>
      </c>
      <c r="I390">
        <f>Master_Data!I390</f>
        <v>2</v>
      </c>
      <c r="J390">
        <f>Master_Data!J390</f>
        <v>0.2</v>
      </c>
      <c r="K390">
        <f>Master_Data!K390</f>
        <v>0.21210000000000001</v>
      </c>
      <c r="L390">
        <f>Master_Data!L390</f>
        <v>0.47</v>
      </c>
      <c r="M390">
        <f>Master_Data!M390</f>
        <v>0.16420000000000001</v>
      </c>
      <c r="N390">
        <f>Master_Data!N390</f>
        <v>6</v>
      </c>
      <c r="O390">
        <f>Master_Data!O390</f>
        <v>76</v>
      </c>
      <c r="P390">
        <f>Master_Data!P390</f>
        <v>82</v>
      </c>
      <c r="Q390" t="str">
        <f t="shared" si="36"/>
        <v>2011</v>
      </c>
      <c r="R390" t="str">
        <f t="shared" si="37"/>
        <v>January</v>
      </c>
      <c r="S390" t="str">
        <f t="shared" si="38"/>
        <v>Holiday</v>
      </c>
      <c r="T390" t="str">
        <f t="shared" si="39"/>
        <v>Afternoon</v>
      </c>
      <c r="U390" t="str">
        <f t="shared" si="40"/>
        <v>Spring</v>
      </c>
      <c r="V390" t="str">
        <f t="shared" si="41"/>
        <v>Mist/Cloudy</v>
      </c>
    </row>
    <row r="391" spans="1:22">
      <c r="A391">
        <f>Master_Data!A391</f>
        <v>390</v>
      </c>
      <c r="B391">
        <f>Master_Data!B391</f>
        <v>40560</v>
      </c>
      <c r="C391">
        <f>Master_Data!C391</f>
        <v>1</v>
      </c>
      <c r="D391">
        <f>Master_Data!D391</f>
        <v>0</v>
      </c>
      <c r="E391">
        <f>Master_Data!E391</f>
        <v>1</v>
      </c>
      <c r="F391">
        <f>Master_Data!F391</f>
        <v>17</v>
      </c>
      <c r="G391" t="b">
        <f>Master_Data!G391</f>
        <v>1</v>
      </c>
      <c r="H391">
        <f>Master_Data!H391</f>
        <v>1</v>
      </c>
      <c r="I391">
        <f>Master_Data!I391</f>
        <v>1</v>
      </c>
      <c r="J391">
        <f>Master_Data!J391</f>
        <v>0.2</v>
      </c>
      <c r="K391">
        <f>Master_Data!K391</f>
        <v>0.19700000000000001</v>
      </c>
      <c r="L391">
        <f>Master_Data!L391</f>
        <v>0.51</v>
      </c>
      <c r="M391">
        <f>Master_Data!M391</f>
        <v>0.19400000000000001</v>
      </c>
      <c r="N391">
        <f>Master_Data!N391</f>
        <v>4</v>
      </c>
      <c r="O391">
        <f>Master_Data!O391</f>
        <v>67</v>
      </c>
      <c r="P391">
        <f>Master_Data!P391</f>
        <v>71</v>
      </c>
      <c r="Q391" t="str">
        <f t="shared" si="36"/>
        <v>2011</v>
      </c>
      <c r="R391" t="str">
        <f t="shared" si="37"/>
        <v>January</v>
      </c>
      <c r="S391" t="str">
        <f t="shared" si="38"/>
        <v>Holiday</v>
      </c>
      <c r="T391" t="str">
        <f t="shared" si="39"/>
        <v>Evening</v>
      </c>
      <c r="U391" t="str">
        <f t="shared" si="40"/>
        <v>Spring</v>
      </c>
      <c r="V391" t="str">
        <f t="shared" si="41"/>
        <v>Clear</v>
      </c>
    </row>
    <row r="392" spans="1:22">
      <c r="A392">
        <f>Master_Data!A392</f>
        <v>391</v>
      </c>
      <c r="B392">
        <f>Master_Data!B392</f>
        <v>40560</v>
      </c>
      <c r="C392">
        <f>Master_Data!C392</f>
        <v>1</v>
      </c>
      <c r="D392">
        <f>Master_Data!D392</f>
        <v>0</v>
      </c>
      <c r="E392">
        <f>Master_Data!E392</f>
        <v>1</v>
      </c>
      <c r="F392">
        <f>Master_Data!F392</f>
        <v>18</v>
      </c>
      <c r="G392" t="b">
        <f>Master_Data!G392</f>
        <v>1</v>
      </c>
      <c r="H392">
        <f>Master_Data!H392</f>
        <v>1</v>
      </c>
      <c r="I392">
        <f>Master_Data!I392</f>
        <v>2</v>
      </c>
      <c r="J392">
        <f>Master_Data!J392</f>
        <v>0.18</v>
      </c>
      <c r="K392">
        <f>Master_Data!K392</f>
        <v>0.16669999999999999</v>
      </c>
      <c r="L392">
        <f>Master_Data!L392</f>
        <v>0.55000000000000004</v>
      </c>
      <c r="M392">
        <f>Master_Data!M392</f>
        <v>0.25369999999999998</v>
      </c>
      <c r="N392">
        <f>Master_Data!N392</f>
        <v>7</v>
      </c>
      <c r="O392">
        <f>Master_Data!O392</f>
        <v>85</v>
      </c>
      <c r="P392">
        <f>Master_Data!P392</f>
        <v>92</v>
      </c>
      <c r="Q392" t="str">
        <f t="shared" si="36"/>
        <v>2011</v>
      </c>
      <c r="R392" t="str">
        <f t="shared" si="37"/>
        <v>January</v>
      </c>
      <c r="S392" t="str">
        <f t="shared" si="38"/>
        <v>Holiday</v>
      </c>
      <c r="T392" t="str">
        <f t="shared" si="39"/>
        <v>Evening</v>
      </c>
      <c r="U392" t="str">
        <f t="shared" si="40"/>
        <v>Spring</v>
      </c>
      <c r="V392" t="str">
        <f t="shared" si="41"/>
        <v>Mist/Cloudy</v>
      </c>
    </row>
    <row r="393" spans="1:22">
      <c r="A393">
        <f>Master_Data!A393</f>
        <v>392</v>
      </c>
      <c r="B393">
        <f>Master_Data!B393</f>
        <v>40560</v>
      </c>
      <c r="C393">
        <f>Master_Data!C393</f>
        <v>1</v>
      </c>
      <c r="D393">
        <f>Master_Data!D393</f>
        <v>0</v>
      </c>
      <c r="E393">
        <f>Master_Data!E393</f>
        <v>1</v>
      </c>
      <c r="F393">
        <f>Master_Data!F393</f>
        <v>19</v>
      </c>
      <c r="G393" t="b">
        <f>Master_Data!G393</f>
        <v>1</v>
      </c>
      <c r="H393">
        <f>Master_Data!H393</f>
        <v>1</v>
      </c>
      <c r="I393">
        <f>Master_Data!I393</f>
        <v>3</v>
      </c>
      <c r="J393">
        <f>Master_Data!J393</f>
        <v>0.18</v>
      </c>
      <c r="K393">
        <f>Master_Data!K393</f>
        <v>0.18179999999999999</v>
      </c>
      <c r="L393">
        <f>Master_Data!L393</f>
        <v>0.59</v>
      </c>
      <c r="M393">
        <f>Master_Data!M393</f>
        <v>0.19400000000000001</v>
      </c>
      <c r="N393">
        <f>Master_Data!N393</f>
        <v>2</v>
      </c>
      <c r="O393">
        <f>Master_Data!O393</f>
        <v>58</v>
      </c>
      <c r="P393">
        <f>Master_Data!P393</f>
        <v>60</v>
      </c>
      <c r="Q393" t="str">
        <f t="shared" si="36"/>
        <v>2011</v>
      </c>
      <c r="R393" t="str">
        <f t="shared" si="37"/>
        <v>January</v>
      </c>
      <c r="S393" t="str">
        <f t="shared" si="38"/>
        <v>Holiday</v>
      </c>
      <c r="T393" t="str">
        <f t="shared" si="39"/>
        <v>Evening</v>
      </c>
      <c r="U393" t="str">
        <f t="shared" si="40"/>
        <v>Spring</v>
      </c>
      <c r="V393" t="str">
        <f t="shared" si="41"/>
        <v>Light Rain/Snow</v>
      </c>
    </row>
    <row r="394" spans="1:22">
      <c r="A394">
        <f>Master_Data!A394</f>
        <v>393</v>
      </c>
      <c r="B394">
        <f>Master_Data!B394</f>
        <v>40560</v>
      </c>
      <c r="C394">
        <f>Master_Data!C394</f>
        <v>1</v>
      </c>
      <c r="D394">
        <f>Master_Data!D394</f>
        <v>0</v>
      </c>
      <c r="E394">
        <f>Master_Data!E394</f>
        <v>1</v>
      </c>
      <c r="F394">
        <f>Master_Data!F394</f>
        <v>20</v>
      </c>
      <c r="G394" t="b">
        <f>Master_Data!G394</f>
        <v>1</v>
      </c>
      <c r="H394">
        <f>Master_Data!H394</f>
        <v>1</v>
      </c>
      <c r="I394">
        <f>Master_Data!I394</f>
        <v>3</v>
      </c>
      <c r="J394">
        <f>Master_Data!J394</f>
        <v>0.16</v>
      </c>
      <c r="K394">
        <f>Master_Data!K394</f>
        <v>0.1515</v>
      </c>
      <c r="L394">
        <f>Master_Data!L394</f>
        <v>0.8</v>
      </c>
      <c r="M394">
        <f>Master_Data!M394</f>
        <v>0.19400000000000001</v>
      </c>
      <c r="N394">
        <f>Master_Data!N394</f>
        <v>4</v>
      </c>
      <c r="O394">
        <f>Master_Data!O394</f>
        <v>29</v>
      </c>
      <c r="P394">
        <f>Master_Data!P394</f>
        <v>33</v>
      </c>
      <c r="Q394" t="str">
        <f t="shared" si="36"/>
        <v>2011</v>
      </c>
      <c r="R394" t="str">
        <f t="shared" si="37"/>
        <v>January</v>
      </c>
      <c r="S394" t="str">
        <f t="shared" si="38"/>
        <v>Holiday</v>
      </c>
      <c r="T394" t="str">
        <f t="shared" si="39"/>
        <v>Evening</v>
      </c>
      <c r="U394" t="str">
        <f t="shared" si="40"/>
        <v>Spring</v>
      </c>
      <c r="V394" t="str">
        <f t="shared" si="41"/>
        <v>Light Rain/Snow</v>
      </c>
    </row>
    <row r="395" spans="1:22">
      <c r="A395">
        <f>Master_Data!A395</f>
        <v>394</v>
      </c>
      <c r="B395">
        <f>Master_Data!B395</f>
        <v>40560</v>
      </c>
      <c r="C395">
        <f>Master_Data!C395</f>
        <v>1</v>
      </c>
      <c r="D395">
        <f>Master_Data!D395</f>
        <v>0</v>
      </c>
      <c r="E395">
        <f>Master_Data!E395</f>
        <v>1</v>
      </c>
      <c r="F395">
        <f>Master_Data!F395</f>
        <v>21</v>
      </c>
      <c r="G395" t="b">
        <f>Master_Data!G395</f>
        <v>1</v>
      </c>
      <c r="H395">
        <f>Master_Data!H395</f>
        <v>1</v>
      </c>
      <c r="I395">
        <f>Master_Data!I395</f>
        <v>3</v>
      </c>
      <c r="J395">
        <f>Master_Data!J395</f>
        <v>0.16</v>
      </c>
      <c r="K395">
        <f>Master_Data!K395</f>
        <v>0.1515</v>
      </c>
      <c r="L395">
        <f>Master_Data!L395</f>
        <v>0.8</v>
      </c>
      <c r="M395">
        <f>Master_Data!M395</f>
        <v>0.19400000000000001</v>
      </c>
      <c r="N395">
        <f>Master_Data!N395</f>
        <v>3</v>
      </c>
      <c r="O395">
        <f>Master_Data!O395</f>
        <v>24</v>
      </c>
      <c r="P395">
        <f>Master_Data!P395</f>
        <v>27</v>
      </c>
      <c r="Q395" t="str">
        <f t="shared" si="36"/>
        <v>2011</v>
      </c>
      <c r="R395" t="str">
        <f t="shared" si="37"/>
        <v>January</v>
      </c>
      <c r="S395" t="str">
        <f t="shared" si="38"/>
        <v>Holiday</v>
      </c>
      <c r="T395" t="str">
        <f t="shared" si="39"/>
        <v>Night</v>
      </c>
      <c r="U395" t="str">
        <f t="shared" si="40"/>
        <v>Spring</v>
      </c>
      <c r="V395" t="str">
        <f t="shared" si="41"/>
        <v>Light Rain/Snow</v>
      </c>
    </row>
    <row r="396" spans="1:22">
      <c r="A396">
        <f>Master_Data!A396</f>
        <v>395</v>
      </c>
      <c r="B396">
        <f>Master_Data!B396</f>
        <v>40560</v>
      </c>
      <c r="C396">
        <f>Master_Data!C396</f>
        <v>1</v>
      </c>
      <c r="D396">
        <f>Master_Data!D396</f>
        <v>0</v>
      </c>
      <c r="E396">
        <f>Master_Data!E396</f>
        <v>1</v>
      </c>
      <c r="F396">
        <f>Master_Data!F396</f>
        <v>22</v>
      </c>
      <c r="G396" t="b">
        <f>Master_Data!G396</f>
        <v>1</v>
      </c>
      <c r="H396">
        <f>Master_Data!H396</f>
        <v>1</v>
      </c>
      <c r="I396">
        <f>Master_Data!I396</f>
        <v>3</v>
      </c>
      <c r="J396">
        <f>Master_Data!J396</f>
        <v>0.14000000000000001</v>
      </c>
      <c r="K396">
        <f>Master_Data!K396</f>
        <v>0.1212</v>
      </c>
      <c r="L396">
        <f>Master_Data!L396</f>
        <v>0.93</v>
      </c>
      <c r="M396">
        <f>Master_Data!M396</f>
        <v>0.25369999999999998</v>
      </c>
      <c r="N396">
        <f>Master_Data!N396</f>
        <v>0</v>
      </c>
      <c r="O396">
        <f>Master_Data!O396</f>
        <v>13</v>
      </c>
      <c r="P396">
        <f>Master_Data!P396</f>
        <v>13</v>
      </c>
      <c r="Q396" t="str">
        <f t="shared" si="36"/>
        <v>2011</v>
      </c>
      <c r="R396" t="str">
        <f t="shared" si="37"/>
        <v>January</v>
      </c>
      <c r="S396" t="str">
        <f t="shared" si="38"/>
        <v>Holiday</v>
      </c>
      <c r="T396" t="str">
        <f t="shared" si="39"/>
        <v>Night</v>
      </c>
      <c r="U396" t="str">
        <f t="shared" si="40"/>
        <v>Spring</v>
      </c>
      <c r="V396" t="str">
        <f t="shared" si="41"/>
        <v>Light Rain/Snow</v>
      </c>
    </row>
    <row r="397" spans="1:22">
      <c r="A397">
        <f>Master_Data!A397</f>
        <v>396</v>
      </c>
      <c r="B397">
        <f>Master_Data!B397</f>
        <v>40560</v>
      </c>
      <c r="C397">
        <f>Master_Data!C397</f>
        <v>1</v>
      </c>
      <c r="D397">
        <f>Master_Data!D397</f>
        <v>0</v>
      </c>
      <c r="E397">
        <f>Master_Data!E397</f>
        <v>1</v>
      </c>
      <c r="F397">
        <f>Master_Data!F397</f>
        <v>23</v>
      </c>
      <c r="G397" t="b">
        <f>Master_Data!G397</f>
        <v>1</v>
      </c>
      <c r="H397">
        <f>Master_Data!H397</f>
        <v>1</v>
      </c>
      <c r="I397">
        <f>Master_Data!I397</f>
        <v>3</v>
      </c>
      <c r="J397">
        <f>Master_Data!J397</f>
        <v>0.16</v>
      </c>
      <c r="K397">
        <f>Master_Data!K397</f>
        <v>0.13639999999999999</v>
      </c>
      <c r="L397">
        <f>Master_Data!L397</f>
        <v>0.86</v>
      </c>
      <c r="M397">
        <f>Master_Data!M397</f>
        <v>0.28360000000000002</v>
      </c>
      <c r="N397">
        <f>Master_Data!N397</f>
        <v>1</v>
      </c>
      <c r="O397">
        <f>Master_Data!O397</f>
        <v>3</v>
      </c>
      <c r="P397">
        <f>Master_Data!P397</f>
        <v>4</v>
      </c>
      <c r="Q397" t="str">
        <f t="shared" si="36"/>
        <v>2011</v>
      </c>
      <c r="R397" t="str">
        <f t="shared" si="37"/>
        <v>January</v>
      </c>
      <c r="S397" t="str">
        <f t="shared" si="38"/>
        <v>Holiday</v>
      </c>
      <c r="T397" t="str">
        <f t="shared" si="39"/>
        <v>Night</v>
      </c>
      <c r="U397" t="str">
        <f t="shared" si="40"/>
        <v>Spring</v>
      </c>
      <c r="V397" t="str">
        <f t="shared" si="41"/>
        <v>Light Rain/Snow</v>
      </c>
    </row>
    <row r="398" spans="1:22">
      <c r="A398">
        <f>Master_Data!A398</f>
        <v>397</v>
      </c>
      <c r="B398">
        <f>Master_Data!B398</f>
        <v>40561</v>
      </c>
      <c r="C398">
        <f>Master_Data!C398</f>
        <v>1</v>
      </c>
      <c r="D398">
        <f>Master_Data!D398</f>
        <v>0</v>
      </c>
      <c r="E398">
        <f>Master_Data!E398</f>
        <v>1</v>
      </c>
      <c r="F398">
        <f>Master_Data!F398</f>
        <v>12</v>
      </c>
      <c r="G398" t="b">
        <f>Master_Data!G398</f>
        <v>0</v>
      </c>
      <c r="H398">
        <f>Master_Data!H398</f>
        <v>2</v>
      </c>
      <c r="I398">
        <f>Master_Data!I398</f>
        <v>2</v>
      </c>
      <c r="J398">
        <f>Master_Data!J398</f>
        <v>0.2</v>
      </c>
      <c r="K398">
        <f>Master_Data!K398</f>
        <v>0.18179999999999999</v>
      </c>
      <c r="L398">
        <f>Master_Data!L398</f>
        <v>0.86</v>
      </c>
      <c r="M398">
        <f>Master_Data!M398</f>
        <v>0.32840000000000003</v>
      </c>
      <c r="N398">
        <f>Master_Data!N398</f>
        <v>0</v>
      </c>
      <c r="O398">
        <f>Master_Data!O398</f>
        <v>3</v>
      </c>
      <c r="P398">
        <f>Master_Data!P398</f>
        <v>3</v>
      </c>
      <c r="Q398" t="str">
        <f t="shared" si="36"/>
        <v>2011</v>
      </c>
      <c r="R398" t="str">
        <f t="shared" si="37"/>
        <v>January</v>
      </c>
      <c r="S398" t="str">
        <f t="shared" si="38"/>
        <v>Weekday</v>
      </c>
      <c r="T398" t="str">
        <f t="shared" si="39"/>
        <v>Afternoon</v>
      </c>
      <c r="U398" t="str">
        <f t="shared" si="40"/>
        <v>Spring</v>
      </c>
      <c r="V398" t="str">
        <f t="shared" si="41"/>
        <v>Mist/Cloudy</v>
      </c>
    </row>
    <row r="399" spans="1:22">
      <c r="A399">
        <f>Master_Data!A399</f>
        <v>398</v>
      </c>
      <c r="B399">
        <f>Master_Data!B399</f>
        <v>40561</v>
      </c>
      <c r="C399">
        <f>Master_Data!C399</f>
        <v>1</v>
      </c>
      <c r="D399">
        <f>Master_Data!D399</f>
        <v>0</v>
      </c>
      <c r="E399">
        <f>Master_Data!E399</f>
        <v>1</v>
      </c>
      <c r="F399">
        <f>Master_Data!F399</f>
        <v>13</v>
      </c>
      <c r="G399" t="b">
        <f>Master_Data!G399</f>
        <v>0</v>
      </c>
      <c r="H399">
        <f>Master_Data!H399</f>
        <v>2</v>
      </c>
      <c r="I399">
        <f>Master_Data!I399</f>
        <v>2</v>
      </c>
      <c r="J399">
        <f>Master_Data!J399</f>
        <v>0.2</v>
      </c>
      <c r="K399">
        <f>Master_Data!K399</f>
        <v>0.19700000000000001</v>
      </c>
      <c r="L399">
        <f>Master_Data!L399</f>
        <v>0.86</v>
      </c>
      <c r="M399">
        <f>Master_Data!M399</f>
        <v>0.22389999999999999</v>
      </c>
      <c r="N399">
        <f>Master_Data!N399</f>
        <v>0</v>
      </c>
      <c r="O399">
        <f>Master_Data!O399</f>
        <v>22</v>
      </c>
      <c r="P399">
        <f>Master_Data!P399</f>
        <v>22</v>
      </c>
      <c r="Q399" t="str">
        <f t="shared" si="36"/>
        <v>2011</v>
      </c>
      <c r="R399" t="str">
        <f t="shared" si="37"/>
        <v>January</v>
      </c>
      <c r="S399" t="str">
        <f t="shared" si="38"/>
        <v>Weekday</v>
      </c>
      <c r="T399" t="str">
        <f t="shared" si="39"/>
        <v>Afternoon</v>
      </c>
      <c r="U399" t="str">
        <f t="shared" si="40"/>
        <v>Spring</v>
      </c>
      <c r="V399" t="str">
        <f t="shared" si="41"/>
        <v>Mist/Cloudy</v>
      </c>
    </row>
    <row r="400" spans="1:22">
      <c r="A400">
        <f>Master_Data!A400</f>
        <v>399</v>
      </c>
      <c r="B400">
        <f>Master_Data!B400</f>
        <v>40561</v>
      </c>
      <c r="C400">
        <f>Master_Data!C400</f>
        <v>1</v>
      </c>
      <c r="D400">
        <f>Master_Data!D400</f>
        <v>0</v>
      </c>
      <c r="E400">
        <f>Master_Data!E400</f>
        <v>1</v>
      </c>
      <c r="F400">
        <f>Master_Data!F400</f>
        <v>14</v>
      </c>
      <c r="G400" t="b">
        <f>Master_Data!G400</f>
        <v>0</v>
      </c>
      <c r="H400">
        <f>Master_Data!H400</f>
        <v>2</v>
      </c>
      <c r="I400">
        <f>Master_Data!I400</f>
        <v>2</v>
      </c>
      <c r="J400">
        <f>Master_Data!J400</f>
        <v>0.22</v>
      </c>
      <c r="K400">
        <f>Master_Data!K400</f>
        <v>0.2273</v>
      </c>
      <c r="L400">
        <f>Master_Data!L400</f>
        <v>0.8</v>
      </c>
      <c r="M400">
        <f>Master_Data!M400</f>
        <v>0.16420000000000001</v>
      </c>
      <c r="N400">
        <f>Master_Data!N400</f>
        <v>2</v>
      </c>
      <c r="O400">
        <f>Master_Data!O400</f>
        <v>26</v>
      </c>
      <c r="P400">
        <f>Master_Data!P400</f>
        <v>28</v>
      </c>
      <c r="Q400" t="str">
        <f t="shared" si="36"/>
        <v>2011</v>
      </c>
      <c r="R400" t="str">
        <f t="shared" si="37"/>
        <v>January</v>
      </c>
      <c r="S400" t="str">
        <f t="shared" si="38"/>
        <v>Weekday</v>
      </c>
      <c r="T400" t="str">
        <f t="shared" si="39"/>
        <v>Afternoon</v>
      </c>
      <c r="U400" t="str">
        <f t="shared" si="40"/>
        <v>Spring</v>
      </c>
      <c r="V400" t="str">
        <f t="shared" si="41"/>
        <v>Mist/Cloudy</v>
      </c>
    </row>
    <row r="401" spans="1:22">
      <c r="A401">
        <f>Master_Data!A401</f>
        <v>400</v>
      </c>
      <c r="B401">
        <f>Master_Data!B401</f>
        <v>40561</v>
      </c>
      <c r="C401">
        <f>Master_Data!C401</f>
        <v>1</v>
      </c>
      <c r="D401">
        <f>Master_Data!D401</f>
        <v>0</v>
      </c>
      <c r="E401">
        <f>Master_Data!E401</f>
        <v>1</v>
      </c>
      <c r="F401">
        <f>Master_Data!F401</f>
        <v>15</v>
      </c>
      <c r="G401" t="b">
        <f>Master_Data!G401</f>
        <v>0</v>
      </c>
      <c r="H401">
        <f>Master_Data!H401</f>
        <v>2</v>
      </c>
      <c r="I401">
        <f>Master_Data!I401</f>
        <v>2</v>
      </c>
      <c r="J401">
        <f>Master_Data!J401</f>
        <v>0.22</v>
      </c>
      <c r="K401">
        <f>Master_Data!K401</f>
        <v>0.2273</v>
      </c>
      <c r="L401">
        <f>Master_Data!L401</f>
        <v>0.87</v>
      </c>
      <c r="M401">
        <f>Master_Data!M401</f>
        <v>0.16420000000000001</v>
      </c>
      <c r="N401">
        <f>Master_Data!N401</f>
        <v>3</v>
      </c>
      <c r="O401">
        <f>Master_Data!O401</f>
        <v>32</v>
      </c>
      <c r="P401">
        <f>Master_Data!P401</f>
        <v>35</v>
      </c>
      <c r="Q401" t="str">
        <f t="shared" si="36"/>
        <v>2011</v>
      </c>
      <c r="R401" t="str">
        <f t="shared" si="37"/>
        <v>January</v>
      </c>
      <c r="S401" t="str">
        <f t="shared" si="38"/>
        <v>Weekday</v>
      </c>
      <c r="T401" t="str">
        <f t="shared" si="39"/>
        <v>Afternoon</v>
      </c>
      <c r="U401" t="str">
        <f t="shared" si="40"/>
        <v>Spring</v>
      </c>
      <c r="V401" t="str">
        <f t="shared" si="41"/>
        <v>Mist/Cloudy</v>
      </c>
    </row>
    <row r="402" spans="1:22">
      <c r="A402">
        <f>Master_Data!A402</f>
        <v>401</v>
      </c>
      <c r="B402">
        <f>Master_Data!B402</f>
        <v>40561</v>
      </c>
      <c r="C402">
        <f>Master_Data!C402</f>
        <v>1</v>
      </c>
      <c r="D402">
        <f>Master_Data!D402</f>
        <v>0</v>
      </c>
      <c r="E402">
        <f>Master_Data!E402</f>
        <v>1</v>
      </c>
      <c r="F402">
        <f>Master_Data!F402</f>
        <v>16</v>
      </c>
      <c r="G402" t="b">
        <f>Master_Data!G402</f>
        <v>0</v>
      </c>
      <c r="H402">
        <f>Master_Data!H402</f>
        <v>2</v>
      </c>
      <c r="I402">
        <f>Master_Data!I402</f>
        <v>2</v>
      </c>
      <c r="J402">
        <f>Master_Data!J402</f>
        <v>0.22</v>
      </c>
      <c r="K402">
        <f>Master_Data!K402</f>
        <v>0.2273</v>
      </c>
      <c r="L402">
        <f>Master_Data!L402</f>
        <v>0.87</v>
      </c>
      <c r="M402">
        <f>Master_Data!M402</f>
        <v>0.19400000000000001</v>
      </c>
      <c r="N402">
        <f>Master_Data!N402</f>
        <v>0</v>
      </c>
      <c r="O402">
        <f>Master_Data!O402</f>
        <v>61</v>
      </c>
      <c r="P402">
        <f>Master_Data!P402</f>
        <v>61</v>
      </c>
      <c r="Q402" t="str">
        <f t="shared" si="36"/>
        <v>2011</v>
      </c>
      <c r="R402" t="str">
        <f t="shared" si="37"/>
        <v>January</v>
      </c>
      <c r="S402" t="str">
        <f t="shared" si="38"/>
        <v>Weekday</v>
      </c>
      <c r="T402" t="str">
        <f t="shared" si="39"/>
        <v>Afternoon</v>
      </c>
      <c r="U402" t="str">
        <f t="shared" si="40"/>
        <v>Spring</v>
      </c>
      <c r="V402" t="str">
        <f t="shared" si="41"/>
        <v>Mist/Cloudy</v>
      </c>
    </row>
    <row r="403" spans="1:22">
      <c r="A403">
        <f>Master_Data!A403</f>
        <v>402</v>
      </c>
      <c r="B403">
        <f>Master_Data!B403</f>
        <v>40561</v>
      </c>
      <c r="C403">
        <f>Master_Data!C403</f>
        <v>1</v>
      </c>
      <c r="D403">
        <f>Master_Data!D403</f>
        <v>0</v>
      </c>
      <c r="E403">
        <f>Master_Data!E403</f>
        <v>1</v>
      </c>
      <c r="F403">
        <f>Master_Data!F403</f>
        <v>17</v>
      </c>
      <c r="G403" t="b">
        <f>Master_Data!G403</f>
        <v>0</v>
      </c>
      <c r="H403">
        <f>Master_Data!H403</f>
        <v>2</v>
      </c>
      <c r="I403">
        <f>Master_Data!I403</f>
        <v>2</v>
      </c>
      <c r="J403">
        <f>Master_Data!J403</f>
        <v>0.22</v>
      </c>
      <c r="K403">
        <f>Master_Data!K403</f>
        <v>0.2273</v>
      </c>
      <c r="L403">
        <f>Master_Data!L403</f>
        <v>0.82</v>
      </c>
      <c r="M403">
        <f>Master_Data!M403</f>
        <v>0.19400000000000001</v>
      </c>
      <c r="N403">
        <f>Master_Data!N403</f>
        <v>1</v>
      </c>
      <c r="O403">
        <f>Master_Data!O403</f>
        <v>124</v>
      </c>
      <c r="P403">
        <f>Master_Data!P403</f>
        <v>125</v>
      </c>
      <c r="Q403" t="str">
        <f t="shared" si="36"/>
        <v>2011</v>
      </c>
      <c r="R403" t="str">
        <f t="shared" si="37"/>
        <v>January</v>
      </c>
      <c r="S403" t="str">
        <f t="shared" si="38"/>
        <v>Weekday</v>
      </c>
      <c r="T403" t="str">
        <f t="shared" si="39"/>
        <v>Evening</v>
      </c>
      <c r="U403" t="str">
        <f t="shared" si="40"/>
        <v>Spring</v>
      </c>
      <c r="V403" t="str">
        <f t="shared" si="41"/>
        <v>Mist/Cloudy</v>
      </c>
    </row>
    <row r="404" spans="1:22">
      <c r="A404">
        <f>Master_Data!A404</f>
        <v>403</v>
      </c>
      <c r="B404">
        <f>Master_Data!B404</f>
        <v>40561</v>
      </c>
      <c r="C404">
        <f>Master_Data!C404</f>
        <v>1</v>
      </c>
      <c r="D404">
        <f>Master_Data!D404</f>
        <v>0</v>
      </c>
      <c r="E404">
        <f>Master_Data!E404</f>
        <v>1</v>
      </c>
      <c r="F404">
        <f>Master_Data!F404</f>
        <v>18</v>
      </c>
      <c r="G404" t="b">
        <f>Master_Data!G404</f>
        <v>0</v>
      </c>
      <c r="H404">
        <f>Master_Data!H404</f>
        <v>2</v>
      </c>
      <c r="I404">
        <f>Master_Data!I404</f>
        <v>2</v>
      </c>
      <c r="J404">
        <f>Master_Data!J404</f>
        <v>0.22</v>
      </c>
      <c r="K404">
        <f>Master_Data!K404</f>
        <v>0.2273</v>
      </c>
      <c r="L404">
        <f>Master_Data!L404</f>
        <v>0.8</v>
      </c>
      <c r="M404">
        <f>Master_Data!M404</f>
        <v>0.16420000000000001</v>
      </c>
      <c r="N404">
        <f>Master_Data!N404</f>
        <v>1</v>
      </c>
      <c r="O404">
        <f>Master_Data!O404</f>
        <v>132</v>
      </c>
      <c r="P404">
        <f>Master_Data!P404</f>
        <v>133</v>
      </c>
      <c r="Q404" t="str">
        <f t="shared" si="36"/>
        <v>2011</v>
      </c>
      <c r="R404" t="str">
        <f t="shared" si="37"/>
        <v>January</v>
      </c>
      <c r="S404" t="str">
        <f t="shared" si="38"/>
        <v>Weekday</v>
      </c>
      <c r="T404" t="str">
        <f t="shared" si="39"/>
        <v>Evening</v>
      </c>
      <c r="U404" t="str">
        <f t="shared" si="40"/>
        <v>Spring</v>
      </c>
      <c r="V404" t="str">
        <f t="shared" si="41"/>
        <v>Mist/Cloudy</v>
      </c>
    </row>
    <row r="405" spans="1:22">
      <c r="A405">
        <f>Master_Data!A405</f>
        <v>404</v>
      </c>
      <c r="B405">
        <f>Master_Data!B405</f>
        <v>40561</v>
      </c>
      <c r="C405">
        <f>Master_Data!C405</f>
        <v>1</v>
      </c>
      <c r="D405">
        <f>Master_Data!D405</f>
        <v>0</v>
      </c>
      <c r="E405">
        <f>Master_Data!E405</f>
        <v>1</v>
      </c>
      <c r="F405">
        <f>Master_Data!F405</f>
        <v>19</v>
      </c>
      <c r="G405" t="b">
        <f>Master_Data!G405</f>
        <v>0</v>
      </c>
      <c r="H405">
        <f>Master_Data!H405</f>
        <v>2</v>
      </c>
      <c r="I405">
        <f>Master_Data!I405</f>
        <v>2</v>
      </c>
      <c r="J405">
        <f>Master_Data!J405</f>
        <v>0.22</v>
      </c>
      <c r="K405">
        <f>Master_Data!K405</f>
        <v>0.2273</v>
      </c>
      <c r="L405">
        <f>Master_Data!L405</f>
        <v>0.8</v>
      </c>
      <c r="M405">
        <f>Master_Data!M405</f>
        <v>0.1343</v>
      </c>
      <c r="N405">
        <f>Master_Data!N405</f>
        <v>1</v>
      </c>
      <c r="O405">
        <f>Master_Data!O405</f>
        <v>98</v>
      </c>
      <c r="P405">
        <f>Master_Data!P405</f>
        <v>99</v>
      </c>
      <c r="Q405" t="str">
        <f t="shared" si="36"/>
        <v>2011</v>
      </c>
      <c r="R405" t="str">
        <f t="shared" si="37"/>
        <v>January</v>
      </c>
      <c r="S405" t="str">
        <f t="shared" si="38"/>
        <v>Weekday</v>
      </c>
      <c r="T405" t="str">
        <f t="shared" si="39"/>
        <v>Evening</v>
      </c>
      <c r="U405" t="str">
        <f t="shared" si="40"/>
        <v>Spring</v>
      </c>
      <c r="V405" t="str">
        <f t="shared" si="41"/>
        <v>Mist/Cloudy</v>
      </c>
    </row>
    <row r="406" spans="1:22">
      <c r="A406">
        <f>Master_Data!A406</f>
        <v>405</v>
      </c>
      <c r="B406">
        <f>Master_Data!B406</f>
        <v>40561</v>
      </c>
      <c r="C406">
        <f>Master_Data!C406</f>
        <v>1</v>
      </c>
      <c r="D406">
        <f>Master_Data!D406</f>
        <v>0</v>
      </c>
      <c r="E406">
        <f>Master_Data!E406</f>
        <v>1</v>
      </c>
      <c r="F406">
        <f>Master_Data!F406</f>
        <v>20</v>
      </c>
      <c r="G406" t="b">
        <f>Master_Data!G406</f>
        <v>0</v>
      </c>
      <c r="H406">
        <f>Master_Data!H406</f>
        <v>2</v>
      </c>
      <c r="I406">
        <f>Master_Data!I406</f>
        <v>2</v>
      </c>
      <c r="J406">
        <f>Master_Data!J406</f>
        <v>0.22</v>
      </c>
      <c r="K406">
        <f>Master_Data!K406</f>
        <v>0.2727</v>
      </c>
      <c r="L406">
        <f>Master_Data!L406</f>
        <v>0.87</v>
      </c>
      <c r="M406">
        <f>Master_Data!M406</f>
        <v>0</v>
      </c>
      <c r="N406">
        <f>Master_Data!N406</f>
        <v>0</v>
      </c>
      <c r="O406">
        <f>Master_Data!O406</f>
        <v>83</v>
      </c>
      <c r="P406">
        <f>Master_Data!P406</f>
        <v>83</v>
      </c>
      <c r="Q406" t="str">
        <f t="shared" si="36"/>
        <v>2011</v>
      </c>
      <c r="R406" t="str">
        <f t="shared" si="37"/>
        <v>January</v>
      </c>
      <c r="S406" t="str">
        <f t="shared" si="38"/>
        <v>Weekday</v>
      </c>
      <c r="T406" t="str">
        <f t="shared" si="39"/>
        <v>Evening</v>
      </c>
      <c r="U406" t="str">
        <f t="shared" si="40"/>
        <v>Spring</v>
      </c>
      <c r="V406" t="str">
        <f t="shared" si="41"/>
        <v>Mist/Cloudy</v>
      </c>
    </row>
    <row r="407" spans="1:22">
      <c r="A407">
        <f>Master_Data!A407</f>
        <v>406</v>
      </c>
      <c r="B407">
        <f>Master_Data!B407</f>
        <v>40561</v>
      </c>
      <c r="C407">
        <f>Master_Data!C407</f>
        <v>1</v>
      </c>
      <c r="D407">
        <f>Master_Data!D407</f>
        <v>0</v>
      </c>
      <c r="E407">
        <f>Master_Data!E407</f>
        <v>1</v>
      </c>
      <c r="F407">
        <f>Master_Data!F407</f>
        <v>21</v>
      </c>
      <c r="G407" t="b">
        <f>Master_Data!G407</f>
        <v>0</v>
      </c>
      <c r="H407">
        <f>Master_Data!H407</f>
        <v>2</v>
      </c>
      <c r="I407">
        <f>Master_Data!I407</f>
        <v>2</v>
      </c>
      <c r="J407">
        <f>Master_Data!J407</f>
        <v>0.22</v>
      </c>
      <c r="K407">
        <f>Master_Data!K407</f>
        <v>0.2424</v>
      </c>
      <c r="L407">
        <f>Master_Data!L407</f>
        <v>0.93</v>
      </c>
      <c r="M407">
        <f>Master_Data!M407</f>
        <v>0.1045</v>
      </c>
      <c r="N407">
        <f>Master_Data!N407</f>
        <v>0</v>
      </c>
      <c r="O407">
        <f>Master_Data!O407</f>
        <v>41</v>
      </c>
      <c r="P407">
        <f>Master_Data!P407</f>
        <v>41</v>
      </c>
      <c r="Q407" t="str">
        <f t="shared" si="36"/>
        <v>2011</v>
      </c>
      <c r="R407" t="str">
        <f t="shared" si="37"/>
        <v>January</v>
      </c>
      <c r="S407" t="str">
        <f t="shared" si="38"/>
        <v>Weekday</v>
      </c>
      <c r="T407" t="str">
        <f t="shared" si="39"/>
        <v>Night</v>
      </c>
      <c r="U407" t="str">
        <f t="shared" si="40"/>
        <v>Spring</v>
      </c>
      <c r="V407" t="str">
        <f t="shared" si="41"/>
        <v>Mist/Cloudy</v>
      </c>
    </row>
    <row r="408" spans="1:22">
      <c r="A408">
        <f>Master_Data!A408</f>
        <v>407</v>
      </c>
      <c r="B408">
        <f>Master_Data!B408</f>
        <v>40561</v>
      </c>
      <c r="C408">
        <f>Master_Data!C408</f>
        <v>1</v>
      </c>
      <c r="D408">
        <f>Master_Data!D408</f>
        <v>0</v>
      </c>
      <c r="E408">
        <f>Master_Data!E408</f>
        <v>1</v>
      </c>
      <c r="F408">
        <f>Master_Data!F408</f>
        <v>22</v>
      </c>
      <c r="G408" t="b">
        <f>Master_Data!G408</f>
        <v>0</v>
      </c>
      <c r="H408">
        <f>Master_Data!H408</f>
        <v>2</v>
      </c>
      <c r="I408">
        <f>Master_Data!I408</f>
        <v>2</v>
      </c>
      <c r="J408">
        <f>Master_Data!J408</f>
        <v>0.22</v>
      </c>
      <c r="K408">
        <f>Master_Data!K408</f>
        <v>0.2576</v>
      </c>
      <c r="L408">
        <f>Master_Data!L408</f>
        <v>0.93</v>
      </c>
      <c r="M408">
        <f>Master_Data!M408</f>
        <v>8.9599999999999999E-2</v>
      </c>
      <c r="N408">
        <f>Master_Data!N408</f>
        <v>0</v>
      </c>
      <c r="O408">
        <f>Master_Data!O408</f>
        <v>33</v>
      </c>
      <c r="P408">
        <f>Master_Data!P408</f>
        <v>33</v>
      </c>
      <c r="Q408" t="str">
        <f t="shared" si="36"/>
        <v>2011</v>
      </c>
      <c r="R408" t="str">
        <f t="shared" si="37"/>
        <v>January</v>
      </c>
      <c r="S408" t="str">
        <f t="shared" si="38"/>
        <v>Weekday</v>
      </c>
      <c r="T408" t="str">
        <f t="shared" si="39"/>
        <v>Night</v>
      </c>
      <c r="U408" t="str">
        <f t="shared" si="40"/>
        <v>Spring</v>
      </c>
      <c r="V408" t="str">
        <f t="shared" si="41"/>
        <v>Mist/Cloudy</v>
      </c>
    </row>
    <row r="409" spans="1:22">
      <c r="A409">
        <f>Master_Data!A409</f>
        <v>408</v>
      </c>
      <c r="B409">
        <f>Master_Data!B409</f>
        <v>40561</v>
      </c>
      <c r="C409">
        <f>Master_Data!C409</f>
        <v>1</v>
      </c>
      <c r="D409">
        <f>Master_Data!D409</f>
        <v>0</v>
      </c>
      <c r="E409">
        <f>Master_Data!E409</f>
        <v>1</v>
      </c>
      <c r="F409">
        <f>Master_Data!F409</f>
        <v>23</v>
      </c>
      <c r="G409" t="b">
        <f>Master_Data!G409</f>
        <v>0</v>
      </c>
      <c r="H409">
        <f>Master_Data!H409</f>
        <v>2</v>
      </c>
      <c r="I409">
        <f>Master_Data!I409</f>
        <v>2</v>
      </c>
      <c r="J409">
        <f>Master_Data!J409</f>
        <v>0.22</v>
      </c>
      <c r="K409">
        <f>Master_Data!K409</f>
        <v>0.2727</v>
      </c>
      <c r="L409">
        <f>Master_Data!L409</f>
        <v>0.93</v>
      </c>
      <c r="M409">
        <f>Master_Data!M409</f>
        <v>0</v>
      </c>
      <c r="N409">
        <f>Master_Data!N409</f>
        <v>1</v>
      </c>
      <c r="O409">
        <f>Master_Data!O409</f>
        <v>19</v>
      </c>
      <c r="P409">
        <f>Master_Data!P409</f>
        <v>20</v>
      </c>
      <c r="Q409" t="str">
        <f t="shared" si="36"/>
        <v>2011</v>
      </c>
      <c r="R409" t="str">
        <f t="shared" si="37"/>
        <v>January</v>
      </c>
      <c r="S409" t="str">
        <f t="shared" si="38"/>
        <v>Weekday</v>
      </c>
      <c r="T409" t="str">
        <f t="shared" si="39"/>
        <v>Night</v>
      </c>
      <c r="U409" t="str">
        <f t="shared" si="40"/>
        <v>Spring</v>
      </c>
      <c r="V409" t="str">
        <f t="shared" si="41"/>
        <v>Mist/Cloudy</v>
      </c>
    </row>
    <row r="410" spans="1:22">
      <c r="A410">
        <f>Master_Data!A410</f>
        <v>409</v>
      </c>
      <c r="B410">
        <f>Master_Data!B410</f>
        <v>40562</v>
      </c>
      <c r="C410">
        <f>Master_Data!C410</f>
        <v>1</v>
      </c>
      <c r="D410">
        <f>Master_Data!D410</f>
        <v>0</v>
      </c>
      <c r="E410">
        <f>Master_Data!E410</f>
        <v>1</v>
      </c>
      <c r="F410">
        <f>Master_Data!F410</f>
        <v>0</v>
      </c>
      <c r="G410" t="b">
        <f>Master_Data!G410</f>
        <v>0</v>
      </c>
      <c r="H410">
        <f>Master_Data!H410</f>
        <v>3</v>
      </c>
      <c r="I410">
        <f>Master_Data!I410</f>
        <v>2</v>
      </c>
      <c r="J410">
        <f>Master_Data!J410</f>
        <v>0.22</v>
      </c>
      <c r="K410">
        <f>Master_Data!K410</f>
        <v>0.2727</v>
      </c>
      <c r="L410">
        <f>Master_Data!L410</f>
        <v>0.93</v>
      </c>
      <c r="M410">
        <f>Master_Data!M410</f>
        <v>0</v>
      </c>
      <c r="N410">
        <f>Master_Data!N410</f>
        <v>0</v>
      </c>
      <c r="O410">
        <f>Master_Data!O410</f>
        <v>3</v>
      </c>
      <c r="P410">
        <f>Master_Data!P410</f>
        <v>3</v>
      </c>
      <c r="Q410" t="str">
        <f t="shared" si="36"/>
        <v>2011</v>
      </c>
      <c r="R410" t="str">
        <f t="shared" si="37"/>
        <v>January</v>
      </c>
      <c r="S410" t="str">
        <f t="shared" si="38"/>
        <v>Weekday</v>
      </c>
      <c r="T410" t="str">
        <f t="shared" si="39"/>
        <v>Night</v>
      </c>
      <c r="U410" t="str">
        <f t="shared" si="40"/>
        <v>Spring</v>
      </c>
      <c r="V410" t="str">
        <f t="shared" si="41"/>
        <v>Mist/Cloudy</v>
      </c>
    </row>
    <row r="411" spans="1:22">
      <c r="A411">
        <f>Master_Data!A411</f>
        <v>410</v>
      </c>
      <c r="B411">
        <f>Master_Data!B411</f>
        <v>40562</v>
      </c>
      <c r="C411">
        <f>Master_Data!C411</f>
        <v>1</v>
      </c>
      <c r="D411">
        <f>Master_Data!D411</f>
        <v>0</v>
      </c>
      <c r="E411">
        <f>Master_Data!E411</f>
        <v>1</v>
      </c>
      <c r="F411">
        <f>Master_Data!F411</f>
        <v>1</v>
      </c>
      <c r="G411" t="b">
        <f>Master_Data!G411</f>
        <v>0</v>
      </c>
      <c r="H411">
        <f>Master_Data!H411</f>
        <v>3</v>
      </c>
      <c r="I411">
        <f>Master_Data!I411</f>
        <v>3</v>
      </c>
      <c r="J411">
        <f>Master_Data!J411</f>
        <v>0.22</v>
      </c>
      <c r="K411">
        <f>Master_Data!K411</f>
        <v>0.2273</v>
      </c>
      <c r="L411">
        <f>Master_Data!L411</f>
        <v>0.93</v>
      </c>
      <c r="M411">
        <f>Master_Data!M411</f>
        <v>0.1343</v>
      </c>
      <c r="N411">
        <f>Master_Data!N411</f>
        <v>1</v>
      </c>
      <c r="O411">
        <f>Master_Data!O411</f>
        <v>6</v>
      </c>
      <c r="P411">
        <f>Master_Data!P411</f>
        <v>7</v>
      </c>
      <c r="Q411" t="str">
        <f t="shared" si="36"/>
        <v>2011</v>
      </c>
      <c r="R411" t="str">
        <f t="shared" si="37"/>
        <v>January</v>
      </c>
      <c r="S411" t="str">
        <f t="shared" si="38"/>
        <v>Weekday</v>
      </c>
      <c r="T411" t="str">
        <f t="shared" si="39"/>
        <v>Night</v>
      </c>
      <c r="U411" t="str">
        <f t="shared" si="40"/>
        <v>Spring</v>
      </c>
      <c r="V411" t="str">
        <f t="shared" si="41"/>
        <v>Light Rain/Snow</v>
      </c>
    </row>
    <row r="412" spans="1:22">
      <c r="A412">
        <f>Master_Data!A412</f>
        <v>411</v>
      </c>
      <c r="B412">
        <f>Master_Data!B412</f>
        <v>40562</v>
      </c>
      <c r="C412">
        <f>Master_Data!C412</f>
        <v>1</v>
      </c>
      <c r="D412">
        <f>Master_Data!D412</f>
        <v>0</v>
      </c>
      <c r="E412">
        <f>Master_Data!E412</f>
        <v>1</v>
      </c>
      <c r="F412">
        <f>Master_Data!F412</f>
        <v>2</v>
      </c>
      <c r="G412" t="b">
        <f>Master_Data!G412</f>
        <v>0</v>
      </c>
      <c r="H412">
        <f>Master_Data!H412</f>
        <v>3</v>
      </c>
      <c r="I412">
        <f>Master_Data!I412</f>
        <v>3</v>
      </c>
      <c r="J412">
        <f>Master_Data!J412</f>
        <v>0.22</v>
      </c>
      <c r="K412">
        <f>Master_Data!K412</f>
        <v>0.2273</v>
      </c>
      <c r="L412">
        <f>Master_Data!L412</f>
        <v>0.93</v>
      </c>
      <c r="M412">
        <f>Master_Data!M412</f>
        <v>0.1343</v>
      </c>
      <c r="N412">
        <f>Master_Data!N412</f>
        <v>0</v>
      </c>
      <c r="O412">
        <f>Master_Data!O412</f>
        <v>3</v>
      </c>
      <c r="P412">
        <f>Master_Data!P412</f>
        <v>3</v>
      </c>
      <c r="Q412" t="str">
        <f t="shared" si="36"/>
        <v>2011</v>
      </c>
      <c r="R412" t="str">
        <f t="shared" si="37"/>
        <v>January</v>
      </c>
      <c r="S412" t="str">
        <f t="shared" si="38"/>
        <v>Weekday</v>
      </c>
      <c r="T412" t="str">
        <f t="shared" si="39"/>
        <v>Night</v>
      </c>
      <c r="U412" t="str">
        <f t="shared" si="40"/>
        <v>Spring</v>
      </c>
      <c r="V412" t="str">
        <f t="shared" si="41"/>
        <v>Light Rain/Snow</v>
      </c>
    </row>
    <row r="413" spans="1:22">
      <c r="A413">
        <f>Master_Data!A413</f>
        <v>412</v>
      </c>
      <c r="B413">
        <f>Master_Data!B413</f>
        <v>40562</v>
      </c>
      <c r="C413">
        <f>Master_Data!C413</f>
        <v>1</v>
      </c>
      <c r="D413">
        <f>Master_Data!D413</f>
        <v>0</v>
      </c>
      <c r="E413">
        <f>Master_Data!E413</f>
        <v>1</v>
      </c>
      <c r="F413">
        <f>Master_Data!F413</f>
        <v>4</v>
      </c>
      <c r="G413" t="b">
        <f>Master_Data!G413</f>
        <v>0</v>
      </c>
      <c r="H413">
        <f>Master_Data!H413</f>
        <v>3</v>
      </c>
      <c r="I413">
        <f>Master_Data!I413</f>
        <v>3</v>
      </c>
      <c r="J413">
        <f>Master_Data!J413</f>
        <v>0.22</v>
      </c>
      <c r="K413">
        <f>Master_Data!K413</f>
        <v>0.2273</v>
      </c>
      <c r="L413">
        <f>Master_Data!L413</f>
        <v>0.93</v>
      </c>
      <c r="M413">
        <f>Master_Data!M413</f>
        <v>0.1343</v>
      </c>
      <c r="N413">
        <f>Master_Data!N413</f>
        <v>1</v>
      </c>
      <c r="O413">
        <f>Master_Data!O413</f>
        <v>1</v>
      </c>
      <c r="P413">
        <f>Master_Data!P413</f>
        <v>2</v>
      </c>
      <c r="Q413" t="str">
        <f t="shared" si="36"/>
        <v>2011</v>
      </c>
      <c r="R413" t="str">
        <f t="shared" si="37"/>
        <v>January</v>
      </c>
      <c r="S413" t="str">
        <f t="shared" si="38"/>
        <v>Weekday</v>
      </c>
      <c r="T413" t="str">
        <f t="shared" si="39"/>
        <v>Night</v>
      </c>
      <c r="U413" t="str">
        <f t="shared" si="40"/>
        <v>Spring</v>
      </c>
      <c r="V413" t="str">
        <f t="shared" si="41"/>
        <v>Light Rain/Snow</v>
      </c>
    </row>
    <row r="414" spans="1:22">
      <c r="A414">
        <f>Master_Data!A414</f>
        <v>413</v>
      </c>
      <c r="B414">
        <f>Master_Data!B414</f>
        <v>40562</v>
      </c>
      <c r="C414">
        <f>Master_Data!C414</f>
        <v>1</v>
      </c>
      <c r="D414">
        <f>Master_Data!D414</f>
        <v>0</v>
      </c>
      <c r="E414">
        <f>Master_Data!E414</f>
        <v>1</v>
      </c>
      <c r="F414">
        <f>Master_Data!F414</f>
        <v>5</v>
      </c>
      <c r="G414" t="b">
        <f>Master_Data!G414</f>
        <v>0</v>
      </c>
      <c r="H414">
        <f>Master_Data!H414</f>
        <v>3</v>
      </c>
      <c r="I414">
        <f>Master_Data!I414</f>
        <v>2</v>
      </c>
      <c r="J414">
        <f>Master_Data!J414</f>
        <v>0.22</v>
      </c>
      <c r="K414">
        <f>Master_Data!K414</f>
        <v>0.2576</v>
      </c>
      <c r="L414">
        <f>Master_Data!L414</f>
        <v>0.93</v>
      </c>
      <c r="M414">
        <f>Master_Data!M414</f>
        <v>8.9599999999999999E-2</v>
      </c>
      <c r="N414">
        <f>Master_Data!N414</f>
        <v>0</v>
      </c>
      <c r="O414">
        <f>Master_Data!O414</f>
        <v>7</v>
      </c>
      <c r="P414">
        <f>Master_Data!P414</f>
        <v>7</v>
      </c>
      <c r="Q414" t="str">
        <f t="shared" si="36"/>
        <v>2011</v>
      </c>
      <c r="R414" t="str">
        <f t="shared" si="37"/>
        <v>January</v>
      </c>
      <c r="S414" t="str">
        <f t="shared" si="38"/>
        <v>Weekday</v>
      </c>
      <c r="T414" t="str">
        <f t="shared" si="39"/>
        <v>Night</v>
      </c>
      <c r="U414" t="str">
        <f t="shared" si="40"/>
        <v>Spring</v>
      </c>
      <c r="V414" t="str">
        <f t="shared" si="41"/>
        <v>Mist/Cloudy</v>
      </c>
    </row>
    <row r="415" spans="1:22">
      <c r="A415">
        <f>Master_Data!A415</f>
        <v>414</v>
      </c>
      <c r="B415">
        <f>Master_Data!B415</f>
        <v>40562</v>
      </c>
      <c r="C415">
        <f>Master_Data!C415</f>
        <v>1</v>
      </c>
      <c r="D415">
        <f>Master_Data!D415</f>
        <v>0</v>
      </c>
      <c r="E415">
        <f>Master_Data!E415</f>
        <v>1</v>
      </c>
      <c r="F415">
        <f>Master_Data!F415</f>
        <v>6</v>
      </c>
      <c r="G415" t="b">
        <f>Master_Data!G415</f>
        <v>0</v>
      </c>
      <c r="H415">
        <f>Master_Data!H415</f>
        <v>3</v>
      </c>
      <c r="I415">
        <f>Master_Data!I415</f>
        <v>2</v>
      </c>
      <c r="J415">
        <f>Master_Data!J415</f>
        <v>0.22</v>
      </c>
      <c r="K415">
        <f>Master_Data!K415</f>
        <v>0.2576</v>
      </c>
      <c r="L415">
        <f>Master_Data!L415</f>
        <v>0.93</v>
      </c>
      <c r="M415">
        <f>Master_Data!M415</f>
        <v>8.9599999999999999E-2</v>
      </c>
      <c r="N415">
        <f>Master_Data!N415</f>
        <v>0</v>
      </c>
      <c r="O415">
        <f>Master_Data!O415</f>
        <v>32</v>
      </c>
      <c r="P415">
        <f>Master_Data!P415</f>
        <v>32</v>
      </c>
      <c r="Q415" t="str">
        <f t="shared" si="36"/>
        <v>2011</v>
      </c>
      <c r="R415" t="str">
        <f t="shared" si="37"/>
        <v>January</v>
      </c>
      <c r="S415" t="str">
        <f t="shared" si="38"/>
        <v>Weekday</v>
      </c>
      <c r="T415" t="str">
        <f t="shared" si="39"/>
        <v>Morning</v>
      </c>
      <c r="U415" t="str">
        <f t="shared" si="40"/>
        <v>Spring</v>
      </c>
      <c r="V415" t="str">
        <f t="shared" si="41"/>
        <v>Mist/Cloudy</v>
      </c>
    </row>
    <row r="416" spans="1:22">
      <c r="A416">
        <f>Master_Data!A416</f>
        <v>415</v>
      </c>
      <c r="B416">
        <f>Master_Data!B416</f>
        <v>40562</v>
      </c>
      <c r="C416">
        <f>Master_Data!C416</f>
        <v>1</v>
      </c>
      <c r="D416">
        <f>Master_Data!D416</f>
        <v>0</v>
      </c>
      <c r="E416">
        <f>Master_Data!E416</f>
        <v>1</v>
      </c>
      <c r="F416">
        <f>Master_Data!F416</f>
        <v>7</v>
      </c>
      <c r="G416" t="b">
        <f>Master_Data!G416</f>
        <v>0</v>
      </c>
      <c r="H416">
        <f>Master_Data!H416</f>
        <v>3</v>
      </c>
      <c r="I416">
        <f>Master_Data!I416</f>
        <v>2</v>
      </c>
      <c r="J416">
        <f>Master_Data!J416</f>
        <v>0.24</v>
      </c>
      <c r="K416">
        <f>Master_Data!K416</f>
        <v>0.2576</v>
      </c>
      <c r="L416">
        <f>Master_Data!L416</f>
        <v>0.92</v>
      </c>
      <c r="M416">
        <f>Master_Data!M416</f>
        <v>0.1045</v>
      </c>
      <c r="N416">
        <f>Master_Data!N416</f>
        <v>1</v>
      </c>
      <c r="O416">
        <f>Master_Data!O416</f>
        <v>89</v>
      </c>
      <c r="P416">
        <f>Master_Data!P416</f>
        <v>90</v>
      </c>
      <c r="Q416" t="str">
        <f t="shared" si="36"/>
        <v>2011</v>
      </c>
      <c r="R416" t="str">
        <f t="shared" si="37"/>
        <v>January</v>
      </c>
      <c r="S416" t="str">
        <f t="shared" si="38"/>
        <v>Weekday</v>
      </c>
      <c r="T416" t="str">
        <f t="shared" si="39"/>
        <v>Morning</v>
      </c>
      <c r="U416" t="str">
        <f t="shared" si="40"/>
        <v>Spring</v>
      </c>
      <c r="V416" t="str">
        <f t="shared" si="41"/>
        <v>Mist/Cloudy</v>
      </c>
    </row>
    <row r="417" spans="1:22">
      <c r="A417">
        <f>Master_Data!A417</f>
        <v>416</v>
      </c>
      <c r="B417">
        <f>Master_Data!B417</f>
        <v>40562</v>
      </c>
      <c r="C417">
        <f>Master_Data!C417</f>
        <v>1</v>
      </c>
      <c r="D417">
        <f>Master_Data!D417</f>
        <v>0</v>
      </c>
      <c r="E417">
        <f>Master_Data!E417</f>
        <v>1</v>
      </c>
      <c r="F417">
        <f>Master_Data!F417</f>
        <v>8</v>
      </c>
      <c r="G417" t="b">
        <f>Master_Data!G417</f>
        <v>0</v>
      </c>
      <c r="H417">
        <f>Master_Data!H417</f>
        <v>3</v>
      </c>
      <c r="I417">
        <f>Master_Data!I417</f>
        <v>2</v>
      </c>
      <c r="J417">
        <f>Master_Data!J417</f>
        <v>0.24</v>
      </c>
      <c r="K417">
        <f>Master_Data!K417</f>
        <v>0.2576</v>
      </c>
      <c r="L417">
        <f>Master_Data!L417</f>
        <v>0.93</v>
      </c>
      <c r="M417">
        <f>Master_Data!M417</f>
        <v>0.1045</v>
      </c>
      <c r="N417">
        <f>Master_Data!N417</f>
        <v>1</v>
      </c>
      <c r="O417">
        <f>Master_Data!O417</f>
        <v>196</v>
      </c>
      <c r="P417">
        <f>Master_Data!P417</f>
        <v>197</v>
      </c>
      <c r="Q417" t="str">
        <f t="shared" si="36"/>
        <v>2011</v>
      </c>
      <c r="R417" t="str">
        <f t="shared" si="37"/>
        <v>January</v>
      </c>
      <c r="S417" t="str">
        <f t="shared" si="38"/>
        <v>Weekday</v>
      </c>
      <c r="T417" t="str">
        <f t="shared" si="39"/>
        <v>Morning</v>
      </c>
      <c r="U417" t="str">
        <f t="shared" si="40"/>
        <v>Spring</v>
      </c>
      <c r="V417" t="str">
        <f t="shared" si="41"/>
        <v>Mist/Cloudy</v>
      </c>
    </row>
    <row r="418" spans="1:22">
      <c r="A418">
        <f>Master_Data!A418</f>
        <v>417</v>
      </c>
      <c r="B418">
        <f>Master_Data!B418</f>
        <v>40562</v>
      </c>
      <c r="C418">
        <f>Master_Data!C418</f>
        <v>1</v>
      </c>
      <c r="D418">
        <f>Master_Data!D418</f>
        <v>0</v>
      </c>
      <c r="E418">
        <f>Master_Data!E418</f>
        <v>1</v>
      </c>
      <c r="F418">
        <f>Master_Data!F418</f>
        <v>9</v>
      </c>
      <c r="G418" t="b">
        <f>Master_Data!G418</f>
        <v>0</v>
      </c>
      <c r="H418">
        <f>Master_Data!H418</f>
        <v>3</v>
      </c>
      <c r="I418">
        <f>Master_Data!I418</f>
        <v>2</v>
      </c>
      <c r="J418">
        <f>Master_Data!J418</f>
        <v>0.24</v>
      </c>
      <c r="K418">
        <f>Master_Data!K418</f>
        <v>0.2576</v>
      </c>
      <c r="L418">
        <f>Master_Data!L418</f>
        <v>0.93</v>
      </c>
      <c r="M418">
        <f>Master_Data!M418</f>
        <v>0.1045</v>
      </c>
      <c r="N418">
        <f>Master_Data!N418</f>
        <v>2</v>
      </c>
      <c r="O418">
        <f>Master_Data!O418</f>
        <v>107</v>
      </c>
      <c r="P418">
        <f>Master_Data!P418</f>
        <v>109</v>
      </c>
      <c r="Q418" t="str">
        <f t="shared" si="36"/>
        <v>2011</v>
      </c>
      <c r="R418" t="str">
        <f t="shared" si="37"/>
        <v>January</v>
      </c>
      <c r="S418" t="str">
        <f t="shared" si="38"/>
        <v>Weekday</v>
      </c>
      <c r="T418" t="str">
        <f t="shared" si="39"/>
        <v>Morning</v>
      </c>
      <c r="U418" t="str">
        <f t="shared" si="40"/>
        <v>Spring</v>
      </c>
      <c r="V418" t="str">
        <f t="shared" si="41"/>
        <v>Mist/Cloudy</v>
      </c>
    </row>
    <row r="419" spans="1:22">
      <c r="A419">
        <f>Master_Data!A419</f>
        <v>418</v>
      </c>
      <c r="B419">
        <f>Master_Data!B419</f>
        <v>40562</v>
      </c>
      <c r="C419">
        <f>Master_Data!C419</f>
        <v>1</v>
      </c>
      <c r="D419">
        <f>Master_Data!D419</f>
        <v>0</v>
      </c>
      <c r="E419">
        <f>Master_Data!E419</f>
        <v>1</v>
      </c>
      <c r="F419">
        <f>Master_Data!F419</f>
        <v>10</v>
      </c>
      <c r="G419" t="b">
        <f>Master_Data!G419</f>
        <v>0</v>
      </c>
      <c r="H419">
        <f>Master_Data!H419</f>
        <v>3</v>
      </c>
      <c r="I419">
        <f>Master_Data!I419</f>
        <v>2</v>
      </c>
      <c r="J419">
        <f>Master_Data!J419</f>
        <v>0.26</v>
      </c>
      <c r="K419">
        <f>Master_Data!K419</f>
        <v>0.2727</v>
      </c>
      <c r="L419">
        <f>Master_Data!L419</f>
        <v>0.93</v>
      </c>
      <c r="M419">
        <f>Master_Data!M419</f>
        <v>0.1343</v>
      </c>
      <c r="N419">
        <f>Master_Data!N419</f>
        <v>1</v>
      </c>
      <c r="O419">
        <f>Master_Data!O419</f>
        <v>46</v>
      </c>
      <c r="P419">
        <f>Master_Data!P419</f>
        <v>47</v>
      </c>
      <c r="Q419" t="str">
        <f t="shared" si="36"/>
        <v>2011</v>
      </c>
      <c r="R419" t="str">
        <f t="shared" si="37"/>
        <v>January</v>
      </c>
      <c r="S419" t="str">
        <f t="shared" si="38"/>
        <v>Weekday</v>
      </c>
      <c r="T419" t="str">
        <f t="shared" si="39"/>
        <v>Morning</v>
      </c>
      <c r="U419" t="str">
        <f t="shared" si="40"/>
        <v>Spring</v>
      </c>
      <c r="V419" t="str">
        <f t="shared" si="41"/>
        <v>Mist/Cloudy</v>
      </c>
    </row>
    <row r="420" spans="1:22">
      <c r="A420">
        <f>Master_Data!A420</f>
        <v>419</v>
      </c>
      <c r="B420">
        <f>Master_Data!B420</f>
        <v>40562</v>
      </c>
      <c r="C420">
        <f>Master_Data!C420</f>
        <v>1</v>
      </c>
      <c r="D420">
        <f>Master_Data!D420</f>
        <v>0</v>
      </c>
      <c r="E420">
        <f>Master_Data!E420</f>
        <v>1</v>
      </c>
      <c r="F420">
        <f>Master_Data!F420</f>
        <v>11</v>
      </c>
      <c r="G420" t="b">
        <f>Master_Data!G420</f>
        <v>0</v>
      </c>
      <c r="H420">
        <f>Master_Data!H420</f>
        <v>3</v>
      </c>
      <c r="I420">
        <f>Master_Data!I420</f>
        <v>2</v>
      </c>
      <c r="J420">
        <f>Master_Data!J420</f>
        <v>0.28000000000000003</v>
      </c>
      <c r="K420">
        <f>Master_Data!K420</f>
        <v>0.30299999999999999</v>
      </c>
      <c r="L420">
        <f>Master_Data!L420</f>
        <v>0.87</v>
      </c>
      <c r="M420">
        <f>Master_Data!M420</f>
        <v>8.9599999999999999E-2</v>
      </c>
      <c r="N420">
        <f>Master_Data!N420</f>
        <v>5</v>
      </c>
      <c r="O420">
        <f>Master_Data!O420</f>
        <v>47</v>
      </c>
      <c r="P420">
        <f>Master_Data!P420</f>
        <v>52</v>
      </c>
      <c r="Q420" t="str">
        <f t="shared" si="36"/>
        <v>2011</v>
      </c>
      <c r="R420" t="str">
        <f t="shared" si="37"/>
        <v>January</v>
      </c>
      <c r="S420" t="str">
        <f t="shared" si="38"/>
        <v>Weekday</v>
      </c>
      <c r="T420" t="str">
        <f t="shared" si="39"/>
        <v>Morning</v>
      </c>
      <c r="U420" t="str">
        <f t="shared" si="40"/>
        <v>Spring</v>
      </c>
      <c r="V420" t="str">
        <f t="shared" si="41"/>
        <v>Mist/Cloudy</v>
      </c>
    </row>
    <row r="421" spans="1:22">
      <c r="A421">
        <f>Master_Data!A421</f>
        <v>420</v>
      </c>
      <c r="B421">
        <f>Master_Data!B421</f>
        <v>40562</v>
      </c>
      <c r="C421">
        <f>Master_Data!C421</f>
        <v>1</v>
      </c>
      <c r="D421">
        <f>Master_Data!D421</f>
        <v>0</v>
      </c>
      <c r="E421">
        <f>Master_Data!E421</f>
        <v>1</v>
      </c>
      <c r="F421">
        <f>Master_Data!F421</f>
        <v>12</v>
      </c>
      <c r="G421" t="b">
        <f>Master_Data!G421</f>
        <v>0</v>
      </c>
      <c r="H421">
        <f>Master_Data!H421</f>
        <v>3</v>
      </c>
      <c r="I421">
        <f>Master_Data!I421</f>
        <v>2</v>
      </c>
      <c r="J421">
        <f>Master_Data!J421</f>
        <v>0.3</v>
      </c>
      <c r="K421">
        <f>Master_Data!K421</f>
        <v>0.31819999999999998</v>
      </c>
      <c r="L421">
        <f>Master_Data!L421</f>
        <v>0.81</v>
      </c>
      <c r="M421">
        <f>Master_Data!M421</f>
        <v>8.9599999999999999E-2</v>
      </c>
      <c r="N421">
        <f>Master_Data!N421</f>
        <v>5</v>
      </c>
      <c r="O421">
        <f>Master_Data!O421</f>
        <v>65</v>
      </c>
      <c r="P421">
        <f>Master_Data!P421</f>
        <v>70</v>
      </c>
      <c r="Q421" t="str">
        <f t="shared" si="36"/>
        <v>2011</v>
      </c>
      <c r="R421" t="str">
        <f t="shared" si="37"/>
        <v>January</v>
      </c>
      <c r="S421" t="str">
        <f t="shared" si="38"/>
        <v>Weekday</v>
      </c>
      <c r="T421" t="str">
        <f t="shared" si="39"/>
        <v>Afternoon</v>
      </c>
      <c r="U421" t="str">
        <f t="shared" si="40"/>
        <v>Spring</v>
      </c>
      <c r="V421" t="str">
        <f t="shared" si="41"/>
        <v>Mist/Cloudy</v>
      </c>
    </row>
    <row r="422" spans="1:22">
      <c r="A422">
        <f>Master_Data!A422</f>
        <v>421</v>
      </c>
      <c r="B422">
        <f>Master_Data!B422</f>
        <v>40562</v>
      </c>
      <c r="C422">
        <f>Master_Data!C422</f>
        <v>1</v>
      </c>
      <c r="D422">
        <f>Master_Data!D422</f>
        <v>0</v>
      </c>
      <c r="E422">
        <f>Master_Data!E422</f>
        <v>1</v>
      </c>
      <c r="F422">
        <f>Master_Data!F422</f>
        <v>13</v>
      </c>
      <c r="G422" t="b">
        <f>Master_Data!G422</f>
        <v>0</v>
      </c>
      <c r="H422">
        <f>Master_Data!H422</f>
        <v>3</v>
      </c>
      <c r="I422">
        <f>Master_Data!I422</f>
        <v>1</v>
      </c>
      <c r="J422">
        <f>Master_Data!J422</f>
        <v>0.4</v>
      </c>
      <c r="K422">
        <f>Master_Data!K422</f>
        <v>0.40910000000000002</v>
      </c>
      <c r="L422">
        <f>Master_Data!L422</f>
        <v>0.62</v>
      </c>
      <c r="M422">
        <f>Master_Data!M422</f>
        <v>0.28360000000000002</v>
      </c>
      <c r="N422">
        <f>Master_Data!N422</f>
        <v>11</v>
      </c>
      <c r="O422">
        <f>Master_Data!O422</f>
        <v>67</v>
      </c>
      <c r="P422">
        <f>Master_Data!P422</f>
        <v>78</v>
      </c>
      <c r="Q422" t="str">
        <f t="shared" si="36"/>
        <v>2011</v>
      </c>
      <c r="R422" t="str">
        <f t="shared" si="37"/>
        <v>January</v>
      </c>
      <c r="S422" t="str">
        <f t="shared" si="38"/>
        <v>Weekday</v>
      </c>
      <c r="T422" t="str">
        <f t="shared" si="39"/>
        <v>Afternoon</v>
      </c>
      <c r="U422" t="str">
        <f t="shared" si="40"/>
        <v>Spring</v>
      </c>
      <c r="V422" t="str">
        <f t="shared" si="41"/>
        <v>Clear</v>
      </c>
    </row>
    <row r="423" spans="1:22">
      <c r="A423">
        <f>Master_Data!A423</f>
        <v>422</v>
      </c>
      <c r="B423">
        <f>Master_Data!B423</f>
        <v>40562</v>
      </c>
      <c r="C423">
        <f>Master_Data!C423</f>
        <v>1</v>
      </c>
      <c r="D423">
        <f>Master_Data!D423</f>
        <v>0</v>
      </c>
      <c r="E423">
        <f>Master_Data!E423</f>
        <v>1</v>
      </c>
      <c r="F423">
        <f>Master_Data!F423</f>
        <v>14</v>
      </c>
      <c r="G423" t="b">
        <f>Master_Data!G423</f>
        <v>0</v>
      </c>
      <c r="H423">
        <f>Master_Data!H423</f>
        <v>3</v>
      </c>
      <c r="I423">
        <f>Master_Data!I423</f>
        <v>1</v>
      </c>
      <c r="J423">
        <f>Master_Data!J423</f>
        <v>0.4</v>
      </c>
      <c r="K423">
        <f>Master_Data!K423</f>
        <v>0.40910000000000002</v>
      </c>
      <c r="L423">
        <f>Master_Data!L423</f>
        <v>0.57999999999999996</v>
      </c>
      <c r="M423">
        <f>Master_Data!M423</f>
        <v>0.25369999999999998</v>
      </c>
      <c r="N423">
        <f>Master_Data!N423</f>
        <v>7</v>
      </c>
      <c r="O423">
        <f>Master_Data!O423</f>
        <v>68</v>
      </c>
      <c r="P423">
        <f>Master_Data!P423</f>
        <v>75</v>
      </c>
      <c r="Q423" t="str">
        <f t="shared" si="36"/>
        <v>2011</v>
      </c>
      <c r="R423" t="str">
        <f t="shared" si="37"/>
        <v>January</v>
      </c>
      <c r="S423" t="str">
        <f t="shared" si="38"/>
        <v>Weekday</v>
      </c>
      <c r="T423" t="str">
        <f t="shared" si="39"/>
        <v>Afternoon</v>
      </c>
      <c r="U423" t="str">
        <f t="shared" si="40"/>
        <v>Spring</v>
      </c>
      <c r="V423" t="str">
        <f t="shared" si="41"/>
        <v>Clear</v>
      </c>
    </row>
    <row r="424" spans="1:22">
      <c r="A424">
        <f>Master_Data!A424</f>
        <v>423</v>
      </c>
      <c r="B424">
        <f>Master_Data!B424</f>
        <v>40562</v>
      </c>
      <c r="C424">
        <f>Master_Data!C424</f>
        <v>1</v>
      </c>
      <c r="D424">
        <f>Master_Data!D424</f>
        <v>0</v>
      </c>
      <c r="E424">
        <f>Master_Data!E424</f>
        <v>1</v>
      </c>
      <c r="F424">
        <f>Master_Data!F424</f>
        <v>15</v>
      </c>
      <c r="G424" t="b">
        <f>Master_Data!G424</f>
        <v>0</v>
      </c>
      <c r="H424">
        <f>Master_Data!H424</f>
        <v>3</v>
      </c>
      <c r="I424">
        <f>Master_Data!I424</f>
        <v>1</v>
      </c>
      <c r="J424">
        <f>Master_Data!J424</f>
        <v>0.4</v>
      </c>
      <c r="K424">
        <f>Master_Data!K424</f>
        <v>0.40910000000000002</v>
      </c>
      <c r="L424">
        <f>Master_Data!L424</f>
        <v>0.54</v>
      </c>
      <c r="M424">
        <f>Master_Data!M424</f>
        <v>0.28360000000000002</v>
      </c>
      <c r="N424">
        <f>Master_Data!N424</f>
        <v>4</v>
      </c>
      <c r="O424">
        <f>Master_Data!O424</f>
        <v>78</v>
      </c>
      <c r="P424">
        <f>Master_Data!P424</f>
        <v>82</v>
      </c>
      <c r="Q424" t="str">
        <f t="shared" si="36"/>
        <v>2011</v>
      </c>
      <c r="R424" t="str">
        <f t="shared" si="37"/>
        <v>January</v>
      </c>
      <c r="S424" t="str">
        <f t="shared" si="38"/>
        <v>Weekday</v>
      </c>
      <c r="T424" t="str">
        <f t="shared" si="39"/>
        <v>Afternoon</v>
      </c>
      <c r="U424" t="str">
        <f t="shared" si="40"/>
        <v>Spring</v>
      </c>
      <c r="V424" t="str">
        <f t="shared" si="41"/>
        <v>Clear</v>
      </c>
    </row>
    <row r="425" spans="1:22">
      <c r="A425">
        <f>Master_Data!A425</f>
        <v>424</v>
      </c>
      <c r="B425">
        <f>Master_Data!B425</f>
        <v>40562</v>
      </c>
      <c r="C425">
        <f>Master_Data!C425</f>
        <v>1</v>
      </c>
      <c r="D425">
        <f>Master_Data!D425</f>
        <v>0</v>
      </c>
      <c r="E425">
        <f>Master_Data!E425</f>
        <v>1</v>
      </c>
      <c r="F425">
        <f>Master_Data!F425</f>
        <v>16</v>
      </c>
      <c r="G425" t="b">
        <f>Master_Data!G425</f>
        <v>0</v>
      </c>
      <c r="H425">
        <f>Master_Data!H425</f>
        <v>3</v>
      </c>
      <c r="I425">
        <f>Master_Data!I425</f>
        <v>1</v>
      </c>
      <c r="J425">
        <f>Master_Data!J425</f>
        <v>0.38</v>
      </c>
      <c r="K425">
        <f>Master_Data!K425</f>
        <v>0.39389999999999997</v>
      </c>
      <c r="L425">
        <f>Master_Data!L425</f>
        <v>0.57999999999999996</v>
      </c>
      <c r="M425">
        <f>Master_Data!M425</f>
        <v>0.3881</v>
      </c>
      <c r="N425">
        <f>Master_Data!N425</f>
        <v>10</v>
      </c>
      <c r="O425">
        <f>Master_Data!O425</f>
        <v>94</v>
      </c>
      <c r="P425">
        <f>Master_Data!P425</f>
        <v>104</v>
      </c>
      <c r="Q425" t="str">
        <f t="shared" si="36"/>
        <v>2011</v>
      </c>
      <c r="R425" t="str">
        <f t="shared" si="37"/>
        <v>January</v>
      </c>
      <c r="S425" t="str">
        <f t="shared" si="38"/>
        <v>Weekday</v>
      </c>
      <c r="T425" t="str">
        <f t="shared" si="39"/>
        <v>Afternoon</v>
      </c>
      <c r="U425" t="str">
        <f t="shared" si="40"/>
        <v>Spring</v>
      </c>
      <c r="V425" t="str">
        <f t="shared" si="41"/>
        <v>Clear</v>
      </c>
    </row>
    <row r="426" spans="1:22">
      <c r="A426">
        <f>Master_Data!A426</f>
        <v>425</v>
      </c>
      <c r="B426">
        <f>Master_Data!B426</f>
        <v>40562</v>
      </c>
      <c r="C426">
        <f>Master_Data!C426</f>
        <v>1</v>
      </c>
      <c r="D426">
        <f>Master_Data!D426</f>
        <v>0</v>
      </c>
      <c r="E426">
        <f>Master_Data!E426</f>
        <v>1</v>
      </c>
      <c r="F426">
        <f>Master_Data!F426</f>
        <v>17</v>
      </c>
      <c r="G426" t="b">
        <f>Master_Data!G426</f>
        <v>0</v>
      </c>
      <c r="H426">
        <f>Master_Data!H426</f>
        <v>3</v>
      </c>
      <c r="I426">
        <f>Master_Data!I426</f>
        <v>1</v>
      </c>
      <c r="J426">
        <f>Master_Data!J426</f>
        <v>0.36</v>
      </c>
      <c r="K426">
        <f>Master_Data!K426</f>
        <v>0.33329999999999999</v>
      </c>
      <c r="L426">
        <f>Master_Data!L426</f>
        <v>0.56999999999999995</v>
      </c>
      <c r="M426">
        <f>Master_Data!M426</f>
        <v>0.32840000000000003</v>
      </c>
      <c r="N426">
        <f>Master_Data!N426</f>
        <v>7</v>
      </c>
      <c r="O426">
        <f>Master_Data!O426</f>
        <v>190</v>
      </c>
      <c r="P426">
        <f>Master_Data!P426</f>
        <v>197</v>
      </c>
      <c r="Q426" t="str">
        <f t="shared" si="36"/>
        <v>2011</v>
      </c>
      <c r="R426" t="str">
        <f t="shared" si="37"/>
        <v>January</v>
      </c>
      <c r="S426" t="str">
        <f t="shared" si="38"/>
        <v>Weekday</v>
      </c>
      <c r="T426" t="str">
        <f t="shared" si="39"/>
        <v>Evening</v>
      </c>
      <c r="U426" t="str">
        <f t="shared" si="40"/>
        <v>Spring</v>
      </c>
      <c r="V426" t="str">
        <f t="shared" si="41"/>
        <v>Clear</v>
      </c>
    </row>
    <row r="427" spans="1:22">
      <c r="A427">
        <f>Master_Data!A427</f>
        <v>426</v>
      </c>
      <c r="B427">
        <f>Master_Data!B427</f>
        <v>40562</v>
      </c>
      <c r="C427">
        <f>Master_Data!C427</f>
        <v>1</v>
      </c>
      <c r="D427">
        <f>Master_Data!D427</f>
        <v>0</v>
      </c>
      <c r="E427">
        <f>Master_Data!E427</f>
        <v>1</v>
      </c>
      <c r="F427">
        <f>Master_Data!F427</f>
        <v>18</v>
      </c>
      <c r="G427" t="b">
        <f>Master_Data!G427</f>
        <v>0</v>
      </c>
      <c r="H427">
        <f>Master_Data!H427</f>
        <v>3</v>
      </c>
      <c r="I427">
        <f>Master_Data!I427</f>
        <v>1</v>
      </c>
      <c r="J427">
        <f>Master_Data!J427</f>
        <v>0.34</v>
      </c>
      <c r="K427">
        <f>Master_Data!K427</f>
        <v>0.31819999999999998</v>
      </c>
      <c r="L427">
        <f>Master_Data!L427</f>
        <v>0.61</v>
      </c>
      <c r="M427">
        <f>Master_Data!M427</f>
        <v>0.28360000000000002</v>
      </c>
      <c r="N427">
        <f>Master_Data!N427</f>
        <v>5</v>
      </c>
      <c r="O427">
        <f>Master_Data!O427</f>
        <v>156</v>
      </c>
      <c r="P427">
        <f>Master_Data!P427</f>
        <v>161</v>
      </c>
      <c r="Q427" t="str">
        <f t="shared" si="36"/>
        <v>2011</v>
      </c>
      <c r="R427" t="str">
        <f t="shared" si="37"/>
        <v>January</v>
      </c>
      <c r="S427" t="str">
        <f t="shared" si="38"/>
        <v>Weekday</v>
      </c>
      <c r="T427" t="str">
        <f t="shared" si="39"/>
        <v>Evening</v>
      </c>
      <c r="U427" t="str">
        <f t="shared" si="40"/>
        <v>Spring</v>
      </c>
      <c r="V427" t="str">
        <f t="shared" si="41"/>
        <v>Clear</v>
      </c>
    </row>
    <row r="428" spans="1:22">
      <c r="A428">
        <f>Master_Data!A428</f>
        <v>427</v>
      </c>
      <c r="B428">
        <f>Master_Data!B428</f>
        <v>40562</v>
      </c>
      <c r="C428">
        <f>Master_Data!C428</f>
        <v>1</v>
      </c>
      <c r="D428">
        <f>Master_Data!D428</f>
        <v>0</v>
      </c>
      <c r="E428">
        <f>Master_Data!E428</f>
        <v>1</v>
      </c>
      <c r="F428">
        <f>Master_Data!F428</f>
        <v>19</v>
      </c>
      <c r="G428" t="b">
        <f>Master_Data!G428</f>
        <v>0</v>
      </c>
      <c r="H428">
        <f>Master_Data!H428</f>
        <v>3</v>
      </c>
      <c r="I428">
        <f>Master_Data!I428</f>
        <v>1</v>
      </c>
      <c r="J428">
        <f>Master_Data!J428</f>
        <v>0.32</v>
      </c>
      <c r="K428">
        <f>Master_Data!K428</f>
        <v>0.28789999999999999</v>
      </c>
      <c r="L428">
        <f>Master_Data!L428</f>
        <v>0.56999999999999995</v>
      </c>
      <c r="M428">
        <f>Master_Data!M428</f>
        <v>0.41789999999999999</v>
      </c>
      <c r="N428">
        <f>Master_Data!N428</f>
        <v>4</v>
      </c>
      <c r="O428">
        <f>Master_Data!O428</f>
        <v>108</v>
      </c>
      <c r="P428">
        <f>Master_Data!P428</f>
        <v>112</v>
      </c>
      <c r="Q428" t="str">
        <f t="shared" si="36"/>
        <v>2011</v>
      </c>
      <c r="R428" t="str">
        <f t="shared" si="37"/>
        <v>January</v>
      </c>
      <c r="S428" t="str">
        <f t="shared" si="38"/>
        <v>Weekday</v>
      </c>
      <c r="T428" t="str">
        <f t="shared" si="39"/>
        <v>Evening</v>
      </c>
      <c r="U428" t="str">
        <f t="shared" si="40"/>
        <v>Spring</v>
      </c>
      <c r="V428" t="str">
        <f t="shared" si="41"/>
        <v>Clear</v>
      </c>
    </row>
    <row r="429" spans="1:22">
      <c r="A429">
        <f>Master_Data!A429</f>
        <v>428</v>
      </c>
      <c r="B429">
        <f>Master_Data!B429</f>
        <v>40562</v>
      </c>
      <c r="C429">
        <f>Master_Data!C429</f>
        <v>1</v>
      </c>
      <c r="D429">
        <f>Master_Data!D429</f>
        <v>0</v>
      </c>
      <c r="E429">
        <f>Master_Data!E429</f>
        <v>1</v>
      </c>
      <c r="F429">
        <f>Master_Data!F429</f>
        <v>20</v>
      </c>
      <c r="G429" t="b">
        <f>Master_Data!G429</f>
        <v>0</v>
      </c>
      <c r="H429">
        <f>Master_Data!H429</f>
        <v>3</v>
      </c>
      <c r="I429">
        <f>Master_Data!I429</f>
        <v>1</v>
      </c>
      <c r="J429">
        <f>Master_Data!J429</f>
        <v>0.32</v>
      </c>
      <c r="K429">
        <f>Master_Data!K429</f>
        <v>0.30299999999999999</v>
      </c>
      <c r="L429">
        <f>Master_Data!L429</f>
        <v>0.49</v>
      </c>
      <c r="M429">
        <f>Master_Data!M429</f>
        <v>0.29849999999999999</v>
      </c>
      <c r="N429">
        <f>Master_Data!N429</f>
        <v>2</v>
      </c>
      <c r="O429">
        <f>Master_Data!O429</f>
        <v>74</v>
      </c>
      <c r="P429">
        <f>Master_Data!P429</f>
        <v>76</v>
      </c>
      <c r="Q429" t="str">
        <f t="shared" si="36"/>
        <v>2011</v>
      </c>
      <c r="R429" t="str">
        <f t="shared" si="37"/>
        <v>January</v>
      </c>
      <c r="S429" t="str">
        <f t="shared" si="38"/>
        <v>Weekday</v>
      </c>
      <c r="T429" t="str">
        <f t="shared" si="39"/>
        <v>Evening</v>
      </c>
      <c r="U429" t="str">
        <f t="shared" si="40"/>
        <v>Spring</v>
      </c>
      <c r="V429" t="str">
        <f t="shared" si="41"/>
        <v>Clear</v>
      </c>
    </row>
    <row r="430" spans="1:22">
      <c r="A430">
        <f>Master_Data!A430</f>
        <v>429</v>
      </c>
      <c r="B430">
        <f>Master_Data!B430</f>
        <v>40562</v>
      </c>
      <c r="C430">
        <f>Master_Data!C430</f>
        <v>1</v>
      </c>
      <c r="D430">
        <f>Master_Data!D430</f>
        <v>0</v>
      </c>
      <c r="E430">
        <f>Master_Data!E430</f>
        <v>1</v>
      </c>
      <c r="F430">
        <f>Master_Data!F430</f>
        <v>21</v>
      </c>
      <c r="G430" t="b">
        <f>Master_Data!G430</f>
        <v>0</v>
      </c>
      <c r="H430">
        <f>Master_Data!H430</f>
        <v>3</v>
      </c>
      <c r="I430">
        <f>Master_Data!I430</f>
        <v>1</v>
      </c>
      <c r="J430">
        <f>Master_Data!J430</f>
        <v>0.32</v>
      </c>
      <c r="K430">
        <f>Master_Data!K430</f>
        <v>0.28789999999999999</v>
      </c>
      <c r="L430">
        <f>Master_Data!L430</f>
        <v>0.49</v>
      </c>
      <c r="M430">
        <f>Master_Data!M430</f>
        <v>0.41789999999999999</v>
      </c>
      <c r="N430">
        <f>Master_Data!N430</f>
        <v>4</v>
      </c>
      <c r="O430">
        <f>Master_Data!O430</f>
        <v>55</v>
      </c>
      <c r="P430">
        <f>Master_Data!P430</f>
        <v>59</v>
      </c>
      <c r="Q430" t="str">
        <f t="shared" si="36"/>
        <v>2011</v>
      </c>
      <c r="R430" t="str">
        <f t="shared" si="37"/>
        <v>January</v>
      </c>
      <c r="S430" t="str">
        <f t="shared" si="38"/>
        <v>Weekday</v>
      </c>
      <c r="T430" t="str">
        <f t="shared" si="39"/>
        <v>Night</v>
      </c>
      <c r="U430" t="str">
        <f t="shared" si="40"/>
        <v>Spring</v>
      </c>
      <c r="V430" t="str">
        <f t="shared" si="41"/>
        <v>Clear</v>
      </c>
    </row>
    <row r="431" spans="1:22">
      <c r="A431">
        <f>Master_Data!A431</f>
        <v>430</v>
      </c>
      <c r="B431">
        <f>Master_Data!B431</f>
        <v>40562</v>
      </c>
      <c r="C431">
        <f>Master_Data!C431</f>
        <v>1</v>
      </c>
      <c r="D431">
        <f>Master_Data!D431</f>
        <v>0</v>
      </c>
      <c r="E431">
        <f>Master_Data!E431</f>
        <v>1</v>
      </c>
      <c r="F431">
        <f>Master_Data!F431</f>
        <v>22</v>
      </c>
      <c r="G431" t="b">
        <f>Master_Data!G431</f>
        <v>0</v>
      </c>
      <c r="H431">
        <f>Master_Data!H431</f>
        <v>3</v>
      </c>
      <c r="I431">
        <f>Master_Data!I431</f>
        <v>1</v>
      </c>
      <c r="J431">
        <f>Master_Data!J431</f>
        <v>0.3</v>
      </c>
      <c r="K431">
        <f>Master_Data!K431</f>
        <v>0.30299999999999999</v>
      </c>
      <c r="L431">
        <f>Master_Data!L431</f>
        <v>0.52</v>
      </c>
      <c r="M431">
        <f>Master_Data!M431</f>
        <v>0.16420000000000001</v>
      </c>
      <c r="N431">
        <f>Master_Data!N431</f>
        <v>6</v>
      </c>
      <c r="O431">
        <f>Master_Data!O431</f>
        <v>53</v>
      </c>
      <c r="P431">
        <f>Master_Data!P431</f>
        <v>59</v>
      </c>
      <c r="Q431" t="str">
        <f t="shared" si="36"/>
        <v>2011</v>
      </c>
      <c r="R431" t="str">
        <f t="shared" si="37"/>
        <v>January</v>
      </c>
      <c r="S431" t="str">
        <f t="shared" si="38"/>
        <v>Weekday</v>
      </c>
      <c r="T431" t="str">
        <f t="shared" si="39"/>
        <v>Night</v>
      </c>
      <c r="U431" t="str">
        <f t="shared" si="40"/>
        <v>Spring</v>
      </c>
      <c r="V431" t="str">
        <f t="shared" si="41"/>
        <v>Clear</v>
      </c>
    </row>
    <row r="432" spans="1:22">
      <c r="A432">
        <f>Master_Data!A432</f>
        <v>431</v>
      </c>
      <c r="B432">
        <f>Master_Data!B432</f>
        <v>40562</v>
      </c>
      <c r="C432">
        <f>Master_Data!C432</f>
        <v>1</v>
      </c>
      <c r="D432">
        <f>Master_Data!D432</f>
        <v>0</v>
      </c>
      <c r="E432">
        <f>Master_Data!E432</f>
        <v>1</v>
      </c>
      <c r="F432">
        <f>Master_Data!F432</f>
        <v>23</v>
      </c>
      <c r="G432" t="b">
        <f>Master_Data!G432</f>
        <v>0</v>
      </c>
      <c r="H432">
        <f>Master_Data!H432</f>
        <v>3</v>
      </c>
      <c r="I432">
        <f>Master_Data!I432</f>
        <v>1</v>
      </c>
      <c r="J432">
        <f>Master_Data!J432</f>
        <v>0.3</v>
      </c>
      <c r="K432">
        <f>Master_Data!K432</f>
        <v>0.2727</v>
      </c>
      <c r="L432">
        <f>Master_Data!L432</f>
        <v>0.52</v>
      </c>
      <c r="M432">
        <f>Master_Data!M432</f>
        <v>0.4627</v>
      </c>
      <c r="N432">
        <f>Master_Data!N432</f>
        <v>1</v>
      </c>
      <c r="O432">
        <f>Master_Data!O432</f>
        <v>27</v>
      </c>
      <c r="P432">
        <f>Master_Data!P432</f>
        <v>28</v>
      </c>
      <c r="Q432" t="str">
        <f t="shared" si="36"/>
        <v>2011</v>
      </c>
      <c r="R432" t="str">
        <f t="shared" si="37"/>
        <v>January</v>
      </c>
      <c r="S432" t="str">
        <f t="shared" si="38"/>
        <v>Weekday</v>
      </c>
      <c r="T432" t="str">
        <f t="shared" si="39"/>
        <v>Night</v>
      </c>
      <c r="U432" t="str">
        <f t="shared" si="40"/>
        <v>Spring</v>
      </c>
      <c r="V432" t="str">
        <f t="shared" si="41"/>
        <v>Clear</v>
      </c>
    </row>
    <row r="433" spans="1:22">
      <c r="A433">
        <f>Master_Data!A433</f>
        <v>432</v>
      </c>
      <c r="B433">
        <f>Master_Data!B433</f>
        <v>40563</v>
      </c>
      <c r="C433">
        <f>Master_Data!C433</f>
        <v>1</v>
      </c>
      <c r="D433">
        <f>Master_Data!D433</f>
        <v>0</v>
      </c>
      <c r="E433">
        <f>Master_Data!E433</f>
        <v>1</v>
      </c>
      <c r="F433">
        <f>Master_Data!F433</f>
        <v>0</v>
      </c>
      <c r="G433" t="b">
        <f>Master_Data!G433</f>
        <v>0</v>
      </c>
      <c r="H433">
        <f>Master_Data!H433</f>
        <v>4</v>
      </c>
      <c r="I433">
        <f>Master_Data!I433</f>
        <v>1</v>
      </c>
      <c r="J433">
        <f>Master_Data!J433</f>
        <v>0.26</v>
      </c>
      <c r="K433">
        <f>Master_Data!K433</f>
        <v>0.2273</v>
      </c>
      <c r="L433">
        <f>Master_Data!L433</f>
        <v>0.56000000000000005</v>
      </c>
      <c r="M433">
        <f>Master_Data!M433</f>
        <v>0.3881</v>
      </c>
      <c r="N433">
        <f>Master_Data!N433</f>
        <v>5</v>
      </c>
      <c r="O433">
        <f>Master_Data!O433</f>
        <v>8</v>
      </c>
      <c r="P433">
        <f>Master_Data!P433</f>
        <v>13</v>
      </c>
      <c r="Q433" t="str">
        <f t="shared" si="36"/>
        <v>2011</v>
      </c>
      <c r="R433" t="str">
        <f t="shared" si="37"/>
        <v>January</v>
      </c>
      <c r="S433" t="str">
        <f t="shared" si="38"/>
        <v>Weekday</v>
      </c>
      <c r="T433" t="str">
        <f t="shared" si="39"/>
        <v>Night</v>
      </c>
      <c r="U433" t="str">
        <f t="shared" si="40"/>
        <v>Spring</v>
      </c>
      <c r="V433" t="str">
        <f t="shared" si="41"/>
        <v>Clear</v>
      </c>
    </row>
    <row r="434" spans="1:22">
      <c r="A434">
        <f>Master_Data!A434</f>
        <v>433</v>
      </c>
      <c r="B434">
        <f>Master_Data!B434</f>
        <v>40563</v>
      </c>
      <c r="C434">
        <f>Master_Data!C434</f>
        <v>1</v>
      </c>
      <c r="D434">
        <f>Master_Data!D434</f>
        <v>0</v>
      </c>
      <c r="E434">
        <f>Master_Data!E434</f>
        <v>1</v>
      </c>
      <c r="F434">
        <f>Master_Data!F434</f>
        <v>1</v>
      </c>
      <c r="G434" t="b">
        <f>Master_Data!G434</f>
        <v>0</v>
      </c>
      <c r="H434">
        <f>Master_Data!H434</f>
        <v>4</v>
      </c>
      <c r="I434">
        <f>Master_Data!I434</f>
        <v>1</v>
      </c>
      <c r="J434">
        <f>Master_Data!J434</f>
        <v>0.26</v>
      </c>
      <c r="K434">
        <f>Master_Data!K434</f>
        <v>0.2727</v>
      </c>
      <c r="L434">
        <f>Master_Data!L434</f>
        <v>0.56000000000000005</v>
      </c>
      <c r="M434">
        <f>Master_Data!M434</f>
        <v>0</v>
      </c>
      <c r="N434">
        <f>Master_Data!N434</f>
        <v>2</v>
      </c>
      <c r="O434">
        <f>Master_Data!O434</f>
        <v>3</v>
      </c>
      <c r="P434">
        <f>Master_Data!P434</f>
        <v>5</v>
      </c>
      <c r="Q434" t="str">
        <f t="shared" si="36"/>
        <v>2011</v>
      </c>
      <c r="R434" t="str">
        <f t="shared" si="37"/>
        <v>January</v>
      </c>
      <c r="S434" t="str">
        <f t="shared" si="38"/>
        <v>Weekday</v>
      </c>
      <c r="T434" t="str">
        <f t="shared" si="39"/>
        <v>Night</v>
      </c>
      <c r="U434" t="str">
        <f t="shared" si="40"/>
        <v>Spring</v>
      </c>
      <c r="V434" t="str">
        <f t="shared" si="41"/>
        <v>Clear</v>
      </c>
    </row>
    <row r="435" spans="1:22">
      <c r="A435">
        <f>Master_Data!A435</f>
        <v>434</v>
      </c>
      <c r="B435">
        <f>Master_Data!B435</f>
        <v>40563</v>
      </c>
      <c r="C435">
        <f>Master_Data!C435</f>
        <v>1</v>
      </c>
      <c r="D435">
        <f>Master_Data!D435</f>
        <v>0</v>
      </c>
      <c r="E435">
        <f>Master_Data!E435</f>
        <v>1</v>
      </c>
      <c r="F435">
        <f>Master_Data!F435</f>
        <v>2</v>
      </c>
      <c r="G435" t="b">
        <f>Master_Data!G435</f>
        <v>0</v>
      </c>
      <c r="H435">
        <f>Master_Data!H435</f>
        <v>4</v>
      </c>
      <c r="I435">
        <f>Master_Data!I435</f>
        <v>1</v>
      </c>
      <c r="J435">
        <f>Master_Data!J435</f>
        <v>0.26</v>
      </c>
      <c r="K435">
        <f>Master_Data!K435</f>
        <v>0.2727</v>
      </c>
      <c r="L435">
        <f>Master_Data!L435</f>
        <v>0.56000000000000005</v>
      </c>
      <c r="M435">
        <f>Master_Data!M435</f>
        <v>0</v>
      </c>
      <c r="N435">
        <f>Master_Data!N435</f>
        <v>0</v>
      </c>
      <c r="O435">
        <f>Master_Data!O435</f>
        <v>2</v>
      </c>
      <c r="P435">
        <f>Master_Data!P435</f>
        <v>2</v>
      </c>
      <c r="Q435" t="str">
        <f t="shared" si="36"/>
        <v>2011</v>
      </c>
      <c r="R435" t="str">
        <f t="shared" si="37"/>
        <v>January</v>
      </c>
      <c r="S435" t="str">
        <f t="shared" si="38"/>
        <v>Weekday</v>
      </c>
      <c r="T435" t="str">
        <f t="shared" si="39"/>
        <v>Night</v>
      </c>
      <c r="U435" t="str">
        <f t="shared" si="40"/>
        <v>Spring</v>
      </c>
      <c r="V435" t="str">
        <f t="shared" si="41"/>
        <v>Clear</v>
      </c>
    </row>
    <row r="436" spans="1:22">
      <c r="A436">
        <f>Master_Data!A436</f>
        <v>435</v>
      </c>
      <c r="B436">
        <f>Master_Data!B436</f>
        <v>40563</v>
      </c>
      <c r="C436">
        <f>Master_Data!C436</f>
        <v>1</v>
      </c>
      <c r="D436">
        <f>Master_Data!D436</f>
        <v>0</v>
      </c>
      <c r="E436">
        <f>Master_Data!E436</f>
        <v>1</v>
      </c>
      <c r="F436">
        <f>Master_Data!F436</f>
        <v>3</v>
      </c>
      <c r="G436" t="b">
        <f>Master_Data!G436</f>
        <v>0</v>
      </c>
      <c r="H436">
        <f>Master_Data!H436</f>
        <v>4</v>
      </c>
      <c r="I436">
        <f>Master_Data!I436</f>
        <v>1</v>
      </c>
      <c r="J436">
        <f>Master_Data!J436</f>
        <v>0.26</v>
      </c>
      <c r="K436">
        <f>Master_Data!K436</f>
        <v>0.2576</v>
      </c>
      <c r="L436">
        <f>Master_Data!L436</f>
        <v>0.56000000000000005</v>
      </c>
      <c r="M436">
        <f>Master_Data!M436</f>
        <v>0.16420000000000001</v>
      </c>
      <c r="N436">
        <f>Master_Data!N436</f>
        <v>0</v>
      </c>
      <c r="O436">
        <f>Master_Data!O436</f>
        <v>1</v>
      </c>
      <c r="P436">
        <f>Master_Data!P436</f>
        <v>1</v>
      </c>
      <c r="Q436" t="str">
        <f t="shared" si="36"/>
        <v>2011</v>
      </c>
      <c r="R436" t="str">
        <f t="shared" si="37"/>
        <v>January</v>
      </c>
      <c r="S436" t="str">
        <f t="shared" si="38"/>
        <v>Weekday</v>
      </c>
      <c r="T436" t="str">
        <f t="shared" si="39"/>
        <v>Night</v>
      </c>
      <c r="U436" t="str">
        <f t="shared" si="40"/>
        <v>Spring</v>
      </c>
      <c r="V436" t="str">
        <f t="shared" si="41"/>
        <v>Clear</v>
      </c>
    </row>
    <row r="437" spans="1:22">
      <c r="A437">
        <f>Master_Data!A437</f>
        <v>436</v>
      </c>
      <c r="B437">
        <f>Master_Data!B437</f>
        <v>40563</v>
      </c>
      <c r="C437">
        <f>Master_Data!C437</f>
        <v>1</v>
      </c>
      <c r="D437">
        <f>Master_Data!D437</f>
        <v>0</v>
      </c>
      <c r="E437">
        <f>Master_Data!E437</f>
        <v>1</v>
      </c>
      <c r="F437">
        <f>Master_Data!F437</f>
        <v>4</v>
      </c>
      <c r="G437" t="b">
        <f>Master_Data!G437</f>
        <v>0</v>
      </c>
      <c r="H437">
        <f>Master_Data!H437</f>
        <v>4</v>
      </c>
      <c r="I437">
        <f>Master_Data!I437</f>
        <v>1</v>
      </c>
      <c r="J437">
        <f>Master_Data!J437</f>
        <v>0.26</v>
      </c>
      <c r="K437">
        <f>Master_Data!K437</f>
        <v>0.2576</v>
      </c>
      <c r="L437">
        <f>Master_Data!L437</f>
        <v>0.56000000000000005</v>
      </c>
      <c r="M437">
        <f>Master_Data!M437</f>
        <v>0.16420000000000001</v>
      </c>
      <c r="N437">
        <f>Master_Data!N437</f>
        <v>0</v>
      </c>
      <c r="O437">
        <f>Master_Data!O437</f>
        <v>1</v>
      </c>
      <c r="P437">
        <f>Master_Data!P437</f>
        <v>1</v>
      </c>
      <c r="Q437" t="str">
        <f t="shared" si="36"/>
        <v>2011</v>
      </c>
      <c r="R437" t="str">
        <f t="shared" si="37"/>
        <v>January</v>
      </c>
      <c r="S437" t="str">
        <f t="shared" si="38"/>
        <v>Weekday</v>
      </c>
      <c r="T437" t="str">
        <f t="shared" si="39"/>
        <v>Night</v>
      </c>
      <c r="U437" t="str">
        <f t="shared" si="40"/>
        <v>Spring</v>
      </c>
      <c r="V437" t="str">
        <f t="shared" si="41"/>
        <v>Clear</v>
      </c>
    </row>
    <row r="438" spans="1:22">
      <c r="A438">
        <f>Master_Data!A438</f>
        <v>437</v>
      </c>
      <c r="B438">
        <f>Master_Data!B438</f>
        <v>40563</v>
      </c>
      <c r="C438">
        <f>Master_Data!C438</f>
        <v>1</v>
      </c>
      <c r="D438">
        <f>Master_Data!D438</f>
        <v>0</v>
      </c>
      <c r="E438">
        <f>Master_Data!E438</f>
        <v>1</v>
      </c>
      <c r="F438">
        <f>Master_Data!F438</f>
        <v>5</v>
      </c>
      <c r="G438" t="b">
        <f>Master_Data!G438</f>
        <v>0</v>
      </c>
      <c r="H438">
        <f>Master_Data!H438</f>
        <v>4</v>
      </c>
      <c r="I438">
        <f>Master_Data!I438</f>
        <v>1</v>
      </c>
      <c r="J438">
        <f>Master_Data!J438</f>
        <v>0.24</v>
      </c>
      <c r="K438">
        <f>Master_Data!K438</f>
        <v>0.2273</v>
      </c>
      <c r="L438">
        <f>Master_Data!L438</f>
        <v>0.6</v>
      </c>
      <c r="M438">
        <f>Master_Data!M438</f>
        <v>0.22389999999999999</v>
      </c>
      <c r="N438">
        <f>Master_Data!N438</f>
        <v>0</v>
      </c>
      <c r="O438">
        <f>Master_Data!O438</f>
        <v>6</v>
      </c>
      <c r="P438">
        <f>Master_Data!P438</f>
        <v>6</v>
      </c>
      <c r="Q438" t="str">
        <f t="shared" si="36"/>
        <v>2011</v>
      </c>
      <c r="R438" t="str">
        <f t="shared" si="37"/>
        <v>January</v>
      </c>
      <c r="S438" t="str">
        <f t="shared" si="38"/>
        <v>Weekday</v>
      </c>
      <c r="T438" t="str">
        <f t="shared" si="39"/>
        <v>Night</v>
      </c>
      <c r="U438" t="str">
        <f t="shared" si="40"/>
        <v>Spring</v>
      </c>
      <c r="V438" t="str">
        <f t="shared" si="41"/>
        <v>Clear</v>
      </c>
    </row>
    <row r="439" spans="1:22">
      <c r="A439">
        <f>Master_Data!A439</f>
        <v>438</v>
      </c>
      <c r="B439">
        <f>Master_Data!B439</f>
        <v>40563</v>
      </c>
      <c r="C439">
        <f>Master_Data!C439</f>
        <v>1</v>
      </c>
      <c r="D439">
        <f>Master_Data!D439</f>
        <v>0</v>
      </c>
      <c r="E439">
        <f>Master_Data!E439</f>
        <v>1</v>
      </c>
      <c r="F439">
        <f>Master_Data!F439</f>
        <v>6</v>
      </c>
      <c r="G439" t="b">
        <f>Master_Data!G439</f>
        <v>0</v>
      </c>
      <c r="H439">
        <f>Master_Data!H439</f>
        <v>4</v>
      </c>
      <c r="I439">
        <f>Master_Data!I439</f>
        <v>1</v>
      </c>
      <c r="J439">
        <f>Master_Data!J439</f>
        <v>0.22</v>
      </c>
      <c r="K439">
        <f>Master_Data!K439</f>
        <v>0.21210000000000001</v>
      </c>
      <c r="L439">
        <f>Master_Data!L439</f>
        <v>0.6</v>
      </c>
      <c r="M439">
        <f>Master_Data!M439</f>
        <v>0.22389999999999999</v>
      </c>
      <c r="N439">
        <f>Master_Data!N439</f>
        <v>0</v>
      </c>
      <c r="O439">
        <f>Master_Data!O439</f>
        <v>35</v>
      </c>
      <c r="P439">
        <f>Master_Data!P439</f>
        <v>35</v>
      </c>
      <c r="Q439" t="str">
        <f t="shared" si="36"/>
        <v>2011</v>
      </c>
      <c r="R439" t="str">
        <f t="shared" si="37"/>
        <v>January</v>
      </c>
      <c r="S439" t="str">
        <f t="shared" si="38"/>
        <v>Weekday</v>
      </c>
      <c r="T439" t="str">
        <f t="shared" si="39"/>
        <v>Morning</v>
      </c>
      <c r="U439" t="str">
        <f t="shared" si="40"/>
        <v>Spring</v>
      </c>
      <c r="V439" t="str">
        <f t="shared" si="41"/>
        <v>Clear</v>
      </c>
    </row>
    <row r="440" spans="1:22">
      <c r="A440">
        <f>Master_Data!A440</f>
        <v>439</v>
      </c>
      <c r="B440">
        <f>Master_Data!B440</f>
        <v>40563</v>
      </c>
      <c r="C440">
        <f>Master_Data!C440</f>
        <v>1</v>
      </c>
      <c r="D440">
        <f>Master_Data!D440</f>
        <v>0</v>
      </c>
      <c r="E440">
        <f>Master_Data!E440</f>
        <v>1</v>
      </c>
      <c r="F440">
        <f>Master_Data!F440</f>
        <v>7</v>
      </c>
      <c r="G440" t="b">
        <f>Master_Data!G440</f>
        <v>0</v>
      </c>
      <c r="H440">
        <f>Master_Data!H440</f>
        <v>4</v>
      </c>
      <c r="I440">
        <f>Master_Data!I440</f>
        <v>1</v>
      </c>
      <c r="J440">
        <f>Master_Data!J440</f>
        <v>0.22</v>
      </c>
      <c r="K440">
        <f>Master_Data!K440</f>
        <v>0.21210000000000001</v>
      </c>
      <c r="L440">
        <f>Master_Data!L440</f>
        <v>0.55000000000000004</v>
      </c>
      <c r="M440">
        <f>Master_Data!M440</f>
        <v>0.22389999999999999</v>
      </c>
      <c r="N440">
        <f>Master_Data!N440</f>
        <v>1</v>
      </c>
      <c r="O440">
        <f>Master_Data!O440</f>
        <v>100</v>
      </c>
      <c r="P440">
        <f>Master_Data!P440</f>
        <v>101</v>
      </c>
      <c r="Q440" t="str">
        <f t="shared" si="36"/>
        <v>2011</v>
      </c>
      <c r="R440" t="str">
        <f t="shared" si="37"/>
        <v>January</v>
      </c>
      <c r="S440" t="str">
        <f t="shared" si="38"/>
        <v>Weekday</v>
      </c>
      <c r="T440" t="str">
        <f t="shared" si="39"/>
        <v>Morning</v>
      </c>
      <c r="U440" t="str">
        <f t="shared" si="40"/>
        <v>Spring</v>
      </c>
      <c r="V440" t="str">
        <f t="shared" si="41"/>
        <v>Clear</v>
      </c>
    </row>
    <row r="441" spans="1:22">
      <c r="A441">
        <f>Master_Data!A441</f>
        <v>440</v>
      </c>
      <c r="B441">
        <f>Master_Data!B441</f>
        <v>40563</v>
      </c>
      <c r="C441">
        <f>Master_Data!C441</f>
        <v>1</v>
      </c>
      <c r="D441">
        <f>Master_Data!D441</f>
        <v>0</v>
      </c>
      <c r="E441">
        <f>Master_Data!E441</f>
        <v>1</v>
      </c>
      <c r="F441">
        <f>Master_Data!F441</f>
        <v>8</v>
      </c>
      <c r="G441" t="b">
        <f>Master_Data!G441</f>
        <v>0</v>
      </c>
      <c r="H441">
        <f>Master_Data!H441</f>
        <v>4</v>
      </c>
      <c r="I441">
        <f>Master_Data!I441</f>
        <v>1</v>
      </c>
      <c r="J441">
        <f>Master_Data!J441</f>
        <v>0.22</v>
      </c>
      <c r="K441">
        <f>Master_Data!K441</f>
        <v>0.21210000000000001</v>
      </c>
      <c r="L441">
        <f>Master_Data!L441</f>
        <v>0.55000000000000004</v>
      </c>
      <c r="M441">
        <f>Master_Data!M441</f>
        <v>0.28360000000000002</v>
      </c>
      <c r="N441">
        <f>Master_Data!N441</f>
        <v>2</v>
      </c>
      <c r="O441">
        <f>Master_Data!O441</f>
        <v>247</v>
      </c>
      <c r="P441">
        <f>Master_Data!P441</f>
        <v>249</v>
      </c>
      <c r="Q441" t="str">
        <f t="shared" si="36"/>
        <v>2011</v>
      </c>
      <c r="R441" t="str">
        <f t="shared" si="37"/>
        <v>January</v>
      </c>
      <c r="S441" t="str">
        <f t="shared" si="38"/>
        <v>Weekday</v>
      </c>
      <c r="T441" t="str">
        <f t="shared" si="39"/>
        <v>Morning</v>
      </c>
      <c r="U441" t="str">
        <f t="shared" si="40"/>
        <v>Spring</v>
      </c>
      <c r="V441" t="str">
        <f t="shared" si="41"/>
        <v>Clear</v>
      </c>
    </row>
    <row r="442" spans="1:22">
      <c r="A442">
        <f>Master_Data!A442</f>
        <v>441</v>
      </c>
      <c r="B442">
        <f>Master_Data!B442</f>
        <v>40563</v>
      </c>
      <c r="C442">
        <f>Master_Data!C442</f>
        <v>1</v>
      </c>
      <c r="D442">
        <f>Master_Data!D442</f>
        <v>0</v>
      </c>
      <c r="E442">
        <f>Master_Data!E442</f>
        <v>1</v>
      </c>
      <c r="F442">
        <f>Master_Data!F442</f>
        <v>9</v>
      </c>
      <c r="G442" t="b">
        <f>Master_Data!G442</f>
        <v>0</v>
      </c>
      <c r="H442">
        <f>Master_Data!H442</f>
        <v>4</v>
      </c>
      <c r="I442">
        <f>Master_Data!I442</f>
        <v>2</v>
      </c>
      <c r="J442">
        <f>Master_Data!J442</f>
        <v>0.24</v>
      </c>
      <c r="K442">
        <f>Master_Data!K442</f>
        <v>0.2273</v>
      </c>
      <c r="L442">
        <f>Master_Data!L442</f>
        <v>0.52</v>
      </c>
      <c r="M442">
        <f>Master_Data!M442</f>
        <v>0.22389999999999999</v>
      </c>
      <c r="N442">
        <f>Master_Data!N442</f>
        <v>3</v>
      </c>
      <c r="O442">
        <f>Master_Data!O442</f>
        <v>140</v>
      </c>
      <c r="P442">
        <f>Master_Data!P442</f>
        <v>143</v>
      </c>
      <c r="Q442" t="str">
        <f t="shared" si="36"/>
        <v>2011</v>
      </c>
      <c r="R442" t="str">
        <f t="shared" si="37"/>
        <v>January</v>
      </c>
      <c r="S442" t="str">
        <f t="shared" si="38"/>
        <v>Weekday</v>
      </c>
      <c r="T442" t="str">
        <f t="shared" si="39"/>
        <v>Morning</v>
      </c>
      <c r="U442" t="str">
        <f t="shared" si="40"/>
        <v>Spring</v>
      </c>
      <c r="V442" t="str">
        <f t="shared" si="41"/>
        <v>Mist/Cloudy</v>
      </c>
    </row>
    <row r="443" spans="1:22">
      <c r="A443">
        <f>Master_Data!A443</f>
        <v>442</v>
      </c>
      <c r="B443">
        <f>Master_Data!B443</f>
        <v>40563</v>
      </c>
      <c r="C443">
        <f>Master_Data!C443</f>
        <v>1</v>
      </c>
      <c r="D443">
        <f>Master_Data!D443</f>
        <v>0</v>
      </c>
      <c r="E443">
        <f>Master_Data!E443</f>
        <v>1</v>
      </c>
      <c r="F443">
        <f>Master_Data!F443</f>
        <v>10</v>
      </c>
      <c r="G443" t="b">
        <f>Master_Data!G443</f>
        <v>0</v>
      </c>
      <c r="H443">
        <f>Master_Data!H443</f>
        <v>4</v>
      </c>
      <c r="I443">
        <f>Master_Data!I443</f>
        <v>1</v>
      </c>
      <c r="J443">
        <f>Master_Data!J443</f>
        <v>0.26</v>
      </c>
      <c r="K443">
        <f>Master_Data!K443</f>
        <v>0.2273</v>
      </c>
      <c r="L443">
        <f>Master_Data!L443</f>
        <v>0.48</v>
      </c>
      <c r="M443">
        <f>Master_Data!M443</f>
        <v>0.29849999999999999</v>
      </c>
      <c r="N443">
        <f>Master_Data!N443</f>
        <v>1</v>
      </c>
      <c r="O443">
        <f>Master_Data!O443</f>
        <v>56</v>
      </c>
      <c r="P443">
        <f>Master_Data!P443</f>
        <v>57</v>
      </c>
      <c r="Q443" t="str">
        <f t="shared" si="36"/>
        <v>2011</v>
      </c>
      <c r="R443" t="str">
        <f t="shared" si="37"/>
        <v>January</v>
      </c>
      <c r="S443" t="str">
        <f t="shared" si="38"/>
        <v>Weekday</v>
      </c>
      <c r="T443" t="str">
        <f t="shared" si="39"/>
        <v>Morning</v>
      </c>
      <c r="U443" t="str">
        <f t="shared" si="40"/>
        <v>Spring</v>
      </c>
      <c r="V443" t="str">
        <f t="shared" si="41"/>
        <v>Clear</v>
      </c>
    </row>
    <row r="444" spans="1:22">
      <c r="A444">
        <f>Master_Data!A444</f>
        <v>443</v>
      </c>
      <c r="B444">
        <f>Master_Data!B444</f>
        <v>40563</v>
      </c>
      <c r="C444">
        <f>Master_Data!C444</f>
        <v>1</v>
      </c>
      <c r="D444">
        <f>Master_Data!D444</f>
        <v>0</v>
      </c>
      <c r="E444">
        <f>Master_Data!E444</f>
        <v>1</v>
      </c>
      <c r="F444">
        <f>Master_Data!F444</f>
        <v>11</v>
      </c>
      <c r="G444" t="b">
        <f>Master_Data!G444</f>
        <v>0</v>
      </c>
      <c r="H444">
        <f>Master_Data!H444</f>
        <v>4</v>
      </c>
      <c r="I444">
        <f>Master_Data!I444</f>
        <v>2</v>
      </c>
      <c r="J444">
        <f>Master_Data!J444</f>
        <v>0.28000000000000003</v>
      </c>
      <c r="K444">
        <f>Master_Data!K444</f>
        <v>0.2727</v>
      </c>
      <c r="L444">
        <f>Master_Data!L444</f>
        <v>0.45</v>
      </c>
      <c r="M444">
        <f>Master_Data!M444</f>
        <v>0.16420000000000001</v>
      </c>
      <c r="N444">
        <f>Master_Data!N444</f>
        <v>5</v>
      </c>
      <c r="O444">
        <f>Master_Data!O444</f>
        <v>63</v>
      </c>
      <c r="P444">
        <f>Master_Data!P444</f>
        <v>68</v>
      </c>
      <c r="Q444" t="str">
        <f t="shared" si="36"/>
        <v>2011</v>
      </c>
      <c r="R444" t="str">
        <f t="shared" si="37"/>
        <v>January</v>
      </c>
      <c r="S444" t="str">
        <f t="shared" si="38"/>
        <v>Weekday</v>
      </c>
      <c r="T444" t="str">
        <f t="shared" si="39"/>
        <v>Morning</v>
      </c>
      <c r="U444" t="str">
        <f t="shared" si="40"/>
        <v>Spring</v>
      </c>
      <c r="V444" t="str">
        <f t="shared" si="41"/>
        <v>Mist/Cloudy</v>
      </c>
    </row>
    <row r="445" spans="1:22">
      <c r="A445">
        <f>Master_Data!A445</f>
        <v>444</v>
      </c>
      <c r="B445">
        <f>Master_Data!B445</f>
        <v>40563</v>
      </c>
      <c r="C445">
        <f>Master_Data!C445</f>
        <v>1</v>
      </c>
      <c r="D445">
        <f>Master_Data!D445</f>
        <v>0</v>
      </c>
      <c r="E445">
        <f>Master_Data!E445</f>
        <v>1</v>
      </c>
      <c r="F445">
        <f>Master_Data!F445</f>
        <v>12</v>
      </c>
      <c r="G445" t="b">
        <f>Master_Data!G445</f>
        <v>0</v>
      </c>
      <c r="H445">
        <f>Master_Data!H445</f>
        <v>4</v>
      </c>
      <c r="I445">
        <f>Master_Data!I445</f>
        <v>2</v>
      </c>
      <c r="J445">
        <f>Master_Data!J445</f>
        <v>0.3</v>
      </c>
      <c r="K445">
        <f>Master_Data!K445</f>
        <v>0.33329999999999999</v>
      </c>
      <c r="L445">
        <f>Master_Data!L445</f>
        <v>0.42</v>
      </c>
      <c r="M445">
        <f>Master_Data!M445</f>
        <v>0</v>
      </c>
      <c r="N445">
        <f>Master_Data!N445</f>
        <v>7</v>
      </c>
      <c r="O445">
        <f>Master_Data!O445</f>
        <v>77</v>
      </c>
      <c r="P445">
        <f>Master_Data!P445</f>
        <v>84</v>
      </c>
      <c r="Q445" t="str">
        <f t="shared" si="36"/>
        <v>2011</v>
      </c>
      <c r="R445" t="str">
        <f t="shared" si="37"/>
        <v>January</v>
      </c>
      <c r="S445" t="str">
        <f t="shared" si="38"/>
        <v>Weekday</v>
      </c>
      <c r="T445" t="str">
        <f t="shared" si="39"/>
        <v>Afternoon</v>
      </c>
      <c r="U445" t="str">
        <f t="shared" si="40"/>
        <v>Spring</v>
      </c>
      <c r="V445" t="str">
        <f t="shared" si="41"/>
        <v>Mist/Cloudy</v>
      </c>
    </row>
    <row r="446" spans="1:22">
      <c r="A446">
        <f>Master_Data!A446</f>
        <v>445</v>
      </c>
      <c r="B446">
        <f>Master_Data!B446</f>
        <v>40563</v>
      </c>
      <c r="C446">
        <f>Master_Data!C446</f>
        <v>1</v>
      </c>
      <c r="D446">
        <f>Master_Data!D446</f>
        <v>0</v>
      </c>
      <c r="E446">
        <f>Master_Data!E446</f>
        <v>1</v>
      </c>
      <c r="F446">
        <f>Master_Data!F446</f>
        <v>13</v>
      </c>
      <c r="G446" t="b">
        <f>Master_Data!G446</f>
        <v>0</v>
      </c>
      <c r="H446">
        <f>Master_Data!H446</f>
        <v>4</v>
      </c>
      <c r="I446">
        <f>Master_Data!I446</f>
        <v>2</v>
      </c>
      <c r="J446">
        <f>Master_Data!J446</f>
        <v>0.28000000000000003</v>
      </c>
      <c r="K446">
        <f>Master_Data!K446</f>
        <v>0.28789999999999999</v>
      </c>
      <c r="L446">
        <f>Master_Data!L446</f>
        <v>0.45</v>
      </c>
      <c r="M446">
        <f>Master_Data!M446</f>
        <v>0.1045</v>
      </c>
      <c r="N446">
        <f>Master_Data!N446</f>
        <v>12</v>
      </c>
      <c r="O446">
        <f>Master_Data!O446</f>
        <v>86</v>
      </c>
      <c r="P446">
        <f>Master_Data!P446</f>
        <v>98</v>
      </c>
      <c r="Q446" t="str">
        <f t="shared" si="36"/>
        <v>2011</v>
      </c>
      <c r="R446" t="str">
        <f t="shared" si="37"/>
        <v>January</v>
      </c>
      <c r="S446" t="str">
        <f t="shared" si="38"/>
        <v>Weekday</v>
      </c>
      <c r="T446" t="str">
        <f t="shared" si="39"/>
        <v>Afternoon</v>
      </c>
      <c r="U446" t="str">
        <f t="shared" si="40"/>
        <v>Spring</v>
      </c>
      <c r="V446" t="str">
        <f t="shared" si="41"/>
        <v>Mist/Cloudy</v>
      </c>
    </row>
    <row r="447" spans="1:22">
      <c r="A447">
        <f>Master_Data!A447</f>
        <v>446</v>
      </c>
      <c r="B447">
        <f>Master_Data!B447</f>
        <v>40563</v>
      </c>
      <c r="C447">
        <f>Master_Data!C447</f>
        <v>1</v>
      </c>
      <c r="D447">
        <f>Master_Data!D447</f>
        <v>0</v>
      </c>
      <c r="E447">
        <f>Master_Data!E447</f>
        <v>1</v>
      </c>
      <c r="F447">
        <f>Master_Data!F447</f>
        <v>14</v>
      </c>
      <c r="G447" t="b">
        <f>Master_Data!G447</f>
        <v>0</v>
      </c>
      <c r="H447">
        <f>Master_Data!H447</f>
        <v>4</v>
      </c>
      <c r="I447">
        <f>Master_Data!I447</f>
        <v>2</v>
      </c>
      <c r="J447">
        <f>Master_Data!J447</f>
        <v>0.3</v>
      </c>
      <c r="K447">
        <f>Master_Data!K447</f>
        <v>0.30299999999999999</v>
      </c>
      <c r="L447">
        <f>Master_Data!L447</f>
        <v>0.45</v>
      </c>
      <c r="M447">
        <f>Master_Data!M447</f>
        <v>0.1343</v>
      </c>
      <c r="N447">
        <f>Master_Data!N447</f>
        <v>6</v>
      </c>
      <c r="O447">
        <f>Master_Data!O447</f>
        <v>75</v>
      </c>
      <c r="P447">
        <f>Master_Data!P447</f>
        <v>81</v>
      </c>
      <c r="Q447" t="str">
        <f t="shared" si="36"/>
        <v>2011</v>
      </c>
      <c r="R447" t="str">
        <f t="shared" si="37"/>
        <v>January</v>
      </c>
      <c r="S447" t="str">
        <f t="shared" si="38"/>
        <v>Weekday</v>
      </c>
      <c r="T447" t="str">
        <f t="shared" si="39"/>
        <v>Afternoon</v>
      </c>
      <c r="U447" t="str">
        <f t="shared" si="40"/>
        <v>Spring</v>
      </c>
      <c r="V447" t="str">
        <f t="shared" si="41"/>
        <v>Mist/Cloudy</v>
      </c>
    </row>
    <row r="448" spans="1:22">
      <c r="A448">
        <f>Master_Data!A448</f>
        <v>447</v>
      </c>
      <c r="B448">
        <f>Master_Data!B448</f>
        <v>40563</v>
      </c>
      <c r="C448">
        <f>Master_Data!C448</f>
        <v>1</v>
      </c>
      <c r="D448">
        <f>Master_Data!D448</f>
        <v>0</v>
      </c>
      <c r="E448">
        <f>Master_Data!E448</f>
        <v>1</v>
      </c>
      <c r="F448">
        <f>Master_Data!F448</f>
        <v>15</v>
      </c>
      <c r="G448" t="b">
        <f>Master_Data!G448</f>
        <v>0</v>
      </c>
      <c r="H448">
        <f>Master_Data!H448</f>
        <v>4</v>
      </c>
      <c r="I448">
        <f>Master_Data!I448</f>
        <v>2</v>
      </c>
      <c r="J448">
        <f>Master_Data!J448</f>
        <v>0.32</v>
      </c>
      <c r="K448">
        <f>Master_Data!K448</f>
        <v>0.31819999999999998</v>
      </c>
      <c r="L448">
        <f>Master_Data!L448</f>
        <v>0.45</v>
      </c>
      <c r="M448">
        <f>Master_Data!M448</f>
        <v>0.19400000000000001</v>
      </c>
      <c r="N448">
        <f>Master_Data!N448</f>
        <v>8</v>
      </c>
      <c r="O448">
        <f>Master_Data!O448</f>
        <v>62</v>
      </c>
      <c r="P448">
        <f>Master_Data!P448</f>
        <v>70</v>
      </c>
      <c r="Q448" t="str">
        <f t="shared" si="36"/>
        <v>2011</v>
      </c>
      <c r="R448" t="str">
        <f t="shared" si="37"/>
        <v>January</v>
      </c>
      <c r="S448" t="str">
        <f t="shared" si="38"/>
        <v>Weekday</v>
      </c>
      <c r="T448" t="str">
        <f t="shared" si="39"/>
        <v>Afternoon</v>
      </c>
      <c r="U448" t="str">
        <f t="shared" si="40"/>
        <v>Spring</v>
      </c>
      <c r="V448" t="str">
        <f t="shared" si="41"/>
        <v>Mist/Cloudy</v>
      </c>
    </row>
    <row r="449" spans="1:22">
      <c r="A449">
        <f>Master_Data!A449</f>
        <v>448</v>
      </c>
      <c r="B449">
        <f>Master_Data!B449</f>
        <v>40563</v>
      </c>
      <c r="C449">
        <f>Master_Data!C449</f>
        <v>1</v>
      </c>
      <c r="D449">
        <f>Master_Data!D449</f>
        <v>0</v>
      </c>
      <c r="E449">
        <f>Master_Data!E449</f>
        <v>1</v>
      </c>
      <c r="F449">
        <f>Master_Data!F449</f>
        <v>16</v>
      </c>
      <c r="G449" t="b">
        <f>Master_Data!G449</f>
        <v>0</v>
      </c>
      <c r="H449">
        <f>Master_Data!H449</f>
        <v>4</v>
      </c>
      <c r="I449">
        <f>Master_Data!I449</f>
        <v>2</v>
      </c>
      <c r="J449">
        <f>Master_Data!J449</f>
        <v>0.3</v>
      </c>
      <c r="K449">
        <f>Master_Data!K449</f>
        <v>0.30299999999999999</v>
      </c>
      <c r="L449">
        <f>Master_Data!L449</f>
        <v>0.49</v>
      </c>
      <c r="M449">
        <f>Master_Data!M449</f>
        <v>0.1343</v>
      </c>
      <c r="N449">
        <f>Master_Data!N449</f>
        <v>8</v>
      </c>
      <c r="O449">
        <f>Master_Data!O449</f>
        <v>83</v>
      </c>
      <c r="P449">
        <f>Master_Data!P449</f>
        <v>91</v>
      </c>
      <c r="Q449" t="str">
        <f t="shared" si="36"/>
        <v>2011</v>
      </c>
      <c r="R449" t="str">
        <f t="shared" si="37"/>
        <v>January</v>
      </c>
      <c r="S449" t="str">
        <f t="shared" si="38"/>
        <v>Weekday</v>
      </c>
      <c r="T449" t="str">
        <f t="shared" si="39"/>
        <v>Afternoon</v>
      </c>
      <c r="U449" t="str">
        <f t="shared" si="40"/>
        <v>Spring</v>
      </c>
      <c r="V449" t="str">
        <f t="shared" si="41"/>
        <v>Mist/Cloudy</v>
      </c>
    </row>
    <row r="450" spans="1:22">
      <c r="A450">
        <f>Master_Data!A450</f>
        <v>449</v>
      </c>
      <c r="B450">
        <f>Master_Data!B450</f>
        <v>40563</v>
      </c>
      <c r="C450">
        <f>Master_Data!C450</f>
        <v>1</v>
      </c>
      <c r="D450">
        <f>Master_Data!D450</f>
        <v>0</v>
      </c>
      <c r="E450">
        <f>Master_Data!E450</f>
        <v>1</v>
      </c>
      <c r="F450">
        <f>Master_Data!F450</f>
        <v>17</v>
      </c>
      <c r="G450" t="b">
        <f>Master_Data!G450</f>
        <v>0</v>
      </c>
      <c r="H450">
        <f>Master_Data!H450</f>
        <v>4</v>
      </c>
      <c r="I450">
        <f>Master_Data!I450</f>
        <v>2</v>
      </c>
      <c r="J450">
        <f>Master_Data!J450</f>
        <v>0.3</v>
      </c>
      <c r="K450">
        <f>Master_Data!K450</f>
        <v>0.31819999999999998</v>
      </c>
      <c r="L450">
        <f>Master_Data!L450</f>
        <v>0.49</v>
      </c>
      <c r="M450">
        <f>Master_Data!M450</f>
        <v>0.1045</v>
      </c>
      <c r="N450">
        <f>Master_Data!N450</f>
        <v>8</v>
      </c>
      <c r="O450">
        <f>Master_Data!O450</f>
        <v>207</v>
      </c>
      <c r="P450">
        <f>Master_Data!P450</f>
        <v>215</v>
      </c>
      <c r="Q450" t="str">
        <f t="shared" ref="Q450:Q513" si="42">IF(D450=0,"2011","2012")</f>
        <v>2011</v>
      </c>
      <c r="R450" t="str">
        <f t="shared" ref="R450:R513" si="43">TEXT(B450,"mmmm")</f>
        <v>January</v>
      </c>
      <c r="S450" t="str">
        <f t="shared" ref="S450:S513" si="44">IF(G450=TRUE,"Holiday",IF(H450=0,"Sunday",IF(H450=6,"Saturday","Weekday")))</f>
        <v>Weekday</v>
      </c>
      <c r="T450" t="str">
        <f t="shared" ref="T450:T513" si="45">IF(F450&lt;6,"Night",IF(F450&lt;12,"Morning",IF(F450&lt;17,"Afternoon",IF(F450&lt;21,"Evening","Night"))))</f>
        <v>Evening</v>
      </c>
      <c r="U450" t="str">
        <f t="shared" ref="U450:U513" si="46">CHOOSE(C450,"Spring","Summer","Fall","Winter")</f>
        <v>Spring</v>
      </c>
      <c r="V450" t="str">
        <f t="shared" ref="V450:V513" si="47">CHOOSE(I450,"Clear","Mist/Cloudy","Light Rain/Snow","Heavy Rain/Snow")</f>
        <v>Mist/Cloudy</v>
      </c>
    </row>
    <row r="451" spans="1:22">
      <c r="A451">
        <f>Master_Data!A451</f>
        <v>450</v>
      </c>
      <c r="B451">
        <f>Master_Data!B451</f>
        <v>40563</v>
      </c>
      <c r="C451">
        <f>Master_Data!C451</f>
        <v>1</v>
      </c>
      <c r="D451">
        <f>Master_Data!D451</f>
        <v>0</v>
      </c>
      <c r="E451">
        <f>Master_Data!E451</f>
        <v>1</v>
      </c>
      <c r="F451">
        <f>Master_Data!F451</f>
        <v>18</v>
      </c>
      <c r="G451" t="b">
        <f>Master_Data!G451</f>
        <v>0</v>
      </c>
      <c r="H451">
        <f>Master_Data!H451</f>
        <v>4</v>
      </c>
      <c r="I451">
        <f>Master_Data!I451</f>
        <v>2</v>
      </c>
      <c r="J451">
        <f>Master_Data!J451</f>
        <v>0.26</v>
      </c>
      <c r="K451">
        <f>Master_Data!K451</f>
        <v>0.2576</v>
      </c>
      <c r="L451">
        <f>Master_Data!L451</f>
        <v>0.56000000000000005</v>
      </c>
      <c r="M451">
        <f>Master_Data!M451</f>
        <v>0.19400000000000001</v>
      </c>
      <c r="N451">
        <f>Master_Data!N451</f>
        <v>1</v>
      </c>
      <c r="O451">
        <f>Master_Data!O451</f>
        <v>184</v>
      </c>
      <c r="P451">
        <f>Master_Data!P451</f>
        <v>185</v>
      </c>
      <c r="Q451" t="str">
        <f t="shared" si="42"/>
        <v>2011</v>
      </c>
      <c r="R451" t="str">
        <f t="shared" si="43"/>
        <v>January</v>
      </c>
      <c r="S451" t="str">
        <f t="shared" si="44"/>
        <v>Weekday</v>
      </c>
      <c r="T451" t="str">
        <f t="shared" si="45"/>
        <v>Evening</v>
      </c>
      <c r="U451" t="str">
        <f t="shared" si="46"/>
        <v>Spring</v>
      </c>
      <c r="V451" t="str">
        <f t="shared" si="47"/>
        <v>Mist/Cloudy</v>
      </c>
    </row>
    <row r="452" spans="1:22">
      <c r="A452">
        <f>Master_Data!A452</f>
        <v>451</v>
      </c>
      <c r="B452">
        <f>Master_Data!B452</f>
        <v>40563</v>
      </c>
      <c r="C452">
        <f>Master_Data!C452</f>
        <v>1</v>
      </c>
      <c r="D452">
        <f>Master_Data!D452</f>
        <v>0</v>
      </c>
      <c r="E452">
        <f>Master_Data!E452</f>
        <v>1</v>
      </c>
      <c r="F452">
        <f>Master_Data!F452</f>
        <v>19</v>
      </c>
      <c r="G452" t="b">
        <f>Master_Data!G452</f>
        <v>0</v>
      </c>
      <c r="H452">
        <f>Master_Data!H452</f>
        <v>4</v>
      </c>
      <c r="I452">
        <f>Master_Data!I452</f>
        <v>1</v>
      </c>
      <c r="J452">
        <f>Master_Data!J452</f>
        <v>0.26</v>
      </c>
      <c r="K452">
        <f>Master_Data!K452</f>
        <v>0.2273</v>
      </c>
      <c r="L452">
        <f>Master_Data!L452</f>
        <v>0.56000000000000005</v>
      </c>
      <c r="M452">
        <f>Master_Data!M452</f>
        <v>0.32840000000000003</v>
      </c>
      <c r="N452">
        <f>Master_Data!N452</f>
        <v>6</v>
      </c>
      <c r="O452">
        <f>Master_Data!O452</f>
        <v>146</v>
      </c>
      <c r="P452">
        <f>Master_Data!P452</f>
        <v>152</v>
      </c>
      <c r="Q452" t="str">
        <f t="shared" si="42"/>
        <v>2011</v>
      </c>
      <c r="R452" t="str">
        <f t="shared" si="43"/>
        <v>January</v>
      </c>
      <c r="S452" t="str">
        <f t="shared" si="44"/>
        <v>Weekday</v>
      </c>
      <c r="T452" t="str">
        <f t="shared" si="45"/>
        <v>Evening</v>
      </c>
      <c r="U452" t="str">
        <f t="shared" si="46"/>
        <v>Spring</v>
      </c>
      <c r="V452" t="str">
        <f t="shared" si="47"/>
        <v>Clear</v>
      </c>
    </row>
    <row r="453" spans="1:22">
      <c r="A453">
        <f>Master_Data!A453</f>
        <v>452</v>
      </c>
      <c r="B453">
        <f>Master_Data!B453</f>
        <v>40563</v>
      </c>
      <c r="C453">
        <f>Master_Data!C453</f>
        <v>1</v>
      </c>
      <c r="D453">
        <f>Master_Data!D453</f>
        <v>0</v>
      </c>
      <c r="E453">
        <f>Master_Data!E453</f>
        <v>1</v>
      </c>
      <c r="F453">
        <f>Master_Data!F453</f>
        <v>20</v>
      </c>
      <c r="G453" t="b">
        <f>Master_Data!G453</f>
        <v>0</v>
      </c>
      <c r="H453">
        <f>Master_Data!H453</f>
        <v>4</v>
      </c>
      <c r="I453">
        <f>Master_Data!I453</f>
        <v>2</v>
      </c>
      <c r="J453">
        <f>Master_Data!J453</f>
        <v>0.26</v>
      </c>
      <c r="K453">
        <f>Master_Data!K453</f>
        <v>0.2424</v>
      </c>
      <c r="L453">
        <f>Master_Data!L453</f>
        <v>0.6</v>
      </c>
      <c r="M453">
        <f>Master_Data!M453</f>
        <v>0.28360000000000002</v>
      </c>
      <c r="N453">
        <f>Master_Data!N453</f>
        <v>2</v>
      </c>
      <c r="O453">
        <f>Master_Data!O453</f>
        <v>124</v>
      </c>
      <c r="P453">
        <f>Master_Data!P453</f>
        <v>126</v>
      </c>
      <c r="Q453" t="str">
        <f t="shared" si="42"/>
        <v>2011</v>
      </c>
      <c r="R453" t="str">
        <f t="shared" si="43"/>
        <v>January</v>
      </c>
      <c r="S453" t="str">
        <f t="shared" si="44"/>
        <v>Weekday</v>
      </c>
      <c r="T453" t="str">
        <f t="shared" si="45"/>
        <v>Evening</v>
      </c>
      <c r="U453" t="str">
        <f t="shared" si="46"/>
        <v>Spring</v>
      </c>
      <c r="V453" t="str">
        <f t="shared" si="47"/>
        <v>Mist/Cloudy</v>
      </c>
    </row>
    <row r="454" spans="1:22">
      <c r="A454">
        <f>Master_Data!A454</f>
        <v>453</v>
      </c>
      <c r="B454">
        <f>Master_Data!B454</f>
        <v>40563</v>
      </c>
      <c r="C454">
        <f>Master_Data!C454</f>
        <v>1</v>
      </c>
      <c r="D454">
        <f>Master_Data!D454</f>
        <v>0</v>
      </c>
      <c r="E454">
        <f>Master_Data!E454</f>
        <v>1</v>
      </c>
      <c r="F454">
        <f>Master_Data!F454</f>
        <v>21</v>
      </c>
      <c r="G454" t="b">
        <f>Master_Data!G454</f>
        <v>0</v>
      </c>
      <c r="H454">
        <f>Master_Data!H454</f>
        <v>4</v>
      </c>
      <c r="I454">
        <f>Master_Data!I454</f>
        <v>2</v>
      </c>
      <c r="J454">
        <f>Master_Data!J454</f>
        <v>0.24</v>
      </c>
      <c r="K454">
        <f>Master_Data!K454</f>
        <v>0.2273</v>
      </c>
      <c r="L454">
        <f>Master_Data!L454</f>
        <v>0.6</v>
      </c>
      <c r="M454">
        <f>Master_Data!M454</f>
        <v>0.25369999999999998</v>
      </c>
      <c r="N454">
        <f>Master_Data!N454</f>
        <v>3</v>
      </c>
      <c r="O454">
        <f>Master_Data!O454</f>
        <v>54</v>
      </c>
      <c r="P454">
        <f>Master_Data!P454</f>
        <v>57</v>
      </c>
      <c r="Q454" t="str">
        <f t="shared" si="42"/>
        <v>2011</v>
      </c>
      <c r="R454" t="str">
        <f t="shared" si="43"/>
        <v>January</v>
      </c>
      <c r="S454" t="str">
        <f t="shared" si="44"/>
        <v>Weekday</v>
      </c>
      <c r="T454" t="str">
        <f t="shared" si="45"/>
        <v>Night</v>
      </c>
      <c r="U454" t="str">
        <f t="shared" si="46"/>
        <v>Spring</v>
      </c>
      <c r="V454" t="str">
        <f t="shared" si="47"/>
        <v>Mist/Cloudy</v>
      </c>
    </row>
    <row r="455" spans="1:22">
      <c r="A455">
        <f>Master_Data!A455</f>
        <v>454</v>
      </c>
      <c r="B455">
        <f>Master_Data!B455</f>
        <v>40563</v>
      </c>
      <c r="C455">
        <f>Master_Data!C455</f>
        <v>1</v>
      </c>
      <c r="D455">
        <f>Master_Data!D455</f>
        <v>0</v>
      </c>
      <c r="E455">
        <f>Master_Data!E455</f>
        <v>1</v>
      </c>
      <c r="F455">
        <f>Master_Data!F455</f>
        <v>22</v>
      </c>
      <c r="G455" t="b">
        <f>Master_Data!G455</f>
        <v>0</v>
      </c>
      <c r="H455">
        <f>Master_Data!H455</f>
        <v>4</v>
      </c>
      <c r="I455">
        <f>Master_Data!I455</f>
        <v>2</v>
      </c>
      <c r="J455">
        <f>Master_Data!J455</f>
        <v>0.24</v>
      </c>
      <c r="K455">
        <f>Master_Data!K455</f>
        <v>0.21210000000000001</v>
      </c>
      <c r="L455">
        <f>Master_Data!L455</f>
        <v>0.65</v>
      </c>
      <c r="M455">
        <f>Master_Data!M455</f>
        <v>0.28360000000000002</v>
      </c>
      <c r="N455">
        <f>Master_Data!N455</f>
        <v>0</v>
      </c>
      <c r="O455">
        <f>Master_Data!O455</f>
        <v>56</v>
      </c>
      <c r="P455">
        <f>Master_Data!P455</f>
        <v>56</v>
      </c>
      <c r="Q455" t="str">
        <f t="shared" si="42"/>
        <v>2011</v>
      </c>
      <c r="R455" t="str">
        <f t="shared" si="43"/>
        <v>January</v>
      </c>
      <c r="S455" t="str">
        <f t="shared" si="44"/>
        <v>Weekday</v>
      </c>
      <c r="T455" t="str">
        <f t="shared" si="45"/>
        <v>Night</v>
      </c>
      <c r="U455" t="str">
        <f t="shared" si="46"/>
        <v>Spring</v>
      </c>
      <c r="V455" t="str">
        <f t="shared" si="47"/>
        <v>Mist/Cloudy</v>
      </c>
    </row>
    <row r="456" spans="1:22">
      <c r="A456">
        <f>Master_Data!A456</f>
        <v>455</v>
      </c>
      <c r="B456">
        <f>Master_Data!B456</f>
        <v>40563</v>
      </c>
      <c r="C456">
        <f>Master_Data!C456</f>
        <v>1</v>
      </c>
      <c r="D456">
        <f>Master_Data!D456</f>
        <v>0</v>
      </c>
      <c r="E456">
        <f>Master_Data!E456</f>
        <v>1</v>
      </c>
      <c r="F456">
        <f>Master_Data!F456</f>
        <v>23</v>
      </c>
      <c r="G456" t="b">
        <f>Master_Data!G456</f>
        <v>0</v>
      </c>
      <c r="H456">
        <f>Master_Data!H456</f>
        <v>4</v>
      </c>
      <c r="I456">
        <f>Master_Data!I456</f>
        <v>2</v>
      </c>
      <c r="J456">
        <f>Master_Data!J456</f>
        <v>0.24</v>
      </c>
      <c r="K456">
        <f>Master_Data!K456</f>
        <v>0.21210000000000001</v>
      </c>
      <c r="L456">
        <f>Master_Data!L456</f>
        <v>0.65</v>
      </c>
      <c r="M456">
        <f>Master_Data!M456</f>
        <v>0.32840000000000003</v>
      </c>
      <c r="N456">
        <f>Master_Data!N456</f>
        <v>3</v>
      </c>
      <c r="O456">
        <f>Master_Data!O456</f>
        <v>28</v>
      </c>
      <c r="P456">
        <f>Master_Data!P456</f>
        <v>31</v>
      </c>
      <c r="Q456" t="str">
        <f t="shared" si="42"/>
        <v>2011</v>
      </c>
      <c r="R456" t="str">
        <f t="shared" si="43"/>
        <v>January</v>
      </c>
      <c r="S456" t="str">
        <f t="shared" si="44"/>
        <v>Weekday</v>
      </c>
      <c r="T456" t="str">
        <f t="shared" si="45"/>
        <v>Night</v>
      </c>
      <c r="U456" t="str">
        <f t="shared" si="46"/>
        <v>Spring</v>
      </c>
      <c r="V456" t="str">
        <f t="shared" si="47"/>
        <v>Mist/Cloudy</v>
      </c>
    </row>
    <row r="457" spans="1:22">
      <c r="A457">
        <f>Master_Data!A457</f>
        <v>456</v>
      </c>
      <c r="B457">
        <f>Master_Data!B457</f>
        <v>40564</v>
      </c>
      <c r="C457">
        <f>Master_Data!C457</f>
        <v>1</v>
      </c>
      <c r="D457">
        <f>Master_Data!D457</f>
        <v>0</v>
      </c>
      <c r="E457">
        <f>Master_Data!E457</f>
        <v>1</v>
      </c>
      <c r="F457">
        <f>Master_Data!F457</f>
        <v>0</v>
      </c>
      <c r="G457" t="b">
        <f>Master_Data!G457</f>
        <v>0</v>
      </c>
      <c r="H457">
        <f>Master_Data!H457</f>
        <v>5</v>
      </c>
      <c r="I457">
        <f>Master_Data!I457</f>
        <v>2</v>
      </c>
      <c r="J457">
        <f>Master_Data!J457</f>
        <v>0.24</v>
      </c>
      <c r="K457">
        <f>Master_Data!K457</f>
        <v>0.2273</v>
      </c>
      <c r="L457">
        <f>Master_Data!L457</f>
        <v>0.7</v>
      </c>
      <c r="M457">
        <f>Master_Data!M457</f>
        <v>0.25369999999999998</v>
      </c>
      <c r="N457">
        <f>Master_Data!N457</f>
        <v>1</v>
      </c>
      <c r="O457">
        <f>Master_Data!O457</f>
        <v>20</v>
      </c>
      <c r="P457">
        <f>Master_Data!P457</f>
        <v>21</v>
      </c>
      <c r="Q457" t="str">
        <f t="shared" si="42"/>
        <v>2011</v>
      </c>
      <c r="R457" t="str">
        <f t="shared" si="43"/>
        <v>January</v>
      </c>
      <c r="S457" t="str">
        <f t="shared" si="44"/>
        <v>Weekday</v>
      </c>
      <c r="T457" t="str">
        <f t="shared" si="45"/>
        <v>Night</v>
      </c>
      <c r="U457" t="str">
        <f t="shared" si="46"/>
        <v>Spring</v>
      </c>
      <c r="V457" t="str">
        <f t="shared" si="47"/>
        <v>Mist/Cloudy</v>
      </c>
    </row>
    <row r="458" spans="1:22">
      <c r="A458">
        <f>Master_Data!A458</f>
        <v>457</v>
      </c>
      <c r="B458">
        <f>Master_Data!B458</f>
        <v>40564</v>
      </c>
      <c r="C458">
        <f>Master_Data!C458</f>
        <v>1</v>
      </c>
      <c r="D458">
        <f>Master_Data!D458</f>
        <v>0</v>
      </c>
      <c r="E458">
        <f>Master_Data!E458</f>
        <v>1</v>
      </c>
      <c r="F458">
        <f>Master_Data!F458</f>
        <v>1</v>
      </c>
      <c r="G458" t="b">
        <f>Master_Data!G458</f>
        <v>0</v>
      </c>
      <c r="H458">
        <f>Master_Data!H458</f>
        <v>5</v>
      </c>
      <c r="I458">
        <f>Master_Data!I458</f>
        <v>2</v>
      </c>
      <c r="J458">
        <f>Master_Data!J458</f>
        <v>0.24</v>
      </c>
      <c r="K458">
        <f>Master_Data!K458</f>
        <v>0.2273</v>
      </c>
      <c r="L458">
        <f>Master_Data!L458</f>
        <v>0.7</v>
      </c>
      <c r="M458">
        <f>Master_Data!M458</f>
        <v>0.25369999999999998</v>
      </c>
      <c r="N458">
        <f>Master_Data!N458</f>
        <v>0</v>
      </c>
      <c r="O458">
        <f>Master_Data!O458</f>
        <v>6</v>
      </c>
      <c r="P458">
        <f>Master_Data!P458</f>
        <v>6</v>
      </c>
      <c r="Q458" t="str">
        <f t="shared" si="42"/>
        <v>2011</v>
      </c>
      <c r="R458" t="str">
        <f t="shared" si="43"/>
        <v>January</v>
      </c>
      <c r="S458" t="str">
        <f t="shared" si="44"/>
        <v>Weekday</v>
      </c>
      <c r="T458" t="str">
        <f t="shared" si="45"/>
        <v>Night</v>
      </c>
      <c r="U458" t="str">
        <f t="shared" si="46"/>
        <v>Spring</v>
      </c>
      <c r="V458" t="str">
        <f t="shared" si="47"/>
        <v>Mist/Cloudy</v>
      </c>
    </row>
    <row r="459" spans="1:22">
      <c r="A459">
        <f>Master_Data!A459</f>
        <v>458</v>
      </c>
      <c r="B459">
        <f>Master_Data!B459</f>
        <v>40564</v>
      </c>
      <c r="C459">
        <f>Master_Data!C459</f>
        <v>1</v>
      </c>
      <c r="D459">
        <f>Master_Data!D459</f>
        <v>0</v>
      </c>
      <c r="E459">
        <f>Master_Data!E459</f>
        <v>1</v>
      </c>
      <c r="F459">
        <f>Master_Data!F459</f>
        <v>2</v>
      </c>
      <c r="G459" t="b">
        <f>Master_Data!G459</f>
        <v>0</v>
      </c>
      <c r="H459">
        <f>Master_Data!H459</f>
        <v>5</v>
      </c>
      <c r="I459">
        <f>Master_Data!I459</f>
        <v>3</v>
      </c>
      <c r="J459">
        <f>Master_Data!J459</f>
        <v>0.24</v>
      </c>
      <c r="K459">
        <f>Master_Data!K459</f>
        <v>0.2424</v>
      </c>
      <c r="L459">
        <f>Master_Data!L459</f>
        <v>0.75</v>
      </c>
      <c r="M459">
        <f>Master_Data!M459</f>
        <v>0.16420000000000001</v>
      </c>
      <c r="N459">
        <f>Master_Data!N459</f>
        <v>0</v>
      </c>
      <c r="O459">
        <f>Master_Data!O459</f>
        <v>2</v>
      </c>
      <c r="P459">
        <f>Master_Data!P459</f>
        <v>2</v>
      </c>
      <c r="Q459" t="str">
        <f t="shared" si="42"/>
        <v>2011</v>
      </c>
      <c r="R459" t="str">
        <f t="shared" si="43"/>
        <v>January</v>
      </c>
      <c r="S459" t="str">
        <f t="shared" si="44"/>
        <v>Weekday</v>
      </c>
      <c r="T459" t="str">
        <f t="shared" si="45"/>
        <v>Night</v>
      </c>
      <c r="U459" t="str">
        <f t="shared" si="46"/>
        <v>Spring</v>
      </c>
      <c r="V459" t="str">
        <f t="shared" si="47"/>
        <v>Light Rain/Snow</v>
      </c>
    </row>
    <row r="460" spans="1:22">
      <c r="A460">
        <f>Master_Data!A460</f>
        <v>459</v>
      </c>
      <c r="B460">
        <f>Master_Data!B460</f>
        <v>40564</v>
      </c>
      <c r="C460">
        <f>Master_Data!C460</f>
        <v>1</v>
      </c>
      <c r="D460">
        <f>Master_Data!D460</f>
        <v>0</v>
      </c>
      <c r="E460">
        <f>Master_Data!E460</f>
        <v>1</v>
      </c>
      <c r="F460">
        <f>Master_Data!F460</f>
        <v>3</v>
      </c>
      <c r="G460" t="b">
        <f>Master_Data!G460</f>
        <v>0</v>
      </c>
      <c r="H460">
        <f>Master_Data!H460</f>
        <v>5</v>
      </c>
      <c r="I460">
        <f>Master_Data!I460</f>
        <v>3</v>
      </c>
      <c r="J460">
        <f>Master_Data!J460</f>
        <v>0.22</v>
      </c>
      <c r="K460">
        <f>Master_Data!K460</f>
        <v>0.21210000000000001</v>
      </c>
      <c r="L460">
        <f>Master_Data!L460</f>
        <v>0.8</v>
      </c>
      <c r="M460">
        <f>Master_Data!M460</f>
        <v>0.29849999999999999</v>
      </c>
      <c r="N460">
        <f>Master_Data!N460</f>
        <v>0</v>
      </c>
      <c r="O460">
        <f>Master_Data!O460</f>
        <v>1</v>
      </c>
      <c r="P460">
        <f>Master_Data!P460</f>
        <v>1</v>
      </c>
      <c r="Q460" t="str">
        <f t="shared" si="42"/>
        <v>2011</v>
      </c>
      <c r="R460" t="str">
        <f t="shared" si="43"/>
        <v>January</v>
      </c>
      <c r="S460" t="str">
        <f t="shared" si="44"/>
        <v>Weekday</v>
      </c>
      <c r="T460" t="str">
        <f t="shared" si="45"/>
        <v>Night</v>
      </c>
      <c r="U460" t="str">
        <f t="shared" si="46"/>
        <v>Spring</v>
      </c>
      <c r="V460" t="str">
        <f t="shared" si="47"/>
        <v>Light Rain/Snow</v>
      </c>
    </row>
    <row r="461" spans="1:22">
      <c r="A461">
        <f>Master_Data!A461</f>
        <v>460</v>
      </c>
      <c r="B461">
        <f>Master_Data!B461</f>
        <v>40564</v>
      </c>
      <c r="C461">
        <f>Master_Data!C461</f>
        <v>1</v>
      </c>
      <c r="D461">
        <f>Master_Data!D461</f>
        <v>0</v>
      </c>
      <c r="E461">
        <f>Master_Data!E461</f>
        <v>1</v>
      </c>
      <c r="F461">
        <f>Master_Data!F461</f>
        <v>4</v>
      </c>
      <c r="G461" t="b">
        <f>Master_Data!G461</f>
        <v>0</v>
      </c>
      <c r="H461">
        <f>Master_Data!H461</f>
        <v>5</v>
      </c>
      <c r="I461">
        <f>Master_Data!I461</f>
        <v>2</v>
      </c>
      <c r="J461">
        <f>Master_Data!J461</f>
        <v>0.22</v>
      </c>
      <c r="K461">
        <f>Master_Data!K461</f>
        <v>0.2576</v>
      </c>
      <c r="L461">
        <f>Master_Data!L461</f>
        <v>0.87</v>
      </c>
      <c r="M461">
        <f>Master_Data!M461</f>
        <v>8.9599999999999999E-2</v>
      </c>
      <c r="N461">
        <f>Master_Data!N461</f>
        <v>0</v>
      </c>
      <c r="O461">
        <f>Master_Data!O461</f>
        <v>1</v>
      </c>
      <c r="P461">
        <f>Master_Data!P461</f>
        <v>1</v>
      </c>
      <c r="Q461" t="str">
        <f t="shared" si="42"/>
        <v>2011</v>
      </c>
      <c r="R461" t="str">
        <f t="shared" si="43"/>
        <v>January</v>
      </c>
      <c r="S461" t="str">
        <f t="shared" si="44"/>
        <v>Weekday</v>
      </c>
      <c r="T461" t="str">
        <f t="shared" si="45"/>
        <v>Night</v>
      </c>
      <c r="U461" t="str">
        <f t="shared" si="46"/>
        <v>Spring</v>
      </c>
      <c r="V461" t="str">
        <f t="shared" si="47"/>
        <v>Mist/Cloudy</v>
      </c>
    </row>
    <row r="462" spans="1:22">
      <c r="A462">
        <f>Master_Data!A462</f>
        <v>461</v>
      </c>
      <c r="B462">
        <f>Master_Data!B462</f>
        <v>40564</v>
      </c>
      <c r="C462">
        <f>Master_Data!C462</f>
        <v>1</v>
      </c>
      <c r="D462">
        <f>Master_Data!D462</f>
        <v>0</v>
      </c>
      <c r="E462">
        <f>Master_Data!E462</f>
        <v>1</v>
      </c>
      <c r="F462">
        <f>Master_Data!F462</f>
        <v>5</v>
      </c>
      <c r="G462" t="b">
        <f>Master_Data!G462</f>
        <v>0</v>
      </c>
      <c r="H462">
        <f>Master_Data!H462</f>
        <v>5</v>
      </c>
      <c r="I462">
        <f>Master_Data!I462</f>
        <v>1</v>
      </c>
      <c r="J462">
        <f>Master_Data!J462</f>
        <v>0.24</v>
      </c>
      <c r="K462">
        <f>Master_Data!K462</f>
        <v>0.19700000000000001</v>
      </c>
      <c r="L462">
        <f>Master_Data!L462</f>
        <v>0.6</v>
      </c>
      <c r="M462">
        <f>Master_Data!M462</f>
        <v>0.41789999999999999</v>
      </c>
      <c r="N462">
        <f>Master_Data!N462</f>
        <v>1</v>
      </c>
      <c r="O462">
        <f>Master_Data!O462</f>
        <v>4</v>
      </c>
      <c r="P462">
        <f>Master_Data!P462</f>
        <v>5</v>
      </c>
      <c r="Q462" t="str">
        <f t="shared" si="42"/>
        <v>2011</v>
      </c>
      <c r="R462" t="str">
        <f t="shared" si="43"/>
        <v>January</v>
      </c>
      <c r="S462" t="str">
        <f t="shared" si="44"/>
        <v>Weekday</v>
      </c>
      <c r="T462" t="str">
        <f t="shared" si="45"/>
        <v>Night</v>
      </c>
      <c r="U462" t="str">
        <f t="shared" si="46"/>
        <v>Spring</v>
      </c>
      <c r="V462" t="str">
        <f t="shared" si="47"/>
        <v>Clear</v>
      </c>
    </row>
    <row r="463" spans="1:22">
      <c r="A463">
        <f>Master_Data!A463</f>
        <v>462</v>
      </c>
      <c r="B463">
        <f>Master_Data!B463</f>
        <v>40564</v>
      </c>
      <c r="C463">
        <f>Master_Data!C463</f>
        <v>1</v>
      </c>
      <c r="D463">
        <f>Master_Data!D463</f>
        <v>0</v>
      </c>
      <c r="E463">
        <f>Master_Data!E463</f>
        <v>1</v>
      </c>
      <c r="F463">
        <f>Master_Data!F463</f>
        <v>6</v>
      </c>
      <c r="G463" t="b">
        <f>Master_Data!G463</f>
        <v>0</v>
      </c>
      <c r="H463">
        <f>Master_Data!H463</f>
        <v>5</v>
      </c>
      <c r="I463">
        <f>Master_Data!I463</f>
        <v>1</v>
      </c>
      <c r="J463">
        <f>Master_Data!J463</f>
        <v>0.22</v>
      </c>
      <c r="K463">
        <f>Master_Data!K463</f>
        <v>0.21210000000000001</v>
      </c>
      <c r="L463">
        <f>Master_Data!L463</f>
        <v>0.55000000000000004</v>
      </c>
      <c r="M463">
        <f>Master_Data!M463</f>
        <v>0.25369999999999998</v>
      </c>
      <c r="N463">
        <f>Master_Data!N463</f>
        <v>0</v>
      </c>
      <c r="O463">
        <f>Master_Data!O463</f>
        <v>27</v>
      </c>
      <c r="P463">
        <f>Master_Data!P463</f>
        <v>27</v>
      </c>
      <c r="Q463" t="str">
        <f t="shared" si="42"/>
        <v>2011</v>
      </c>
      <c r="R463" t="str">
        <f t="shared" si="43"/>
        <v>January</v>
      </c>
      <c r="S463" t="str">
        <f t="shared" si="44"/>
        <v>Weekday</v>
      </c>
      <c r="T463" t="str">
        <f t="shared" si="45"/>
        <v>Morning</v>
      </c>
      <c r="U463" t="str">
        <f t="shared" si="46"/>
        <v>Spring</v>
      </c>
      <c r="V463" t="str">
        <f t="shared" si="47"/>
        <v>Clear</v>
      </c>
    </row>
    <row r="464" spans="1:22">
      <c r="A464">
        <f>Master_Data!A464</f>
        <v>463</v>
      </c>
      <c r="B464">
        <f>Master_Data!B464</f>
        <v>40564</v>
      </c>
      <c r="C464">
        <f>Master_Data!C464</f>
        <v>1</v>
      </c>
      <c r="D464">
        <f>Master_Data!D464</f>
        <v>0</v>
      </c>
      <c r="E464">
        <f>Master_Data!E464</f>
        <v>1</v>
      </c>
      <c r="F464">
        <f>Master_Data!F464</f>
        <v>7</v>
      </c>
      <c r="G464" t="b">
        <f>Master_Data!G464</f>
        <v>0</v>
      </c>
      <c r="H464">
        <f>Master_Data!H464</f>
        <v>5</v>
      </c>
      <c r="I464">
        <f>Master_Data!I464</f>
        <v>1</v>
      </c>
      <c r="J464">
        <f>Master_Data!J464</f>
        <v>0.2</v>
      </c>
      <c r="K464">
        <f>Master_Data!K464</f>
        <v>0.18179999999999999</v>
      </c>
      <c r="L464">
        <f>Master_Data!L464</f>
        <v>0.51</v>
      </c>
      <c r="M464">
        <f>Master_Data!M464</f>
        <v>0.28360000000000002</v>
      </c>
      <c r="N464">
        <f>Master_Data!N464</f>
        <v>2</v>
      </c>
      <c r="O464">
        <f>Master_Data!O464</f>
        <v>66</v>
      </c>
      <c r="P464">
        <f>Master_Data!P464</f>
        <v>68</v>
      </c>
      <c r="Q464" t="str">
        <f t="shared" si="42"/>
        <v>2011</v>
      </c>
      <c r="R464" t="str">
        <f t="shared" si="43"/>
        <v>January</v>
      </c>
      <c r="S464" t="str">
        <f t="shared" si="44"/>
        <v>Weekday</v>
      </c>
      <c r="T464" t="str">
        <f t="shared" si="45"/>
        <v>Morning</v>
      </c>
      <c r="U464" t="str">
        <f t="shared" si="46"/>
        <v>Spring</v>
      </c>
      <c r="V464" t="str">
        <f t="shared" si="47"/>
        <v>Clear</v>
      </c>
    </row>
    <row r="465" spans="1:22">
      <c r="A465">
        <f>Master_Data!A465</f>
        <v>464</v>
      </c>
      <c r="B465">
        <f>Master_Data!B465</f>
        <v>40564</v>
      </c>
      <c r="C465">
        <f>Master_Data!C465</f>
        <v>1</v>
      </c>
      <c r="D465">
        <f>Master_Data!D465</f>
        <v>0</v>
      </c>
      <c r="E465">
        <f>Master_Data!E465</f>
        <v>1</v>
      </c>
      <c r="F465">
        <f>Master_Data!F465</f>
        <v>8</v>
      </c>
      <c r="G465" t="b">
        <f>Master_Data!G465</f>
        <v>0</v>
      </c>
      <c r="H465">
        <f>Master_Data!H465</f>
        <v>5</v>
      </c>
      <c r="I465">
        <f>Master_Data!I465</f>
        <v>1</v>
      </c>
      <c r="J465">
        <f>Master_Data!J465</f>
        <v>0.2</v>
      </c>
      <c r="K465">
        <f>Master_Data!K465</f>
        <v>0.18179999999999999</v>
      </c>
      <c r="L465">
        <f>Master_Data!L465</f>
        <v>0.47</v>
      </c>
      <c r="M465">
        <f>Master_Data!M465</f>
        <v>0.32840000000000003</v>
      </c>
      <c r="N465">
        <f>Master_Data!N465</f>
        <v>7</v>
      </c>
      <c r="O465">
        <f>Master_Data!O465</f>
        <v>210</v>
      </c>
      <c r="P465">
        <f>Master_Data!P465</f>
        <v>217</v>
      </c>
      <c r="Q465" t="str">
        <f t="shared" si="42"/>
        <v>2011</v>
      </c>
      <c r="R465" t="str">
        <f t="shared" si="43"/>
        <v>January</v>
      </c>
      <c r="S465" t="str">
        <f t="shared" si="44"/>
        <v>Weekday</v>
      </c>
      <c r="T465" t="str">
        <f t="shared" si="45"/>
        <v>Morning</v>
      </c>
      <c r="U465" t="str">
        <f t="shared" si="46"/>
        <v>Spring</v>
      </c>
      <c r="V465" t="str">
        <f t="shared" si="47"/>
        <v>Clear</v>
      </c>
    </row>
    <row r="466" spans="1:22">
      <c r="A466">
        <f>Master_Data!A466</f>
        <v>465</v>
      </c>
      <c r="B466">
        <f>Master_Data!B466</f>
        <v>40564</v>
      </c>
      <c r="C466">
        <f>Master_Data!C466</f>
        <v>1</v>
      </c>
      <c r="D466">
        <f>Master_Data!D466</f>
        <v>0</v>
      </c>
      <c r="E466">
        <f>Master_Data!E466</f>
        <v>1</v>
      </c>
      <c r="F466">
        <f>Master_Data!F466</f>
        <v>9</v>
      </c>
      <c r="G466" t="b">
        <f>Master_Data!G466</f>
        <v>0</v>
      </c>
      <c r="H466">
        <f>Master_Data!H466</f>
        <v>5</v>
      </c>
      <c r="I466">
        <f>Master_Data!I466</f>
        <v>1</v>
      </c>
      <c r="J466">
        <f>Master_Data!J466</f>
        <v>0.2</v>
      </c>
      <c r="K466">
        <f>Master_Data!K466</f>
        <v>0.18179999999999999</v>
      </c>
      <c r="L466">
        <f>Master_Data!L466</f>
        <v>0.51</v>
      </c>
      <c r="M466">
        <f>Master_Data!M466</f>
        <v>0.35820000000000002</v>
      </c>
      <c r="N466">
        <f>Master_Data!N466</f>
        <v>7</v>
      </c>
      <c r="O466">
        <f>Master_Data!O466</f>
        <v>159</v>
      </c>
      <c r="P466">
        <f>Master_Data!P466</f>
        <v>166</v>
      </c>
      <c r="Q466" t="str">
        <f t="shared" si="42"/>
        <v>2011</v>
      </c>
      <c r="R466" t="str">
        <f t="shared" si="43"/>
        <v>January</v>
      </c>
      <c r="S466" t="str">
        <f t="shared" si="44"/>
        <v>Weekday</v>
      </c>
      <c r="T466" t="str">
        <f t="shared" si="45"/>
        <v>Morning</v>
      </c>
      <c r="U466" t="str">
        <f t="shared" si="46"/>
        <v>Spring</v>
      </c>
      <c r="V466" t="str">
        <f t="shared" si="47"/>
        <v>Clear</v>
      </c>
    </row>
    <row r="467" spans="1:22">
      <c r="A467">
        <f>Master_Data!A467</f>
        <v>466</v>
      </c>
      <c r="B467">
        <f>Master_Data!B467</f>
        <v>40564</v>
      </c>
      <c r="C467">
        <f>Master_Data!C467</f>
        <v>1</v>
      </c>
      <c r="D467">
        <f>Master_Data!D467</f>
        <v>0</v>
      </c>
      <c r="E467">
        <f>Master_Data!E467</f>
        <v>1</v>
      </c>
      <c r="F467">
        <f>Master_Data!F467</f>
        <v>10</v>
      </c>
      <c r="G467" t="b">
        <f>Master_Data!G467</f>
        <v>0</v>
      </c>
      <c r="H467">
        <f>Master_Data!H467</f>
        <v>5</v>
      </c>
      <c r="I467">
        <f>Master_Data!I467</f>
        <v>1</v>
      </c>
      <c r="J467">
        <f>Master_Data!J467</f>
        <v>0.2</v>
      </c>
      <c r="K467">
        <f>Master_Data!K467</f>
        <v>0.16669999999999999</v>
      </c>
      <c r="L467">
        <f>Master_Data!L467</f>
        <v>0.47</v>
      </c>
      <c r="M467">
        <f>Master_Data!M467</f>
        <v>0.4627</v>
      </c>
      <c r="N467">
        <f>Master_Data!N467</f>
        <v>6</v>
      </c>
      <c r="O467">
        <f>Master_Data!O467</f>
        <v>57</v>
      </c>
      <c r="P467">
        <f>Master_Data!P467</f>
        <v>63</v>
      </c>
      <c r="Q467" t="str">
        <f t="shared" si="42"/>
        <v>2011</v>
      </c>
      <c r="R467" t="str">
        <f t="shared" si="43"/>
        <v>January</v>
      </c>
      <c r="S467" t="str">
        <f t="shared" si="44"/>
        <v>Weekday</v>
      </c>
      <c r="T467" t="str">
        <f t="shared" si="45"/>
        <v>Morning</v>
      </c>
      <c r="U467" t="str">
        <f t="shared" si="46"/>
        <v>Spring</v>
      </c>
      <c r="V467" t="str">
        <f t="shared" si="47"/>
        <v>Clear</v>
      </c>
    </row>
    <row r="468" spans="1:22">
      <c r="A468">
        <f>Master_Data!A468</f>
        <v>467</v>
      </c>
      <c r="B468">
        <f>Master_Data!B468</f>
        <v>40564</v>
      </c>
      <c r="C468">
        <f>Master_Data!C468</f>
        <v>1</v>
      </c>
      <c r="D468">
        <f>Master_Data!D468</f>
        <v>0</v>
      </c>
      <c r="E468">
        <f>Master_Data!E468</f>
        <v>1</v>
      </c>
      <c r="F468">
        <f>Master_Data!F468</f>
        <v>11</v>
      </c>
      <c r="G468" t="b">
        <f>Master_Data!G468</f>
        <v>0</v>
      </c>
      <c r="H468">
        <f>Master_Data!H468</f>
        <v>5</v>
      </c>
      <c r="I468">
        <f>Master_Data!I468</f>
        <v>1</v>
      </c>
      <c r="J468">
        <f>Master_Data!J468</f>
        <v>0.22</v>
      </c>
      <c r="K468">
        <f>Master_Data!K468</f>
        <v>0.18179999999999999</v>
      </c>
      <c r="L468">
        <f>Master_Data!L468</f>
        <v>0.41</v>
      </c>
      <c r="M468">
        <f>Master_Data!M468</f>
        <v>0.4627</v>
      </c>
      <c r="N468">
        <f>Master_Data!N468</f>
        <v>6</v>
      </c>
      <c r="O468">
        <f>Master_Data!O468</f>
        <v>53</v>
      </c>
      <c r="P468">
        <f>Master_Data!P468</f>
        <v>59</v>
      </c>
      <c r="Q468" t="str">
        <f t="shared" si="42"/>
        <v>2011</v>
      </c>
      <c r="R468" t="str">
        <f t="shared" si="43"/>
        <v>January</v>
      </c>
      <c r="S468" t="str">
        <f t="shared" si="44"/>
        <v>Weekday</v>
      </c>
      <c r="T468" t="str">
        <f t="shared" si="45"/>
        <v>Morning</v>
      </c>
      <c r="U468" t="str">
        <f t="shared" si="46"/>
        <v>Spring</v>
      </c>
      <c r="V468" t="str">
        <f t="shared" si="47"/>
        <v>Clear</v>
      </c>
    </row>
    <row r="469" spans="1:22">
      <c r="A469">
        <f>Master_Data!A469</f>
        <v>468</v>
      </c>
      <c r="B469">
        <f>Master_Data!B469</f>
        <v>40564</v>
      </c>
      <c r="C469">
        <f>Master_Data!C469</f>
        <v>1</v>
      </c>
      <c r="D469">
        <f>Master_Data!D469</f>
        <v>0</v>
      </c>
      <c r="E469">
        <f>Master_Data!E469</f>
        <v>1</v>
      </c>
      <c r="F469">
        <f>Master_Data!F469</f>
        <v>12</v>
      </c>
      <c r="G469" t="b">
        <f>Master_Data!G469</f>
        <v>0</v>
      </c>
      <c r="H469">
        <f>Master_Data!H469</f>
        <v>5</v>
      </c>
      <c r="I469">
        <f>Master_Data!I469</f>
        <v>1</v>
      </c>
      <c r="J469">
        <f>Master_Data!J469</f>
        <v>0.22</v>
      </c>
      <c r="K469">
        <f>Master_Data!K469</f>
        <v>0.18179999999999999</v>
      </c>
      <c r="L469">
        <f>Master_Data!L469</f>
        <v>0.27</v>
      </c>
      <c r="M469">
        <f>Master_Data!M469</f>
        <v>0.58209999999999995</v>
      </c>
      <c r="N469">
        <f>Master_Data!N469</f>
        <v>11</v>
      </c>
      <c r="O469">
        <f>Master_Data!O469</f>
        <v>67</v>
      </c>
      <c r="P469">
        <f>Master_Data!P469</f>
        <v>78</v>
      </c>
      <c r="Q469" t="str">
        <f t="shared" si="42"/>
        <v>2011</v>
      </c>
      <c r="R469" t="str">
        <f t="shared" si="43"/>
        <v>January</v>
      </c>
      <c r="S469" t="str">
        <f t="shared" si="44"/>
        <v>Weekday</v>
      </c>
      <c r="T469" t="str">
        <f t="shared" si="45"/>
        <v>Afternoon</v>
      </c>
      <c r="U469" t="str">
        <f t="shared" si="46"/>
        <v>Spring</v>
      </c>
      <c r="V469" t="str">
        <f t="shared" si="47"/>
        <v>Clear</v>
      </c>
    </row>
    <row r="470" spans="1:22">
      <c r="A470">
        <f>Master_Data!A470</f>
        <v>469</v>
      </c>
      <c r="B470">
        <f>Master_Data!B470</f>
        <v>40564</v>
      </c>
      <c r="C470">
        <f>Master_Data!C470</f>
        <v>1</v>
      </c>
      <c r="D470">
        <f>Master_Data!D470</f>
        <v>0</v>
      </c>
      <c r="E470">
        <f>Master_Data!E470</f>
        <v>1</v>
      </c>
      <c r="F470">
        <f>Master_Data!F470</f>
        <v>13</v>
      </c>
      <c r="G470" t="b">
        <f>Master_Data!G470</f>
        <v>0</v>
      </c>
      <c r="H470">
        <f>Master_Data!H470</f>
        <v>5</v>
      </c>
      <c r="I470">
        <f>Master_Data!I470</f>
        <v>1</v>
      </c>
      <c r="J470">
        <f>Master_Data!J470</f>
        <v>0.2</v>
      </c>
      <c r="K470">
        <f>Master_Data!K470</f>
        <v>0.1515</v>
      </c>
      <c r="L470">
        <f>Master_Data!L470</f>
        <v>0.21</v>
      </c>
      <c r="M470">
        <f>Master_Data!M470</f>
        <v>0.58209999999999995</v>
      </c>
      <c r="N470">
        <f>Master_Data!N470</f>
        <v>8</v>
      </c>
      <c r="O470">
        <f>Master_Data!O470</f>
        <v>65</v>
      </c>
      <c r="P470">
        <f>Master_Data!P470</f>
        <v>73</v>
      </c>
      <c r="Q470" t="str">
        <f t="shared" si="42"/>
        <v>2011</v>
      </c>
      <c r="R470" t="str">
        <f t="shared" si="43"/>
        <v>January</v>
      </c>
      <c r="S470" t="str">
        <f t="shared" si="44"/>
        <v>Weekday</v>
      </c>
      <c r="T470" t="str">
        <f t="shared" si="45"/>
        <v>Afternoon</v>
      </c>
      <c r="U470" t="str">
        <f t="shared" si="46"/>
        <v>Spring</v>
      </c>
      <c r="V470" t="str">
        <f t="shared" si="47"/>
        <v>Clear</v>
      </c>
    </row>
    <row r="471" spans="1:22">
      <c r="A471">
        <f>Master_Data!A471</f>
        <v>470</v>
      </c>
      <c r="B471">
        <f>Master_Data!B471</f>
        <v>40564</v>
      </c>
      <c r="C471">
        <f>Master_Data!C471</f>
        <v>1</v>
      </c>
      <c r="D471">
        <f>Master_Data!D471</f>
        <v>0</v>
      </c>
      <c r="E471">
        <f>Master_Data!E471</f>
        <v>1</v>
      </c>
      <c r="F471">
        <f>Master_Data!F471</f>
        <v>14</v>
      </c>
      <c r="G471" t="b">
        <f>Master_Data!G471</f>
        <v>0</v>
      </c>
      <c r="H471">
        <f>Master_Data!H471</f>
        <v>5</v>
      </c>
      <c r="I471">
        <f>Master_Data!I471</f>
        <v>1</v>
      </c>
      <c r="J471">
        <f>Master_Data!J471</f>
        <v>0.2</v>
      </c>
      <c r="K471">
        <f>Master_Data!K471</f>
        <v>0.1515</v>
      </c>
      <c r="L471">
        <f>Master_Data!L471</f>
        <v>0.25</v>
      </c>
      <c r="M471">
        <f>Master_Data!M471</f>
        <v>0.52239999999999998</v>
      </c>
      <c r="N471">
        <f>Master_Data!N471</f>
        <v>6</v>
      </c>
      <c r="O471">
        <f>Master_Data!O471</f>
        <v>56</v>
      </c>
      <c r="P471">
        <f>Master_Data!P471</f>
        <v>62</v>
      </c>
      <c r="Q471" t="str">
        <f t="shared" si="42"/>
        <v>2011</v>
      </c>
      <c r="R471" t="str">
        <f t="shared" si="43"/>
        <v>January</v>
      </c>
      <c r="S471" t="str">
        <f t="shared" si="44"/>
        <v>Weekday</v>
      </c>
      <c r="T471" t="str">
        <f t="shared" si="45"/>
        <v>Afternoon</v>
      </c>
      <c r="U471" t="str">
        <f t="shared" si="46"/>
        <v>Spring</v>
      </c>
      <c r="V471" t="str">
        <f t="shared" si="47"/>
        <v>Clear</v>
      </c>
    </row>
    <row r="472" spans="1:22">
      <c r="A472">
        <f>Master_Data!A472</f>
        <v>471</v>
      </c>
      <c r="B472">
        <f>Master_Data!B472</f>
        <v>40564</v>
      </c>
      <c r="C472">
        <f>Master_Data!C472</f>
        <v>1</v>
      </c>
      <c r="D472">
        <f>Master_Data!D472</f>
        <v>0</v>
      </c>
      <c r="E472">
        <f>Master_Data!E472</f>
        <v>1</v>
      </c>
      <c r="F472">
        <f>Master_Data!F472</f>
        <v>15</v>
      </c>
      <c r="G472" t="b">
        <f>Master_Data!G472</f>
        <v>0</v>
      </c>
      <c r="H472">
        <f>Master_Data!H472</f>
        <v>5</v>
      </c>
      <c r="I472">
        <f>Master_Data!I472</f>
        <v>1</v>
      </c>
      <c r="J472">
        <f>Master_Data!J472</f>
        <v>0.16</v>
      </c>
      <c r="K472">
        <f>Master_Data!K472</f>
        <v>0.1212</v>
      </c>
      <c r="L472">
        <f>Master_Data!L472</f>
        <v>0.26</v>
      </c>
      <c r="M472">
        <f>Master_Data!M472</f>
        <v>0.44779999999999998</v>
      </c>
      <c r="N472">
        <f>Master_Data!N472</f>
        <v>4</v>
      </c>
      <c r="O472">
        <f>Master_Data!O472</f>
        <v>61</v>
      </c>
      <c r="P472">
        <f>Master_Data!P472</f>
        <v>65</v>
      </c>
      <c r="Q472" t="str">
        <f t="shared" si="42"/>
        <v>2011</v>
      </c>
      <c r="R472" t="str">
        <f t="shared" si="43"/>
        <v>January</v>
      </c>
      <c r="S472" t="str">
        <f t="shared" si="44"/>
        <v>Weekday</v>
      </c>
      <c r="T472" t="str">
        <f t="shared" si="45"/>
        <v>Afternoon</v>
      </c>
      <c r="U472" t="str">
        <f t="shared" si="46"/>
        <v>Spring</v>
      </c>
      <c r="V472" t="str">
        <f t="shared" si="47"/>
        <v>Clear</v>
      </c>
    </row>
    <row r="473" spans="1:22">
      <c r="A473">
        <f>Master_Data!A473</f>
        <v>472</v>
      </c>
      <c r="B473">
        <f>Master_Data!B473</f>
        <v>40564</v>
      </c>
      <c r="C473">
        <f>Master_Data!C473</f>
        <v>1</v>
      </c>
      <c r="D473">
        <f>Master_Data!D473</f>
        <v>0</v>
      </c>
      <c r="E473">
        <f>Master_Data!E473</f>
        <v>1</v>
      </c>
      <c r="F473">
        <f>Master_Data!F473</f>
        <v>16</v>
      </c>
      <c r="G473" t="b">
        <f>Master_Data!G473</f>
        <v>0</v>
      </c>
      <c r="H473">
        <f>Master_Data!H473</f>
        <v>5</v>
      </c>
      <c r="I473">
        <f>Master_Data!I473</f>
        <v>1</v>
      </c>
      <c r="J473">
        <f>Master_Data!J473</f>
        <v>0.16</v>
      </c>
      <c r="K473">
        <f>Master_Data!K473</f>
        <v>0.13639999999999999</v>
      </c>
      <c r="L473">
        <f>Master_Data!L473</f>
        <v>0.26</v>
      </c>
      <c r="M473">
        <f>Master_Data!M473</f>
        <v>0.35820000000000002</v>
      </c>
      <c r="N473">
        <f>Master_Data!N473</f>
        <v>0</v>
      </c>
      <c r="O473">
        <f>Master_Data!O473</f>
        <v>97</v>
      </c>
      <c r="P473">
        <f>Master_Data!P473</f>
        <v>97</v>
      </c>
      <c r="Q473" t="str">
        <f t="shared" si="42"/>
        <v>2011</v>
      </c>
      <c r="R473" t="str">
        <f t="shared" si="43"/>
        <v>January</v>
      </c>
      <c r="S473" t="str">
        <f t="shared" si="44"/>
        <v>Weekday</v>
      </c>
      <c r="T473" t="str">
        <f t="shared" si="45"/>
        <v>Afternoon</v>
      </c>
      <c r="U473" t="str">
        <f t="shared" si="46"/>
        <v>Spring</v>
      </c>
      <c r="V473" t="str">
        <f t="shared" si="47"/>
        <v>Clear</v>
      </c>
    </row>
    <row r="474" spans="1:22">
      <c r="A474">
        <f>Master_Data!A474</f>
        <v>473</v>
      </c>
      <c r="B474">
        <f>Master_Data!B474</f>
        <v>40564</v>
      </c>
      <c r="C474">
        <f>Master_Data!C474</f>
        <v>1</v>
      </c>
      <c r="D474">
        <f>Master_Data!D474</f>
        <v>0</v>
      </c>
      <c r="E474">
        <f>Master_Data!E474</f>
        <v>1</v>
      </c>
      <c r="F474">
        <f>Master_Data!F474</f>
        <v>17</v>
      </c>
      <c r="G474" t="b">
        <f>Master_Data!G474</f>
        <v>0</v>
      </c>
      <c r="H474">
        <f>Master_Data!H474</f>
        <v>5</v>
      </c>
      <c r="I474">
        <f>Master_Data!I474</f>
        <v>1</v>
      </c>
      <c r="J474">
        <f>Master_Data!J474</f>
        <v>0.14000000000000001</v>
      </c>
      <c r="K474">
        <f>Master_Data!K474</f>
        <v>0.1212</v>
      </c>
      <c r="L474">
        <f>Master_Data!L474</f>
        <v>0.28000000000000003</v>
      </c>
      <c r="M474">
        <f>Master_Data!M474</f>
        <v>0.35820000000000002</v>
      </c>
      <c r="N474">
        <f>Master_Data!N474</f>
        <v>10</v>
      </c>
      <c r="O474">
        <f>Master_Data!O474</f>
        <v>151</v>
      </c>
      <c r="P474">
        <f>Master_Data!P474</f>
        <v>161</v>
      </c>
      <c r="Q474" t="str">
        <f t="shared" si="42"/>
        <v>2011</v>
      </c>
      <c r="R474" t="str">
        <f t="shared" si="43"/>
        <v>January</v>
      </c>
      <c r="S474" t="str">
        <f t="shared" si="44"/>
        <v>Weekday</v>
      </c>
      <c r="T474" t="str">
        <f t="shared" si="45"/>
        <v>Evening</v>
      </c>
      <c r="U474" t="str">
        <f t="shared" si="46"/>
        <v>Spring</v>
      </c>
      <c r="V474" t="str">
        <f t="shared" si="47"/>
        <v>Clear</v>
      </c>
    </row>
    <row r="475" spans="1:22">
      <c r="A475">
        <f>Master_Data!A475</f>
        <v>474</v>
      </c>
      <c r="B475">
        <f>Master_Data!B475</f>
        <v>40564</v>
      </c>
      <c r="C475">
        <f>Master_Data!C475</f>
        <v>1</v>
      </c>
      <c r="D475">
        <f>Master_Data!D475</f>
        <v>0</v>
      </c>
      <c r="E475">
        <f>Master_Data!E475</f>
        <v>1</v>
      </c>
      <c r="F475">
        <f>Master_Data!F475</f>
        <v>18</v>
      </c>
      <c r="G475" t="b">
        <f>Master_Data!G475</f>
        <v>0</v>
      </c>
      <c r="H475">
        <f>Master_Data!H475</f>
        <v>5</v>
      </c>
      <c r="I475">
        <f>Master_Data!I475</f>
        <v>1</v>
      </c>
      <c r="J475">
        <f>Master_Data!J475</f>
        <v>0.12</v>
      </c>
      <c r="K475">
        <f>Master_Data!K475</f>
        <v>0.1212</v>
      </c>
      <c r="L475">
        <f>Master_Data!L475</f>
        <v>0.3</v>
      </c>
      <c r="M475">
        <f>Master_Data!M475</f>
        <v>0.25369999999999998</v>
      </c>
      <c r="N475">
        <f>Master_Data!N475</f>
        <v>1</v>
      </c>
      <c r="O475">
        <f>Master_Data!O475</f>
        <v>119</v>
      </c>
      <c r="P475">
        <f>Master_Data!P475</f>
        <v>120</v>
      </c>
      <c r="Q475" t="str">
        <f t="shared" si="42"/>
        <v>2011</v>
      </c>
      <c r="R475" t="str">
        <f t="shared" si="43"/>
        <v>January</v>
      </c>
      <c r="S475" t="str">
        <f t="shared" si="44"/>
        <v>Weekday</v>
      </c>
      <c r="T475" t="str">
        <f t="shared" si="45"/>
        <v>Evening</v>
      </c>
      <c r="U475" t="str">
        <f t="shared" si="46"/>
        <v>Spring</v>
      </c>
      <c r="V475" t="str">
        <f t="shared" si="47"/>
        <v>Clear</v>
      </c>
    </row>
    <row r="476" spans="1:22">
      <c r="A476">
        <f>Master_Data!A476</f>
        <v>475</v>
      </c>
      <c r="B476">
        <f>Master_Data!B476</f>
        <v>40564</v>
      </c>
      <c r="C476">
        <f>Master_Data!C476</f>
        <v>1</v>
      </c>
      <c r="D476">
        <f>Master_Data!D476</f>
        <v>0</v>
      </c>
      <c r="E476">
        <f>Master_Data!E476</f>
        <v>1</v>
      </c>
      <c r="F476">
        <f>Master_Data!F476</f>
        <v>19</v>
      </c>
      <c r="G476" t="b">
        <f>Master_Data!G476</f>
        <v>0</v>
      </c>
      <c r="H476">
        <f>Master_Data!H476</f>
        <v>5</v>
      </c>
      <c r="I476">
        <f>Master_Data!I476</f>
        <v>1</v>
      </c>
      <c r="J476">
        <f>Master_Data!J476</f>
        <v>0.12</v>
      </c>
      <c r="K476">
        <f>Master_Data!K476</f>
        <v>0.1061</v>
      </c>
      <c r="L476">
        <f>Master_Data!L476</f>
        <v>0.3</v>
      </c>
      <c r="M476">
        <f>Master_Data!M476</f>
        <v>0.32840000000000003</v>
      </c>
      <c r="N476">
        <f>Master_Data!N476</f>
        <v>3</v>
      </c>
      <c r="O476">
        <f>Master_Data!O476</f>
        <v>93</v>
      </c>
      <c r="P476">
        <f>Master_Data!P476</f>
        <v>96</v>
      </c>
      <c r="Q476" t="str">
        <f t="shared" si="42"/>
        <v>2011</v>
      </c>
      <c r="R476" t="str">
        <f t="shared" si="43"/>
        <v>January</v>
      </c>
      <c r="S476" t="str">
        <f t="shared" si="44"/>
        <v>Weekday</v>
      </c>
      <c r="T476" t="str">
        <f t="shared" si="45"/>
        <v>Evening</v>
      </c>
      <c r="U476" t="str">
        <f t="shared" si="46"/>
        <v>Spring</v>
      </c>
      <c r="V476" t="str">
        <f t="shared" si="47"/>
        <v>Clear</v>
      </c>
    </row>
    <row r="477" spans="1:22">
      <c r="A477">
        <f>Master_Data!A477</f>
        <v>476</v>
      </c>
      <c r="B477">
        <f>Master_Data!B477</f>
        <v>40564</v>
      </c>
      <c r="C477">
        <f>Master_Data!C477</f>
        <v>1</v>
      </c>
      <c r="D477">
        <f>Master_Data!D477</f>
        <v>0</v>
      </c>
      <c r="E477">
        <f>Master_Data!E477</f>
        <v>1</v>
      </c>
      <c r="F477">
        <f>Master_Data!F477</f>
        <v>20</v>
      </c>
      <c r="G477" t="b">
        <f>Master_Data!G477</f>
        <v>0</v>
      </c>
      <c r="H477">
        <f>Master_Data!H477</f>
        <v>5</v>
      </c>
      <c r="I477">
        <f>Master_Data!I477</f>
        <v>1</v>
      </c>
      <c r="J477">
        <f>Master_Data!J477</f>
        <v>0.1</v>
      </c>
      <c r="K477">
        <f>Master_Data!K477</f>
        <v>7.5800000000000006E-2</v>
      </c>
      <c r="L477">
        <f>Master_Data!L477</f>
        <v>0.33</v>
      </c>
      <c r="M477">
        <f>Master_Data!M477</f>
        <v>0.41789999999999999</v>
      </c>
      <c r="N477">
        <f>Master_Data!N477</f>
        <v>1</v>
      </c>
      <c r="O477">
        <f>Master_Data!O477</f>
        <v>52</v>
      </c>
      <c r="P477">
        <f>Master_Data!P477</f>
        <v>53</v>
      </c>
      <c r="Q477" t="str">
        <f t="shared" si="42"/>
        <v>2011</v>
      </c>
      <c r="R477" t="str">
        <f t="shared" si="43"/>
        <v>January</v>
      </c>
      <c r="S477" t="str">
        <f t="shared" si="44"/>
        <v>Weekday</v>
      </c>
      <c r="T477" t="str">
        <f t="shared" si="45"/>
        <v>Evening</v>
      </c>
      <c r="U477" t="str">
        <f t="shared" si="46"/>
        <v>Spring</v>
      </c>
      <c r="V477" t="str">
        <f t="shared" si="47"/>
        <v>Clear</v>
      </c>
    </row>
    <row r="478" spans="1:22">
      <c r="A478">
        <f>Master_Data!A478</f>
        <v>477</v>
      </c>
      <c r="B478">
        <f>Master_Data!B478</f>
        <v>40564</v>
      </c>
      <c r="C478">
        <f>Master_Data!C478</f>
        <v>1</v>
      </c>
      <c r="D478">
        <f>Master_Data!D478</f>
        <v>0</v>
      </c>
      <c r="E478">
        <f>Master_Data!E478</f>
        <v>1</v>
      </c>
      <c r="F478">
        <f>Master_Data!F478</f>
        <v>21</v>
      </c>
      <c r="G478" t="b">
        <f>Master_Data!G478</f>
        <v>0</v>
      </c>
      <c r="H478">
        <f>Master_Data!H478</f>
        <v>5</v>
      </c>
      <c r="I478">
        <f>Master_Data!I478</f>
        <v>1</v>
      </c>
      <c r="J478">
        <f>Master_Data!J478</f>
        <v>0.08</v>
      </c>
      <c r="K478">
        <f>Master_Data!K478</f>
        <v>7.5800000000000006E-2</v>
      </c>
      <c r="L478">
        <f>Master_Data!L478</f>
        <v>0.38</v>
      </c>
      <c r="M478">
        <f>Master_Data!M478</f>
        <v>0.28360000000000002</v>
      </c>
      <c r="N478">
        <f>Master_Data!N478</f>
        <v>0</v>
      </c>
      <c r="O478">
        <f>Master_Data!O478</f>
        <v>41</v>
      </c>
      <c r="P478">
        <f>Master_Data!P478</f>
        <v>41</v>
      </c>
      <c r="Q478" t="str">
        <f t="shared" si="42"/>
        <v>2011</v>
      </c>
      <c r="R478" t="str">
        <f t="shared" si="43"/>
        <v>January</v>
      </c>
      <c r="S478" t="str">
        <f t="shared" si="44"/>
        <v>Weekday</v>
      </c>
      <c r="T478" t="str">
        <f t="shared" si="45"/>
        <v>Night</v>
      </c>
      <c r="U478" t="str">
        <f t="shared" si="46"/>
        <v>Spring</v>
      </c>
      <c r="V478" t="str">
        <f t="shared" si="47"/>
        <v>Clear</v>
      </c>
    </row>
    <row r="479" spans="1:22">
      <c r="A479">
        <f>Master_Data!A479</f>
        <v>478</v>
      </c>
      <c r="B479">
        <f>Master_Data!B479</f>
        <v>40564</v>
      </c>
      <c r="C479">
        <f>Master_Data!C479</f>
        <v>1</v>
      </c>
      <c r="D479">
        <f>Master_Data!D479</f>
        <v>0</v>
      </c>
      <c r="E479">
        <f>Master_Data!E479</f>
        <v>1</v>
      </c>
      <c r="F479">
        <f>Master_Data!F479</f>
        <v>22</v>
      </c>
      <c r="G479" t="b">
        <f>Master_Data!G479</f>
        <v>0</v>
      </c>
      <c r="H479">
        <f>Master_Data!H479</f>
        <v>5</v>
      </c>
      <c r="I479">
        <f>Master_Data!I479</f>
        <v>1</v>
      </c>
      <c r="J479">
        <f>Master_Data!J479</f>
        <v>0.06</v>
      </c>
      <c r="K479">
        <f>Master_Data!K479</f>
        <v>3.0300000000000001E-2</v>
      </c>
      <c r="L479">
        <f>Master_Data!L479</f>
        <v>0.41</v>
      </c>
      <c r="M479">
        <f>Master_Data!M479</f>
        <v>0.3881</v>
      </c>
      <c r="N479">
        <f>Master_Data!N479</f>
        <v>1</v>
      </c>
      <c r="O479">
        <f>Master_Data!O479</f>
        <v>33</v>
      </c>
      <c r="P479">
        <f>Master_Data!P479</f>
        <v>34</v>
      </c>
      <c r="Q479" t="str">
        <f t="shared" si="42"/>
        <v>2011</v>
      </c>
      <c r="R479" t="str">
        <f t="shared" si="43"/>
        <v>January</v>
      </c>
      <c r="S479" t="str">
        <f t="shared" si="44"/>
        <v>Weekday</v>
      </c>
      <c r="T479" t="str">
        <f t="shared" si="45"/>
        <v>Night</v>
      </c>
      <c r="U479" t="str">
        <f t="shared" si="46"/>
        <v>Spring</v>
      </c>
      <c r="V479" t="str">
        <f t="shared" si="47"/>
        <v>Clear</v>
      </c>
    </row>
    <row r="480" spans="1:22">
      <c r="A480">
        <f>Master_Data!A480</f>
        <v>479</v>
      </c>
      <c r="B480">
        <f>Master_Data!B480</f>
        <v>40564</v>
      </c>
      <c r="C480">
        <f>Master_Data!C480</f>
        <v>1</v>
      </c>
      <c r="D480">
        <f>Master_Data!D480</f>
        <v>0</v>
      </c>
      <c r="E480">
        <f>Master_Data!E480</f>
        <v>1</v>
      </c>
      <c r="F480">
        <f>Master_Data!F480</f>
        <v>23</v>
      </c>
      <c r="G480" t="b">
        <f>Master_Data!G480</f>
        <v>0</v>
      </c>
      <c r="H480">
        <f>Master_Data!H480</f>
        <v>5</v>
      </c>
      <c r="I480">
        <f>Master_Data!I480</f>
        <v>1</v>
      </c>
      <c r="J480">
        <f>Master_Data!J480</f>
        <v>0.06</v>
      </c>
      <c r="K480">
        <f>Master_Data!K480</f>
        <v>4.5499999999999999E-2</v>
      </c>
      <c r="L480">
        <f>Master_Data!L480</f>
        <v>0.38</v>
      </c>
      <c r="M480">
        <f>Master_Data!M480</f>
        <v>0.32840000000000003</v>
      </c>
      <c r="N480">
        <f>Master_Data!N480</f>
        <v>0</v>
      </c>
      <c r="O480">
        <f>Master_Data!O480</f>
        <v>27</v>
      </c>
      <c r="P480">
        <f>Master_Data!P480</f>
        <v>27</v>
      </c>
      <c r="Q480" t="str">
        <f t="shared" si="42"/>
        <v>2011</v>
      </c>
      <c r="R480" t="str">
        <f t="shared" si="43"/>
        <v>January</v>
      </c>
      <c r="S480" t="str">
        <f t="shared" si="44"/>
        <v>Weekday</v>
      </c>
      <c r="T480" t="str">
        <f t="shared" si="45"/>
        <v>Night</v>
      </c>
      <c r="U480" t="str">
        <f t="shared" si="46"/>
        <v>Spring</v>
      </c>
      <c r="V480" t="str">
        <f t="shared" si="47"/>
        <v>Clear</v>
      </c>
    </row>
    <row r="481" spans="1:22">
      <c r="A481">
        <f>Master_Data!A481</f>
        <v>480</v>
      </c>
      <c r="B481">
        <f>Master_Data!B481</f>
        <v>40565</v>
      </c>
      <c r="C481">
        <f>Master_Data!C481</f>
        <v>1</v>
      </c>
      <c r="D481">
        <f>Master_Data!D481</f>
        <v>0</v>
      </c>
      <c r="E481">
        <f>Master_Data!E481</f>
        <v>1</v>
      </c>
      <c r="F481">
        <f>Master_Data!F481</f>
        <v>0</v>
      </c>
      <c r="G481" t="b">
        <f>Master_Data!G481</f>
        <v>0</v>
      </c>
      <c r="H481">
        <f>Master_Data!H481</f>
        <v>6</v>
      </c>
      <c r="I481">
        <f>Master_Data!I481</f>
        <v>1</v>
      </c>
      <c r="J481">
        <f>Master_Data!J481</f>
        <v>0.04</v>
      </c>
      <c r="K481">
        <f>Master_Data!K481</f>
        <v>3.0300000000000001E-2</v>
      </c>
      <c r="L481">
        <f>Master_Data!L481</f>
        <v>0.45</v>
      </c>
      <c r="M481">
        <f>Master_Data!M481</f>
        <v>0.25369999999999998</v>
      </c>
      <c r="N481">
        <f>Master_Data!N481</f>
        <v>0</v>
      </c>
      <c r="O481">
        <f>Master_Data!O481</f>
        <v>13</v>
      </c>
      <c r="P481">
        <f>Master_Data!P481</f>
        <v>13</v>
      </c>
      <c r="Q481" t="str">
        <f t="shared" si="42"/>
        <v>2011</v>
      </c>
      <c r="R481" t="str">
        <f t="shared" si="43"/>
        <v>January</v>
      </c>
      <c r="S481" t="str">
        <f t="shared" si="44"/>
        <v>Saturday</v>
      </c>
      <c r="T481" t="str">
        <f t="shared" si="45"/>
        <v>Night</v>
      </c>
      <c r="U481" t="str">
        <f t="shared" si="46"/>
        <v>Spring</v>
      </c>
      <c r="V481" t="str">
        <f t="shared" si="47"/>
        <v>Clear</v>
      </c>
    </row>
    <row r="482" spans="1:22">
      <c r="A482">
        <f>Master_Data!A482</f>
        <v>481</v>
      </c>
      <c r="B482">
        <f>Master_Data!B482</f>
        <v>40565</v>
      </c>
      <c r="C482">
        <f>Master_Data!C482</f>
        <v>1</v>
      </c>
      <c r="D482">
        <f>Master_Data!D482</f>
        <v>0</v>
      </c>
      <c r="E482">
        <f>Master_Data!E482</f>
        <v>1</v>
      </c>
      <c r="F482">
        <f>Master_Data!F482</f>
        <v>1</v>
      </c>
      <c r="G482" t="b">
        <f>Master_Data!G482</f>
        <v>0</v>
      </c>
      <c r="H482">
        <f>Master_Data!H482</f>
        <v>6</v>
      </c>
      <c r="I482">
        <f>Master_Data!I482</f>
        <v>2</v>
      </c>
      <c r="J482">
        <f>Master_Data!J482</f>
        <v>0.04</v>
      </c>
      <c r="K482">
        <f>Master_Data!K482</f>
        <v>0</v>
      </c>
      <c r="L482">
        <f>Master_Data!L482</f>
        <v>0.41</v>
      </c>
      <c r="M482">
        <f>Master_Data!M482</f>
        <v>0.3881</v>
      </c>
      <c r="N482">
        <f>Master_Data!N482</f>
        <v>3</v>
      </c>
      <c r="O482">
        <f>Master_Data!O482</f>
        <v>9</v>
      </c>
      <c r="P482">
        <f>Master_Data!P482</f>
        <v>12</v>
      </c>
      <c r="Q482" t="str">
        <f t="shared" si="42"/>
        <v>2011</v>
      </c>
      <c r="R482" t="str">
        <f t="shared" si="43"/>
        <v>January</v>
      </c>
      <c r="S482" t="str">
        <f t="shared" si="44"/>
        <v>Saturday</v>
      </c>
      <c r="T482" t="str">
        <f t="shared" si="45"/>
        <v>Night</v>
      </c>
      <c r="U482" t="str">
        <f t="shared" si="46"/>
        <v>Spring</v>
      </c>
      <c r="V482" t="str">
        <f t="shared" si="47"/>
        <v>Mist/Cloudy</v>
      </c>
    </row>
    <row r="483" spans="1:22">
      <c r="A483">
        <f>Master_Data!A483</f>
        <v>482</v>
      </c>
      <c r="B483">
        <f>Master_Data!B483</f>
        <v>40565</v>
      </c>
      <c r="C483">
        <f>Master_Data!C483</f>
        <v>1</v>
      </c>
      <c r="D483">
        <f>Master_Data!D483</f>
        <v>0</v>
      </c>
      <c r="E483">
        <f>Master_Data!E483</f>
        <v>1</v>
      </c>
      <c r="F483">
        <f>Master_Data!F483</f>
        <v>2</v>
      </c>
      <c r="G483" t="b">
        <f>Master_Data!G483</f>
        <v>0</v>
      </c>
      <c r="H483">
        <f>Master_Data!H483</f>
        <v>6</v>
      </c>
      <c r="I483">
        <f>Master_Data!I483</f>
        <v>2</v>
      </c>
      <c r="J483">
        <f>Master_Data!J483</f>
        <v>0.04</v>
      </c>
      <c r="K483">
        <f>Master_Data!K483</f>
        <v>3.0300000000000001E-2</v>
      </c>
      <c r="L483">
        <f>Master_Data!L483</f>
        <v>0.41</v>
      </c>
      <c r="M483">
        <f>Master_Data!M483</f>
        <v>0.25369999999999998</v>
      </c>
      <c r="N483">
        <f>Master_Data!N483</f>
        <v>0</v>
      </c>
      <c r="O483">
        <f>Master_Data!O483</f>
        <v>11</v>
      </c>
      <c r="P483">
        <f>Master_Data!P483</f>
        <v>11</v>
      </c>
      <c r="Q483" t="str">
        <f t="shared" si="42"/>
        <v>2011</v>
      </c>
      <c r="R483" t="str">
        <f t="shared" si="43"/>
        <v>January</v>
      </c>
      <c r="S483" t="str">
        <f t="shared" si="44"/>
        <v>Saturday</v>
      </c>
      <c r="T483" t="str">
        <f t="shared" si="45"/>
        <v>Night</v>
      </c>
      <c r="U483" t="str">
        <f t="shared" si="46"/>
        <v>Spring</v>
      </c>
      <c r="V483" t="str">
        <f t="shared" si="47"/>
        <v>Mist/Cloudy</v>
      </c>
    </row>
    <row r="484" spans="1:22">
      <c r="A484">
        <f>Master_Data!A484</f>
        <v>483</v>
      </c>
      <c r="B484">
        <f>Master_Data!B484</f>
        <v>40565</v>
      </c>
      <c r="C484">
        <f>Master_Data!C484</f>
        <v>1</v>
      </c>
      <c r="D484">
        <f>Master_Data!D484</f>
        <v>0</v>
      </c>
      <c r="E484">
        <f>Master_Data!E484</f>
        <v>1</v>
      </c>
      <c r="F484">
        <f>Master_Data!F484</f>
        <v>3</v>
      </c>
      <c r="G484" t="b">
        <f>Master_Data!G484</f>
        <v>0</v>
      </c>
      <c r="H484">
        <f>Master_Data!H484</f>
        <v>6</v>
      </c>
      <c r="I484">
        <f>Master_Data!I484</f>
        <v>2</v>
      </c>
      <c r="J484">
        <f>Master_Data!J484</f>
        <v>0.04</v>
      </c>
      <c r="K484">
        <f>Master_Data!K484</f>
        <v>3.0300000000000001E-2</v>
      </c>
      <c r="L484">
        <f>Master_Data!L484</f>
        <v>0.41</v>
      </c>
      <c r="M484">
        <f>Master_Data!M484</f>
        <v>0.28360000000000002</v>
      </c>
      <c r="N484">
        <f>Master_Data!N484</f>
        <v>1</v>
      </c>
      <c r="O484">
        <f>Master_Data!O484</f>
        <v>6</v>
      </c>
      <c r="P484">
        <f>Master_Data!P484</f>
        <v>7</v>
      </c>
      <c r="Q484" t="str">
        <f t="shared" si="42"/>
        <v>2011</v>
      </c>
      <c r="R484" t="str">
        <f t="shared" si="43"/>
        <v>January</v>
      </c>
      <c r="S484" t="str">
        <f t="shared" si="44"/>
        <v>Saturday</v>
      </c>
      <c r="T484" t="str">
        <f t="shared" si="45"/>
        <v>Night</v>
      </c>
      <c r="U484" t="str">
        <f t="shared" si="46"/>
        <v>Spring</v>
      </c>
      <c r="V484" t="str">
        <f t="shared" si="47"/>
        <v>Mist/Cloudy</v>
      </c>
    </row>
    <row r="485" spans="1:22">
      <c r="A485">
        <f>Master_Data!A485</f>
        <v>484</v>
      </c>
      <c r="B485">
        <f>Master_Data!B485</f>
        <v>40565</v>
      </c>
      <c r="C485">
        <f>Master_Data!C485</f>
        <v>1</v>
      </c>
      <c r="D485">
        <f>Master_Data!D485</f>
        <v>0</v>
      </c>
      <c r="E485">
        <f>Master_Data!E485</f>
        <v>1</v>
      </c>
      <c r="F485">
        <f>Master_Data!F485</f>
        <v>4</v>
      </c>
      <c r="G485" t="b">
        <f>Master_Data!G485</f>
        <v>0</v>
      </c>
      <c r="H485">
        <f>Master_Data!H485</f>
        <v>6</v>
      </c>
      <c r="I485">
        <f>Master_Data!I485</f>
        <v>2</v>
      </c>
      <c r="J485">
        <f>Master_Data!J485</f>
        <v>0.02</v>
      </c>
      <c r="K485">
        <f>Master_Data!K485</f>
        <v>1.52E-2</v>
      </c>
      <c r="L485">
        <f>Master_Data!L485</f>
        <v>0.48</v>
      </c>
      <c r="M485">
        <f>Master_Data!M485</f>
        <v>0.29849999999999999</v>
      </c>
      <c r="N485">
        <f>Master_Data!N485</f>
        <v>0</v>
      </c>
      <c r="O485">
        <f>Master_Data!O485</f>
        <v>3</v>
      </c>
      <c r="P485">
        <f>Master_Data!P485</f>
        <v>3</v>
      </c>
      <c r="Q485" t="str">
        <f t="shared" si="42"/>
        <v>2011</v>
      </c>
      <c r="R485" t="str">
        <f t="shared" si="43"/>
        <v>January</v>
      </c>
      <c r="S485" t="str">
        <f t="shared" si="44"/>
        <v>Saturday</v>
      </c>
      <c r="T485" t="str">
        <f t="shared" si="45"/>
        <v>Night</v>
      </c>
      <c r="U485" t="str">
        <f t="shared" si="46"/>
        <v>Spring</v>
      </c>
      <c r="V485" t="str">
        <f t="shared" si="47"/>
        <v>Mist/Cloudy</v>
      </c>
    </row>
    <row r="486" spans="1:22">
      <c r="A486">
        <f>Master_Data!A486</f>
        <v>485</v>
      </c>
      <c r="B486">
        <f>Master_Data!B486</f>
        <v>40565</v>
      </c>
      <c r="C486">
        <f>Master_Data!C486</f>
        <v>1</v>
      </c>
      <c r="D486">
        <f>Master_Data!D486</f>
        <v>0</v>
      </c>
      <c r="E486">
        <f>Master_Data!E486</f>
        <v>1</v>
      </c>
      <c r="F486">
        <f>Master_Data!F486</f>
        <v>6</v>
      </c>
      <c r="G486" t="b">
        <f>Master_Data!G486</f>
        <v>0</v>
      </c>
      <c r="H486">
        <f>Master_Data!H486</f>
        <v>6</v>
      </c>
      <c r="I486">
        <f>Master_Data!I486</f>
        <v>2</v>
      </c>
      <c r="J486">
        <f>Master_Data!J486</f>
        <v>0.02</v>
      </c>
      <c r="K486">
        <f>Master_Data!K486</f>
        <v>3.0300000000000001E-2</v>
      </c>
      <c r="L486">
        <f>Master_Data!L486</f>
        <v>0.44</v>
      </c>
      <c r="M486">
        <f>Master_Data!M486</f>
        <v>0.22389999999999999</v>
      </c>
      <c r="N486">
        <f>Master_Data!N486</f>
        <v>0</v>
      </c>
      <c r="O486">
        <f>Master_Data!O486</f>
        <v>2</v>
      </c>
      <c r="P486">
        <f>Master_Data!P486</f>
        <v>2</v>
      </c>
      <c r="Q486" t="str">
        <f t="shared" si="42"/>
        <v>2011</v>
      </c>
      <c r="R486" t="str">
        <f t="shared" si="43"/>
        <v>January</v>
      </c>
      <c r="S486" t="str">
        <f t="shared" si="44"/>
        <v>Saturday</v>
      </c>
      <c r="T486" t="str">
        <f t="shared" si="45"/>
        <v>Morning</v>
      </c>
      <c r="U486" t="str">
        <f t="shared" si="46"/>
        <v>Spring</v>
      </c>
      <c r="V486" t="str">
        <f t="shared" si="47"/>
        <v>Mist/Cloudy</v>
      </c>
    </row>
    <row r="487" spans="1:22">
      <c r="A487">
        <f>Master_Data!A487</f>
        <v>486</v>
      </c>
      <c r="B487">
        <f>Master_Data!B487</f>
        <v>40565</v>
      </c>
      <c r="C487">
        <f>Master_Data!C487</f>
        <v>1</v>
      </c>
      <c r="D487">
        <f>Master_Data!D487</f>
        <v>0</v>
      </c>
      <c r="E487">
        <f>Master_Data!E487</f>
        <v>1</v>
      </c>
      <c r="F487">
        <f>Master_Data!F487</f>
        <v>7</v>
      </c>
      <c r="G487" t="b">
        <f>Master_Data!G487</f>
        <v>0</v>
      </c>
      <c r="H487">
        <f>Master_Data!H487</f>
        <v>6</v>
      </c>
      <c r="I487">
        <f>Master_Data!I487</f>
        <v>1</v>
      </c>
      <c r="J487">
        <f>Master_Data!J487</f>
        <v>0.02</v>
      </c>
      <c r="K487">
        <f>Master_Data!K487</f>
        <v>1.52E-2</v>
      </c>
      <c r="L487">
        <f>Master_Data!L487</f>
        <v>0.44</v>
      </c>
      <c r="M487">
        <f>Master_Data!M487</f>
        <v>0.28360000000000002</v>
      </c>
      <c r="N487">
        <f>Master_Data!N487</f>
        <v>0</v>
      </c>
      <c r="O487">
        <f>Master_Data!O487</f>
        <v>8</v>
      </c>
      <c r="P487">
        <f>Master_Data!P487</f>
        <v>8</v>
      </c>
      <c r="Q487" t="str">
        <f t="shared" si="42"/>
        <v>2011</v>
      </c>
      <c r="R487" t="str">
        <f t="shared" si="43"/>
        <v>January</v>
      </c>
      <c r="S487" t="str">
        <f t="shared" si="44"/>
        <v>Saturday</v>
      </c>
      <c r="T487" t="str">
        <f t="shared" si="45"/>
        <v>Morning</v>
      </c>
      <c r="U487" t="str">
        <f t="shared" si="46"/>
        <v>Spring</v>
      </c>
      <c r="V487" t="str">
        <f t="shared" si="47"/>
        <v>Clear</v>
      </c>
    </row>
    <row r="488" spans="1:22">
      <c r="A488">
        <f>Master_Data!A488</f>
        <v>487</v>
      </c>
      <c r="B488">
        <f>Master_Data!B488</f>
        <v>40565</v>
      </c>
      <c r="C488">
        <f>Master_Data!C488</f>
        <v>1</v>
      </c>
      <c r="D488">
        <f>Master_Data!D488</f>
        <v>0</v>
      </c>
      <c r="E488">
        <f>Master_Data!E488</f>
        <v>1</v>
      </c>
      <c r="F488">
        <f>Master_Data!F488</f>
        <v>8</v>
      </c>
      <c r="G488" t="b">
        <f>Master_Data!G488</f>
        <v>0</v>
      </c>
      <c r="H488">
        <f>Master_Data!H488</f>
        <v>6</v>
      </c>
      <c r="I488">
        <f>Master_Data!I488</f>
        <v>1</v>
      </c>
      <c r="J488">
        <f>Master_Data!J488</f>
        <v>0.02</v>
      </c>
      <c r="K488">
        <f>Master_Data!K488</f>
        <v>0</v>
      </c>
      <c r="L488">
        <f>Master_Data!L488</f>
        <v>0.44</v>
      </c>
      <c r="M488">
        <f>Master_Data!M488</f>
        <v>0.32840000000000003</v>
      </c>
      <c r="N488">
        <f>Master_Data!N488</f>
        <v>1</v>
      </c>
      <c r="O488">
        <f>Master_Data!O488</f>
        <v>26</v>
      </c>
      <c r="P488">
        <f>Master_Data!P488</f>
        <v>27</v>
      </c>
      <c r="Q488" t="str">
        <f t="shared" si="42"/>
        <v>2011</v>
      </c>
      <c r="R488" t="str">
        <f t="shared" si="43"/>
        <v>January</v>
      </c>
      <c r="S488" t="str">
        <f t="shared" si="44"/>
        <v>Saturday</v>
      </c>
      <c r="T488" t="str">
        <f t="shared" si="45"/>
        <v>Morning</v>
      </c>
      <c r="U488" t="str">
        <f t="shared" si="46"/>
        <v>Spring</v>
      </c>
      <c r="V488" t="str">
        <f t="shared" si="47"/>
        <v>Clear</v>
      </c>
    </row>
    <row r="489" spans="1:22">
      <c r="A489">
        <f>Master_Data!A489</f>
        <v>488</v>
      </c>
      <c r="B489">
        <f>Master_Data!B489</f>
        <v>40565</v>
      </c>
      <c r="C489">
        <f>Master_Data!C489</f>
        <v>1</v>
      </c>
      <c r="D489">
        <f>Master_Data!D489</f>
        <v>0</v>
      </c>
      <c r="E489">
        <f>Master_Data!E489</f>
        <v>1</v>
      </c>
      <c r="F489">
        <f>Master_Data!F489</f>
        <v>9</v>
      </c>
      <c r="G489" t="b">
        <f>Master_Data!G489</f>
        <v>0</v>
      </c>
      <c r="H489">
        <f>Master_Data!H489</f>
        <v>6</v>
      </c>
      <c r="I489">
        <f>Master_Data!I489</f>
        <v>1</v>
      </c>
      <c r="J489">
        <f>Master_Data!J489</f>
        <v>0.04</v>
      </c>
      <c r="K489">
        <f>Master_Data!K489</f>
        <v>3.0300000000000001E-2</v>
      </c>
      <c r="L489">
        <f>Master_Data!L489</f>
        <v>0.41</v>
      </c>
      <c r="M489">
        <f>Master_Data!M489</f>
        <v>0.25369999999999998</v>
      </c>
      <c r="N489">
        <f>Master_Data!N489</f>
        <v>3</v>
      </c>
      <c r="O489">
        <f>Master_Data!O489</f>
        <v>37</v>
      </c>
      <c r="P489">
        <f>Master_Data!P489</f>
        <v>40</v>
      </c>
      <c r="Q489" t="str">
        <f t="shared" si="42"/>
        <v>2011</v>
      </c>
      <c r="R489" t="str">
        <f t="shared" si="43"/>
        <v>January</v>
      </c>
      <c r="S489" t="str">
        <f t="shared" si="44"/>
        <v>Saturday</v>
      </c>
      <c r="T489" t="str">
        <f t="shared" si="45"/>
        <v>Morning</v>
      </c>
      <c r="U489" t="str">
        <f t="shared" si="46"/>
        <v>Spring</v>
      </c>
      <c r="V489" t="str">
        <f t="shared" si="47"/>
        <v>Clear</v>
      </c>
    </row>
    <row r="490" spans="1:22">
      <c r="A490">
        <f>Master_Data!A490</f>
        <v>489</v>
      </c>
      <c r="B490">
        <f>Master_Data!B490</f>
        <v>40565</v>
      </c>
      <c r="C490">
        <f>Master_Data!C490</f>
        <v>1</v>
      </c>
      <c r="D490">
        <f>Master_Data!D490</f>
        <v>0</v>
      </c>
      <c r="E490">
        <f>Master_Data!E490</f>
        <v>1</v>
      </c>
      <c r="F490">
        <f>Master_Data!F490</f>
        <v>10</v>
      </c>
      <c r="G490" t="b">
        <f>Master_Data!G490</f>
        <v>0</v>
      </c>
      <c r="H490">
        <f>Master_Data!H490</f>
        <v>6</v>
      </c>
      <c r="I490">
        <f>Master_Data!I490</f>
        <v>2</v>
      </c>
      <c r="J490">
        <f>Master_Data!J490</f>
        <v>0.04</v>
      </c>
      <c r="K490">
        <f>Master_Data!K490</f>
        <v>6.0600000000000001E-2</v>
      </c>
      <c r="L490">
        <f>Master_Data!L490</f>
        <v>0.41</v>
      </c>
      <c r="M490">
        <f>Master_Data!M490</f>
        <v>0.16420000000000001</v>
      </c>
      <c r="N490">
        <f>Master_Data!N490</f>
        <v>3</v>
      </c>
      <c r="O490">
        <f>Master_Data!O490</f>
        <v>50</v>
      </c>
      <c r="P490">
        <f>Master_Data!P490</f>
        <v>53</v>
      </c>
      <c r="Q490" t="str">
        <f t="shared" si="42"/>
        <v>2011</v>
      </c>
      <c r="R490" t="str">
        <f t="shared" si="43"/>
        <v>January</v>
      </c>
      <c r="S490" t="str">
        <f t="shared" si="44"/>
        <v>Saturday</v>
      </c>
      <c r="T490" t="str">
        <f t="shared" si="45"/>
        <v>Morning</v>
      </c>
      <c r="U490" t="str">
        <f t="shared" si="46"/>
        <v>Spring</v>
      </c>
      <c r="V490" t="str">
        <f t="shared" si="47"/>
        <v>Mist/Cloudy</v>
      </c>
    </row>
    <row r="491" spans="1:22">
      <c r="A491">
        <f>Master_Data!A491</f>
        <v>490</v>
      </c>
      <c r="B491">
        <f>Master_Data!B491</f>
        <v>40565</v>
      </c>
      <c r="C491">
        <f>Master_Data!C491</f>
        <v>1</v>
      </c>
      <c r="D491">
        <f>Master_Data!D491</f>
        <v>0</v>
      </c>
      <c r="E491">
        <f>Master_Data!E491</f>
        <v>1</v>
      </c>
      <c r="F491">
        <f>Master_Data!F491</f>
        <v>11</v>
      </c>
      <c r="G491" t="b">
        <f>Master_Data!G491</f>
        <v>0</v>
      </c>
      <c r="H491">
        <f>Master_Data!H491</f>
        <v>6</v>
      </c>
      <c r="I491">
        <f>Master_Data!I491</f>
        <v>2</v>
      </c>
      <c r="J491">
        <f>Master_Data!J491</f>
        <v>0.06</v>
      </c>
      <c r="K491">
        <f>Master_Data!K491</f>
        <v>7.5800000000000006E-2</v>
      </c>
      <c r="L491">
        <f>Master_Data!L491</f>
        <v>0.38</v>
      </c>
      <c r="M491">
        <f>Master_Data!M491</f>
        <v>0.1343</v>
      </c>
      <c r="N491">
        <f>Master_Data!N491</f>
        <v>4</v>
      </c>
      <c r="O491">
        <f>Master_Data!O491</f>
        <v>59</v>
      </c>
      <c r="P491">
        <f>Master_Data!P491</f>
        <v>63</v>
      </c>
      <c r="Q491" t="str">
        <f t="shared" si="42"/>
        <v>2011</v>
      </c>
      <c r="R491" t="str">
        <f t="shared" si="43"/>
        <v>January</v>
      </c>
      <c r="S491" t="str">
        <f t="shared" si="44"/>
        <v>Saturday</v>
      </c>
      <c r="T491" t="str">
        <f t="shared" si="45"/>
        <v>Morning</v>
      </c>
      <c r="U491" t="str">
        <f t="shared" si="46"/>
        <v>Spring</v>
      </c>
      <c r="V491" t="str">
        <f t="shared" si="47"/>
        <v>Mist/Cloudy</v>
      </c>
    </row>
    <row r="492" spans="1:22">
      <c r="A492">
        <f>Master_Data!A492</f>
        <v>491</v>
      </c>
      <c r="B492">
        <f>Master_Data!B492</f>
        <v>40565</v>
      </c>
      <c r="C492">
        <f>Master_Data!C492</f>
        <v>1</v>
      </c>
      <c r="D492">
        <f>Master_Data!D492</f>
        <v>0</v>
      </c>
      <c r="E492">
        <f>Master_Data!E492</f>
        <v>1</v>
      </c>
      <c r="F492">
        <f>Master_Data!F492</f>
        <v>12</v>
      </c>
      <c r="G492" t="b">
        <f>Master_Data!G492</f>
        <v>0</v>
      </c>
      <c r="H492">
        <f>Master_Data!H492</f>
        <v>6</v>
      </c>
      <c r="I492">
        <f>Master_Data!I492</f>
        <v>2</v>
      </c>
      <c r="J492">
        <f>Master_Data!J492</f>
        <v>0.06</v>
      </c>
      <c r="K492">
        <f>Master_Data!K492</f>
        <v>0.1061</v>
      </c>
      <c r="L492">
        <f>Master_Data!L492</f>
        <v>0.38</v>
      </c>
      <c r="M492">
        <f>Master_Data!M492</f>
        <v>0.1045</v>
      </c>
      <c r="N492">
        <f>Master_Data!N492</f>
        <v>10</v>
      </c>
      <c r="O492">
        <f>Master_Data!O492</f>
        <v>60</v>
      </c>
      <c r="P492">
        <f>Master_Data!P492</f>
        <v>70</v>
      </c>
      <c r="Q492" t="str">
        <f t="shared" si="42"/>
        <v>2011</v>
      </c>
      <c r="R492" t="str">
        <f t="shared" si="43"/>
        <v>January</v>
      </c>
      <c r="S492" t="str">
        <f t="shared" si="44"/>
        <v>Saturday</v>
      </c>
      <c r="T492" t="str">
        <f t="shared" si="45"/>
        <v>Afternoon</v>
      </c>
      <c r="U492" t="str">
        <f t="shared" si="46"/>
        <v>Spring</v>
      </c>
      <c r="V492" t="str">
        <f t="shared" si="47"/>
        <v>Mist/Cloudy</v>
      </c>
    </row>
    <row r="493" spans="1:22">
      <c r="A493">
        <f>Master_Data!A493</f>
        <v>492</v>
      </c>
      <c r="B493">
        <f>Master_Data!B493</f>
        <v>40565</v>
      </c>
      <c r="C493">
        <f>Master_Data!C493</f>
        <v>1</v>
      </c>
      <c r="D493">
        <f>Master_Data!D493</f>
        <v>0</v>
      </c>
      <c r="E493">
        <f>Master_Data!E493</f>
        <v>1</v>
      </c>
      <c r="F493">
        <f>Master_Data!F493</f>
        <v>13</v>
      </c>
      <c r="G493" t="b">
        <f>Master_Data!G493</f>
        <v>0</v>
      </c>
      <c r="H493">
        <f>Master_Data!H493</f>
        <v>6</v>
      </c>
      <c r="I493">
        <f>Master_Data!I493</f>
        <v>1</v>
      </c>
      <c r="J493">
        <f>Master_Data!J493</f>
        <v>0.08</v>
      </c>
      <c r="K493">
        <f>Master_Data!K493</f>
        <v>0.16669999999999999</v>
      </c>
      <c r="L493">
        <f>Master_Data!L493</f>
        <v>0.35</v>
      </c>
      <c r="M493">
        <f>Master_Data!M493</f>
        <v>0</v>
      </c>
      <c r="N493">
        <f>Master_Data!N493</f>
        <v>12</v>
      </c>
      <c r="O493">
        <f>Master_Data!O493</f>
        <v>72</v>
      </c>
      <c r="P493">
        <f>Master_Data!P493</f>
        <v>84</v>
      </c>
      <c r="Q493" t="str">
        <f t="shared" si="42"/>
        <v>2011</v>
      </c>
      <c r="R493" t="str">
        <f t="shared" si="43"/>
        <v>January</v>
      </c>
      <c r="S493" t="str">
        <f t="shared" si="44"/>
        <v>Saturday</v>
      </c>
      <c r="T493" t="str">
        <f t="shared" si="45"/>
        <v>Afternoon</v>
      </c>
      <c r="U493" t="str">
        <f t="shared" si="46"/>
        <v>Spring</v>
      </c>
      <c r="V493" t="str">
        <f t="shared" si="47"/>
        <v>Clear</v>
      </c>
    </row>
    <row r="494" spans="1:22">
      <c r="A494">
        <f>Master_Data!A494</f>
        <v>493</v>
      </c>
      <c r="B494">
        <f>Master_Data!B494</f>
        <v>40565</v>
      </c>
      <c r="C494">
        <f>Master_Data!C494</f>
        <v>1</v>
      </c>
      <c r="D494">
        <f>Master_Data!D494</f>
        <v>0</v>
      </c>
      <c r="E494">
        <f>Master_Data!E494</f>
        <v>1</v>
      </c>
      <c r="F494">
        <f>Master_Data!F494</f>
        <v>14</v>
      </c>
      <c r="G494" t="b">
        <f>Master_Data!G494</f>
        <v>0</v>
      </c>
      <c r="H494">
        <f>Master_Data!H494</f>
        <v>6</v>
      </c>
      <c r="I494">
        <f>Master_Data!I494</f>
        <v>1</v>
      </c>
      <c r="J494">
        <f>Master_Data!J494</f>
        <v>0.1</v>
      </c>
      <c r="K494">
        <f>Master_Data!K494</f>
        <v>0.13639999999999999</v>
      </c>
      <c r="L494">
        <f>Master_Data!L494</f>
        <v>0.33</v>
      </c>
      <c r="M494">
        <f>Master_Data!M494</f>
        <v>0.1045</v>
      </c>
      <c r="N494">
        <f>Master_Data!N494</f>
        <v>11</v>
      </c>
      <c r="O494">
        <f>Master_Data!O494</f>
        <v>64</v>
      </c>
      <c r="P494">
        <f>Master_Data!P494</f>
        <v>75</v>
      </c>
      <c r="Q494" t="str">
        <f t="shared" si="42"/>
        <v>2011</v>
      </c>
      <c r="R494" t="str">
        <f t="shared" si="43"/>
        <v>January</v>
      </c>
      <c r="S494" t="str">
        <f t="shared" si="44"/>
        <v>Saturday</v>
      </c>
      <c r="T494" t="str">
        <f t="shared" si="45"/>
        <v>Afternoon</v>
      </c>
      <c r="U494" t="str">
        <f t="shared" si="46"/>
        <v>Spring</v>
      </c>
      <c r="V494" t="str">
        <f t="shared" si="47"/>
        <v>Clear</v>
      </c>
    </row>
    <row r="495" spans="1:22">
      <c r="A495">
        <f>Master_Data!A495</f>
        <v>494</v>
      </c>
      <c r="B495">
        <f>Master_Data!B495</f>
        <v>40565</v>
      </c>
      <c r="C495">
        <f>Master_Data!C495</f>
        <v>1</v>
      </c>
      <c r="D495">
        <f>Master_Data!D495</f>
        <v>0</v>
      </c>
      <c r="E495">
        <f>Master_Data!E495</f>
        <v>1</v>
      </c>
      <c r="F495">
        <f>Master_Data!F495</f>
        <v>15</v>
      </c>
      <c r="G495" t="b">
        <f>Master_Data!G495</f>
        <v>0</v>
      </c>
      <c r="H495">
        <f>Master_Data!H495</f>
        <v>6</v>
      </c>
      <c r="I495">
        <f>Master_Data!I495</f>
        <v>1</v>
      </c>
      <c r="J495">
        <f>Master_Data!J495</f>
        <v>0.12</v>
      </c>
      <c r="K495">
        <f>Master_Data!K495</f>
        <v>0.1515</v>
      </c>
      <c r="L495">
        <f>Master_Data!L495</f>
        <v>0.28000000000000003</v>
      </c>
      <c r="M495">
        <f>Master_Data!M495</f>
        <v>0</v>
      </c>
      <c r="N495">
        <f>Master_Data!N495</f>
        <v>10</v>
      </c>
      <c r="O495">
        <f>Master_Data!O495</f>
        <v>93</v>
      </c>
      <c r="P495">
        <f>Master_Data!P495</f>
        <v>103</v>
      </c>
      <c r="Q495" t="str">
        <f t="shared" si="42"/>
        <v>2011</v>
      </c>
      <c r="R495" t="str">
        <f t="shared" si="43"/>
        <v>January</v>
      </c>
      <c r="S495" t="str">
        <f t="shared" si="44"/>
        <v>Saturday</v>
      </c>
      <c r="T495" t="str">
        <f t="shared" si="45"/>
        <v>Afternoon</v>
      </c>
      <c r="U495" t="str">
        <f t="shared" si="46"/>
        <v>Spring</v>
      </c>
      <c r="V495" t="str">
        <f t="shared" si="47"/>
        <v>Clear</v>
      </c>
    </row>
    <row r="496" spans="1:22">
      <c r="A496">
        <f>Master_Data!A496</f>
        <v>495</v>
      </c>
      <c r="B496">
        <f>Master_Data!B496</f>
        <v>40565</v>
      </c>
      <c r="C496">
        <f>Master_Data!C496</f>
        <v>1</v>
      </c>
      <c r="D496">
        <f>Master_Data!D496</f>
        <v>0</v>
      </c>
      <c r="E496">
        <f>Master_Data!E496</f>
        <v>1</v>
      </c>
      <c r="F496">
        <f>Master_Data!F496</f>
        <v>16</v>
      </c>
      <c r="G496" t="b">
        <f>Master_Data!G496</f>
        <v>0</v>
      </c>
      <c r="H496">
        <f>Master_Data!H496</f>
        <v>6</v>
      </c>
      <c r="I496">
        <f>Master_Data!I496</f>
        <v>1</v>
      </c>
      <c r="J496">
        <f>Master_Data!J496</f>
        <v>0.12</v>
      </c>
      <c r="K496">
        <f>Master_Data!K496</f>
        <v>0.13639999999999999</v>
      </c>
      <c r="L496">
        <f>Master_Data!L496</f>
        <v>0.28000000000000003</v>
      </c>
      <c r="M496">
        <f>Master_Data!M496</f>
        <v>0.19400000000000001</v>
      </c>
      <c r="N496">
        <f>Master_Data!N496</f>
        <v>11</v>
      </c>
      <c r="O496">
        <f>Master_Data!O496</f>
        <v>72</v>
      </c>
      <c r="P496">
        <f>Master_Data!P496</f>
        <v>83</v>
      </c>
      <c r="Q496" t="str">
        <f t="shared" si="42"/>
        <v>2011</v>
      </c>
      <c r="R496" t="str">
        <f t="shared" si="43"/>
        <v>January</v>
      </c>
      <c r="S496" t="str">
        <f t="shared" si="44"/>
        <v>Saturday</v>
      </c>
      <c r="T496" t="str">
        <f t="shared" si="45"/>
        <v>Afternoon</v>
      </c>
      <c r="U496" t="str">
        <f t="shared" si="46"/>
        <v>Spring</v>
      </c>
      <c r="V496" t="str">
        <f t="shared" si="47"/>
        <v>Clear</v>
      </c>
    </row>
    <row r="497" spans="1:22">
      <c r="A497">
        <f>Master_Data!A497</f>
        <v>496</v>
      </c>
      <c r="B497">
        <f>Master_Data!B497</f>
        <v>40565</v>
      </c>
      <c r="C497">
        <f>Master_Data!C497</f>
        <v>1</v>
      </c>
      <c r="D497">
        <f>Master_Data!D497</f>
        <v>0</v>
      </c>
      <c r="E497">
        <f>Master_Data!E497</f>
        <v>1</v>
      </c>
      <c r="F497">
        <f>Master_Data!F497</f>
        <v>17</v>
      </c>
      <c r="G497" t="b">
        <f>Master_Data!G497</f>
        <v>0</v>
      </c>
      <c r="H497">
        <f>Master_Data!H497</f>
        <v>6</v>
      </c>
      <c r="I497">
        <f>Master_Data!I497</f>
        <v>1</v>
      </c>
      <c r="J497">
        <f>Master_Data!J497</f>
        <v>0.12</v>
      </c>
      <c r="K497">
        <f>Master_Data!K497</f>
        <v>0.19700000000000001</v>
      </c>
      <c r="L497">
        <f>Master_Data!L497</f>
        <v>0.28000000000000003</v>
      </c>
      <c r="M497">
        <f>Master_Data!M497</f>
        <v>0</v>
      </c>
      <c r="N497">
        <f>Master_Data!N497</f>
        <v>8</v>
      </c>
      <c r="O497">
        <f>Master_Data!O497</f>
        <v>59</v>
      </c>
      <c r="P497">
        <f>Master_Data!P497</f>
        <v>67</v>
      </c>
      <c r="Q497" t="str">
        <f t="shared" si="42"/>
        <v>2011</v>
      </c>
      <c r="R497" t="str">
        <f t="shared" si="43"/>
        <v>January</v>
      </c>
      <c r="S497" t="str">
        <f t="shared" si="44"/>
        <v>Saturday</v>
      </c>
      <c r="T497" t="str">
        <f t="shared" si="45"/>
        <v>Evening</v>
      </c>
      <c r="U497" t="str">
        <f t="shared" si="46"/>
        <v>Spring</v>
      </c>
      <c r="V497" t="str">
        <f t="shared" si="47"/>
        <v>Clear</v>
      </c>
    </row>
    <row r="498" spans="1:22">
      <c r="A498">
        <f>Master_Data!A498</f>
        <v>497</v>
      </c>
      <c r="B498">
        <f>Master_Data!B498</f>
        <v>40565</v>
      </c>
      <c r="C498">
        <f>Master_Data!C498</f>
        <v>1</v>
      </c>
      <c r="D498">
        <f>Master_Data!D498</f>
        <v>0</v>
      </c>
      <c r="E498">
        <f>Master_Data!E498</f>
        <v>1</v>
      </c>
      <c r="F498">
        <f>Master_Data!F498</f>
        <v>18</v>
      </c>
      <c r="G498" t="b">
        <f>Master_Data!G498</f>
        <v>0</v>
      </c>
      <c r="H498">
        <f>Master_Data!H498</f>
        <v>6</v>
      </c>
      <c r="I498">
        <f>Master_Data!I498</f>
        <v>1</v>
      </c>
      <c r="J498">
        <f>Master_Data!J498</f>
        <v>0.08</v>
      </c>
      <c r="K498">
        <f>Master_Data!K498</f>
        <v>9.0899999999999995E-2</v>
      </c>
      <c r="L498">
        <f>Master_Data!L498</f>
        <v>0.35</v>
      </c>
      <c r="M498">
        <f>Master_Data!M498</f>
        <v>0.19400000000000001</v>
      </c>
      <c r="N498">
        <f>Master_Data!N498</f>
        <v>0</v>
      </c>
      <c r="O498">
        <f>Master_Data!O498</f>
        <v>54</v>
      </c>
      <c r="P498">
        <f>Master_Data!P498</f>
        <v>54</v>
      </c>
      <c r="Q498" t="str">
        <f t="shared" si="42"/>
        <v>2011</v>
      </c>
      <c r="R498" t="str">
        <f t="shared" si="43"/>
        <v>January</v>
      </c>
      <c r="S498" t="str">
        <f t="shared" si="44"/>
        <v>Saturday</v>
      </c>
      <c r="T498" t="str">
        <f t="shared" si="45"/>
        <v>Evening</v>
      </c>
      <c r="U498" t="str">
        <f t="shared" si="46"/>
        <v>Spring</v>
      </c>
      <c r="V498" t="str">
        <f t="shared" si="47"/>
        <v>Clear</v>
      </c>
    </row>
    <row r="499" spans="1:22">
      <c r="A499">
        <f>Master_Data!A499</f>
        <v>498</v>
      </c>
      <c r="B499">
        <f>Master_Data!B499</f>
        <v>40565</v>
      </c>
      <c r="C499">
        <f>Master_Data!C499</f>
        <v>1</v>
      </c>
      <c r="D499">
        <f>Master_Data!D499</f>
        <v>0</v>
      </c>
      <c r="E499">
        <f>Master_Data!E499</f>
        <v>1</v>
      </c>
      <c r="F499">
        <f>Master_Data!F499</f>
        <v>19</v>
      </c>
      <c r="G499" t="b">
        <f>Master_Data!G499</f>
        <v>0</v>
      </c>
      <c r="H499">
        <f>Master_Data!H499</f>
        <v>6</v>
      </c>
      <c r="I499">
        <f>Master_Data!I499</f>
        <v>1</v>
      </c>
      <c r="J499">
        <f>Master_Data!J499</f>
        <v>0.08</v>
      </c>
      <c r="K499">
        <f>Master_Data!K499</f>
        <v>0.1061</v>
      </c>
      <c r="L499">
        <f>Master_Data!L499</f>
        <v>0.35</v>
      </c>
      <c r="M499">
        <f>Master_Data!M499</f>
        <v>0.1343</v>
      </c>
      <c r="N499">
        <f>Master_Data!N499</f>
        <v>6</v>
      </c>
      <c r="O499">
        <f>Master_Data!O499</f>
        <v>53</v>
      </c>
      <c r="P499">
        <f>Master_Data!P499</f>
        <v>59</v>
      </c>
      <c r="Q499" t="str">
        <f t="shared" si="42"/>
        <v>2011</v>
      </c>
      <c r="R499" t="str">
        <f t="shared" si="43"/>
        <v>January</v>
      </c>
      <c r="S499" t="str">
        <f t="shared" si="44"/>
        <v>Saturday</v>
      </c>
      <c r="T499" t="str">
        <f t="shared" si="45"/>
        <v>Evening</v>
      </c>
      <c r="U499" t="str">
        <f t="shared" si="46"/>
        <v>Spring</v>
      </c>
      <c r="V499" t="str">
        <f t="shared" si="47"/>
        <v>Clear</v>
      </c>
    </row>
    <row r="500" spans="1:22">
      <c r="A500">
        <f>Master_Data!A500</f>
        <v>499</v>
      </c>
      <c r="B500">
        <f>Master_Data!B500</f>
        <v>40565</v>
      </c>
      <c r="C500">
        <f>Master_Data!C500</f>
        <v>1</v>
      </c>
      <c r="D500">
        <f>Master_Data!D500</f>
        <v>0</v>
      </c>
      <c r="E500">
        <f>Master_Data!E500</f>
        <v>1</v>
      </c>
      <c r="F500">
        <f>Master_Data!F500</f>
        <v>20</v>
      </c>
      <c r="G500" t="b">
        <f>Master_Data!G500</f>
        <v>0</v>
      </c>
      <c r="H500">
        <f>Master_Data!H500</f>
        <v>6</v>
      </c>
      <c r="I500">
        <f>Master_Data!I500</f>
        <v>1</v>
      </c>
      <c r="J500">
        <f>Master_Data!J500</f>
        <v>0.06</v>
      </c>
      <c r="K500">
        <f>Master_Data!K500</f>
        <v>7.5800000000000006E-2</v>
      </c>
      <c r="L500">
        <f>Master_Data!L500</f>
        <v>0.45</v>
      </c>
      <c r="M500">
        <f>Master_Data!M500</f>
        <v>0.16420000000000001</v>
      </c>
      <c r="N500">
        <f>Master_Data!N500</f>
        <v>1</v>
      </c>
      <c r="O500">
        <f>Master_Data!O500</f>
        <v>44</v>
      </c>
      <c r="P500">
        <f>Master_Data!P500</f>
        <v>45</v>
      </c>
      <c r="Q500" t="str">
        <f t="shared" si="42"/>
        <v>2011</v>
      </c>
      <c r="R500" t="str">
        <f t="shared" si="43"/>
        <v>January</v>
      </c>
      <c r="S500" t="str">
        <f t="shared" si="44"/>
        <v>Saturday</v>
      </c>
      <c r="T500" t="str">
        <f t="shared" si="45"/>
        <v>Evening</v>
      </c>
      <c r="U500" t="str">
        <f t="shared" si="46"/>
        <v>Spring</v>
      </c>
      <c r="V500" t="str">
        <f t="shared" si="47"/>
        <v>Clear</v>
      </c>
    </row>
    <row r="501" spans="1:22">
      <c r="A501">
        <f>Master_Data!A501</f>
        <v>500</v>
      </c>
      <c r="B501">
        <f>Master_Data!B501</f>
        <v>40565</v>
      </c>
      <c r="C501">
        <f>Master_Data!C501</f>
        <v>1</v>
      </c>
      <c r="D501">
        <f>Master_Data!D501</f>
        <v>0</v>
      </c>
      <c r="E501">
        <f>Master_Data!E501</f>
        <v>1</v>
      </c>
      <c r="F501">
        <f>Master_Data!F501</f>
        <v>21</v>
      </c>
      <c r="G501" t="b">
        <f>Master_Data!G501</f>
        <v>0</v>
      </c>
      <c r="H501">
        <f>Master_Data!H501</f>
        <v>6</v>
      </c>
      <c r="I501">
        <f>Master_Data!I501</f>
        <v>1</v>
      </c>
      <c r="J501">
        <f>Master_Data!J501</f>
        <v>0.06</v>
      </c>
      <c r="K501">
        <f>Master_Data!K501</f>
        <v>0.1061</v>
      </c>
      <c r="L501">
        <f>Master_Data!L501</f>
        <v>0.41</v>
      </c>
      <c r="M501">
        <f>Master_Data!M501</f>
        <v>8.9599999999999999E-2</v>
      </c>
      <c r="N501">
        <f>Master_Data!N501</f>
        <v>0</v>
      </c>
      <c r="O501">
        <f>Master_Data!O501</f>
        <v>39</v>
      </c>
      <c r="P501">
        <f>Master_Data!P501</f>
        <v>39</v>
      </c>
      <c r="Q501" t="str">
        <f t="shared" si="42"/>
        <v>2011</v>
      </c>
      <c r="R501" t="str">
        <f t="shared" si="43"/>
        <v>January</v>
      </c>
      <c r="S501" t="str">
        <f t="shared" si="44"/>
        <v>Saturday</v>
      </c>
      <c r="T501" t="str">
        <f t="shared" si="45"/>
        <v>Night</v>
      </c>
      <c r="U501" t="str">
        <f t="shared" si="46"/>
        <v>Spring</v>
      </c>
      <c r="V501" t="str">
        <f t="shared" si="47"/>
        <v>Clear</v>
      </c>
    </row>
    <row r="502" spans="1:22">
      <c r="A502">
        <f>Master_Data!A502</f>
        <v>501</v>
      </c>
      <c r="B502">
        <f>Master_Data!B502</f>
        <v>40565</v>
      </c>
      <c r="C502">
        <f>Master_Data!C502</f>
        <v>1</v>
      </c>
      <c r="D502">
        <f>Master_Data!D502</f>
        <v>0</v>
      </c>
      <c r="E502">
        <f>Master_Data!E502</f>
        <v>1</v>
      </c>
      <c r="F502">
        <f>Master_Data!F502</f>
        <v>22</v>
      </c>
      <c r="G502" t="b">
        <f>Master_Data!G502</f>
        <v>0</v>
      </c>
      <c r="H502">
        <f>Master_Data!H502</f>
        <v>6</v>
      </c>
      <c r="I502">
        <f>Master_Data!I502</f>
        <v>1</v>
      </c>
      <c r="J502">
        <f>Master_Data!J502</f>
        <v>0.06</v>
      </c>
      <c r="K502">
        <f>Master_Data!K502</f>
        <v>0.1515</v>
      </c>
      <c r="L502">
        <f>Master_Data!L502</f>
        <v>0.49</v>
      </c>
      <c r="M502">
        <f>Master_Data!M502</f>
        <v>0</v>
      </c>
      <c r="N502">
        <f>Master_Data!N502</f>
        <v>7</v>
      </c>
      <c r="O502">
        <f>Master_Data!O502</f>
        <v>23</v>
      </c>
      <c r="P502">
        <f>Master_Data!P502</f>
        <v>30</v>
      </c>
      <c r="Q502" t="str">
        <f t="shared" si="42"/>
        <v>2011</v>
      </c>
      <c r="R502" t="str">
        <f t="shared" si="43"/>
        <v>January</v>
      </c>
      <c r="S502" t="str">
        <f t="shared" si="44"/>
        <v>Saturday</v>
      </c>
      <c r="T502" t="str">
        <f t="shared" si="45"/>
        <v>Night</v>
      </c>
      <c r="U502" t="str">
        <f t="shared" si="46"/>
        <v>Spring</v>
      </c>
      <c r="V502" t="str">
        <f t="shared" si="47"/>
        <v>Clear</v>
      </c>
    </row>
    <row r="503" spans="1:22">
      <c r="A503">
        <f>Master_Data!A503</f>
        <v>502</v>
      </c>
      <c r="B503">
        <f>Master_Data!B503</f>
        <v>40565</v>
      </c>
      <c r="C503">
        <f>Master_Data!C503</f>
        <v>1</v>
      </c>
      <c r="D503">
        <f>Master_Data!D503</f>
        <v>0</v>
      </c>
      <c r="E503">
        <f>Master_Data!E503</f>
        <v>1</v>
      </c>
      <c r="F503">
        <f>Master_Data!F503</f>
        <v>23</v>
      </c>
      <c r="G503" t="b">
        <f>Master_Data!G503</f>
        <v>0</v>
      </c>
      <c r="H503">
        <f>Master_Data!H503</f>
        <v>6</v>
      </c>
      <c r="I503">
        <f>Master_Data!I503</f>
        <v>1</v>
      </c>
      <c r="J503">
        <f>Master_Data!J503</f>
        <v>0.04</v>
      </c>
      <c r="K503">
        <f>Master_Data!K503</f>
        <v>7.5800000000000006E-2</v>
      </c>
      <c r="L503">
        <f>Master_Data!L503</f>
        <v>0.56999999999999995</v>
      </c>
      <c r="M503">
        <f>Master_Data!M503</f>
        <v>0.1045</v>
      </c>
      <c r="N503">
        <f>Master_Data!N503</f>
        <v>2</v>
      </c>
      <c r="O503">
        <f>Master_Data!O503</f>
        <v>31</v>
      </c>
      <c r="P503">
        <f>Master_Data!P503</f>
        <v>33</v>
      </c>
      <c r="Q503" t="str">
        <f t="shared" si="42"/>
        <v>2011</v>
      </c>
      <c r="R503" t="str">
        <f t="shared" si="43"/>
        <v>January</v>
      </c>
      <c r="S503" t="str">
        <f t="shared" si="44"/>
        <v>Saturday</v>
      </c>
      <c r="T503" t="str">
        <f t="shared" si="45"/>
        <v>Night</v>
      </c>
      <c r="U503" t="str">
        <f t="shared" si="46"/>
        <v>Spring</v>
      </c>
      <c r="V503" t="str">
        <f t="shared" si="47"/>
        <v>Clear</v>
      </c>
    </row>
    <row r="504" spans="1:22">
      <c r="A504">
        <f>Master_Data!A504</f>
        <v>503</v>
      </c>
      <c r="B504">
        <f>Master_Data!B504</f>
        <v>40566</v>
      </c>
      <c r="C504">
        <f>Master_Data!C504</f>
        <v>1</v>
      </c>
      <c r="D504">
        <f>Master_Data!D504</f>
        <v>0</v>
      </c>
      <c r="E504">
        <f>Master_Data!E504</f>
        <v>1</v>
      </c>
      <c r="F504">
        <f>Master_Data!F504</f>
        <v>0</v>
      </c>
      <c r="G504" t="b">
        <f>Master_Data!G504</f>
        <v>0</v>
      </c>
      <c r="H504">
        <f>Master_Data!H504</f>
        <v>0</v>
      </c>
      <c r="I504">
        <f>Master_Data!I504</f>
        <v>1</v>
      </c>
      <c r="J504">
        <f>Master_Data!J504</f>
        <v>0.04</v>
      </c>
      <c r="K504">
        <f>Master_Data!K504</f>
        <v>7.5800000000000006E-2</v>
      </c>
      <c r="L504">
        <f>Master_Data!L504</f>
        <v>0.56999999999999995</v>
      </c>
      <c r="M504">
        <f>Master_Data!M504</f>
        <v>0.1045</v>
      </c>
      <c r="N504">
        <f>Master_Data!N504</f>
        <v>2</v>
      </c>
      <c r="O504">
        <f>Master_Data!O504</f>
        <v>20</v>
      </c>
      <c r="P504">
        <f>Master_Data!P504</f>
        <v>22</v>
      </c>
      <c r="Q504" t="str">
        <f t="shared" si="42"/>
        <v>2011</v>
      </c>
      <c r="R504" t="str">
        <f t="shared" si="43"/>
        <v>January</v>
      </c>
      <c r="S504" t="str">
        <f t="shared" si="44"/>
        <v>Sunday</v>
      </c>
      <c r="T504" t="str">
        <f t="shared" si="45"/>
        <v>Night</v>
      </c>
      <c r="U504" t="str">
        <f t="shared" si="46"/>
        <v>Spring</v>
      </c>
      <c r="V504" t="str">
        <f t="shared" si="47"/>
        <v>Clear</v>
      </c>
    </row>
    <row r="505" spans="1:22">
      <c r="A505">
        <f>Master_Data!A505</f>
        <v>504</v>
      </c>
      <c r="B505">
        <f>Master_Data!B505</f>
        <v>40566</v>
      </c>
      <c r="C505">
        <f>Master_Data!C505</f>
        <v>1</v>
      </c>
      <c r="D505">
        <f>Master_Data!D505</f>
        <v>0</v>
      </c>
      <c r="E505">
        <f>Master_Data!E505</f>
        <v>1</v>
      </c>
      <c r="F505">
        <f>Master_Data!F505</f>
        <v>1</v>
      </c>
      <c r="G505" t="b">
        <f>Master_Data!G505</f>
        <v>0</v>
      </c>
      <c r="H505">
        <f>Master_Data!H505</f>
        <v>0</v>
      </c>
      <c r="I505">
        <f>Master_Data!I505</f>
        <v>1</v>
      </c>
      <c r="J505">
        <f>Master_Data!J505</f>
        <v>0.04</v>
      </c>
      <c r="K505">
        <f>Master_Data!K505</f>
        <v>7.5800000000000006E-2</v>
      </c>
      <c r="L505">
        <f>Master_Data!L505</f>
        <v>0.56999999999999995</v>
      </c>
      <c r="M505">
        <f>Master_Data!M505</f>
        <v>0.1045</v>
      </c>
      <c r="N505">
        <f>Master_Data!N505</f>
        <v>1</v>
      </c>
      <c r="O505">
        <f>Master_Data!O505</f>
        <v>12</v>
      </c>
      <c r="P505">
        <f>Master_Data!P505</f>
        <v>13</v>
      </c>
      <c r="Q505" t="str">
        <f t="shared" si="42"/>
        <v>2011</v>
      </c>
      <c r="R505" t="str">
        <f t="shared" si="43"/>
        <v>January</v>
      </c>
      <c r="S505" t="str">
        <f t="shared" si="44"/>
        <v>Sunday</v>
      </c>
      <c r="T505" t="str">
        <f t="shared" si="45"/>
        <v>Night</v>
      </c>
      <c r="U505" t="str">
        <f t="shared" si="46"/>
        <v>Spring</v>
      </c>
      <c r="V505" t="str">
        <f t="shared" si="47"/>
        <v>Clear</v>
      </c>
    </row>
    <row r="506" spans="1:22">
      <c r="A506">
        <f>Master_Data!A506</f>
        <v>505</v>
      </c>
      <c r="B506">
        <f>Master_Data!B506</f>
        <v>40566</v>
      </c>
      <c r="C506">
        <f>Master_Data!C506</f>
        <v>1</v>
      </c>
      <c r="D506">
        <f>Master_Data!D506</f>
        <v>0</v>
      </c>
      <c r="E506">
        <f>Master_Data!E506</f>
        <v>1</v>
      </c>
      <c r="F506">
        <f>Master_Data!F506</f>
        <v>2</v>
      </c>
      <c r="G506" t="b">
        <f>Master_Data!G506</f>
        <v>0</v>
      </c>
      <c r="H506">
        <f>Master_Data!H506</f>
        <v>0</v>
      </c>
      <c r="I506">
        <f>Master_Data!I506</f>
        <v>1</v>
      </c>
      <c r="J506">
        <f>Master_Data!J506</f>
        <v>0.02</v>
      </c>
      <c r="K506">
        <f>Master_Data!K506</f>
        <v>6.0600000000000001E-2</v>
      </c>
      <c r="L506">
        <f>Master_Data!L506</f>
        <v>0.62</v>
      </c>
      <c r="M506">
        <f>Master_Data!M506</f>
        <v>0.1343</v>
      </c>
      <c r="N506">
        <f>Master_Data!N506</f>
        <v>3</v>
      </c>
      <c r="O506">
        <f>Master_Data!O506</f>
        <v>15</v>
      </c>
      <c r="P506">
        <f>Master_Data!P506</f>
        <v>18</v>
      </c>
      <c r="Q506" t="str">
        <f t="shared" si="42"/>
        <v>2011</v>
      </c>
      <c r="R506" t="str">
        <f t="shared" si="43"/>
        <v>January</v>
      </c>
      <c r="S506" t="str">
        <f t="shared" si="44"/>
        <v>Sunday</v>
      </c>
      <c r="T506" t="str">
        <f t="shared" si="45"/>
        <v>Night</v>
      </c>
      <c r="U506" t="str">
        <f t="shared" si="46"/>
        <v>Spring</v>
      </c>
      <c r="V506" t="str">
        <f t="shared" si="47"/>
        <v>Clear</v>
      </c>
    </row>
    <row r="507" spans="1:22">
      <c r="A507">
        <f>Master_Data!A507</f>
        <v>506</v>
      </c>
      <c r="B507">
        <f>Master_Data!B507</f>
        <v>40566</v>
      </c>
      <c r="C507">
        <f>Master_Data!C507</f>
        <v>1</v>
      </c>
      <c r="D507">
        <f>Master_Data!D507</f>
        <v>0</v>
      </c>
      <c r="E507">
        <f>Master_Data!E507</f>
        <v>1</v>
      </c>
      <c r="F507">
        <f>Master_Data!F507</f>
        <v>3</v>
      </c>
      <c r="G507" t="b">
        <f>Master_Data!G507</f>
        <v>0</v>
      </c>
      <c r="H507">
        <f>Master_Data!H507</f>
        <v>0</v>
      </c>
      <c r="I507">
        <f>Master_Data!I507</f>
        <v>1</v>
      </c>
      <c r="J507">
        <f>Master_Data!J507</f>
        <v>0.02</v>
      </c>
      <c r="K507">
        <f>Master_Data!K507</f>
        <v>6.0600000000000001E-2</v>
      </c>
      <c r="L507">
        <f>Master_Data!L507</f>
        <v>0.62</v>
      </c>
      <c r="M507">
        <f>Master_Data!M507</f>
        <v>0.1343</v>
      </c>
      <c r="N507">
        <f>Master_Data!N507</f>
        <v>1</v>
      </c>
      <c r="O507">
        <f>Master_Data!O507</f>
        <v>4</v>
      </c>
      <c r="P507">
        <f>Master_Data!P507</f>
        <v>5</v>
      </c>
      <c r="Q507" t="str">
        <f t="shared" si="42"/>
        <v>2011</v>
      </c>
      <c r="R507" t="str">
        <f t="shared" si="43"/>
        <v>January</v>
      </c>
      <c r="S507" t="str">
        <f t="shared" si="44"/>
        <v>Sunday</v>
      </c>
      <c r="T507" t="str">
        <f t="shared" si="45"/>
        <v>Night</v>
      </c>
      <c r="U507" t="str">
        <f t="shared" si="46"/>
        <v>Spring</v>
      </c>
      <c r="V507" t="str">
        <f t="shared" si="47"/>
        <v>Clear</v>
      </c>
    </row>
    <row r="508" spans="1:22">
      <c r="A508">
        <f>Master_Data!A508</f>
        <v>507</v>
      </c>
      <c r="B508">
        <f>Master_Data!B508</f>
        <v>40566</v>
      </c>
      <c r="C508">
        <f>Master_Data!C508</f>
        <v>1</v>
      </c>
      <c r="D508">
        <f>Master_Data!D508</f>
        <v>0</v>
      </c>
      <c r="E508">
        <f>Master_Data!E508</f>
        <v>1</v>
      </c>
      <c r="F508">
        <f>Master_Data!F508</f>
        <v>5</v>
      </c>
      <c r="G508" t="b">
        <f>Master_Data!G508</f>
        <v>0</v>
      </c>
      <c r="H508">
        <f>Master_Data!H508</f>
        <v>0</v>
      </c>
      <c r="I508">
        <f>Master_Data!I508</f>
        <v>2</v>
      </c>
      <c r="J508">
        <f>Master_Data!J508</f>
        <v>0.04</v>
      </c>
      <c r="K508">
        <f>Master_Data!K508</f>
        <v>7.5800000000000006E-2</v>
      </c>
      <c r="L508">
        <f>Master_Data!L508</f>
        <v>0.56999999999999995</v>
      </c>
      <c r="M508">
        <f>Master_Data!M508</f>
        <v>0.1045</v>
      </c>
      <c r="N508">
        <f>Master_Data!N508</f>
        <v>0</v>
      </c>
      <c r="O508">
        <f>Master_Data!O508</f>
        <v>3</v>
      </c>
      <c r="P508">
        <f>Master_Data!P508</f>
        <v>3</v>
      </c>
      <c r="Q508" t="str">
        <f t="shared" si="42"/>
        <v>2011</v>
      </c>
      <c r="R508" t="str">
        <f t="shared" si="43"/>
        <v>January</v>
      </c>
      <c r="S508" t="str">
        <f t="shared" si="44"/>
        <v>Sunday</v>
      </c>
      <c r="T508" t="str">
        <f t="shared" si="45"/>
        <v>Night</v>
      </c>
      <c r="U508" t="str">
        <f t="shared" si="46"/>
        <v>Spring</v>
      </c>
      <c r="V508" t="str">
        <f t="shared" si="47"/>
        <v>Mist/Cloudy</v>
      </c>
    </row>
    <row r="509" spans="1:22">
      <c r="A509">
        <f>Master_Data!A509</f>
        <v>508</v>
      </c>
      <c r="B509">
        <f>Master_Data!B509</f>
        <v>40566</v>
      </c>
      <c r="C509">
        <f>Master_Data!C509</f>
        <v>1</v>
      </c>
      <c r="D509">
        <f>Master_Data!D509</f>
        <v>0</v>
      </c>
      <c r="E509">
        <f>Master_Data!E509</f>
        <v>1</v>
      </c>
      <c r="F509">
        <f>Master_Data!F509</f>
        <v>6</v>
      </c>
      <c r="G509" t="b">
        <f>Master_Data!G509</f>
        <v>0</v>
      </c>
      <c r="H509">
        <f>Master_Data!H509</f>
        <v>0</v>
      </c>
      <c r="I509">
        <f>Master_Data!I509</f>
        <v>2</v>
      </c>
      <c r="J509">
        <f>Master_Data!J509</f>
        <v>0.04</v>
      </c>
      <c r="K509">
        <f>Master_Data!K509</f>
        <v>7.5800000000000006E-2</v>
      </c>
      <c r="L509">
        <f>Master_Data!L509</f>
        <v>0.56999999999999995</v>
      </c>
      <c r="M509">
        <f>Master_Data!M509</f>
        <v>0.1045</v>
      </c>
      <c r="N509">
        <f>Master_Data!N509</f>
        <v>0</v>
      </c>
      <c r="O509">
        <f>Master_Data!O509</f>
        <v>1</v>
      </c>
      <c r="P509">
        <f>Master_Data!P509</f>
        <v>1</v>
      </c>
      <c r="Q509" t="str">
        <f t="shared" si="42"/>
        <v>2011</v>
      </c>
      <c r="R509" t="str">
        <f t="shared" si="43"/>
        <v>January</v>
      </c>
      <c r="S509" t="str">
        <f t="shared" si="44"/>
        <v>Sunday</v>
      </c>
      <c r="T509" t="str">
        <f t="shared" si="45"/>
        <v>Morning</v>
      </c>
      <c r="U509" t="str">
        <f t="shared" si="46"/>
        <v>Spring</v>
      </c>
      <c r="V509" t="str">
        <f t="shared" si="47"/>
        <v>Mist/Cloudy</v>
      </c>
    </row>
    <row r="510" spans="1:22">
      <c r="A510">
        <f>Master_Data!A510</f>
        <v>509</v>
      </c>
      <c r="B510">
        <f>Master_Data!B510</f>
        <v>40566</v>
      </c>
      <c r="C510">
        <f>Master_Data!C510</f>
        <v>1</v>
      </c>
      <c r="D510">
        <f>Master_Data!D510</f>
        <v>0</v>
      </c>
      <c r="E510">
        <f>Master_Data!E510</f>
        <v>1</v>
      </c>
      <c r="F510">
        <f>Master_Data!F510</f>
        <v>7</v>
      </c>
      <c r="G510" t="b">
        <f>Master_Data!G510</f>
        <v>0</v>
      </c>
      <c r="H510">
        <f>Master_Data!H510</f>
        <v>0</v>
      </c>
      <c r="I510">
        <f>Master_Data!I510</f>
        <v>1</v>
      </c>
      <c r="J510">
        <f>Master_Data!J510</f>
        <v>0.08</v>
      </c>
      <c r="K510">
        <f>Master_Data!K510</f>
        <v>0.1061</v>
      </c>
      <c r="L510">
        <f>Master_Data!L510</f>
        <v>0.57999999999999996</v>
      </c>
      <c r="M510">
        <f>Master_Data!M510</f>
        <v>0.16420000000000001</v>
      </c>
      <c r="N510">
        <f>Master_Data!N510</f>
        <v>1</v>
      </c>
      <c r="O510">
        <f>Master_Data!O510</f>
        <v>1</v>
      </c>
      <c r="P510">
        <f>Master_Data!P510</f>
        <v>2</v>
      </c>
      <c r="Q510" t="str">
        <f t="shared" si="42"/>
        <v>2011</v>
      </c>
      <c r="R510" t="str">
        <f t="shared" si="43"/>
        <v>January</v>
      </c>
      <c r="S510" t="str">
        <f t="shared" si="44"/>
        <v>Sunday</v>
      </c>
      <c r="T510" t="str">
        <f t="shared" si="45"/>
        <v>Morning</v>
      </c>
      <c r="U510" t="str">
        <f t="shared" si="46"/>
        <v>Spring</v>
      </c>
      <c r="V510" t="str">
        <f t="shared" si="47"/>
        <v>Clear</v>
      </c>
    </row>
    <row r="511" spans="1:22">
      <c r="A511">
        <f>Master_Data!A511</f>
        <v>510</v>
      </c>
      <c r="B511">
        <f>Master_Data!B511</f>
        <v>40566</v>
      </c>
      <c r="C511">
        <f>Master_Data!C511</f>
        <v>1</v>
      </c>
      <c r="D511">
        <f>Master_Data!D511</f>
        <v>0</v>
      </c>
      <c r="E511">
        <f>Master_Data!E511</f>
        <v>1</v>
      </c>
      <c r="F511">
        <f>Master_Data!F511</f>
        <v>8</v>
      </c>
      <c r="G511" t="b">
        <f>Master_Data!G511</f>
        <v>0</v>
      </c>
      <c r="H511">
        <f>Master_Data!H511</f>
        <v>0</v>
      </c>
      <c r="I511">
        <f>Master_Data!I511</f>
        <v>1</v>
      </c>
      <c r="J511">
        <f>Master_Data!J511</f>
        <v>0.06</v>
      </c>
      <c r="K511">
        <f>Master_Data!K511</f>
        <v>7.5800000000000006E-2</v>
      </c>
      <c r="L511">
        <f>Master_Data!L511</f>
        <v>0.62</v>
      </c>
      <c r="M511">
        <f>Master_Data!M511</f>
        <v>0.16420000000000001</v>
      </c>
      <c r="N511">
        <f>Master_Data!N511</f>
        <v>2</v>
      </c>
      <c r="O511">
        <f>Master_Data!O511</f>
        <v>17</v>
      </c>
      <c r="P511">
        <f>Master_Data!P511</f>
        <v>19</v>
      </c>
      <c r="Q511" t="str">
        <f t="shared" si="42"/>
        <v>2011</v>
      </c>
      <c r="R511" t="str">
        <f t="shared" si="43"/>
        <v>January</v>
      </c>
      <c r="S511" t="str">
        <f t="shared" si="44"/>
        <v>Sunday</v>
      </c>
      <c r="T511" t="str">
        <f t="shared" si="45"/>
        <v>Morning</v>
      </c>
      <c r="U511" t="str">
        <f t="shared" si="46"/>
        <v>Spring</v>
      </c>
      <c r="V511" t="str">
        <f t="shared" si="47"/>
        <v>Clear</v>
      </c>
    </row>
    <row r="512" spans="1:22">
      <c r="A512">
        <f>Master_Data!A512</f>
        <v>511</v>
      </c>
      <c r="B512">
        <f>Master_Data!B512</f>
        <v>40566</v>
      </c>
      <c r="C512">
        <f>Master_Data!C512</f>
        <v>1</v>
      </c>
      <c r="D512">
        <f>Master_Data!D512</f>
        <v>0</v>
      </c>
      <c r="E512">
        <f>Master_Data!E512</f>
        <v>1</v>
      </c>
      <c r="F512">
        <f>Master_Data!F512</f>
        <v>9</v>
      </c>
      <c r="G512" t="b">
        <f>Master_Data!G512</f>
        <v>0</v>
      </c>
      <c r="H512">
        <f>Master_Data!H512</f>
        <v>0</v>
      </c>
      <c r="I512">
        <f>Master_Data!I512</f>
        <v>1</v>
      </c>
      <c r="J512">
        <f>Master_Data!J512</f>
        <v>0.1</v>
      </c>
      <c r="K512">
        <f>Master_Data!K512</f>
        <v>7.5800000000000006E-2</v>
      </c>
      <c r="L512">
        <f>Master_Data!L512</f>
        <v>0.54</v>
      </c>
      <c r="M512">
        <f>Master_Data!M512</f>
        <v>0.35820000000000002</v>
      </c>
      <c r="N512">
        <f>Master_Data!N512</f>
        <v>3</v>
      </c>
      <c r="O512">
        <f>Master_Data!O512</f>
        <v>25</v>
      </c>
      <c r="P512">
        <f>Master_Data!P512</f>
        <v>28</v>
      </c>
      <c r="Q512" t="str">
        <f t="shared" si="42"/>
        <v>2011</v>
      </c>
      <c r="R512" t="str">
        <f t="shared" si="43"/>
        <v>January</v>
      </c>
      <c r="S512" t="str">
        <f t="shared" si="44"/>
        <v>Sunday</v>
      </c>
      <c r="T512" t="str">
        <f t="shared" si="45"/>
        <v>Morning</v>
      </c>
      <c r="U512" t="str">
        <f t="shared" si="46"/>
        <v>Spring</v>
      </c>
      <c r="V512" t="str">
        <f t="shared" si="47"/>
        <v>Clear</v>
      </c>
    </row>
    <row r="513" spans="1:22">
      <c r="A513">
        <f>Master_Data!A513</f>
        <v>512</v>
      </c>
      <c r="B513">
        <f>Master_Data!B513</f>
        <v>40566</v>
      </c>
      <c r="C513">
        <f>Master_Data!C513</f>
        <v>1</v>
      </c>
      <c r="D513">
        <f>Master_Data!D513</f>
        <v>0</v>
      </c>
      <c r="E513">
        <f>Master_Data!E513</f>
        <v>1</v>
      </c>
      <c r="F513">
        <f>Master_Data!F513</f>
        <v>10</v>
      </c>
      <c r="G513" t="b">
        <f>Master_Data!G513</f>
        <v>0</v>
      </c>
      <c r="H513">
        <f>Master_Data!H513</f>
        <v>0</v>
      </c>
      <c r="I513">
        <f>Master_Data!I513</f>
        <v>1</v>
      </c>
      <c r="J513">
        <f>Master_Data!J513</f>
        <v>0.14000000000000001</v>
      </c>
      <c r="K513">
        <f>Master_Data!K513</f>
        <v>0.1061</v>
      </c>
      <c r="L513">
        <f>Master_Data!L513</f>
        <v>0.46</v>
      </c>
      <c r="M513">
        <f>Master_Data!M513</f>
        <v>0.3881</v>
      </c>
      <c r="N513">
        <f>Master_Data!N513</f>
        <v>7</v>
      </c>
      <c r="O513">
        <f>Master_Data!O513</f>
        <v>51</v>
      </c>
      <c r="P513">
        <f>Master_Data!P513</f>
        <v>58</v>
      </c>
      <c r="Q513" t="str">
        <f t="shared" si="42"/>
        <v>2011</v>
      </c>
      <c r="R513" t="str">
        <f t="shared" si="43"/>
        <v>January</v>
      </c>
      <c r="S513" t="str">
        <f t="shared" si="44"/>
        <v>Sunday</v>
      </c>
      <c r="T513" t="str">
        <f t="shared" si="45"/>
        <v>Morning</v>
      </c>
      <c r="U513" t="str">
        <f t="shared" si="46"/>
        <v>Spring</v>
      </c>
      <c r="V513" t="str">
        <f t="shared" si="47"/>
        <v>Clear</v>
      </c>
    </row>
    <row r="514" spans="1:22">
      <c r="A514">
        <f>Master_Data!A514</f>
        <v>513</v>
      </c>
      <c r="B514">
        <f>Master_Data!B514</f>
        <v>40566</v>
      </c>
      <c r="C514">
        <f>Master_Data!C514</f>
        <v>1</v>
      </c>
      <c r="D514">
        <f>Master_Data!D514</f>
        <v>0</v>
      </c>
      <c r="E514">
        <f>Master_Data!E514</f>
        <v>1</v>
      </c>
      <c r="F514">
        <f>Master_Data!F514</f>
        <v>11</v>
      </c>
      <c r="G514" t="b">
        <f>Master_Data!G514</f>
        <v>0</v>
      </c>
      <c r="H514">
        <f>Master_Data!H514</f>
        <v>0</v>
      </c>
      <c r="I514">
        <f>Master_Data!I514</f>
        <v>1</v>
      </c>
      <c r="J514">
        <f>Master_Data!J514</f>
        <v>0.14000000000000001</v>
      </c>
      <c r="K514">
        <f>Master_Data!K514</f>
        <v>0.13639999999999999</v>
      </c>
      <c r="L514">
        <f>Master_Data!L514</f>
        <v>0.43</v>
      </c>
      <c r="M514">
        <f>Master_Data!M514</f>
        <v>0.22389999999999999</v>
      </c>
      <c r="N514">
        <f>Master_Data!N514</f>
        <v>22</v>
      </c>
      <c r="O514">
        <f>Master_Data!O514</f>
        <v>77</v>
      </c>
      <c r="P514">
        <f>Master_Data!P514</f>
        <v>99</v>
      </c>
      <c r="Q514" t="str">
        <f t="shared" ref="Q514:Q577" si="48">IF(D514=0,"2011","2012")</f>
        <v>2011</v>
      </c>
      <c r="R514" t="str">
        <f t="shared" ref="R514:R577" si="49">TEXT(B514,"mmmm")</f>
        <v>January</v>
      </c>
      <c r="S514" t="str">
        <f t="shared" ref="S514:S577" si="50">IF(G514=TRUE,"Holiday",IF(H514=0,"Sunday",IF(H514=6,"Saturday","Weekday")))</f>
        <v>Sunday</v>
      </c>
      <c r="T514" t="str">
        <f t="shared" ref="T514:T577" si="51">IF(F514&lt;6,"Night",IF(F514&lt;12,"Morning",IF(F514&lt;17,"Afternoon",IF(F514&lt;21,"Evening","Night"))))</f>
        <v>Morning</v>
      </c>
      <c r="U514" t="str">
        <f t="shared" ref="U514:U577" si="52">CHOOSE(C514,"Spring","Summer","Fall","Winter")</f>
        <v>Spring</v>
      </c>
      <c r="V514" t="str">
        <f t="shared" ref="V514:V577" si="53">CHOOSE(I514,"Clear","Mist/Cloudy","Light Rain/Snow","Heavy Rain/Snow")</f>
        <v>Clear</v>
      </c>
    </row>
    <row r="515" spans="1:22">
      <c r="A515">
        <f>Master_Data!A515</f>
        <v>514</v>
      </c>
      <c r="B515">
        <f>Master_Data!B515</f>
        <v>40566</v>
      </c>
      <c r="C515">
        <f>Master_Data!C515</f>
        <v>1</v>
      </c>
      <c r="D515">
        <f>Master_Data!D515</f>
        <v>0</v>
      </c>
      <c r="E515">
        <f>Master_Data!E515</f>
        <v>1</v>
      </c>
      <c r="F515">
        <f>Master_Data!F515</f>
        <v>12</v>
      </c>
      <c r="G515" t="b">
        <f>Master_Data!G515</f>
        <v>0</v>
      </c>
      <c r="H515">
        <f>Master_Data!H515</f>
        <v>0</v>
      </c>
      <c r="I515">
        <f>Master_Data!I515</f>
        <v>1</v>
      </c>
      <c r="J515">
        <f>Master_Data!J515</f>
        <v>0.16</v>
      </c>
      <c r="K515">
        <f>Master_Data!K515</f>
        <v>0.1212</v>
      </c>
      <c r="L515">
        <f>Master_Data!L515</f>
        <v>0.37</v>
      </c>
      <c r="M515">
        <f>Master_Data!M515</f>
        <v>0.4627</v>
      </c>
      <c r="N515">
        <f>Master_Data!N515</f>
        <v>24</v>
      </c>
      <c r="O515">
        <f>Master_Data!O515</f>
        <v>92</v>
      </c>
      <c r="P515">
        <f>Master_Data!P515</f>
        <v>116</v>
      </c>
      <c r="Q515" t="str">
        <f t="shared" si="48"/>
        <v>2011</v>
      </c>
      <c r="R515" t="str">
        <f t="shared" si="49"/>
        <v>January</v>
      </c>
      <c r="S515" t="str">
        <f t="shared" si="50"/>
        <v>Sunday</v>
      </c>
      <c r="T515" t="str">
        <f t="shared" si="51"/>
        <v>Afternoon</v>
      </c>
      <c r="U515" t="str">
        <f t="shared" si="52"/>
        <v>Spring</v>
      </c>
      <c r="V515" t="str">
        <f t="shared" si="53"/>
        <v>Clear</v>
      </c>
    </row>
    <row r="516" spans="1:22">
      <c r="A516">
        <f>Master_Data!A516</f>
        <v>515</v>
      </c>
      <c r="B516">
        <f>Master_Data!B516</f>
        <v>40566</v>
      </c>
      <c r="C516">
        <f>Master_Data!C516</f>
        <v>1</v>
      </c>
      <c r="D516">
        <f>Master_Data!D516</f>
        <v>0</v>
      </c>
      <c r="E516">
        <f>Master_Data!E516</f>
        <v>1</v>
      </c>
      <c r="F516">
        <f>Master_Data!F516</f>
        <v>13</v>
      </c>
      <c r="G516" t="b">
        <f>Master_Data!G516</f>
        <v>0</v>
      </c>
      <c r="H516">
        <f>Master_Data!H516</f>
        <v>0</v>
      </c>
      <c r="I516">
        <f>Master_Data!I516</f>
        <v>1</v>
      </c>
      <c r="J516">
        <f>Master_Data!J516</f>
        <v>0.14000000000000001</v>
      </c>
      <c r="K516">
        <f>Master_Data!K516</f>
        <v>0.1061</v>
      </c>
      <c r="L516">
        <f>Master_Data!L516</f>
        <v>0.33</v>
      </c>
      <c r="M516">
        <f>Master_Data!M516</f>
        <v>0.3881</v>
      </c>
      <c r="N516">
        <f>Master_Data!N516</f>
        <v>12</v>
      </c>
      <c r="O516">
        <f>Master_Data!O516</f>
        <v>75</v>
      </c>
      <c r="P516">
        <f>Master_Data!P516</f>
        <v>87</v>
      </c>
      <c r="Q516" t="str">
        <f t="shared" si="48"/>
        <v>2011</v>
      </c>
      <c r="R516" t="str">
        <f t="shared" si="49"/>
        <v>January</v>
      </c>
      <c r="S516" t="str">
        <f t="shared" si="50"/>
        <v>Sunday</v>
      </c>
      <c r="T516" t="str">
        <f t="shared" si="51"/>
        <v>Afternoon</v>
      </c>
      <c r="U516" t="str">
        <f t="shared" si="52"/>
        <v>Spring</v>
      </c>
      <c r="V516" t="str">
        <f t="shared" si="53"/>
        <v>Clear</v>
      </c>
    </row>
    <row r="517" spans="1:22">
      <c r="A517">
        <f>Master_Data!A517</f>
        <v>516</v>
      </c>
      <c r="B517">
        <f>Master_Data!B517</f>
        <v>40566</v>
      </c>
      <c r="C517">
        <f>Master_Data!C517</f>
        <v>1</v>
      </c>
      <c r="D517">
        <f>Master_Data!D517</f>
        <v>0</v>
      </c>
      <c r="E517">
        <f>Master_Data!E517</f>
        <v>1</v>
      </c>
      <c r="F517">
        <f>Master_Data!F517</f>
        <v>14</v>
      </c>
      <c r="G517" t="b">
        <f>Master_Data!G517</f>
        <v>0</v>
      </c>
      <c r="H517">
        <f>Master_Data!H517</f>
        <v>0</v>
      </c>
      <c r="I517">
        <f>Master_Data!I517</f>
        <v>1</v>
      </c>
      <c r="J517">
        <f>Master_Data!J517</f>
        <v>0.16</v>
      </c>
      <c r="K517">
        <f>Master_Data!K517</f>
        <v>0.13639999999999999</v>
      </c>
      <c r="L517">
        <f>Master_Data!L517</f>
        <v>0.28000000000000003</v>
      </c>
      <c r="M517">
        <f>Master_Data!M517</f>
        <v>0.35820000000000002</v>
      </c>
      <c r="N517">
        <f>Master_Data!N517</f>
        <v>17</v>
      </c>
      <c r="O517">
        <f>Master_Data!O517</f>
        <v>93</v>
      </c>
      <c r="P517">
        <f>Master_Data!P517</f>
        <v>110</v>
      </c>
      <c r="Q517" t="str">
        <f t="shared" si="48"/>
        <v>2011</v>
      </c>
      <c r="R517" t="str">
        <f t="shared" si="49"/>
        <v>January</v>
      </c>
      <c r="S517" t="str">
        <f t="shared" si="50"/>
        <v>Sunday</v>
      </c>
      <c r="T517" t="str">
        <f t="shared" si="51"/>
        <v>Afternoon</v>
      </c>
      <c r="U517" t="str">
        <f t="shared" si="52"/>
        <v>Spring</v>
      </c>
      <c r="V517" t="str">
        <f t="shared" si="53"/>
        <v>Clear</v>
      </c>
    </row>
    <row r="518" spans="1:22">
      <c r="A518">
        <f>Master_Data!A518</f>
        <v>517</v>
      </c>
      <c r="B518">
        <f>Master_Data!B518</f>
        <v>40566</v>
      </c>
      <c r="C518">
        <f>Master_Data!C518</f>
        <v>1</v>
      </c>
      <c r="D518">
        <f>Master_Data!D518</f>
        <v>0</v>
      </c>
      <c r="E518">
        <f>Master_Data!E518</f>
        <v>1</v>
      </c>
      <c r="F518">
        <f>Master_Data!F518</f>
        <v>15</v>
      </c>
      <c r="G518" t="b">
        <f>Master_Data!G518</f>
        <v>0</v>
      </c>
      <c r="H518">
        <f>Master_Data!H518</f>
        <v>0</v>
      </c>
      <c r="I518">
        <f>Master_Data!I518</f>
        <v>1</v>
      </c>
      <c r="J518">
        <f>Master_Data!J518</f>
        <v>0.16</v>
      </c>
      <c r="K518">
        <f>Master_Data!K518</f>
        <v>0.13639999999999999</v>
      </c>
      <c r="L518">
        <f>Master_Data!L518</f>
        <v>0.28000000000000003</v>
      </c>
      <c r="M518">
        <f>Master_Data!M518</f>
        <v>0.35820000000000002</v>
      </c>
      <c r="N518">
        <f>Master_Data!N518</f>
        <v>13</v>
      </c>
      <c r="O518">
        <f>Master_Data!O518</f>
        <v>64</v>
      </c>
      <c r="P518">
        <f>Master_Data!P518</f>
        <v>77</v>
      </c>
      <c r="Q518" t="str">
        <f t="shared" si="48"/>
        <v>2011</v>
      </c>
      <c r="R518" t="str">
        <f t="shared" si="49"/>
        <v>January</v>
      </c>
      <c r="S518" t="str">
        <f t="shared" si="50"/>
        <v>Sunday</v>
      </c>
      <c r="T518" t="str">
        <f t="shared" si="51"/>
        <v>Afternoon</v>
      </c>
      <c r="U518" t="str">
        <f t="shared" si="52"/>
        <v>Spring</v>
      </c>
      <c r="V518" t="str">
        <f t="shared" si="53"/>
        <v>Clear</v>
      </c>
    </row>
    <row r="519" spans="1:22">
      <c r="A519">
        <f>Master_Data!A519</f>
        <v>518</v>
      </c>
      <c r="B519">
        <f>Master_Data!B519</f>
        <v>40566</v>
      </c>
      <c r="C519">
        <f>Master_Data!C519</f>
        <v>1</v>
      </c>
      <c r="D519">
        <f>Master_Data!D519</f>
        <v>0</v>
      </c>
      <c r="E519">
        <f>Master_Data!E519</f>
        <v>1</v>
      </c>
      <c r="F519">
        <f>Master_Data!F519</f>
        <v>16</v>
      </c>
      <c r="G519" t="b">
        <f>Master_Data!G519</f>
        <v>0</v>
      </c>
      <c r="H519">
        <f>Master_Data!H519</f>
        <v>0</v>
      </c>
      <c r="I519">
        <f>Master_Data!I519</f>
        <v>1</v>
      </c>
      <c r="J519">
        <f>Master_Data!J519</f>
        <v>0.16</v>
      </c>
      <c r="K519">
        <f>Master_Data!K519</f>
        <v>0.13639999999999999</v>
      </c>
      <c r="L519">
        <f>Master_Data!L519</f>
        <v>0.26</v>
      </c>
      <c r="M519">
        <f>Master_Data!M519</f>
        <v>0.32840000000000003</v>
      </c>
      <c r="N519">
        <f>Master_Data!N519</f>
        <v>9</v>
      </c>
      <c r="O519">
        <f>Master_Data!O519</f>
        <v>56</v>
      </c>
      <c r="P519">
        <f>Master_Data!P519</f>
        <v>65</v>
      </c>
      <c r="Q519" t="str">
        <f t="shared" si="48"/>
        <v>2011</v>
      </c>
      <c r="R519" t="str">
        <f t="shared" si="49"/>
        <v>January</v>
      </c>
      <c r="S519" t="str">
        <f t="shared" si="50"/>
        <v>Sunday</v>
      </c>
      <c r="T519" t="str">
        <f t="shared" si="51"/>
        <v>Afternoon</v>
      </c>
      <c r="U519" t="str">
        <f t="shared" si="52"/>
        <v>Spring</v>
      </c>
      <c r="V519" t="str">
        <f t="shared" si="53"/>
        <v>Clear</v>
      </c>
    </row>
    <row r="520" spans="1:22">
      <c r="A520">
        <f>Master_Data!A520</f>
        <v>519</v>
      </c>
      <c r="B520">
        <f>Master_Data!B520</f>
        <v>40566</v>
      </c>
      <c r="C520">
        <f>Master_Data!C520</f>
        <v>1</v>
      </c>
      <c r="D520">
        <f>Master_Data!D520</f>
        <v>0</v>
      </c>
      <c r="E520">
        <f>Master_Data!E520</f>
        <v>1</v>
      </c>
      <c r="F520">
        <f>Master_Data!F520</f>
        <v>17</v>
      </c>
      <c r="G520" t="b">
        <f>Master_Data!G520</f>
        <v>0</v>
      </c>
      <c r="H520">
        <f>Master_Data!H520</f>
        <v>0</v>
      </c>
      <c r="I520">
        <f>Master_Data!I520</f>
        <v>1</v>
      </c>
      <c r="J520">
        <f>Master_Data!J520</f>
        <v>0.14000000000000001</v>
      </c>
      <c r="K520">
        <f>Master_Data!K520</f>
        <v>0.1061</v>
      </c>
      <c r="L520">
        <f>Master_Data!L520</f>
        <v>0.26</v>
      </c>
      <c r="M520">
        <f>Master_Data!M520</f>
        <v>0.3881</v>
      </c>
      <c r="N520">
        <f>Master_Data!N520</f>
        <v>5</v>
      </c>
      <c r="O520">
        <f>Master_Data!O520</f>
        <v>50</v>
      </c>
      <c r="P520">
        <f>Master_Data!P520</f>
        <v>55</v>
      </c>
      <c r="Q520" t="str">
        <f t="shared" si="48"/>
        <v>2011</v>
      </c>
      <c r="R520" t="str">
        <f t="shared" si="49"/>
        <v>January</v>
      </c>
      <c r="S520" t="str">
        <f t="shared" si="50"/>
        <v>Sunday</v>
      </c>
      <c r="T520" t="str">
        <f t="shared" si="51"/>
        <v>Evening</v>
      </c>
      <c r="U520" t="str">
        <f t="shared" si="52"/>
        <v>Spring</v>
      </c>
      <c r="V520" t="str">
        <f t="shared" si="53"/>
        <v>Clear</v>
      </c>
    </row>
    <row r="521" spans="1:22">
      <c r="A521">
        <f>Master_Data!A521</f>
        <v>520</v>
      </c>
      <c r="B521">
        <f>Master_Data!B521</f>
        <v>40566</v>
      </c>
      <c r="C521">
        <f>Master_Data!C521</f>
        <v>1</v>
      </c>
      <c r="D521">
        <f>Master_Data!D521</f>
        <v>0</v>
      </c>
      <c r="E521">
        <f>Master_Data!E521</f>
        <v>1</v>
      </c>
      <c r="F521">
        <f>Master_Data!F521</f>
        <v>18</v>
      </c>
      <c r="G521" t="b">
        <f>Master_Data!G521</f>
        <v>0</v>
      </c>
      <c r="H521">
        <f>Master_Data!H521</f>
        <v>0</v>
      </c>
      <c r="I521">
        <f>Master_Data!I521</f>
        <v>1</v>
      </c>
      <c r="J521">
        <f>Master_Data!J521</f>
        <v>0.12</v>
      </c>
      <c r="K521">
        <f>Master_Data!K521</f>
        <v>0.1212</v>
      </c>
      <c r="L521">
        <f>Master_Data!L521</f>
        <v>0.3</v>
      </c>
      <c r="M521">
        <f>Master_Data!M521</f>
        <v>0.25369999999999998</v>
      </c>
      <c r="N521">
        <f>Master_Data!N521</f>
        <v>5</v>
      </c>
      <c r="O521">
        <f>Master_Data!O521</f>
        <v>44</v>
      </c>
      <c r="P521">
        <f>Master_Data!P521</f>
        <v>49</v>
      </c>
      <c r="Q521" t="str">
        <f t="shared" si="48"/>
        <v>2011</v>
      </c>
      <c r="R521" t="str">
        <f t="shared" si="49"/>
        <v>January</v>
      </c>
      <c r="S521" t="str">
        <f t="shared" si="50"/>
        <v>Sunday</v>
      </c>
      <c r="T521" t="str">
        <f t="shared" si="51"/>
        <v>Evening</v>
      </c>
      <c r="U521" t="str">
        <f t="shared" si="52"/>
        <v>Spring</v>
      </c>
      <c r="V521" t="str">
        <f t="shared" si="53"/>
        <v>Clear</v>
      </c>
    </row>
    <row r="522" spans="1:22">
      <c r="A522">
        <f>Master_Data!A522</f>
        <v>521</v>
      </c>
      <c r="B522">
        <f>Master_Data!B522</f>
        <v>40566</v>
      </c>
      <c r="C522">
        <f>Master_Data!C522</f>
        <v>1</v>
      </c>
      <c r="D522">
        <f>Master_Data!D522</f>
        <v>0</v>
      </c>
      <c r="E522">
        <f>Master_Data!E522</f>
        <v>1</v>
      </c>
      <c r="F522">
        <f>Master_Data!F522</f>
        <v>19</v>
      </c>
      <c r="G522" t="b">
        <f>Master_Data!G522</f>
        <v>0</v>
      </c>
      <c r="H522">
        <f>Master_Data!H522</f>
        <v>0</v>
      </c>
      <c r="I522">
        <f>Master_Data!I522</f>
        <v>1</v>
      </c>
      <c r="J522">
        <f>Master_Data!J522</f>
        <v>0.12</v>
      </c>
      <c r="K522">
        <f>Master_Data!K522</f>
        <v>0.1212</v>
      </c>
      <c r="L522">
        <f>Master_Data!L522</f>
        <v>0.3</v>
      </c>
      <c r="M522">
        <f>Master_Data!M522</f>
        <v>0.28360000000000002</v>
      </c>
      <c r="N522">
        <f>Master_Data!N522</f>
        <v>5</v>
      </c>
      <c r="O522">
        <f>Master_Data!O522</f>
        <v>45</v>
      </c>
      <c r="P522">
        <f>Master_Data!P522</f>
        <v>50</v>
      </c>
      <c r="Q522" t="str">
        <f t="shared" si="48"/>
        <v>2011</v>
      </c>
      <c r="R522" t="str">
        <f t="shared" si="49"/>
        <v>January</v>
      </c>
      <c r="S522" t="str">
        <f t="shared" si="50"/>
        <v>Sunday</v>
      </c>
      <c r="T522" t="str">
        <f t="shared" si="51"/>
        <v>Evening</v>
      </c>
      <c r="U522" t="str">
        <f t="shared" si="52"/>
        <v>Spring</v>
      </c>
      <c r="V522" t="str">
        <f t="shared" si="53"/>
        <v>Clear</v>
      </c>
    </row>
    <row r="523" spans="1:22">
      <c r="A523">
        <f>Master_Data!A523</f>
        <v>522</v>
      </c>
      <c r="B523">
        <f>Master_Data!B523</f>
        <v>40566</v>
      </c>
      <c r="C523">
        <f>Master_Data!C523</f>
        <v>1</v>
      </c>
      <c r="D523">
        <f>Master_Data!D523</f>
        <v>0</v>
      </c>
      <c r="E523">
        <f>Master_Data!E523</f>
        <v>1</v>
      </c>
      <c r="F523">
        <f>Master_Data!F523</f>
        <v>20</v>
      </c>
      <c r="G523" t="b">
        <f>Master_Data!G523</f>
        <v>0</v>
      </c>
      <c r="H523">
        <f>Master_Data!H523</f>
        <v>0</v>
      </c>
      <c r="I523">
        <f>Master_Data!I523</f>
        <v>1</v>
      </c>
      <c r="J523">
        <f>Master_Data!J523</f>
        <v>0.1</v>
      </c>
      <c r="K523">
        <f>Master_Data!K523</f>
        <v>0.1061</v>
      </c>
      <c r="L523">
        <f>Master_Data!L523</f>
        <v>0.36</v>
      </c>
      <c r="M523">
        <f>Master_Data!M523</f>
        <v>0.25369999999999998</v>
      </c>
      <c r="N523">
        <f>Master_Data!N523</f>
        <v>4</v>
      </c>
      <c r="O523">
        <f>Master_Data!O523</f>
        <v>31</v>
      </c>
      <c r="P523">
        <f>Master_Data!P523</f>
        <v>35</v>
      </c>
      <c r="Q523" t="str">
        <f t="shared" si="48"/>
        <v>2011</v>
      </c>
      <c r="R523" t="str">
        <f t="shared" si="49"/>
        <v>January</v>
      </c>
      <c r="S523" t="str">
        <f t="shared" si="50"/>
        <v>Sunday</v>
      </c>
      <c r="T523" t="str">
        <f t="shared" si="51"/>
        <v>Evening</v>
      </c>
      <c r="U523" t="str">
        <f t="shared" si="52"/>
        <v>Spring</v>
      </c>
      <c r="V523" t="str">
        <f t="shared" si="53"/>
        <v>Clear</v>
      </c>
    </row>
    <row r="524" spans="1:22">
      <c r="A524">
        <f>Master_Data!A524</f>
        <v>523</v>
      </c>
      <c r="B524">
        <f>Master_Data!B524</f>
        <v>40566</v>
      </c>
      <c r="C524">
        <f>Master_Data!C524</f>
        <v>1</v>
      </c>
      <c r="D524">
        <f>Master_Data!D524</f>
        <v>0</v>
      </c>
      <c r="E524">
        <f>Master_Data!E524</f>
        <v>1</v>
      </c>
      <c r="F524">
        <f>Master_Data!F524</f>
        <v>21</v>
      </c>
      <c r="G524" t="b">
        <f>Master_Data!G524</f>
        <v>0</v>
      </c>
      <c r="H524">
        <f>Master_Data!H524</f>
        <v>0</v>
      </c>
      <c r="I524">
        <f>Master_Data!I524</f>
        <v>1</v>
      </c>
      <c r="J524">
        <f>Master_Data!J524</f>
        <v>0.1</v>
      </c>
      <c r="K524">
        <f>Master_Data!K524</f>
        <v>0.1061</v>
      </c>
      <c r="L524">
        <f>Master_Data!L524</f>
        <v>0.36</v>
      </c>
      <c r="M524">
        <f>Master_Data!M524</f>
        <v>0.19400000000000001</v>
      </c>
      <c r="N524">
        <f>Master_Data!N524</f>
        <v>5</v>
      </c>
      <c r="O524">
        <f>Master_Data!O524</f>
        <v>20</v>
      </c>
      <c r="P524">
        <f>Master_Data!P524</f>
        <v>25</v>
      </c>
      <c r="Q524" t="str">
        <f t="shared" si="48"/>
        <v>2011</v>
      </c>
      <c r="R524" t="str">
        <f t="shared" si="49"/>
        <v>January</v>
      </c>
      <c r="S524" t="str">
        <f t="shared" si="50"/>
        <v>Sunday</v>
      </c>
      <c r="T524" t="str">
        <f t="shared" si="51"/>
        <v>Night</v>
      </c>
      <c r="U524" t="str">
        <f t="shared" si="52"/>
        <v>Spring</v>
      </c>
      <c r="V524" t="str">
        <f t="shared" si="53"/>
        <v>Clear</v>
      </c>
    </row>
    <row r="525" spans="1:22">
      <c r="A525">
        <f>Master_Data!A525</f>
        <v>524</v>
      </c>
      <c r="B525">
        <f>Master_Data!B525</f>
        <v>40566</v>
      </c>
      <c r="C525">
        <f>Master_Data!C525</f>
        <v>1</v>
      </c>
      <c r="D525">
        <f>Master_Data!D525</f>
        <v>0</v>
      </c>
      <c r="E525">
        <f>Master_Data!E525</f>
        <v>1</v>
      </c>
      <c r="F525">
        <f>Master_Data!F525</f>
        <v>22</v>
      </c>
      <c r="G525" t="b">
        <f>Master_Data!G525</f>
        <v>0</v>
      </c>
      <c r="H525">
        <f>Master_Data!H525</f>
        <v>0</v>
      </c>
      <c r="I525">
        <f>Master_Data!I525</f>
        <v>1</v>
      </c>
      <c r="J525">
        <f>Master_Data!J525</f>
        <v>0.08</v>
      </c>
      <c r="K525">
        <f>Master_Data!K525</f>
        <v>9.0899999999999995E-2</v>
      </c>
      <c r="L525">
        <f>Master_Data!L525</f>
        <v>0.38</v>
      </c>
      <c r="M525">
        <f>Master_Data!M525</f>
        <v>0.19400000000000001</v>
      </c>
      <c r="N525">
        <f>Master_Data!N525</f>
        <v>5</v>
      </c>
      <c r="O525">
        <f>Master_Data!O525</f>
        <v>23</v>
      </c>
      <c r="P525">
        <f>Master_Data!P525</f>
        <v>28</v>
      </c>
      <c r="Q525" t="str">
        <f t="shared" si="48"/>
        <v>2011</v>
      </c>
      <c r="R525" t="str">
        <f t="shared" si="49"/>
        <v>January</v>
      </c>
      <c r="S525" t="str">
        <f t="shared" si="50"/>
        <v>Sunday</v>
      </c>
      <c r="T525" t="str">
        <f t="shared" si="51"/>
        <v>Night</v>
      </c>
      <c r="U525" t="str">
        <f t="shared" si="52"/>
        <v>Spring</v>
      </c>
      <c r="V525" t="str">
        <f t="shared" si="53"/>
        <v>Clear</v>
      </c>
    </row>
    <row r="526" spans="1:22">
      <c r="A526">
        <f>Master_Data!A526</f>
        <v>525</v>
      </c>
      <c r="B526">
        <f>Master_Data!B526</f>
        <v>40566</v>
      </c>
      <c r="C526">
        <f>Master_Data!C526</f>
        <v>1</v>
      </c>
      <c r="D526">
        <f>Master_Data!D526</f>
        <v>0</v>
      </c>
      <c r="E526">
        <f>Master_Data!E526</f>
        <v>1</v>
      </c>
      <c r="F526">
        <f>Master_Data!F526</f>
        <v>23</v>
      </c>
      <c r="G526" t="b">
        <f>Master_Data!G526</f>
        <v>0</v>
      </c>
      <c r="H526">
        <f>Master_Data!H526</f>
        <v>0</v>
      </c>
      <c r="I526">
        <f>Master_Data!I526</f>
        <v>1</v>
      </c>
      <c r="J526">
        <f>Master_Data!J526</f>
        <v>0.06</v>
      </c>
      <c r="K526">
        <f>Master_Data!K526</f>
        <v>6.0600000000000001E-2</v>
      </c>
      <c r="L526">
        <f>Master_Data!L526</f>
        <v>0.41</v>
      </c>
      <c r="M526">
        <f>Master_Data!M526</f>
        <v>0.22389999999999999</v>
      </c>
      <c r="N526">
        <f>Master_Data!N526</f>
        <v>4</v>
      </c>
      <c r="O526">
        <f>Master_Data!O526</f>
        <v>17</v>
      </c>
      <c r="P526">
        <f>Master_Data!P526</f>
        <v>21</v>
      </c>
      <c r="Q526" t="str">
        <f t="shared" si="48"/>
        <v>2011</v>
      </c>
      <c r="R526" t="str">
        <f t="shared" si="49"/>
        <v>January</v>
      </c>
      <c r="S526" t="str">
        <f t="shared" si="50"/>
        <v>Sunday</v>
      </c>
      <c r="T526" t="str">
        <f t="shared" si="51"/>
        <v>Night</v>
      </c>
      <c r="U526" t="str">
        <f t="shared" si="52"/>
        <v>Spring</v>
      </c>
      <c r="V526" t="str">
        <f t="shared" si="53"/>
        <v>Clear</v>
      </c>
    </row>
    <row r="527" spans="1:22">
      <c r="A527">
        <f>Master_Data!A527</f>
        <v>526</v>
      </c>
      <c r="B527">
        <f>Master_Data!B527</f>
        <v>40567</v>
      </c>
      <c r="C527">
        <f>Master_Data!C527</f>
        <v>1</v>
      </c>
      <c r="D527">
        <f>Master_Data!D527</f>
        <v>0</v>
      </c>
      <c r="E527">
        <f>Master_Data!E527</f>
        <v>1</v>
      </c>
      <c r="F527">
        <f>Master_Data!F527</f>
        <v>0</v>
      </c>
      <c r="G527" t="b">
        <f>Master_Data!G527</f>
        <v>0</v>
      </c>
      <c r="H527">
        <f>Master_Data!H527</f>
        <v>1</v>
      </c>
      <c r="I527">
        <f>Master_Data!I527</f>
        <v>1</v>
      </c>
      <c r="J527">
        <f>Master_Data!J527</f>
        <v>0.06</v>
      </c>
      <c r="K527">
        <f>Master_Data!K527</f>
        <v>6.0600000000000001E-2</v>
      </c>
      <c r="L527">
        <f>Master_Data!L527</f>
        <v>0.41</v>
      </c>
      <c r="M527">
        <f>Master_Data!M527</f>
        <v>0.19400000000000001</v>
      </c>
      <c r="N527">
        <f>Master_Data!N527</f>
        <v>0</v>
      </c>
      <c r="O527">
        <f>Master_Data!O527</f>
        <v>7</v>
      </c>
      <c r="P527">
        <f>Master_Data!P527</f>
        <v>7</v>
      </c>
      <c r="Q527" t="str">
        <f t="shared" si="48"/>
        <v>2011</v>
      </c>
      <c r="R527" t="str">
        <f t="shared" si="49"/>
        <v>January</v>
      </c>
      <c r="S527" t="str">
        <f t="shared" si="50"/>
        <v>Weekday</v>
      </c>
      <c r="T527" t="str">
        <f t="shared" si="51"/>
        <v>Night</v>
      </c>
      <c r="U527" t="str">
        <f t="shared" si="52"/>
        <v>Spring</v>
      </c>
      <c r="V527" t="str">
        <f t="shared" si="53"/>
        <v>Clear</v>
      </c>
    </row>
    <row r="528" spans="1:22">
      <c r="A528">
        <f>Master_Data!A528</f>
        <v>527</v>
      </c>
      <c r="B528">
        <f>Master_Data!B528</f>
        <v>40567</v>
      </c>
      <c r="C528">
        <f>Master_Data!C528</f>
        <v>1</v>
      </c>
      <c r="D528">
        <f>Master_Data!D528</f>
        <v>0</v>
      </c>
      <c r="E528">
        <f>Master_Data!E528</f>
        <v>1</v>
      </c>
      <c r="F528">
        <f>Master_Data!F528</f>
        <v>1</v>
      </c>
      <c r="G528" t="b">
        <f>Master_Data!G528</f>
        <v>0</v>
      </c>
      <c r="H528">
        <f>Master_Data!H528</f>
        <v>1</v>
      </c>
      <c r="I528">
        <f>Master_Data!I528</f>
        <v>1</v>
      </c>
      <c r="J528">
        <f>Master_Data!J528</f>
        <v>0.04</v>
      </c>
      <c r="K528">
        <f>Master_Data!K528</f>
        <v>4.5499999999999999E-2</v>
      </c>
      <c r="L528">
        <f>Master_Data!L528</f>
        <v>0.45</v>
      </c>
      <c r="M528">
        <f>Master_Data!M528</f>
        <v>0.19400000000000001</v>
      </c>
      <c r="N528">
        <f>Master_Data!N528</f>
        <v>0</v>
      </c>
      <c r="O528">
        <f>Master_Data!O528</f>
        <v>1</v>
      </c>
      <c r="P528">
        <f>Master_Data!P528</f>
        <v>1</v>
      </c>
      <c r="Q528" t="str">
        <f t="shared" si="48"/>
        <v>2011</v>
      </c>
      <c r="R528" t="str">
        <f t="shared" si="49"/>
        <v>January</v>
      </c>
      <c r="S528" t="str">
        <f t="shared" si="50"/>
        <v>Weekday</v>
      </c>
      <c r="T528" t="str">
        <f t="shared" si="51"/>
        <v>Night</v>
      </c>
      <c r="U528" t="str">
        <f t="shared" si="52"/>
        <v>Spring</v>
      </c>
      <c r="V528" t="str">
        <f t="shared" si="53"/>
        <v>Clear</v>
      </c>
    </row>
    <row r="529" spans="1:22">
      <c r="A529">
        <f>Master_Data!A529</f>
        <v>528</v>
      </c>
      <c r="B529">
        <f>Master_Data!B529</f>
        <v>40567</v>
      </c>
      <c r="C529">
        <f>Master_Data!C529</f>
        <v>1</v>
      </c>
      <c r="D529">
        <f>Master_Data!D529</f>
        <v>0</v>
      </c>
      <c r="E529">
        <f>Master_Data!E529</f>
        <v>1</v>
      </c>
      <c r="F529">
        <f>Master_Data!F529</f>
        <v>3</v>
      </c>
      <c r="G529" t="b">
        <f>Master_Data!G529</f>
        <v>0</v>
      </c>
      <c r="H529">
        <f>Master_Data!H529</f>
        <v>1</v>
      </c>
      <c r="I529">
        <f>Master_Data!I529</f>
        <v>1</v>
      </c>
      <c r="J529">
        <f>Master_Data!J529</f>
        <v>0.04</v>
      </c>
      <c r="K529">
        <f>Master_Data!K529</f>
        <v>3.0300000000000001E-2</v>
      </c>
      <c r="L529">
        <f>Master_Data!L529</f>
        <v>0.45</v>
      </c>
      <c r="M529">
        <f>Master_Data!M529</f>
        <v>0.25369999999999998</v>
      </c>
      <c r="N529">
        <f>Master_Data!N529</f>
        <v>0</v>
      </c>
      <c r="O529">
        <f>Master_Data!O529</f>
        <v>1</v>
      </c>
      <c r="P529">
        <f>Master_Data!P529</f>
        <v>1</v>
      </c>
      <c r="Q529" t="str">
        <f t="shared" si="48"/>
        <v>2011</v>
      </c>
      <c r="R529" t="str">
        <f t="shared" si="49"/>
        <v>January</v>
      </c>
      <c r="S529" t="str">
        <f t="shared" si="50"/>
        <v>Weekday</v>
      </c>
      <c r="T529" t="str">
        <f t="shared" si="51"/>
        <v>Night</v>
      </c>
      <c r="U529" t="str">
        <f t="shared" si="52"/>
        <v>Spring</v>
      </c>
      <c r="V529" t="str">
        <f t="shared" si="53"/>
        <v>Clear</v>
      </c>
    </row>
    <row r="530" spans="1:22">
      <c r="A530">
        <f>Master_Data!A530</f>
        <v>529</v>
      </c>
      <c r="B530">
        <f>Master_Data!B530</f>
        <v>40567</v>
      </c>
      <c r="C530">
        <f>Master_Data!C530</f>
        <v>1</v>
      </c>
      <c r="D530">
        <f>Master_Data!D530</f>
        <v>0</v>
      </c>
      <c r="E530">
        <f>Master_Data!E530</f>
        <v>1</v>
      </c>
      <c r="F530">
        <f>Master_Data!F530</f>
        <v>4</v>
      </c>
      <c r="G530" t="b">
        <f>Master_Data!G530</f>
        <v>0</v>
      </c>
      <c r="H530">
        <f>Master_Data!H530</f>
        <v>1</v>
      </c>
      <c r="I530">
        <f>Master_Data!I530</f>
        <v>1</v>
      </c>
      <c r="J530">
        <f>Master_Data!J530</f>
        <v>0.02</v>
      </c>
      <c r="K530">
        <f>Master_Data!K530</f>
        <v>6.0600000000000001E-2</v>
      </c>
      <c r="L530">
        <f>Master_Data!L530</f>
        <v>0.48</v>
      </c>
      <c r="M530">
        <f>Master_Data!M530</f>
        <v>0.1343</v>
      </c>
      <c r="N530">
        <f>Master_Data!N530</f>
        <v>0</v>
      </c>
      <c r="O530">
        <f>Master_Data!O530</f>
        <v>1</v>
      </c>
      <c r="P530">
        <f>Master_Data!P530</f>
        <v>1</v>
      </c>
      <c r="Q530" t="str">
        <f t="shared" si="48"/>
        <v>2011</v>
      </c>
      <c r="R530" t="str">
        <f t="shared" si="49"/>
        <v>January</v>
      </c>
      <c r="S530" t="str">
        <f t="shared" si="50"/>
        <v>Weekday</v>
      </c>
      <c r="T530" t="str">
        <f t="shared" si="51"/>
        <v>Night</v>
      </c>
      <c r="U530" t="str">
        <f t="shared" si="52"/>
        <v>Spring</v>
      </c>
      <c r="V530" t="str">
        <f t="shared" si="53"/>
        <v>Clear</v>
      </c>
    </row>
    <row r="531" spans="1:22">
      <c r="A531">
        <f>Master_Data!A531</f>
        <v>530</v>
      </c>
      <c r="B531">
        <f>Master_Data!B531</f>
        <v>40567</v>
      </c>
      <c r="C531">
        <f>Master_Data!C531</f>
        <v>1</v>
      </c>
      <c r="D531">
        <f>Master_Data!D531</f>
        <v>0</v>
      </c>
      <c r="E531">
        <f>Master_Data!E531</f>
        <v>1</v>
      </c>
      <c r="F531">
        <f>Master_Data!F531</f>
        <v>5</v>
      </c>
      <c r="G531" t="b">
        <f>Master_Data!G531</f>
        <v>0</v>
      </c>
      <c r="H531">
        <f>Master_Data!H531</f>
        <v>1</v>
      </c>
      <c r="I531">
        <f>Master_Data!I531</f>
        <v>1</v>
      </c>
      <c r="J531">
        <f>Master_Data!J531</f>
        <v>0.02</v>
      </c>
      <c r="K531">
        <f>Master_Data!K531</f>
        <v>6.0600000000000001E-2</v>
      </c>
      <c r="L531">
        <f>Master_Data!L531</f>
        <v>0.48</v>
      </c>
      <c r="M531">
        <f>Master_Data!M531</f>
        <v>0.1343</v>
      </c>
      <c r="N531">
        <f>Master_Data!N531</f>
        <v>0</v>
      </c>
      <c r="O531">
        <f>Master_Data!O531</f>
        <v>5</v>
      </c>
      <c r="P531">
        <f>Master_Data!P531</f>
        <v>5</v>
      </c>
      <c r="Q531" t="str">
        <f t="shared" si="48"/>
        <v>2011</v>
      </c>
      <c r="R531" t="str">
        <f t="shared" si="49"/>
        <v>January</v>
      </c>
      <c r="S531" t="str">
        <f t="shared" si="50"/>
        <v>Weekday</v>
      </c>
      <c r="T531" t="str">
        <f t="shared" si="51"/>
        <v>Night</v>
      </c>
      <c r="U531" t="str">
        <f t="shared" si="52"/>
        <v>Spring</v>
      </c>
      <c r="V531" t="str">
        <f t="shared" si="53"/>
        <v>Clear</v>
      </c>
    </row>
    <row r="532" spans="1:22">
      <c r="A532">
        <f>Master_Data!A532</f>
        <v>531</v>
      </c>
      <c r="B532">
        <f>Master_Data!B532</f>
        <v>40567</v>
      </c>
      <c r="C532">
        <f>Master_Data!C532</f>
        <v>1</v>
      </c>
      <c r="D532">
        <f>Master_Data!D532</f>
        <v>0</v>
      </c>
      <c r="E532">
        <f>Master_Data!E532</f>
        <v>1</v>
      </c>
      <c r="F532">
        <f>Master_Data!F532</f>
        <v>6</v>
      </c>
      <c r="G532" t="b">
        <f>Master_Data!G532</f>
        <v>0</v>
      </c>
      <c r="H532">
        <f>Master_Data!H532</f>
        <v>1</v>
      </c>
      <c r="I532">
        <f>Master_Data!I532</f>
        <v>1</v>
      </c>
      <c r="J532">
        <f>Master_Data!J532</f>
        <v>0.02</v>
      </c>
      <c r="K532">
        <f>Master_Data!K532</f>
        <v>7.5800000000000006E-2</v>
      </c>
      <c r="L532">
        <f>Master_Data!L532</f>
        <v>0.48</v>
      </c>
      <c r="M532">
        <f>Master_Data!M532</f>
        <v>8.9599999999999999E-2</v>
      </c>
      <c r="N532">
        <f>Master_Data!N532</f>
        <v>0</v>
      </c>
      <c r="O532">
        <f>Master_Data!O532</f>
        <v>15</v>
      </c>
      <c r="P532">
        <f>Master_Data!P532</f>
        <v>15</v>
      </c>
      <c r="Q532" t="str">
        <f t="shared" si="48"/>
        <v>2011</v>
      </c>
      <c r="R532" t="str">
        <f t="shared" si="49"/>
        <v>January</v>
      </c>
      <c r="S532" t="str">
        <f t="shared" si="50"/>
        <v>Weekday</v>
      </c>
      <c r="T532" t="str">
        <f t="shared" si="51"/>
        <v>Morning</v>
      </c>
      <c r="U532" t="str">
        <f t="shared" si="52"/>
        <v>Spring</v>
      </c>
      <c r="V532" t="str">
        <f t="shared" si="53"/>
        <v>Clear</v>
      </c>
    </row>
    <row r="533" spans="1:22">
      <c r="A533">
        <f>Master_Data!A533</f>
        <v>532</v>
      </c>
      <c r="B533">
        <f>Master_Data!B533</f>
        <v>40567</v>
      </c>
      <c r="C533">
        <f>Master_Data!C533</f>
        <v>1</v>
      </c>
      <c r="D533">
        <f>Master_Data!D533</f>
        <v>0</v>
      </c>
      <c r="E533">
        <f>Master_Data!E533</f>
        <v>1</v>
      </c>
      <c r="F533">
        <f>Master_Data!F533</f>
        <v>7</v>
      </c>
      <c r="G533" t="b">
        <f>Master_Data!G533</f>
        <v>0</v>
      </c>
      <c r="H533">
        <f>Master_Data!H533</f>
        <v>1</v>
      </c>
      <c r="I533">
        <f>Master_Data!I533</f>
        <v>1</v>
      </c>
      <c r="J533">
        <f>Master_Data!J533</f>
        <v>0.02</v>
      </c>
      <c r="K533">
        <f>Master_Data!K533</f>
        <v>0.1212</v>
      </c>
      <c r="L533">
        <f>Master_Data!L533</f>
        <v>0.48</v>
      </c>
      <c r="M533">
        <f>Master_Data!M533</f>
        <v>0</v>
      </c>
      <c r="N533">
        <f>Master_Data!N533</f>
        <v>5</v>
      </c>
      <c r="O533">
        <f>Master_Data!O533</f>
        <v>79</v>
      </c>
      <c r="P533">
        <f>Master_Data!P533</f>
        <v>84</v>
      </c>
      <c r="Q533" t="str">
        <f t="shared" si="48"/>
        <v>2011</v>
      </c>
      <c r="R533" t="str">
        <f t="shared" si="49"/>
        <v>January</v>
      </c>
      <c r="S533" t="str">
        <f t="shared" si="50"/>
        <v>Weekday</v>
      </c>
      <c r="T533" t="str">
        <f t="shared" si="51"/>
        <v>Morning</v>
      </c>
      <c r="U533" t="str">
        <f t="shared" si="52"/>
        <v>Spring</v>
      </c>
      <c r="V533" t="str">
        <f t="shared" si="53"/>
        <v>Clear</v>
      </c>
    </row>
    <row r="534" spans="1:22">
      <c r="A534">
        <f>Master_Data!A534</f>
        <v>533</v>
      </c>
      <c r="B534">
        <f>Master_Data!B534</f>
        <v>40567</v>
      </c>
      <c r="C534">
        <f>Master_Data!C534</f>
        <v>1</v>
      </c>
      <c r="D534">
        <f>Master_Data!D534</f>
        <v>0</v>
      </c>
      <c r="E534">
        <f>Master_Data!E534</f>
        <v>1</v>
      </c>
      <c r="F534">
        <f>Master_Data!F534</f>
        <v>8</v>
      </c>
      <c r="G534" t="b">
        <f>Master_Data!G534</f>
        <v>0</v>
      </c>
      <c r="H534">
        <f>Master_Data!H534</f>
        <v>1</v>
      </c>
      <c r="I534">
        <f>Master_Data!I534</f>
        <v>1</v>
      </c>
      <c r="J534">
        <f>Master_Data!J534</f>
        <v>0.04</v>
      </c>
      <c r="K534">
        <f>Master_Data!K534</f>
        <v>0.13639999999999999</v>
      </c>
      <c r="L534">
        <f>Master_Data!L534</f>
        <v>0.49</v>
      </c>
      <c r="M534">
        <f>Master_Data!M534</f>
        <v>0</v>
      </c>
      <c r="N534">
        <f>Master_Data!N534</f>
        <v>6</v>
      </c>
      <c r="O534">
        <f>Master_Data!O534</f>
        <v>171</v>
      </c>
      <c r="P534">
        <f>Master_Data!P534</f>
        <v>177</v>
      </c>
      <c r="Q534" t="str">
        <f t="shared" si="48"/>
        <v>2011</v>
      </c>
      <c r="R534" t="str">
        <f t="shared" si="49"/>
        <v>January</v>
      </c>
      <c r="S534" t="str">
        <f t="shared" si="50"/>
        <v>Weekday</v>
      </c>
      <c r="T534" t="str">
        <f t="shared" si="51"/>
        <v>Morning</v>
      </c>
      <c r="U534" t="str">
        <f t="shared" si="52"/>
        <v>Spring</v>
      </c>
      <c r="V534" t="str">
        <f t="shared" si="53"/>
        <v>Clear</v>
      </c>
    </row>
    <row r="535" spans="1:22">
      <c r="A535">
        <f>Master_Data!A535</f>
        <v>534</v>
      </c>
      <c r="B535">
        <f>Master_Data!B535</f>
        <v>40567</v>
      </c>
      <c r="C535">
        <f>Master_Data!C535</f>
        <v>1</v>
      </c>
      <c r="D535">
        <f>Master_Data!D535</f>
        <v>0</v>
      </c>
      <c r="E535">
        <f>Master_Data!E535</f>
        <v>1</v>
      </c>
      <c r="F535">
        <f>Master_Data!F535</f>
        <v>9</v>
      </c>
      <c r="G535" t="b">
        <f>Master_Data!G535</f>
        <v>0</v>
      </c>
      <c r="H535">
        <f>Master_Data!H535</f>
        <v>1</v>
      </c>
      <c r="I535">
        <f>Master_Data!I535</f>
        <v>1</v>
      </c>
      <c r="J535">
        <f>Master_Data!J535</f>
        <v>0.06</v>
      </c>
      <c r="K535">
        <f>Master_Data!K535</f>
        <v>0.1515</v>
      </c>
      <c r="L535">
        <f>Master_Data!L535</f>
        <v>0.41</v>
      </c>
      <c r="M535">
        <f>Master_Data!M535</f>
        <v>0</v>
      </c>
      <c r="N535">
        <f>Master_Data!N535</f>
        <v>4</v>
      </c>
      <c r="O535">
        <f>Master_Data!O535</f>
        <v>98</v>
      </c>
      <c r="P535">
        <f>Master_Data!P535</f>
        <v>102</v>
      </c>
      <c r="Q535" t="str">
        <f t="shared" si="48"/>
        <v>2011</v>
      </c>
      <c r="R535" t="str">
        <f t="shared" si="49"/>
        <v>January</v>
      </c>
      <c r="S535" t="str">
        <f t="shared" si="50"/>
        <v>Weekday</v>
      </c>
      <c r="T535" t="str">
        <f t="shared" si="51"/>
        <v>Morning</v>
      </c>
      <c r="U535" t="str">
        <f t="shared" si="52"/>
        <v>Spring</v>
      </c>
      <c r="V535" t="str">
        <f t="shared" si="53"/>
        <v>Clear</v>
      </c>
    </row>
    <row r="536" spans="1:22">
      <c r="A536">
        <f>Master_Data!A536</f>
        <v>535</v>
      </c>
      <c r="B536">
        <f>Master_Data!B536</f>
        <v>40567</v>
      </c>
      <c r="C536">
        <f>Master_Data!C536</f>
        <v>1</v>
      </c>
      <c r="D536">
        <f>Master_Data!D536</f>
        <v>0</v>
      </c>
      <c r="E536">
        <f>Master_Data!E536</f>
        <v>1</v>
      </c>
      <c r="F536">
        <f>Master_Data!F536</f>
        <v>10</v>
      </c>
      <c r="G536" t="b">
        <f>Master_Data!G536</f>
        <v>0</v>
      </c>
      <c r="H536">
        <f>Master_Data!H536</f>
        <v>1</v>
      </c>
      <c r="I536">
        <f>Master_Data!I536</f>
        <v>1</v>
      </c>
      <c r="J536">
        <f>Master_Data!J536</f>
        <v>0.1</v>
      </c>
      <c r="K536">
        <f>Master_Data!K536</f>
        <v>0.13639999999999999</v>
      </c>
      <c r="L536">
        <f>Master_Data!L536</f>
        <v>0.42</v>
      </c>
      <c r="M536">
        <f>Master_Data!M536</f>
        <v>0</v>
      </c>
      <c r="N536">
        <f>Master_Data!N536</f>
        <v>6</v>
      </c>
      <c r="O536">
        <f>Master_Data!O536</f>
        <v>34</v>
      </c>
      <c r="P536">
        <f>Master_Data!P536</f>
        <v>40</v>
      </c>
      <c r="Q536" t="str">
        <f t="shared" si="48"/>
        <v>2011</v>
      </c>
      <c r="R536" t="str">
        <f t="shared" si="49"/>
        <v>January</v>
      </c>
      <c r="S536" t="str">
        <f t="shared" si="50"/>
        <v>Weekday</v>
      </c>
      <c r="T536" t="str">
        <f t="shared" si="51"/>
        <v>Morning</v>
      </c>
      <c r="U536" t="str">
        <f t="shared" si="52"/>
        <v>Spring</v>
      </c>
      <c r="V536" t="str">
        <f t="shared" si="53"/>
        <v>Clear</v>
      </c>
    </row>
    <row r="537" spans="1:22">
      <c r="A537">
        <f>Master_Data!A537</f>
        <v>536</v>
      </c>
      <c r="B537">
        <f>Master_Data!B537</f>
        <v>40567</v>
      </c>
      <c r="C537">
        <f>Master_Data!C537</f>
        <v>1</v>
      </c>
      <c r="D537">
        <f>Master_Data!D537</f>
        <v>0</v>
      </c>
      <c r="E537">
        <f>Master_Data!E537</f>
        <v>1</v>
      </c>
      <c r="F537">
        <f>Master_Data!F537</f>
        <v>11</v>
      </c>
      <c r="G537" t="b">
        <f>Master_Data!G537</f>
        <v>0</v>
      </c>
      <c r="H537">
        <f>Master_Data!H537</f>
        <v>1</v>
      </c>
      <c r="I537">
        <f>Master_Data!I537</f>
        <v>1</v>
      </c>
      <c r="J537">
        <f>Master_Data!J537</f>
        <v>0.1</v>
      </c>
      <c r="K537">
        <f>Master_Data!K537</f>
        <v>0.1212</v>
      </c>
      <c r="L537">
        <f>Master_Data!L537</f>
        <v>0.46</v>
      </c>
      <c r="M537">
        <f>Master_Data!M537</f>
        <v>0.1343</v>
      </c>
      <c r="N537">
        <f>Master_Data!N537</f>
        <v>3</v>
      </c>
      <c r="O537">
        <f>Master_Data!O537</f>
        <v>43</v>
      </c>
      <c r="P537">
        <f>Master_Data!P537</f>
        <v>46</v>
      </c>
      <c r="Q537" t="str">
        <f t="shared" si="48"/>
        <v>2011</v>
      </c>
      <c r="R537" t="str">
        <f t="shared" si="49"/>
        <v>January</v>
      </c>
      <c r="S537" t="str">
        <f t="shared" si="50"/>
        <v>Weekday</v>
      </c>
      <c r="T537" t="str">
        <f t="shared" si="51"/>
        <v>Morning</v>
      </c>
      <c r="U537" t="str">
        <f t="shared" si="52"/>
        <v>Spring</v>
      </c>
      <c r="V537" t="str">
        <f t="shared" si="53"/>
        <v>Clear</v>
      </c>
    </row>
    <row r="538" spans="1:22">
      <c r="A538">
        <f>Master_Data!A538</f>
        <v>537</v>
      </c>
      <c r="B538">
        <f>Master_Data!B538</f>
        <v>40567</v>
      </c>
      <c r="C538">
        <f>Master_Data!C538</f>
        <v>1</v>
      </c>
      <c r="D538">
        <f>Master_Data!D538</f>
        <v>0</v>
      </c>
      <c r="E538">
        <f>Master_Data!E538</f>
        <v>1</v>
      </c>
      <c r="F538">
        <f>Master_Data!F538</f>
        <v>12</v>
      </c>
      <c r="G538" t="b">
        <f>Master_Data!G538</f>
        <v>0</v>
      </c>
      <c r="H538">
        <f>Master_Data!H538</f>
        <v>1</v>
      </c>
      <c r="I538">
        <f>Master_Data!I538</f>
        <v>2</v>
      </c>
      <c r="J538">
        <f>Master_Data!J538</f>
        <v>0.12</v>
      </c>
      <c r="K538">
        <f>Master_Data!K538</f>
        <v>0.13639999999999999</v>
      </c>
      <c r="L538">
        <f>Master_Data!L538</f>
        <v>0.42</v>
      </c>
      <c r="M538">
        <f>Master_Data!M538</f>
        <v>0.19400000000000001</v>
      </c>
      <c r="N538">
        <f>Master_Data!N538</f>
        <v>11</v>
      </c>
      <c r="O538">
        <f>Master_Data!O538</f>
        <v>52</v>
      </c>
      <c r="P538">
        <f>Master_Data!P538</f>
        <v>63</v>
      </c>
      <c r="Q538" t="str">
        <f t="shared" si="48"/>
        <v>2011</v>
      </c>
      <c r="R538" t="str">
        <f t="shared" si="49"/>
        <v>January</v>
      </c>
      <c r="S538" t="str">
        <f t="shared" si="50"/>
        <v>Weekday</v>
      </c>
      <c r="T538" t="str">
        <f t="shared" si="51"/>
        <v>Afternoon</v>
      </c>
      <c r="U538" t="str">
        <f t="shared" si="52"/>
        <v>Spring</v>
      </c>
      <c r="V538" t="str">
        <f t="shared" si="53"/>
        <v>Mist/Cloudy</v>
      </c>
    </row>
    <row r="539" spans="1:22">
      <c r="A539">
        <f>Master_Data!A539</f>
        <v>538</v>
      </c>
      <c r="B539">
        <f>Master_Data!B539</f>
        <v>40567</v>
      </c>
      <c r="C539">
        <f>Master_Data!C539</f>
        <v>1</v>
      </c>
      <c r="D539">
        <f>Master_Data!D539</f>
        <v>0</v>
      </c>
      <c r="E539">
        <f>Master_Data!E539</f>
        <v>1</v>
      </c>
      <c r="F539">
        <f>Master_Data!F539</f>
        <v>13</v>
      </c>
      <c r="G539" t="b">
        <f>Master_Data!G539</f>
        <v>0</v>
      </c>
      <c r="H539">
        <f>Master_Data!H539</f>
        <v>1</v>
      </c>
      <c r="I539">
        <f>Master_Data!I539</f>
        <v>2</v>
      </c>
      <c r="J539">
        <f>Master_Data!J539</f>
        <v>0.14000000000000001</v>
      </c>
      <c r="K539">
        <f>Master_Data!K539</f>
        <v>0.13639999999999999</v>
      </c>
      <c r="L539">
        <f>Master_Data!L539</f>
        <v>0.43</v>
      </c>
      <c r="M539">
        <f>Master_Data!M539</f>
        <v>0.22389999999999999</v>
      </c>
      <c r="N539">
        <f>Master_Data!N539</f>
        <v>6</v>
      </c>
      <c r="O539">
        <f>Master_Data!O539</f>
        <v>54</v>
      </c>
      <c r="P539">
        <f>Master_Data!P539</f>
        <v>60</v>
      </c>
      <c r="Q539" t="str">
        <f t="shared" si="48"/>
        <v>2011</v>
      </c>
      <c r="R539" t="str">
        <f t="shared" si="49"/>
        <v>January</v>
      </c>
      <c r="S539" t="str">
        <f t="shared" si="50"/>
        <v>Weekday</v>
      </c>
      <c r="T539" t="str">
        <f t="shared" si="51"/>
        <v>Afternoon</v>
      </c>
      <c r="U539" t="str">
        <f t="shared" si="52"/>
        <v>Spring</v>
      </c>
      <c r="V539" t="str">
        <f t="shared" si="53"/>
        <v>Mist/Cloudy</v>
      </c>
    </row>
    <row r="540" spans="1:22">
      <c r="A540">
        <f>Master_Data!A540</f>
        <v>539</v>
      </c>
      <c r="B540">
        <f>Master_Data!B540</f>
        <v>40567</v>
      </c>
      <c r="C540">
        <f>Master_Data!C540</f>
        <v>1</v>
      </c>
      <c r="D540">
        <f>Master_Data!D540</f>
        <v>0</v>
      </c>
      <c r="E540">
        <f>Master_Data!E540</f>
        <v>1</v>
      </c>
      <c r="F540">
        <f>Master_Data!F540</f>
        <v>14</v>
      </c>
      <c r="G540" t="b">
        <f>Master_Data!G540</f>
        <v>0</v>
      </c>
      <c r="H540">
        <f>Master_Data!H540</f>
        <v>1</v>
      </c>
      <c r="I540">
        <f>Master_Data!I540</f>
        <v>2</v>
      </c>
      <c r="J540">
        <f>Master_Data!J540</f>
        <v>0.14000000000000001</v>
      </c>
      <c r="K540">
        <f>Master_Data!K540</f>
        <v>0.13639999999999999</v>
      </c>
      <c r="L540">
        <f>Master_Data!L540</f>
        <v>0.46</v>
      </c>
      <c r="M540">
        <f>Master_Data!M540</f>
        <v>0.22389999999999999</v>
      </c>
      <c r="N540">
        <f>Master_Data!N540</f>
        <v>2</v>
      </c>
      <c r="O540">
        <f>Master_Data!O540</f>
        <v>43</v>
      </c>
      <c r="P540">
        <f>Master_Data!P540</f>
        <v>45</v>
      </c>
      <c r="Q540" t="str">
        <f t="shared" si="48"/>
        <v>2011</v>
      </c>
      <c r="R540" t="str">
        <f t="shared" si="49"/>
        <v>January</v>
      </c>
      <c r="S540" t="str">
        <f t="shared" si="50"/>
        <v>Weekday</v>
      </c>
      <c r="T540" t="str">
        <f t="shared" si="51"/>
        <v>Afternoon</v>
      </c>
      <c r="U540" t="str">
        <f t="shared" si="52"/>
        <v>Spring</v>
      </c>
      <c r="V540" t="str">
        <f t="shared" si="53"/>
        <v>Mist/Cloudy</v>
      </c>
    </row>
    <row r="541" spans="1:22">
      <c r="A541">
        <f>Master_Data!A541</f>
        <v>540</v>
      </c>
      <c r="B541">
        <f>Master_Data!B541</f>
        <v>40567</v>
      </c>
      <c r="C541">
        <f>Master_Data!C541</f>
        <v>1</v>
      </c>
      <c r="D541">
        <f>Master_Data!D541</f>
        <v>0</v>
      </c>
      <c r="E541">
        <f>Master_Data!E541</f>
        <v>1</v>
      </c>
      <c r="F541">
        <f>Master_Data!F541</f>
        <v>15</v>
      </c>
      <c r="G541" t="b">
        <f>Master_Data!G541</f>
        <v>0</v>
      </c>
      <c r="H541">
        <f>Master_Data!H541</f>
        <v>1</v>
      </c>
      <c r="I541">
        <f>Master_Data!I541</f>
        <v>1</v>
      </c>
      <c r="J541">
        <f>Master_Data!J541</f>
        <v>0.16</v>
      </c>
      <c r="K541">
        <f>Master_Data!K541</f>
        <v>0.16669999999999999</v>
      </c>
      <c r="L541">
        <f>Master_Data!L541</f>
        <v>0.4</v>
      </c>
      <c r="M541">
        <f>Master_Data!M541</f>
        <v>0.16420000000000001</v>
      </c>
      <c r="N541">
        <f>Master_Data!N541</f>
        <v>7</v>
      </c>
      <c r="O541">
        <f>Master_Data!O541</f>
        <v>50</v>
      </c>
      <c r="P541">
        <f>Master_Data!P541</f>
        <v>57</v>
      </c>
      <c r="Q541" t="str">
        <f t="shared" si="48"/>
        <v>2011</v>
      </c>
      <c r="R541" t="str">
        <f t="shared" si="49"/>
        <v>January</v>
      </c>
      <c r="S541" t="str">
        <f t="shared" si="50"/>
        <v>Weekday</v>
      </c>
      <c r="T541" t="str">
        <f t="shared" si="51"/>
        <v>Afternoon</v>
      </c>
      <c r="U541" t="str">
        <f t="shared" si="52"/>
        <v>Spring</v>
      </c>
      <c r="V541" t="str">
        <f t="shared" si="53"/>
        <v>Clear</v>
      </c>
    </row>
    <row r="542" spans="1:22">
      <c r="A542">
        <f>Master_Data!A542</f>
        <v>541</v>
      </c>
      <c r="B542">
        <f>Master_Data!B542</f>
        <v>40567</v>
      </c>
      <c r="C542">
        <f>Master_Data!C542</f>
        <v>1</v>
      </c>
      <c r="D542">
        <f>Master_Data!D542</f>
        <v>0</v>
      </c>
      <c r="E542">
        <f>Master_Data!E542</f>
        <v>1</v>
      </c>
      <c r="F542">
        <f>Master_Data!F542</f>
        <v>16</v>
      </c>
      <c r="G542" t="b">
        <f>Master_Data!G542</f>
        <v>0</v>
      </c>
      <c r="H542">
        <f>Master_Data!H542</f>
        <v>1</v>
      </c>
      <c r="I542">
        <f>Master_Data!I542</f>
        <v>1</v>
      </c>
      <c r="J542">
        <f>Master_Data!J542</f>
        <v>0.16</v>
      </c>
      <c r="K542">
        <f>Master_Data!K542</f>
        <v>0.1515</v>
      </c>
      <c r="L542">
        <f>Master_Data!L542</f>
        <v>0.47</v>
      </c>
      <c r="M542">
        <f>Master_Data!M542</f>
        <v>0.25369999999999998</v>
      </c>
      <c r="N542">
        <f>Master_Data!N542</f>
        <v>4</v>
      </c>
      <c r="O542">
        <f>Master_Data!O542</f>
        <v>66</v>
      </c>
      <c r="P542">
        <f>Master_Data!P542</f>
        <v>70</v>
      </c>
      <c r="Q542" t="str">
        <f t="shared" si="48"/>
        <v>2011</v>
      </c>
      <c r="R542" t="str">
        <f t="shared" si="49"/>
        <v>January</v>
      </c>
      <c r="S542" t="str">
        <f t="shared" si="50"/>
        <v>Weekday</v>
      </c>
      <c r="T542" t="str">
        <f t="shared" si="51"/>
        <v>Afternoon</v>
      </c>
      <c r="U542" t="str">
        <f t="shared" si="52"/>
        <v>Spring</v>
      </c>
      <c r="V542" t="str">
        <f t="shared" si="53"/>
        <v>Clear</v>
      </c>
    </row>
    <row r="543" spans="1:22">
      <c r="A543">
        <f>Master_Data!A543</f>
        <v>542</v>
      </c>
      <c r="B543">
        <f>Master_Data!B543</f>
        <v>40567</v>
      </c>
      <c r="C543">
        <f>Master_Data!C543</f>
        <v>1</v>
      </c>
      <c r="D543">
        <f>Master_Data!D543</f>
        <v>0</v>
      </c>
      <c r="E543">
        <f>Master_Data!E543</f>
        <v>1</v>
      </c>
      <c r="F543">
        <f>Master_Data!F543</f>
        <v>17</v>
      </c>
      <c r="G543" t="b">
        <f>Master_Data!G543</f>
        <v>0</v>
      </c>
      <c r="H543">
        <f>Master_Data!H543</f>
        <v>1</v>
      </c>
      <c r="I543">
        <f>Master_Data!I543</f>
        <v>1</v>
      </c>
      <c r="J543">
        <f>Master_Data!J543</f>
        <v>0.14000000000000001</v>
      </c>
      <c r="K543">
        <f>Master_Data!K543</f>
        <v>0.1212</v>
      </c>
      <c r="L543">
        <f>Master_Data!L543</f>
        <v>0.5</v>
      </c>
      <c r="M543">
        <f>Master_Data!M543</f>
        <v>0.25369999999999998</v>
      </c>
      <c r="N543">
        <f>Master_Data!N543</f>
        <v>6</v>
      </c>
      <c r="O543">
        <f>Master_Data!O543</f>
        <v>178</v>
      </c>
      <c r="P543">
        <f>Master_Data!P543</f>
        <v>184</v>
      </c>
      <c r="Q543" t="str">
        <f t="shared" si="48"/>
        <v>2011</v>
      </c>
      <c r="R543" t="str">
        <f t="shared" si="49"/>
        <v>January</v>
      </c>
      <c r="S543" t="str">
        <f t="shared" si="50"/>
        <v>Weekday</v>
      </c>
      <c r="T543" t="str">
        <f t="shared" si="51"/>
        <v>Evening</v>
      </c>
      <c r="U543" t="str">
        <f t="shared" si="52"/>
        <v>Spring</v>
      </c>
      <c r="V543" t="str">
        <f t="shared" si="53"/>
        <v>Clear</v>
      </c>
    </row>
    <row r="544" spans="1:22">
      <c r="A544">
        <f>Master_Data!A544</f>
        <v>543</v>
      </c>
      <c r="B544">
        <f>Master_Data!B544</f>
        <v>40567</v>
      </c>
      <c r="C544">
        <f>Master_Data!C544</f>
        <v>1</v>
      </c>
      <c r="D544">
        <f>Master_Data!D544</f>
        <v>0</v>
      </c>
      <c r="E544">
        <f>Master_Data!E544</f>
        <v>1</v>
      </c>
      <c r="F544">
        <f>Master_Data!F544</f>
        <v>18</v>
      </c>
      <c r="G544" t="b">
        <f>Master_Data!G544</f>
        <v>0</v>
      </c>
      <c r="H544">
        <f>Master_Data!H544</f>
        <v>1</v>
      </c>
      <c r="I544">
        <f>Master_Data!I544</f>
        <v>1</v>
      </c>
      <c r="J544">
        <f>Master_Data!J544</f>
        <v>0.14000000000000001</v>
      </c>
      <c r="K544">
        <f>Master_Data!K544</f>
        <v>0.13639999999999999</v>
      </c>
      <c r="L544">
        <f>Master_Data!L544</f>
        <v>0.59</v>
      </c>
      <c r="M544">
        <f>Master_Data!M544</f>
        <v>0.19400000000000001</v>
      </c>
      <c r="N544">
        <f>Master_Data!N544</f>
        <v>8</v>
      </c>
      <c r="O544">
        <f>Master_Data!O544</f>
        <v>145</v>
      </c>
      <c r="P544">
        <f>Master_Data!P544</f>
        <v>153</v>
      </c>
      <c r="Q544" t="str">
        <f t="shared" si="48"/>
        <v>2011</v>
      </c>
      <c r="R544" t="str">
        <f t="shared" si="49"/>
        <v>January</v>
      </c>
      <c r="S544" t="str">
        <f t="shared" si="50"/>
        <v>Weekday</v>
      </c>
      <c r="T544" t="str">
        <f t="shared" si="51"/>
        <v>Evening</v>
      </c>
      <c r="U544" t="str">
        <f t="shared" si="52"/>
        <v>Spring</v>
      </c>
      <c r="V544" t="str">
        <f t="shared" si="53"/>
        <v>Clear</v>
      </c>
    </row>
    <row r="545" spans="1:22">
      <c r="A545">
        <f>Master_Data!A545</f>
        <v>544</v>
      </c>
      <c r="B545">
        <f>Master_Data!B545</f>
        <v>40567</v>
      </c>
      <c r="C545">
        <f>Master_Data!C545</f>
        <v>1</v>
      </c>
      <c r="D545">
        <f>Master_Data!D545</f>
        <v>0</v>
      </c>
      <c r="E545">
        <f>Master_Data!E545</f>
        <v>1</v>
      </c>
      <c r="F545">
        <f>Master_Data!F545</f>
        <v>19</v>
      </c>
      <c r="G545" t="b">
        <f>Master_Data!G545</f>
        <v>0</v>
      </c>
      <c r="H545">
        <f>Master_Data!H545</f>
        <v>1</v>
      </c>
      <c r="I545">
        <f>Master_Data!I545</f>
        <v>1</v>
      </c>
      <c r="J545">
        <f>Master_Data!J545</f>
        <v>0.14000000000000001</v>
      </c>
      <c r="K545">
        <f>Master_Data!K545</f>
        <v>0.1515</v>
      </c>
      <c r="L545">
        <f>Master_Data!L545</f>
        <v>0.54</v>
      </c>
      <c r="M545">
        <f>Master_Data!M545</f>
        <v>0.16420000000000001</v>
      </c>
      <c r="N545">
        <f>Master_Data!N545</f>
        <v>5</v>
      </c>
      <c r="O545">
        <f>Master_Data!O545</f>
        <v>101</v>
      </c>
      <c r="P545">
        <f>Master_Data!P545</f>
        <v>106</v>
      </c>
      <c r="Q545" t="str">
        <f t="shared" si="48"/>
        <v>2011</v>
      </c>
      <c r="R545" t="str">
        <f t="shared" si="49"/>
        <v>January</v>
      </c>
      <c r="S545" t="str">
        <f t="shared" si="50"/>
        <v>Weekday</v>
      </c>
      <c r="T545" t="str">
        <f t="shared" si="51"/>
        <v>Evening</v>
      </c>
      <c r="U545" t="str">
        <f t="shared" si="52"/>
        <v>Spring</v>
      </c>
      <c r="V545" t="str">
        <f t="shared" si="53"/>
        <v>Clear</v>
      </c>
    </row>
    <row r="546" spans="1:22">
      <c r="A546">
        <f>Master_Data!A546</f>
        <v>545</v>
      </c>
      <c r="B546">
        <f>Master_Data!B546</f>
        <v>40567</v>
      </c>
      <c r="C546">
        <f>Master_Data!C546</f>
        <v>1</v>
      </c>
      <c r="D546">
        <f>Master_Data!D546</f>
        <v>0</v>
      </c>
      <c r="E546">
        <f>Master_Data!E546</f>
        <v>1</v>
      </c>
      <c r="F546">
        <f>Master_Data!F546</f>
        <v>20</v>
      </c>
      <c r="G546" t="b">
        <f>Master_Data!G546</f>
        <v>0</v>
      </c>
      <c r="H546">
        <f>Master_Data!H546</f>
        <v>1</v>
      </c>
      <c r="I546">
        <f>Master_Data!I546</f>
        <v>1</v>
      </c>
      <c r="J546">
        <f>Master_Data!J546</f>
        <v>0.14000000000000001</v>
      </c>
      <c r="K546">
        <f>Master_Data!K546</f>
        <v>0.13639999999999999</v>
      </c>
      <c r="L546">
        <f>Master_Data!L546</f>
        <v>0.59</v>
      </c>
      <c r="M546">
        <f>Master_Data!M546</f>
        <v>0.19400000000000001</v>
      </c>
      <c r="N546">
        <f>Master_Data!N546</f>
        <v>1</v>
      </c>
      <c r="O546">
        <f>Master_Data!O546</f>
        <v>80</v>
      </c>
      <c r="P546">
        <f>Master_Data!P546</f>
        <v>81</v>
      </c>
      <c r="Q546" t="str">
        <f t="shared" si="48"/>
        <v>2011</v>
      </c>
      <c r="R546" t="str">
        <f t="shared" si="49"/>
        <v>January</v>
      </c>
      <c r="S546" t="str">
        <f t="shared" si="50"/>
        <v>Weekday</v>
      </c>
      <c r="T546" t="str">
        <f t="shared" si="51"/>
        <v>Evening</v>
      </c>
      <c r="U546" t="str">
        <f t="shared" si="52"/>
        <v>Spring</v>
      </c>
      <c r="V546" t="str">
        <f t="shared" si="53"/>
        <v>Clear</v>
      </c>
    </row>
    <row r="547" spans="1:22">
      <c r="A547">
        <f>Master_Data!A547</f>
        <v>546</v>
      </c>
      <c r="B547">
        <f>Master_Data!B547</f>
        <v>40567</v>
      </c>
      <c r="C547">
        <f>Master_Data!C547</f>
        <v>1</v>
      </c>
      <c r="D547">
        <f>Master_Data!D547</f>
        <v>0</v>
      </c>
      <c r="E547">
        <f>Master_Data!E547</f>
        <v>1</v>
      </c>
      <c r="F547">
        <f>Master_Data!F547</f>
        <v>21</v>
      </c>
      <c r="G547" t="b">
        <f>Master_Data!G547</f>
        <v>0</v>
      </c>
      <c r="H547">
        <f>Master_Data!H547</f>
        <v>1</v>
      </c>
      <c r="I547">
        <f>Master_Data!I547</f>
        <v>1</v>
      </c>
      <c r="J547">
        <f>Master_Data!J547</f>
        <v>0.14000000000000001</v>
      </c>
      <c r="K547">
        <f>Master_Data!K547</f>
        <v>0.1515</v>
      </c>
      <c r="L547">
        <f>Master_Data!L547</f>
        <v>0.63</v>
      </c>
      <c r="M547">
        <f>Master_Data!M547</f>
        <v>0.16420000000000001</v>
      </c>
      <c r="N547">
        <f>Master_Data!N547</f>
        <v>6</v>
      </c>
      <c r="O547">
        <f>Master_Data!O547</f>
        <v>53</v>
      </c>
      <c r="P547">
        <f>Master_Data!P547</f>
        <v>59</v>
      </c>
      <c r="Q547" t="str">
        <f t="shared" si="48"/>
        <v>2011</v>
      </c>
      <c r="R547" t="str">
        <f t="shared" si="49"/>
        <v>January</v>
      </c>
      <c r="S547" t="str">
        <f t="shared" si="50"/>
        <v>Weekday</v>
      </c>
      <c r="T547" t="str">
        <f t="shared" si="51"/>
        <v>Night</v>
      </c>
      <c r="U547" t="str">
        <f t="shared" si="52"/>
        <v>Spring</v>
      </c>
      <c r="V547" t="str">
        <f t="shared" si="53"/>
        <v>Clear</v>
      </c>
    </row>
    <row r="548" spans="1:22">
      <c r="A548">
        <f>Master_Data!A548</f>
        <v>547</v>
      </c>
      <c r="B548">
        <f>Master_Data!B548</f>
        <v>40567</v>
      </c>
      <c r="C548">
        <f>Master_Data!C548</f>
        <v>1</v>
      </c>
      <c r="D548">
        <f>Master_Data!D548</f>
        <v>0</v>
      </c>
      <c r="E548">
        <f>Master_Data!E548</f>
        <v>1</v>
      </c>
      <c r="F548">
        <f>Master_Data!F548</f>
        <v>22</v>
      </c>
      <c r="G548" t="b">
        <f>Master_Data!G548</f>
        <v>0</v>
      </c>
      <c r="H548">
        <f>Master_Data!H548</f>
        <v>1</v>
      </c>
      <c r="I548">
        <f>Master_Data!I548</f>
        <v>2</v>
      </c>
      <c r="J548">
        <f>Master_Data!J548</f>
        <v>0.14000000000000001</v>
      </c>
      <c r="K548">
        <f>Master_Data!K548</f>
        <v>0.13639999999999999</v>
      </c>
      <c r="L548">
        <f>Master_Data!L548</f>
        <v>0.63</v>
      </c>
      <c r="M548">
        <f>Master_Data!M548</f>
        <v>0.22389999999999999</v>
      </c>
      <c r="N548">
        <f>Master_Data!N548</f>
        <v>3</v>
      </c>
      <c r="O548">
        <f>Master_Data!O548</f>
        <v>32</v>
      </c>
      <c r="P548">
        <f>Master_Data!P548</f>
        <v>35</v>
      </c>
      <c r="Q548" t="str">
        <f t="shared" si="48"/>
        <v>2011</v>
      </c>
      <c r="R548" t="str">
        <f t="shared" si="49"/>
        <v>January</v>
      </c>
      <c r="S548" t="str">
        <f t="shared" si="50"/>
        <v>Weekday</v>
      </c>
      <c r="T548" t="str">
        <f t="shared" si="51"/>
        <v>Night</v>
      </c>
      <c r="U548" t="str">
        <f t="shared" si="52"/>
        <v>Spring</v>
      </c>
      <c r="V548" t="str">
        <f t="shared" si="53"/>
        <v>Mist/Cloudy</v>
      </c>
    </row>
    <row r="549" spans="1:22">
      <c r="A549">
        <f>Master_Data!A549</f>
        <v>548</v>
      </c>
      <c r="B549">
        <f>Master_Data!B549</f>
        <v>40567</v>
      </c>
      <c r="C549">
        <f>Master_Data!C549</f>
        <v>1</v>
      </c>
      <c r="D549">
        <f>Master_Data!D549</f>
        <v>0</v>
      </c>
      <c r="E549">
        <f>Master_Data!E549</f>
        <v>1</v>
      </c>
      <c r="F549">
        <f>Master_Data!F549</f>
        <v>23</v>
      </c>
      <c r="G549" t="b">
        <f>Master_Data!G549</f>
        <v>0</v>
      </c>
      <c r="H549">
        <f>Master_Data!H549</f>
        <v>1</v>
      </c>
      <c r="I549">
        <f>Master_Data!I549</f>
        <v>2</v>
      </c>
      <c r="J549">
        <f>Master_Data!J549</f>
        <v>0.16</v>
      </c>
      <c r="K549">
        <f>Master_Data!K549</f>
        <v>0.1515</v>
      </c>
      <c r="L549">
        <f>Master_Data!L549</f>
        <v>0.64</v>
      </c>
      <c r="M549">
        <f>Master_Data!M549</f>
        <v>0.25369999999999998</v>
      </c>
      <c r="N549">
        <f>Master_Data!N549</f>
        <v>3</v>
      </c>
      <c r="O549">
        <f>Master_Data!O549</f>
        <v>21</v>
      </c>
      <c r="P549">
        <f>Master_Data!P549</f>
        <v>24</v>
      </c>
      <c r="Q549" t="str">
        <f t="shared" si="48"/>
        <v>2011</v>
      </c>
      <c r="R549" t="str">
        <f t="shared" si="49"/>
        <v>January</v>
      </c>
      <c r="S549" t="str">
        <f t="shared" si="50"/>
        <v>Weekday</v>
      </c>
      <c r="T549" t="str">
        <f t="shared" si="51"/>
        <v>Night</v>
      </c>
      <c r="U549" t="str">
        <f t="shared" si="52"/>
        <v>Spring</v>
      </c>
      <c r="V549" t="str">
        <f t="shared" si="53"/>
        <v>Mist/Cloudy</v>
      </c>
    </row>
    <row r="550" spans="1:22">
      <c r="A550">
        <f>Master_Data!A550</f>
        <v>549</v>
      </c>
      <c r="B550">
        <f>Master_Data!B550</f>
        <v>40568</v>
      </c>
      <c r="C550">
        <f>Master_Data!C550</f>
        <v>1</v>
      </c>
      <c r="D550">
        <f>Master_Data!D550</f>
        <v>0</v>
      </c>
      <c r="E550">
        <f>Master_Data!E550</f>
        <v>1</v>
      </c>
      <c r="F550">
        <f>Master_Data!F550</f>
        <v>0</v>
      </c>
      <c r="G550" t="b">
        <f>Master_Data!G550</f>
        <v>0</v>
      </c>
      <c r="H550">
        <f>Master_Data!H550</f>
        <v>2</v>
      </c>
      <c r="I550">
        <f>Master_Data!I550</f>
        <v>2</v>
      </c>
      <c r="J550">
        <f>Master_Data!J550</f>
        <v>0.16</v>
      </c>
      <c r="K550">
        <f>Master_Data!K550</f>
        <v>0.13639999999999999</v>
      </c>
      <c r="L550">
        <f>Master_Data!L550</f>
        <v>0.69</v>
      </c>
      <c r="M550">
        <f>Master_Data!M550</f>
        <v>0.28360000000000002</v>
      </c>
      <c r="N550">
        <f>Master_Data!N550</f>
        <v>3</v>
      </c>
      <c r="O550">
        <f>Master_Data!O550</f>
        <v>6</v>
      </c>
      <c r="P550">
        <f>Master_Data!P550</f>
        <v>9</v>
      </c>
      <c r="Q550" t="str">
        <f t="shared" si="48"/>
        <v>2011</v>
      </c>
      <c r="R550" t="str">
        <f t="shared" si="49"/>
        <v>January</v>
      </c>
      <c r="S550" t="str">
        <f t="shared" si="50"/>
        <v>Weekday</v>
      </c>
      <c r="T550" t="str">
        <f t="shared" si="51"/>
        <v>Night</v>
      </c>
      <c r="U550" t="str">
        <f t="shared" si="52"/>
        <v>Spring</v>
      </c>
      <c r="V550" t="str">
        <f t="shared" si="53"/>
        <v>Mist/Cloudy</v>
      </c>
    </row>
    <row r="551" spans="1:22">
      <c r="A551">
        <f>Master_Data!A551</f>
        <v>550</v>
      </c>
      <c r="B551">
        <f>Master_Data!B551</f>
        <v>40568</v>
      </c>
      <c r="C551">
        <f>Master_Data!C551</f>
        <v>1</v>
      </c>
      <c r="D551">
        <f>Master_Data!D551</f>
        <v>0</v>
      </c>
      <c r="E551">
        <f>Master_Data!E551</f>
        <v>1</v>
      </c>
      <c r="F551">
        <f>Master_Data!F551</f>
        <v>1</v>
      </c>
      <c r="G551" t="b">
        <f>Master_Data!G551</f>
        <v>0</v>
      </c>
      <c r="H551">
        <f>Master_Data!H551</f>
        <v>2</v>
      </c>
      <c r="I551">
        <f>Master_Data!I551</f>
        <v>2</v>
      </c>
      <c r="J551">
        <f>Master_Data!J551</f>
        <v>0.16</v>
      </c>
      <c r="K551">
        <f>Master_Data!K551</f>
        <v>0.16669999999999999</v>
      </c>
      <c r="L551">
        <f>Master_Data!L551</f>
        <v>0.69</v>
      </c>
      <c r="M551">
        <f>Master_Data!M551</f>
        <v>0.16420000000000001</v>
      </c>
      <c r="N551">
        <f>Master_Data!N551</f>
        <v>0</v>
      </c>
      <c r="O551">
        <f>Master_Data!O551</f>
        <v>5</v>
      </c>
      <c r="P551">
        <f>Master_Data!P551</f>
        <v>5</v>
      </c>
      <c r="Q551" t="str">
        <f t="shared" si="48"/>
        <v>2011</v>
      </c>
      <c r="R551" t="str">
        <f t="shared" si="49"/>
        <v>January</v>
      </c>
      <c r="S551" t="str">
        <f t="shared" si="50"/>
        <v>Weekday</v>
      </c>
      <c r="T551" t="str">
        <f t="shared" si="51"/>
        <v>Night</v>
      </c>
      <c r="U551" t="str">
        <f t="shared" si="52"/>
        <v>Spring</v>
      </c>
      <c r="V551" t="str">
        <f t="shared" si="53"/>
        <v>Mist/Cloudy</v>
      </c>
    </row>
    <row r="552" spans="1:22">
      <c r="A552">
        <f>Master_Data!A552</f>
        <v>551</v>
      </c>
      <c r="B552">
        <f>Master_Data!B552</f>
        <v>40568</v>
      </c>
      <c r="C552">
        <f>Master_Data!C552</f>
        <v>1</v>
      </c>
      <c r="D552">
        <f>Master_Data!D552</f>
        <v>0</v>
      </c>
      <c r="E552">
        <f>Master_Data!E552</f>
        <v>1</v>
      </c>
      <c r="F552">
        <f>Master_Data!F552</f>
        <v>2</v>
      </c>
      <c r="G552" t="b">
        <f>Master_Data!G552</f>
        <v>0</v>
      </c>
      <c r="H552">
        <f>Master_Data!H552</f>
        <v>2</v>
      </c>
      <c r="I552">
        <f>Master_Data!I552</f>
        <v>1</v>
      </c>
      <c r="J552">
        <f>Master_Data!J552</f>
        <v>0.16</v>
      </c>
      <c r="K552">
        <f>Master_Data!K552</f>
        <v>0.1515</v>
      </c>
      <c r="L552">
        <f>Master_Data!L552</f>
        <v>0.69</v>
      </c>
      <c r="M552">
        <f>Master_Data!M552</f>
        <v>0.22389999999999999</v>
      </c>
      <c r="N552">
        <f>Master_Data!N552</f>
        <v>0</v>
      </c>
      <c r="O552">
        <f>Master_Data!O552</f>
        <v>2</v>
      </c>
      <c r="P552">
        <f>Master_Data!P552</f>
        <v>2</v>
      </c>
      <c r="Q552" t="str">
        <f t="shared" si="48"/>
        <v>2011</v>
      </c>
      <c r="R552" t="str">
        <f t="shared" si="49"/>
        <v>January</v>
      </c>
      <c r="S552" t="str">
        <f t="shared" si="50"/>
        <v>Weekday</v>
      </c>
      <c r="T552" t="str">
        <f t="shared" si="51"/>
        <v>Night</v>
      </c>
      <c r="U552" t="str">
        <f t="shared" si="52"/>
        <v>Spring</v>
      </c>
      <c r="V552" t="str">
        <f t="shared" si="53"/>
        <v>Clear</v>
      </c>
    </row>
    <row r="553" spans="1:22">
      <c r="A553">
        <f>Master_Data!A553</f>
        <v>552</v>
      </c>
      <c r="B553">
        <f>Master_Data!B553</f>
        <v>40568</v>
      </c>
      <c r="C553">
        <f>Master_Data!C553</f>
        <v>1</v>
      </c>
      <c r="D553">
        <f>Master_Data!D553</f>
        <v>0</v>
      </c>
      <c r="E553">
        <f>Master_Data!E553</f>
        <v>1</v>
      </c>
      <c r="F553">
        <f>Master_Data!F553</f>
        <v>4</v>
      </c>
      <c r="G553" t="b">
        <f>Master_Data!G553</f>
        <v>0</v>
      </c>
      <c r="H553">
        <f>Master_Data!H553</f>
        <v>2</v>
      </c>
      <c r="I553">
        <f>Master_Data!I553</f>
        <v>1</v>
      </c>
      <c r="J553">
        <f>Master_Data!J553</f>
        <v>0.14000000000000001</v>
      </c>
      <c r="K553">
        <f>Master_Data!K553</f>
        <v>0.16669999999999999</v>
      </c>
      <c r="L553">
        <f>Master_Data!L553</f>
        <v>0.74</v>
      </c>
      <c r="M553">
        <f>Master_Data!M553</f>
        <v>0.1045</v>
      </c>
      <c r="N553">
        <f>Master_Data!N553</f>
        <v>0</v>
      </c>
      <c r="O553">
        <f>Master_Data!O553</f>
        <v>1</v>
      </c>
      <c r="P553">
        <f>Master_Data!P553</f>
        <v>1</v>
      </c>
      <c r="Q553" t="str">
        <f t="shared" si="48"/>
        <v>2011</v>
      </c>
      <c r="R553" t="str">
        <f t="shared" si="49"/>
        <v>January</v>
      </c>
      <c r="S553" t="str">
        <f t="shared" si="50"/>
        <v>Weekday</v>
      </c>
      <c r="T553" t="str">
        <f t="shared" si="51"/>
        <v>Night</v>
      </c>
      <c r="U553" t="str">
        <f t="shared" si="52"/>
        <v>Spring</v>
      </c>
      <c r="V553" t="str">
        <f t="shared" si="53"/>
        <v>Clear</v>
      </c>
    </row>
    <row r="554" spans="1:22">
      <c r="A554">
        <f>Master_Data!A554</f>
        <v>553</v>
      </c>
      <c r="B554">
        <f>Master_Data!B554</f>
        <v>40568</v>
      </c>
      <c r="C554">
        <f>Master_Data!C554</f>
        <v>1</v>
      </c>
      <c r="D554">
        <f>Master_Data!D554</f>
        <v>0</v>
      </c>
      <c r="E554">
        <f>Master_Data!E554</f>
        <v>1</v>
      </c>
      <c r="F554">
        <f>Master_Data!F554</f>
        <v>5</v>
      </c>
      <c r="G554" t="b">
        <f>Master_Data!G554</f>
        <v>0</v>
      </c>
      <c r="H554">
        <f>Master_Data!H554</f>
        <v>2</v>
      </c>
      <c r="I554">
        <f>Master_Data!I554</f>
        <v>1</v>
      </c>
      <c r="J554">
        <f>Master_Data!J554</f>
        <v>0.14000000000000001</v>
      </c>
      <c r="K554">
        <f>Master_Data!K554</f>
        <v>0.13639999999999999</v>
      </c>
      <c r="L554">
        <f>Master_Data!L554</f>
        <v>0.74</v>
      </c>
      <c r="M554">
        <f>Master_Data!M554</f>
        <v>0.22389999999999999</v>
      </c>
      <c r="N554">
        <f>Master_Data!N554</f>
        <v>0</v>
      </c>
      <c r="O554">
        <f>Master_Data!O554</f>
        <v>9</v>
      </c>
      <c r="P554">
        <f>Master_Data!P554</f>
        <v>9</v>
      </c>
      <c r="Q554" t="str">
        <f t="shared" si="48"/>
        <v>2011</v>
      </c>
      <c r="R554" t="str">
        <f t="shared" si="49"/>
        <v>January</v>
      </c>
      <c r="S554" t="str">
        <f t="shared" si="50"/>
        <v>Weekday</v>
      </c>
      <c r="T554" t="str">
        <f t="shared" si="51"/>
        <v>Night</v>
      </c>
      <c r="U554" t="str">
        <f t="shared" si="52"/>
        <v>Spring</v>
      </c>
      <c r="V554" t="str">
        <f t="shared" si="53"/>
        <v>Clear</v>
      </c>
    </row>
    <row r="555" spans="1:22">
      <c r="A555">
        <f>Master_Data!A555</f>
        <v>554</v>
      </c>
      <c r="B555">
        <f>Master_Data!B555</f>
        <v>40568</v>
      </c>
      <c r="C555">
        <f>Master_Data!C555</f>
        <v>1</v>
      </c>
      <c r="D555">
        <f>Master_Data!D555</f>
        <v>0</v>
      </c>
      <c r="E555">
        <f>Master_Data!E555</f>
        <v>1</v>
      </c>
      <c r="F555">
        <f>Master_Data!F555</f>
        <v>6</v>
      </c>
      <c r="G555" t="b">
        <f>Master_Data!G555</f>
        <v>0</v>
      </c>
      <c r="H555">
        <f>Master_Data!H555</f>
        <v>2</v>
      </c>
      <c r="I555">
        <f>Master_Data!I555</f>
        <v>1</v>
      </c>
      <c r="J555">
        <f>Master_Data!J555</f>
        <v>0.16</v>
      </c>
      <c r="K555">
        <f>Master_Data!K555</f>
        <v>0.18179999999999999</v>
      </c>
      <c r="L555">
        <f>Master_Data!L555</f>
        <v>0.74</v>
      </c>
      <c r="M555">
        <f>Master_Data!M555</f>
        <v>0.1045</v>
      </c>
      <c r="N555">
        <f>Master_Data!N555</f>
        <v>1</v>
      </c>
      <c r="O555">
        <f>Master_Data!O555</f>
        <v>35</v>
      </c>
      <c r="P555">
        <f>Master_Data!P555</f>
        <v>36</v>
      </c>
      <c r="Q555" t="str">
        <f t="shared" si="48"/>
        <v>2011</v>
      </c>
      <c r="R555" t="str">
        <f t="shared" si="49"/>
        <v>January</v>
      </c>
      <c r="S555" t="str">
        <f t="shared" si="50"/>
        <v>Weekday</v>
      </c>
      <c r="T555" t="str">
        <f t="shared" si="51"/>
        <v>Morning</v>
      </c>
      <c r="U555" t="str">
        <f t="shared" si="52"/>
        <v>Spring</v>
      </c>
      <c r="V555" t="str">
        <f t="shared" si="53"/>
        <v>Clear</v>
      </c>
    </row>
    <row r="556" spans="1:22">
      <c r="A556">
        <f>Master_Data!A556</f>
        <v>555</v>
      </c>
      <c r="B556">
        <f>Master_Data!B556</f>
        <v>40568</v>
      </c>
      <c r="C556">
        <f>Master_Data!C556</f>
        <v>1</v>
      </c>
      <c r="D556">
        <f>Master_Data!D556</f>
        <v>0</v>
      </c>
      <c r="E556">
        <f>Master_Data!E556</f>
        <v>1</v>
      </c>
      <c r="F556">
        <f>Master_Data!F556</f>
        <v>7</v>
      </c>
      <c r="G556" t="b">
        <f>Master_Data!G556</f>
        <v>0</v>
      </c>
      <c r="H556">
        <f>Master_Data!H556</f>
        <v>2</v>
      </c>
      <c r="I556">
        <f>Master_Data!I556</f>
        <v>1</v>
      </c>
      <c r="J556">
        <f>Master_Data!J556</f>
        <v>0.16</v>
      </c>
      <c r="K556">
        <f>Master_Data!K556</f>
        <v>0.1515</v>
      </c>
      <c r="L556">
        <f>Master_Data!L556</f>
        <v>0.74</v>
      </c>
      <c r="M556">
        <f>Master_Data!M556</f>
        <v>0.22389999999999999</v>
      </c>
      <c r="N556">
        <f>Master_Data!N556</f>
        <v>5</v>
      </c>
      <c r="O556">
        <f>Master_Data!O556</f>
        <v>103</v>
      </c>
      <c r="P556">
        <f>Master_Data!P556</f>
        <v>108</v>
      </c>
      <c r="Q556" t="str">
        <f t="shared" si="48"/>
        <v>2011</v>
      </c>
      <c r="R556" t="str">
        <f t="shared" si="49"/>
        <v>January</v>
      </c>
      <c r="S556" t="str">
        <f t="shared" si="50"/>
        <v>Weekday</v>
      </c>
      <c r="T556" t="str">
        <f t="shared" si="51"/>
        <v>Morning</v>
      </c>
      <c r="U556" t="str">
        <f t="shared" si="52"/>
        <v>Spring</v>
      </c>
      <c r="V556" t="str">
        <f t="shared" si="53"/>
        <v>Clear</v>
      </c>
    </row>
    <row r="557" spans="1:22">
      <c r="A557">
        <f>Master_Data!A557</f>
        <v>556</v>
      </c>
      <c r="B557">
        <f>Master_Data!B557</f>
        <v>40568</v>
      </c>
      <c r="C557">
        <f>Master_Data!C557</f>
        <v>1</v>
      </c>
      <c r="D557">
        <f>Master_Data!D557</f>
        <v>0</v>
      </c>
      <c r="E557">
        <f>Master_Data!E557</f>
        <v>1</v>
      </c>
      <c r="F557">
        <f>Master_Data!F557</f>
        <v>8</v>
      </c>
      <c r="G557" t="b">
        <f>Master_Data!G557</f>
        <v>0</v>
      </c>
      <c r="H557">
        <f>Master_Data!H557</f>
        <v>2</v>
      </c>
      <c r="I557">
        <f>Master_Data!I557</f>
        <v>2</v>
      </c>
      <c r="J557">
        <f>Master_Data!J557</f>
        <v>0.16</v>
      </c>
      <c r="K557">
        <f>Master_Data!K557</f>
        <v>0.18179999999999999</v>
      </c>
      <c r="L557">
        <f>Master_Data!L557</f>
        <v>0.74</v>
      </c>
      <c r="M557">
        <f>Master_Data!M557</f>
        <v>0.1343</v>
      </c>
      <c r="N557">
        <f>Master_Data!N557</f>
        <v>5</v>
      </c>
      <c r="O557">
        <f>Master_Data!O557</f>
        <v>233</v>
      </c>
      <c r="P557">
        <f>Master_Data!P557</f>
        <v>238</v>
      </c>
      <c r="Q557" t="str">
        <f t="shared" si="48"/>
        <v>2011</v>
      </c>
      <c r="R557" t="str">
        <f t="shared" si="49"/>
        <v>January</v>
      </c>
      <c r="S557" t="str">
        <f t="shared" si="50"/>
        <v>Weekday</v>
      </c>
      <c r="T557" t="str">
        <f t="shared" si="51"/>
        <v>Morning</v>
      </c>
      <c r="U557" t="str">
        <f t="shared" si="52"/>
        <v>Spring</v>
      </c>
      <c r="V557" t="str">
        <f t="shared" si="53"/>
        <v>Mist/Cloudy</v>
      </c>
    </row>
    <row r="558" spans="1:22">
      <c r="A558">
        <f>Master_Data!A558</f>
        <v>557</v>
      </c>
      <c r="B558">
        <f>Master_Data!B558</f>
        <v>40568</v>
      </c>
      <c r="C558">
        <f>Master_Data!C558</f>
        <v>1</v>
      </c>
      <c r="D558">
        <f>Master_Data!D558</f>
        <v>0</v>
      </c>
      <c r="E558">
        <f>Master_Data!E558</f>
        <v>1</v>
      </c>
      <c r="F558">
        <f>Master_Data!F558</f>
        <v>9</v>
      </c>
      <c r="G558" t="b">
        <f>Master_Data!G558</f>
        <v>0</v>
      </c>
      <c r="H558">
        <f>Master_Data!H558</f>
        <v>2</v>
      </c>
      <c r="I558">
        <f>Master_Data!I558</f>
        <v>2</v>
      </c>
      <c r="J558">
        <f>Master_Data!J558</f>
        <v>0.2</v>
      </c>
      <c r="K558">
        <f>Master_Data!K558</f>
        <v>0.2273</v>
      </c>
      <c r="L558">
        <f>Master_Data!L558</f>
        <v>0.64</v>
      </c>
      <c r="M558">
        <f>Master_Data!M558</f>
        <v>8.9599999999999999E-2</v>
      </c>
      <c r="N558">
        <f>Master_Data!N558</f>
        <v>10</v>
      </c>
      <c r="O558">
        <f>Master_Data!O558</f>
        <v>134</v>
      </c>
      <c r="P558">
        <f>Master_Data!P558</f>
        <v>144</v>
      </c>
      <c r="Q558" t="str">
        <f t="shared" si="48"/>
        <v>2011</v>
      </c>
      <c r="R558" t="str">
        <f t="shared" si="49"/>
        <v>January</v>
      </c>
      <c r="S558" t="str">
        <f t="shared" si="50"/>
        <v>Weekday</v>
      </c>
      <c r="T558" t="str">
        <f t="shared" si="51"/>
        <v>Morning</v>
      </c>
      <c r="U558" t="str">
        <f t="shared" si="52"/>
        <v>Spring</v>
      </c>
      <c r="V558" t="str">
        <f t="shared" si="53"/>
        <v>Mist/Cloudy</v>
      </c>
    </row>
    <row r="559" spans="1:22">
      <c r="A559">
        <f>Master_Data!A559</f>
        <v>558</v>
      </c>
      <c r="B559">
        <f>Master_Data!B559</f>
        <v>40568</v>
      </c>
      <c r="C559">
        <f>Master_Data!C559</f>
        <v>1</v>
      </c>
      <c r="D559">
        <f>Master_Data!D559</f>
        <v>0</v>
      </c>
      <c r="E559">
        <f>Master_Data!E559</f>
        <v>1</v>
      </c>
      <c r="F559">
        <f>Master_Data!F559</f>
        <v>10</v>
      </c>
      <c r="G559" t="b">
        <f>Master_Data!G559</f>
        <v>0</v>
      </c>
      <c r="H559">
        <f>Master_Data!H559</f>
        <v>2</v>
      </c>
      <c r="I559">
        <f>Master_Data!I559</f>
        <v>2</v>
      </c>
      <c r="J559">
        <f>Master_Data!J559</f>
        <v>0.22</v>
      </c>
      <c r="K559">
        <f>Master_Data!K559</f>
        <v>0.2424</v>
      </c>
      <c r="L559">
        <f>Master_Data!L559</f>
        <v>0.6</v>
      </c>
      <c r="M559">
        <f>Master_Data!M559</f>
        <v>0.1045</v>
      </c>
      <c r="N559">
        <f>Master_Data!N559</f>
        <v>6</v>
      </c>
      <c r="O559">
        <f>Master_Data!O559</f>
        <v>49</v>
      </c>
      <c r="P559">
        <f>Master_Data!P559</f>
        <v>55</v>
      </c>
      <c r="Q559" t="str">
        <f t="shared" si="48"/>
        <v>2011</v>
      </c>
      <c r="R559" t="str">
        <f t="shared" si="49"/>
        <v>January</v>
      </c>
      <c r="S559" t="str">
        <f t="shared" si="50"/>
        <v>Weekday</v>
      </c>
      <c r="T559" t="str">
        <f t="shared" si="51"/>
        <v>Morning</v>
      </c>
      <c r="U559" t="str">
        <f t="shared" si="52"/>
        <v>Spring</v>
      </c>
      <c r="V559" t="str">
        <f t="shared" si="53"/>
        <v>Mist/Cloudy</v>
      </c>
    </row>
    <row r="560" spans="1:22">
      <c r="A560">
        <f>Master_Data!A560</f>
        <v>559</v>
      </c>
      <c r="B560">
        <f>Master_Data!B560</f>
        <v>40568</v>
      </c>
      <c r="C560">
        <f>Master_Data!C560</f>
        <v>1</v>
      </c>
      <c r="D560">
        <f>Master_Data!D560</f>
        <v>0</v>
      </c>
      <c r="E560">
        <f>Master_Data!E560</f>
        <v>1</v>
      </c>
      <c r="F560">
        <f>Master_Data!F560</f>
        <v>11</v>
      </c>
      <c r="G560" t="b">
        <f>Master_Data!G560</f>
        <v>0</v>
      </c>
      <c r="H560">
        <f>Master_Data!H560</f>
        <v>2</v>
      </c>
      <c r="I560">
        <f>Master_Data!I560</f>
        <v>2</v>
      </c>
      <c r="J560">
        <f>Master_Data!J560</f>
        <v>0.24</v>
      </c>
      <c r="K560">
        <f>Master_Data!K560</f>
        <v>0.2424</v>
      </c>
      <c r="L560">
        <f>Master_Data!L560</f>
        <v>0.6</v>
      </c>
      <c r="M560">
        <f>Master_Data!M560</f>
        <v>0.1343</v>
      </c>
      <c r="N560">
        <f>Master_Data!N560</f>
        <v>6</v>
      </c>
      <c r="O560">
        <f>Master_Data!O560</f>
        <v>55</v>
      </c>
      <c r="P560">
        <f>Master_Data!P560</f>
        <v>61</v>
      </c>
      <c r="Q560" t="str">
        <f t="shared" si="48"/>
        <v>2011</v>
      </c>
      <c r="R560" t="str">
        <f t="shared" si="49"/>
        <v>January</v>
      </c>
      <c r="S560" t="str">
        <f t="shared" si="50"/>
        <v>Weekday</v>
      </c>
      <c r="T560" t="str">
        <f t="shared" si="51"/>
        <v>Morning</v>
      </c>
      <c r="U560" t="str">
        <f t="shared" si="52"/>
        <v>Spring</v>
      </c>
      <c r="V560" t="str">
        <f t="shared" si="53"/>
        <v>Mist/Cloudy</v>
      </c>
    </row>
    <row r="561" spans="1:22">
      <c r="A561">
        <f>Master_Data!A561</f>
        <v>560</v>
      </c>
      <c r="B561">
        <f>Master_Data!B561</f>
        <v>40568</v>
      </c>
      <c r="C561">
        <f>Master_Data!C561</f>
        <v>1</v>
      </c>
      <c r="D561">
        <f>Master_Data!D561</f>
        <v>0</v>
      </c>
      <c r="E561">
        <f>Master_Data!E561</f>
        <v>1</v>
      </c>
      <c r="F561">
        <f>Master_Data!F561</f>
        <v>12</v>
      </c>
      <c r="G561" t="b">
        <f>Master_Data!G561</f>
        <v>0</v>
      </c>
      <c r="H561">
        <f>Master_Data!H561</f>
        <v>2</v>
      </c>
      <c r="I561">
        <f>Master_Data!I561</f>
        <v>2</v>
      </c>
      <c r="J561">
        <f>Master_Data!J561</f>
        <v>0.26</v>
      </c>
      <c r="K561">
        <f>Master_Data!K561</f>
        <v>0.28789999999999999</v>
      </c>
      <c r="L561">
        <f>Master_Data!L561</f>
        <v>0.56000000000000005</v>
      </c>
      <c r="M561">
        <f>Master_Data!M561</f>
        <v>8.9599999999999999E-2</v>
      </c>
      <c r="N561">
        <f>Master_Data!N561</f>
        <v>21</v>
      </c>
      <c r="O561">
        <f>Master_Data!O561</f>
        <v>85</v>
      </c>
      <c r="P561">
        <f>Master_Data!P561</f>
        <v>106</v>
      </c>
      <c r="Q561" t="str">
        <f t="shared" si="48"/>
        <v>2011</v>
      </c>
      <c r="R561" t="str">
        <f t="shared" si="49"/>
        <v>January</v>
      </c>
      <c r="S561" t="str">
        <f t="shared" si="50"/>
        <v>Weekday</v>
      </c>
      <c r="T561" t="str">
        <f t="shared" si="51"/>
        <v>Afternoon</v>
      </c>
      <c r="U561" t="str">
        <f t="shared" si="52"/>
        <v>Spring</v>
      </c>
      <c r="V561" t="str">
        <f t="shared" si="53"/>
        <v>Mist/Cloudy</v>
      </c>
    </row>
    <row r="562" spans="1:22">
      <c r="A562">
        <f>Master_Data!A562</f>
        <v>561</v>
      </c>
      <c r="B562">
        <f>Master_Data!B562</f>
        <v>40568</v>
      </c>
      <c r="C562">
        <f>Master_Data!C562</f>
        <v>1</v>
      </c>
      <c r="D562">
        <f>Master_Data!D562</f>
        <v>0</v>
      </c>
      <c r="E562">
        <f>Master_Data!E562</f>
        <v>1</v>
      </c>
      <c r="F562">
        <f>Master_Data!F562</f>
        <v>13</v>
      </c>
      <c r="G562" t="b">
        <f>Master_Data!G562</f>
        <v>0</v>
      </c>
      <c r="H562">
        <f>Master_Data!H562</f>
        <v>2</v>
      </c>
      <c r="I562">
        <f>Master_Data!I562</f>
        <v>2</v>
      </c>
      <c r="J562">
        <f>Master_Data!J562</f>
        <v>0.26</v>
      </c>
      <c r="K562">
        <f>Master_Data!K562</f>
        <v>0.2727</v>
      </c>
      <c r="L562">
        <f>Master_Data!L562</f>
        <v>0.56000000000000005</v>
      </c>
      <c r="M562">
        <f>Master_Data!M562</f>
        <v>0.1343</v>
      </c>
      <c r="N562">
        <f>Master_Data!N562</f>
        <v>21</v>
      </c>
      <c r="O562">
        <f>Master_Data!O562</f>
        <v>72</v>
      </c>
      <c r="P562">
        <f>Master_Data!P562</f>
        <v>93</v>
      </c>
      <c r="Q562" t="str">
        <f t="shared" si="48"/>
        <v>2011</v>
      </c>
      <c r="R562" t="str">
        <f t="shared" si="49"/>
        <v>January</v>
      </c>
      <c r="S562" t="str">
        <f t="shared" si="50"/>
        <v>Weekday</v>
      </c>
      <c r="T562" t="str">
        <f t="shared" si="51"/>
        <v>Afternoon</v>
      </c>
      <c r="U562" t="str">
        <f t="shared" si="52"/>
        <v>Spring</v>
      </c>
      <c r="V562" t="str">
        <f t="shared" si="53"/>
        <v>Mist/Cloudy</v>
      </c>
    </row>
    <row r="563" spans="1:22">
      <c r="A563">
        <f>Master_Data!A563</f>
        <v>562</v>
      </c>
      <c r="B563">
        <f>Master_Data!B563</f>
        <v>40568</v>
      </c>
      <c r="C563">
        <f>Master_Data!C563</f>
        <v>1</v>
      </c>
      <c r="D563">
        <f>Master_Data!D563</f>
        <v>0</v>
      </c>
      <c r="E563">
        <f>Master_Data!E563</f>
        <v>1</v>
      </c>
      <c r="F563">
        <f>Master_Data!F563</f>
        <v>14</v>
      </c>
      <c r="G563" t="b">
        <f>Master_Data!G563</f>
        <v>0</v>
      </c>
      <c r="H563">
        <f>Master_Data!H563</f>
        <v>2</v>
      </c>
      <c r="I563">
        <f>Master_Data!I563</f>
        <v>2</v>
      </c>
      <c r="J563">
        <f>Master_Data!J563</f>
        <v>0.3</v>
      </c>
      <c r="K563">
        <f>Master_Data!K563</f>
        <v>0.33329999999999999</v>
      </c>
      <c r="L563">
        <f>Master_Data!L563</f>
        <v>0.45</v>
      </c>
      <c r="M563">
        <f>Master_Data!M563</f>
        <v>0</v>
      </c>
      <c r="N563">
        <f>Master_Data!N563</f>
        <v>11</v>
      </c>
      <c r="O563">
        <f>Master_Data!O563</f>
        <v>57</v>
      </c>
      <c r="P563">
        <f>Master_Data!P563</f>
        <v>68</v>
      </c>
      <c r="Q563" t="str">
        <f t="shared" si="48"/>
        <v>2011</v>
      </c>
      <c r="R563" t="str">
        <f t="shared" si="49"/>
        <v>January</v>
      </c>
      <c r="S563" t="str">
        <f t="shared" si="50"/>
        <v>Weekday</v>
      </c>
      <c r="T563" t="str">
        <f t="shared" si="51"/>
        <v>Afternoon</v>
      </c>
      <c r="U563" t="str">
        <f t="shared" si="52"/>
        <v>Spring</v>
      </c>
      <c r="V563" t="str">
        <f t="shared" si="53"/>
        <v>Mist/Cloudy</v>
      </c>
    </row>
    <row r="564" spans="1:22">
      <c r="A564">
        <f>Master_Data!A564</f>
        <v>563</v>
      </c>
      <c r="B564">
        <f>Master_Data!B564</f>
        <v>40568</v>
      </c>
      <c r="C564">
        <f>Master_Data!C564</f>
        <v>1</v>
      </c>
      <c r="D564">
        <f>Master_Data!D564</f>
        <v>0</v>
      </c>
      <c r="E564">
        <f>Master_Data!E564</f>
        <v>1</v>
      </c>
      <c r="F564">
        <f>Master_Data!F564</f>
        <v>15</v>
      </c>
      <c r="G564" t="b">
        <f>Master_Data!G564</f>
        <v>0</v>
      </c>
      <c r="H564">
        <f>Master_Data!H564</f>
        <v>2</v>
      </c>
      <c r="I564">
        <f>Master_Data!I564</f>
        <v>2</v>
      </c>
      <c r="J564">
        <f>Master_Data!J564</f>
        <v>0.32</v>
      </c>
      <c r="K564">
        <f>Master_Data!K564</f>
        <v>0.34849999999999998</v>
      </c>
      <c r="L564">
        <f>Master_Data!L564</f>
        <v>0.42</v>
      </c>
      <c r="M564">
        <f>Master_Data!M564</f>
        <v>0</v>
      </c>
      <c r="N564">
        <f>Master_Data!N564</f>
        <v>21</v>
      </c>
      <c r="O564">
        <f>Master_Data!O564</f>
        <v>63</v>
      </c>
      <c r="P564">
        <f>Master_Data!P564</f>
        <v>84</v>
      </c>
      <c r="Q564" t="str">
        <f t="shared" si="48"/>
        <v>2011</v>
      </c>
      <c r="R564" t="str">
        <f t="shared" si="49"/>
        <v>January</v>
      </c>
      <c r="S564" t="str">
        <f t="shared" si="50"/>
        <v>Weekday</v>
      </c>
      <c r="T564" t="str">
        <f t="shared" si="51"/>
        <v>Afternoon</v>
      </c>
      <c r="U564" t="str">
        <f t="shared" si="52"/>
        <v>Spring</v>
      </c>
      <c r="V564" t="str">
        <f t="shared" si="53"/>
        <v>Mist/Cloudy</v>
      </c>
    </row>
    <row r="565" spans="1:22">
      <c r="A565">
        <f>Master_Data!A565</f>
        <v>564</v>
      </c>
      <c r="B565">
        <f>Master_Data!B565</f>
        <v>40568</v>
      </c>
      <c r="C565">
        <f>Master_Data!C565</f>
        <v>1</v>
      </c>
      <c r="D565">
        <f>Master_Data!D565</f>
        <v>0</v>
      </c>
      <c r="E565">
        <f>Master_Data!E565</f>
        <v>1</v>
      </c>
      <c r="F565">
        <f>Master_Data!F565</f>
        <v>16</v>
      </c>
      <c r="G565" t="b">
        <f>Master_Data!G565</f>
        <v>0</v>
      </c>
      <c r="H565">
        <f>Master_Data!H565</f>
        <v>2</v>
      </c>
      <c r="I565">
        <f>Master_Data!I565</f>
        <v>2</v>
      </c>
      <c r="J565">
        <f>Master_Data!J565</f>
        <v>0.32</v>
      </c>
      <c r="K565">
        <f>Master_Data!K565</f>
        <v>0.34849999999999998</v>
      </c>
      <c r="L565">
        <f>Master_Data!L565</f>
        <v>0.42</v>
      </c>
      <c r="M565">
        <f>Master_Data!M565</f>
        <v>0</v>
      </c>
      <c r="N565">
        <f>Master_Data!N565</f>
        <v>14</v>
      </c>
      <c r="O565">
        <f>Master_Data!O565</f>
        <v>102</v>
      </c>
      <c r="P565">
        <f>Master_Data!P565</f>
        <v>116</v>
      </c>
      <c r="Q565" t="str">
        <f t="shared" si="48"/>
        <v>2011</v>
      </c>
      <c r="R565" t="str">
        <f t="shared" si="49"/>
        <v>January</v>
      </c>
      <c r="S565" t="str">
        <f t="shared" si="50"/>
        <v>Weekday</v>
      </c>
      <c r="T565" t="str">
        <f t="shared" si="51"/>
        <v>Afternoon</v>
      </c>
      <c r="U565" t="str">
        <f t="shared" si="52"/>
        <v>Spring</v>
      </c>
      <c r="V565" t="str">
        <f t="shared" si="53"/>
        <v>Mist/Cloudy</v>
      </c>
    </row>
    <row r="566" spans="1:22">
      <c r="A566">
        <f>Master_Data!A566</f>
        <v>565</v>
      </c>
      <c r="B566">
        <f>Master_Data!B566</f>
        <v>40568</v>
      </c>
      <c r="C566">
        <f>Master_Data!C566</f>
        <v>1</v>
      </c>
      <c r="D566">
        <f>Master_Data!D566</f>
        <v>0</v>
      </c>
      <c r="E566">
        <f>Master_Data!E566</f>
        <v>1</v>
      </c>
      <c r="F566">
        <f>Master_Data!F566</f>
        <v>17</v>
      </c>
      <c r="G566" t="b">
        <f>Master_Data!G566</f>
        <v>0</v>
      </c>
      <c r="H566">
        <f>Master_Data!H566</f>
        <v>2</v>
      </c>
      <c r="I566">
        <f>Master_Data!I566</f>
        <v>1</v>
      </c>
      <c r="J566">
        <f>Master_Data!J566</f>
        <v>0.3</v>
      </c>
      <c r="K566">
        <f>Master_Data!K566</f>
        <v>0.33329999999999999</v>
      </c>
      <c r="L566">
        <f>Master_Data!L566</f>
        <v>0.45</v>
      </c>
      <c r="M566">
        <f>Master_Data!M566</f>
        <v>0</v>
      </c>
      <c r="N566">
        <f>Master_Data!N566</f>
        <v>14</v>
      </c>
      <c r="O566">
        <f>Master_Data!O566</f>
        <v>208</v>
      </c>
      <c r="P566">
        <f>Master_Data!P566</f>
        <v>222</v>
      </c>
      <c r="Q566" t="str">
        <f t="shared" si="48"/>
        <v>2011</v>
      </c>
      <c r="R566" t="str">
        <f t="shared" si="49"/>
        <v>January</v>
      </c>
      <c r="S566" t="str">
        <f t="shared" si="50"/>
        <v>Weekday</v>
      </c>
      <c r="T566" t="str">
        <f t="shared" si="51"/>
        <v>Evening</v>
      </c>
      <c r="U566" t="str">
        <f t="shared" si="52"/>
        <v>Spring</v>
      </c>
      <c r="V566" t="str">
        <f t="shared" si="53"/>
        <v>Clear</v>
      </c>
    </row>
    <row r="567" spans="1:22">
      <c r="A567">
        <f>Master_Data!A567</f>
        <v>566</v>
      </c>
      <c r="B567">
        <f>Master_Data!B567</f>
        <v>40568</v>
      </c>
      <c r="C567">
        <f>Master_Data!C567</f>
        <v>1</v>
      </c>
      <c r="D567">
        <f>Master_Data!D567</f>
        <v>0</v>
      </c>
      <c r="E567">
        <f>Master_Data!E567</f>
        <v>1</v>
      </c>
      <c r="F567">
        <f>Master_Data!F567</f>
        <v>18</v>
      </c>
      <c r="G567" t="b">
        <f>Master_Data!G567</f>
        <v>0</v>
      </c>
      <c r="H567">
        <f>Master_Data!H567</f>
        <v>2</v>
      </c>
      <c r="I567">
        <f>Master_Data!I567</f>
        <v>2</v>
      </c>
      <c r="J567">
        <f>Master_Data!J567</f>
        <v>0.3</v>
      </c>
      <c r="K567">
        <f>Master_Data!K567</f>
        <v>0.31819999999999998</v>
      </c>
      <c r="L567">
        <f>Master_Data!L567</f>
        <v>0.49</v>
      </c>
      <c r="M567">
        <f>Master_Data!M567</f>
        <v>8.9599999999999999E-2</v>
      </c>
      <c r="N567">
        <f>Master_Data!N567</f>
        <v>7</v>
      </c>
      <c r="O567">
        <f>Master_Data!O567</f>
        <v>218</v>
      </c>
      <c r="P567">
        <f>Master_Data!P567</f>
        <v>225</v>
      </c>
      <c r="Q567" t="str">
        <f t="shared" si="48"/>
        <v>2011</v>
      </c>
      <c r="R567" t="str">
        <f t="shared" si="49"/>
        <v>January</v>
      </c>
      <c r="S567" t="str">
        <f t="shared" si="50"/>
        <v>Weekday</v>
      </c>
      <c r="T567" t="str">
        <f t="shared" si="51"/>
        <v>Evening</v>
      </c>
      <c r="U567" t="str">
        <f t="shared" si="52"/>
        <v>Spring</v>
      </c>
      <c r="V567" t="str">
        <f t="shared" si="53"/>
        <v>Mist/Cloudy</v>
      </c>
    </row>
    <row r="568" spans="1:22">
      <c r="A568">
        <f>Master_Data!A568</f>
        <v>567</v>
      </c>
      <c r="B568">
        <f>Master_Data!B568</f>
        <v>40568</v>
      </c>
      <c r="C568">
        <f>Master_Data!C568</f>
        <v>1</v>
      </c>
      <c r="D568">
        <f>Master_Data!D568</f>
        <v>0</v>
      </c>
      <c r="E568">
        <f>Master_Data!E568</f>
        <v>1</v>
      </c>
      <c r="F568">
        <f>Master_Data!F568</f>
        <v>19</v>
      </c>
      <c r="G568" t="b">
        <f>Master_Data!G568</f>
        <v>0</v>
      </c>
      <c r="H568">
        <f>Master_Data!H568</f>
        <v>2</v>
      </c>
      <c r="I568">
        <f>Master_Data!I568</f>
        <v>2</v>
      </c>
      <c r="J568">
        <f>Master_Data!J568</f>
        <v>0.26</v>
      </c>
      <c r="K568">
        <f>Master_Data!K568</f>
        <v>0.2576</v>
      </c>
      <c r="L568">
        <f>Master_Data!L568</f>
        <v>0.65</v>
      </c>
      <c r="M568">
        <f>Master_Data!M568</f>
        <v>0.16420000000000001</v>
      </c>
      <c r="N568">
        <f>Master_Data!N568</f>
        <v>13</v>
      </c>
      <c r="O568">
        <f>Master_Data!O568</f>
        <v>133</v>
      </c>
      <c r="P568">
        <f>Master_Data!P568</f>
        <v>146</v>
      </c>
      <c r="Q568" t="str">
        <f t="shared" si="48"/>
        <v>2011</v>
      </c>
      <c r="R568" t="str">
        <f t="shared" si="49"/>
        <v>January</v>
      </c>
      <c r="S568" t="str">
        <f t="shared" si="50"/>
        <v>Weekday</v>
      </c>
      <c r="T568" t="str">
        <f t="shared" si="51"/>
        <v>Evening</v>
      </c>
      <c r="U568" t="str">
        <f t="shared" si="52"/>
        <v>Spring</v>
      </c>
      <c r="V568" t="str">
        <f t="shared" si="53"/>
        <v>Mist/Cloudy</v>
      </c>
    </row>
    <row r="569" spans="1:22">
      <c r="A569">
        <f>Master_Data!A569</f>
        <v>568</v>
      </c>
      <c r="B569">
        <f>Master_Data!B569</f>
        <v>40568</v>
      </c>
      <c r="C569">
        <f>Master_Data!C569</f>
        <v>1</v>
      </c>
      <c r="D569">
        <f>Master_Data!D569</f>
        <v>0</v>
      </c>
      <c r="E569">
        <f>Master_Data!E569</f>
        <v>1</v>
      </c>
      <c r="F569">
        <f>Master_Data!F569</f>
        <v>20</v>
      </c>
      <c r="G569" t="b">
        <f>Master_Data!G569</f>
        <v>0</v>
      </c>
      <c r="H569">
        <f>Master_Data!H569</f>
        <v>2</v>
      </c>
      <c r="I569">
        <f>Master_Data!I569</f>
        <v>1</v>
      </c>
      <c r="J569">
        <f>Master_Data!J569</f>
        <v>0.24</v>
      </c>
      <c r="K569">
        <f>Master_Data!K569</f>
        <v>0.2273</v>
      </c>
      <c r="L569">
        <f>Master_Data!L569</f>
        <v>0.65</v>
      </c>
      <c r="M569">
        <f>Master_Data!M569</f>
        <v>0.19400000000000001</v>
      </c>
      <c r="N569">
        <f>Master_Data!N569</f>
        <v>16</v>
      </c>
      <c r="O569">
        <f>Master_Data!O569</f>
        <v>103</v>
      </c>
      <c r="P569">
        <f>Master_Data!P569</f>
        <v>119</v>
      </c>
      <c r="Q569" t="str">
        <f t="shared" si="48"/>
        <v>2011</v>
      </c>
      <c r="R569" t="str">
        <f t="shared" si="49"/>
        <v>January</v>
      </c>
      <c r="S569" t="str">
        <f t="shared" si="50"/>
        <v>Weekday</v>
      </c>
      <c r="T569" t="str">
        <f t="shared" si="51"/>
        <v>Evening</v>
      </c>
      <c r="U569" t="str">
        <f t="shared" si="52"/>
        <v>Spring</v>
      </c>
      <c r="V569" t="str">
        <f t="shared" si="53"/>
        <v>Clear</v>
      </c>
    </row>
    <row r="570" spans="1:22">
      <c r="A570">
        <f>Master_Data!A570</f>
        <v>569</v>
      </c>
      <c r="B570">
        <f>Master_Data!B570</f>
        <v>40568</v>
      </c>
      <c r="C570">
        <f>Master_Data!C570</f>
        <v>1</v>
      </c>
      <c r="D570">
        <f>Master_Data!D570</f>
        <v>0</v>
      </c>
      <c r="E570">
        <f>Master_Data!E570</f>
        <v>1</v>
      </c>
      <c r="F570">
        <f>Master_Data!F570</f>
        <v>21</v>
      </c>
      <c r="G570" t="b">
        <f>Master_Data!G570</f>
        <v>0</v>
      </c>
      <c r="H570">
        <f>Master_Data!H570</f>
        <v>2</v>
      </c>
      <c r="I570">
        <f>Master_Data!I570</f>
        <v>1</v>
      </c>
      <c r="J570">
        <f>Master_Data!J570</f>
        <v>0.24</v>
      </c>
      <c r="K570">
        <f>Master_Data!K570</f>
        <v>0.2273</v>
      </c>
      <c r="L570">
        <f>Master_Data!L570</f>
        <v>0.65</v>
      </c>
      <c r="M570">
        <f>Master_Data!M570</f>
        <v>0.19400000000000001</v>
      </c>
      <c r="N570">
        <f>Master_Data!N570</f>
        <v>5</v>
      </c>
      <c r="O570">
        <f>Master_Data!O570</f>
        <v>40</v>
      </c>
      <c r="P570">
        <f>Master_Data!P570</f>
        <v>45</v>
      </c>
      <c r="Q570" t="str">
        <f t="shared" si="48"/>
        <v>2011</v>
      </c>
      <c r="R570" t="str">
        <f t="shared" si="49"/>
        <v>January</v>
      </c>
      <c r="S570" t="str">
        <f t="shared" si="50"/>
        <v>Weekday</v>
      </c>
      <c r="T570" t="str">
        <f t="shared" si="51"/>
        <v>Night</v>
      </c>
      <c r="U570" t="str">
        <f t="shared" si="52"/>
        <v>Spring</v>
      </c>
      <c r="V570" t="str">
        <f t="shared" si="53"/>
        <v>Clear</v>
      </c>
    </row>
    <row r="571" spans="1:22">
      <c r="A571">
        <f>Master_Data!A571</f>
        <v>570</v>
      </c>
      <c r="B571">
        <f>Master_Data!B571</f>
        <v>40568</v>
      </c>
      <c r="C571">
        <f>Master_Data!C571</f>
        <v>1</v>
      </c>
      <c r="D571">
        <f>Master_Data!D571</f>
        <v>0</v>
      </c>
      <c r="E571">
        <f>Master_Data!E571</f>
        <v>1</v>
      </c>
      <c r="F571">
        <f>Master_Data!F571</f>
        <v>22</v>
      </c>
      <c r="G571" t="b">
        <f>Master_Data!G571</f>
        <v>0</v>
      </c>
      <c r="H571">
        <f>Master_Data!H571</f>
        <v>2</v>
      </c>
      <c r="I571">
        <f>Master_Data!I571</f>
        <v>1</v>
      </c>
      <c r="J571">
        <f>Master_Data!J571</f>
        <v>0.22</v>
      </c>
      <c r="K571">
        <f>Master_Data!K571</f>
        <v>0.2273</v>
      </c>
      <c r="L571">
        <f>Master_Data!L571</f>
        <v>0.64</v>
      </c>
      <c r="M571">
        <f>Master_Data!M571</f>
        <v>0.16420000000000001</v>
      </c>
      <c r="N571">
        <f>Master_Data!N571</f>
        <v>4</v>
      </c>
      <c r="O571">
        <f>Master_Data!O571</f>
        <v>49</v>
      </c>
      <c r="P571">
        <f>Master_Data!P571</f>
        <v>53</v>
      </c>
      <c r="Q571" t="str">
        <f t="shared" si="48"/>
        <v>2011</v>
      </c>
      <c r="R571" t="str">
        <f t="shared" si="49"/>
        <v>January</v>
      </c>
      <c r="S571" t="str">
        <f t="shared" si="50"/>
        <v>Weekday</v>
      </c>
      <c r="T571" t="str">
        <f t="shared" si="51"/>
        <v>Night</v>
      </c>
      <c r="U571" t="str">
        <f t="shared" si="52"/>
        <v>Spring</v>
      </c>
      <c r="V571" t="str">
        <f t="shared" si="53"/>
        <v>Clear</v>
      </c>
    </row>
    <row r="572" spans="1:22">
      <c r="A572">
        <f>Master_Data!A572</f>
        <v>571</v>
      </c>
      <c r="B572">
        <f>Master_Data!B572</f>
        <v>40568</v>
      </c>
      <c r="C572">
        <f>Master_Data!C572</f>
        <v>1</v>
      </c>
      <c r="D572">
        <f>Master_Data!D572</f>
        <v>0</v>
      </c>
      <c r="E572">
        <f>Master_Data!E572</f>
        <v>1</v>
      </c>
      <c r="F572">
        <f>Master_Data!F572</f>
        <v>23</v>
      </c>
      <c r="G572" t="b">
        <f>Master_Data!G572</f>
        <v>0</v>
      </c>
      <c r="H572">
        <f>Master_Data!H572</f>
        <v>2</v>
      </c>
      <c r="I572">
        <f>Master_Data!I572</f>
        <v>2</v>
      </c>
      <c r="J572">
        <f>Master_Data!J572</f>
        <v>0.22</v>
      </c>
      <c r="K572">
        <f>Master_Data!K572</f>
        <v>0.2273</v>
      </c>
      <c r="L572">
        <f>Master_Data!L572</f>
        <v>0.64</v>
      </c>
      <c r="M572">
        <f>Master_Data!M572</f>
        <v>0.16420000000000001</v>
      </c>
      <c r="N572">
        <f>Master_Data!N572</f>
        <v>3</v>
      </c>
      <c r="O572">
        <f>Master_Data!O572</f>
        <v>37</v>
      </c>
      <c r="P572">
        <f>Master_Data!P572</f>
        <v>40</v>
      </c>
      <c r="Q572" t="str">
        <f t="shared" si="48"/>
        <v>2011</v>
      </c>
      <c r="R572" t="str">
        <f t="shared" si="49"/>
        <v>January</v>
      </c>
      <c r="S572" t="str">
        <f t="shared" si="50"/>
        <v>Weekday</v>
      </c>
      <c r="T572" t="str">
        <f t="shared" si="51"/>
        <v>Night</v>
      </c>
      <c r="U572" t="str">
        <f t="shared" si="52"/>
        <v>Spring</v>
      </c>
      <c r="V572" t="str">
        <f t="shared" si="53"/>
        <v>Mist/Cloudy</v>
      </c>
    </row>
    <row r="573" spans="1:22">
      <c r="A573">
        <f>Master_Data!A573</f>
        <v>572</v>
      </c>
      <c r="B573">
        <f>Master_Data!B573</f>
        <v>40569</v>
      </c>
      <c r="C573">
        <f>Master_Data!C573</f>
        <v>1</v>
      </c>
      <c r="D573">
        <f>Master_Data!D573</f>
        <v>0</v>
      </c>
      <c r="E573">
        <f>Master_Data!E573</f>
        <v>1</v>
      </c>
      <c r="F573">
        <f>Master_Data!F573</f>
        <v>0</v>
      </c>
      <c r="G573" t="b">
        <f>Master_Data!G573</f>
        <v>0</v>
      </c>
      <c r="H573">
        <f>Master_Data!H573</f>
        <v>3</v>
      </c>
      <c r="I573">
        <f>Master_Data!I573</f>
        <v>2</v>
      </c>
      <c r="J573">
        <f>Master_Data!J573</f>
        <v>0.22</v>
      </c>
      <c r="K573">
        <f>Master_Data!K573</f>
        <v>0.2273</v>
      </c>
      <c r="L573">
        <f>Master_Data!L573</f>
        <v>0.69</v>
      </c>
      <c r="M573">
        <f>Master_Data!M573</f>
        <v>0.1343</v>
      </c>
      <c r="N573">
        <f>Master_Data!N573</f>
        <v>3</v>
      </c>
      <c r="O573">
        <f>Master_Data!O573</f>
        <v>14</v>
      </c>
      <c r="P573">
        <f>Master_Data!P573</f>
        <v>17</v>
      </c>
      <c r="Q573" t="str">
        <f t="shared" si="48"/>
        <v>2011</v>
      </c>
      <c r="R573" t="str">
        <f t="shared" si="49"/>
        <v>January</v>
      </c>
      <c r="S573" t="str">
        <f t="shared" si="50"/>
        <v>Weekday</v>
      </c>
      <c r="T573" t="str">
        <f t="shared" si="51"/>
        <v>Night</v>
      </c>
      <c r="U573" t="str">
        <f t="shared" si="52"/>
        <v>Spring</v>
      </c>
      <c r="V573" t="str">
        <f t="shared" si="53"/>
        <v>Mist/Cloudy</v>
      </c>
    </row>
    <row r="574" spans="1:22">
      <c r="A574">
        <f>Master_Data!A574</f>
        <v>573</v>
      </c>
      <c r="B574">
        <f>Master_Data!B574</f>
        <v>40569</v>
      </c>
      <c r="C574">
        <f>Master_Data!C574</f>
        <v>1</v>
      </c>
      <c r="D574">
        <f>Master_Data!D574</f>
        <v>0</v>
      </c>
      <c r="E574">
        <f>Master_Data!E574</f>
        <v>1</v>
      </c>
      <c r="F574">
        <f>Master_Data!F574</f>
        <v>1</v>
      </c>
      <c r="G574" t="b">
        <f>Master_Data!G574</f>
        <v>0</v>
      </c>
      <c r="H574">
        <f>Master_Data!H574</f>
        <v>3</v>
      </c>
      <c r="I574">
        <f>Master_Data!I574</f>
        <v>2</v>
      </c>
      <c r="J574">
        <f>Master_Data!J574</f>
        <v>0.24</v>
      </c>
      <c r="K574">
        <f>Master_Data!K574</f>
        <v>0.2424</v>
      </c>
      <c r="L574">
        <f>Master_Data!L574</f>
        <v>0.65</v>
      </c>
      <c r="M574">
        <f>Master_Data!M574</f>
        <v>0.1343</v>
      </c>
      <c r="N574">
        <f>Master_Data!N574</f>
        <v>0</v>
      </c>
      <c r="O574">
        <f>Master_Data!O574</f>
        <v>5</v>
      </c>
      <c r="P574">
        <f>Master_Data!P574</f>
        <v>5</v>
      </c>
      <c r="Q574" t="str">
        <f t="shared" si="48"/>
        <v>2011</v>
      </c>
      <c r="R574" t="str">
        <f t="shared" si="49"/>
        <v>January</v>
      </c>
      <c r="S574" t="str">
        <f t="shared" si="50"/>
        <v>Weekday</v>
      </c>
      <c r="T574" t="str">
        <f t="shared" si="51"/>
        <v>Night</v>
      </c>
      <c r="U574" t="str">
        <f t="shared" si="52"/>
        <v>Spring</v>
      </c>
      <c r="V574" t="str">
        <f t="shared" si="53"/>
        <v>Mist/Cloudy</v>
      </c>
    </row>
    <row r="575" spans="1:22">
      <c r="A575">
        <f>Master_Data!A575</f>
        <v>574</v>
      </c>
      <c r="B575">
        <f>Master_Data!B575</f>
        <v>40569</v>
      </c>
      <c r="C575">
        <f>Master_Data!C575</f>
        <v>1</v>
      </c>
      <c r="D575">
        <f>Master_Data!D575</f>
        <v>0</v>
      </c>
      <c r="E575">
        <f>Master_Data!E575</f>
        <v>1</v>
      </c>
      <c r="F575">
        <f>Master_Data!F575</f>
        <v>2</v>
      </c>
      <c r="G575" t="b">
        <f>Master_Data!G575</f>
        <v>0</v>
      </c>
      <c r="H575">
        <f>Master_Data!H575</f>
        <v>3</v>
      </c>
      <c r="I575">
        <f>Master_Data!I575</f>
        <v>3</v>
      </c>
      <c r="J575">
        <f>Master_Data!J575</f>
        <v>0.22</v>
      </c>
      <c r="K575">
        <f>Master_Data!K575</f>
        <v>0.2273</v>
      </c>
      <c r="L575">
        <f>Master_Data!L575</f>
        <v>0.69</v>
      </c>
      <c r="M575">
        <f>Master_Data!M575</f>
        <v>0.19400000000000001</v>
      </c>
      <c r="N575">
        <f>Master_Data!N575</f>
        <v>3</v>
      </c>
      <c r="O575">
        <f>Master_Data!O575</f>
        <v>7</v>
      </c>
      <c r="P575">
        <f>Master_Data!P575</f>
        <v>10</v>
      </c>
      <c r="Q575" t="str">
        <f t="shared" si="48"/>
        <v>2011</v>
      </c>
      <c r="R575" t="str">
        <f t="shared" si="49"/>
        <v>January</v>
      </c>
      <c r="S575" t="str">
        <f t="shared" si="50"/>
        <v>Weekday</v>
      </c>
      <c r="T575" t="str">
        <f t="shared" si="51"/>
        <v>Night</v>
      </c>
      <c r="U575" t="str">
        <f t="shared" si="52"/>
        <v>Spring</v>
      </c>
      <c r="V575" t="str">
        <f t="shared" si="53"/>
        <v>Light Rain/Snow</v>
      </c>
    </row>
    <row r="576" spans="1:22">
      <c r="A576">
        <f>Master_Data!A576</f>
        <v>575</v>
      </c>
      <c r="B576">
        <f>Master_Data!B576</f>
        <v>40569</v>
      </c>
      <c r="C576">
        <f>Master_Data!C576</f>
        <v>1</v>
      </c>
      <c r="D576">
        <f>Master_Data!D576</f>
        <v>0</v>
      </c>
      <c r="E576">
        <f>Master_Data!E576</f>
        <v>1</v>
      </c>
      <c r="F576">
        <f>Master_Data!F576</f>
        <v>5</v>
      </c>
      <c r="G576" t="b">
        <f>Master_Data!G576</f>
        <v>0</v>
      </c>
      <c r="H576">
        <f>Master_Data!H576</f>
        <v>3</v>
      </c>
      <c r="I576">
        <f>Master_Data!I576</f>
        <v>3</v>
      </c>
      <c r="J576">
        <f>Master_Data!J576</f>
        <v>0.2</v>
      </c>
      <c r="K576">
        <f>Master_Data!K576</f>
        <v>0.18179999999999999</v>
      </c>
      <c r="L576">
        <f>Master_Data!L576</f>
        <v>0.86</v>
      </c>
      <c r="M576">
        <f>Master_Data!M576</f>
        <v>0.28360000000000002</v>
      </c>
      <c r="N576">
        <f>Master_Data!N576</f>
        <v>0</v>
      </c>
      <c r="O576">
        <f>Master_Data!O576</f>
        <v>1</v>
      </c>
      <c r="P576">
        <f>Master_Data!P576</f>
        <v>1</v>
      </c>
      <c r="Q576" t="str">
        <f t="shared" si="48"/>
        <v>2011</v>
      </c>
      <c r="R576" t="str">
        <f t="shared" si="49"/>
        <v>January</v>
      </c>
      <c r="S576" t="str">
        <f t="shared" si="50"/>
        <v>Weekday</v>
      </c>
      <c r="T576" t="str">
        <f t="shared" si="51"/>
        <v>Night</v>
      </c>
      <c r="U576" t="str">
        <f t="shared" si="52"/>
        <v>Spring</v>
      </c>
      <c r="V576" t="str">
        <f t="shared" si="53"/>
        <v>Light Rain/Snow</v>
      </c>
    </row>
    <row r="577" spans="1:22">
      <c r="A577">
        <f>Master_Data!A577</f>
        <v>576</v>
      </c>
      <c r="B577">
        <f>Master_Data!B577</f>
        <v>40569</v>
      </c>
      <c r="C577">
        <f>Master_Data!C577</f>
        <v>1</v>
      </c>
      <c r="D577">
        <f>Master_Data!D577</f>
        <v>0</v>
      </c>
      <c r="E577">
        <f>Master_Data!E577</f>
        <v>1</v>
      </c>
      <c r="F577">
        <f>Master_Data!F577</f>
        <v>6</v>
      </c>
      <c r="G577" t="b">
        <f>Master_Data!G577</f>
        <v>0</v>
      </c>
      <c r="H577">
        <f>Master_Data!H577</f>
        <v>3</v>
      </c>
      <c r="I577">
        <f>Master_Data!I577</f>
        <v>3</v>
      </c>
      <c r="J577">
        <f>Master_Data!J577</f>
        <v>0.2</v>
      </c>
      <c r="K577">
        <f>Master_Data!K577</f>
        <v>0.18179999999999999</v>
      </c>
      <c r="L577">
        <f>Master_Data!L577</f>
        <v>0.86</v>
      </c>
      <c r="M577">
        <f>Master_Data!M577</f>
        <v>0.28360000000000002</v>
      </c>
      <c r="N577">
        <f>Master_Data!N577</f>
        <v>0</v>
      </c>
      <c r="O577">
        <f>Master_Data!O577</f>
        <v>8</v>
      </c>
      <c r="P577">
        <f>Master_Data!P577</f>
        <v>8</v>
      </c>
      <c r="Q577" t="str">
        <f t="shared" si="48"/>
        <v>2011</v>
      </c>
      <c r="R577" t="str">
        <f t="shared" si="49"/>
        <v>January</v>
      </c>
      <c r="S577" t="str">
        <f t="shared" si="50"/>
        <v>Weekday</v>
      </c>
      <c r="T577" t="str">
        <f t="shared" si="51"/>
        <v>Morning</v>
      </c>
      <c r="U577" t="str">
        <f t="shared" si="52"/>
        <v>Spring</v>
      </c>
      <c r="V577" t="str">
        <f t="shared" si="53"/>
        <v>Light Rain/Snow</v>
      </c>
    </row>
    <row r="578" spans="1:22">
      <c r="A578">
        <f>Master_Data!A578</f>
        <v>577</v>
      </c>
      <c r="B578">
        <f>Master_Data!B578</f>
        <v>40569</v>
      </c>
      <c r="C578">
        <f>Master_Data!C578</f>
        <v>1</v>
      </c>
      <c r="D578">
        <f>Master_Data!D578</f>
        <v>0</v>
      </c>
      <c r="E578">
        <f>Master_Data!E578</f>
        <v>1</v>
      </c>
      <c r="F578">
        <f>Master_Data!F578</f>
        <v>7</v>
      </c>
      <c r="G578" t="b">
        <f>Master_Data!G578</f>
        <v>0</v>
      </c>
      <c r="H578">
        <f>Master_Data!H578</f>
        <v>3</v>
      </c>
      <c r="I578">
        <f>Master_Data!I578</f>
        <v>3</v>
      </c>
      <c r="J578">
        <f>Master_Data!J578</f>
        <v>0.22</v>
      </c>
      <c r="K578">
        <f>Master_Data!K578</f>
        <v>0.21210000000000001</v>
      </c>
      <c r="L578">
        <f>Master_Data!L578</f>
        <v>0.87</v>
      </c>
      <c r="M578">
        <f>Master_Data!M578</f>
        <v>0.29849999999999999</v>
      </c>
      <c r="N578">
        <f>Master_Data!N578</f>
        <v>1</v>
      </c>
      <c r="O578">
        <f>Master_Data!O578</f>
        <v>29</v>
      </c>
      <c r="P578">
        <f>Master_Data!P578</f>
        <v>30</v>
      </c>
      <c r="Q578" t="str">
        <f t="shared" ref="Q578:Q641" si="54">IF(D578=0,"2011","2012")</f>
        <v>2011</v>
      </c>
      <c r="R578" t="str">
        <f t="shared" ref="R578:R641" si="55">TEXT(B578,"mmmm")</f>
        <v>January</v>
      </c>
      <c r="S578" t="str">
        <f t="shared" ref="S578:S641" si="56">IF(G578=TRUE,"Holiday",IF(H578=0,"Sunday",IF(H578=6,"Saturday","Weekday")))</f>
        <v>Weekday</v>
      </c>
      <c r="T578" t="str">
        <f t="shared" ref="T578:T641" si="57">IF(F578&lt;6,"Night",IF(F578&lt;12,"Morning",IF(F578&lt;17,"Afternoon",IF(F578&lt;21,"Evening","Night"))))</f>
        <v>Morning</v>
      </c>
      <c r="U578" t="str">
        <f t="shared" ref="U578:U641" si="58">CHOOSE(C578,"Spring","Summer","Fall","Winter")</f>
        <v>Spring</v>
      </c>
      <c r="V578" t="str">
        <f t="shared" ref="V578:V641" si="59">CHOOSE(I578,"Clear","Mist/Cloudy","Light Rain/Snow","Heavy Rain/Snow")</f>
        <v>Light Rain/Snow</v>
      </c>
    </row>
    <row r="579" spans="1:22">
      <c r="A579">
        <f>Master_Data!A579</f>
        <v>578</v>
      </c>
      <c r="B579">
        <f>Master_Data!B579</f>
        <v>40569</v>
      </c>
      <c r="C579">
        <f>Master_Data!C579</f>
        <v>1</v>
      </c>
      <c r="D579">
        <f>Master_Data!D579</f>
        <v>0</v>
      </c>
      <c r="E579">
        <f>Master_Data!E579</f>
        <v>1</v>
      </c>
      <c r="F579">
        <f>Master_Data!F579</f>
        <v>8</v>
      </c>
      <c r="G579" t="b">
        <f>Master_Data!G579</f>
        <v>0</v>
      </c>
      <c r="H579">
        <f>Master_Data!H579</f>
        <v>3</v>
      </c>
      <c r="I579">
        <f>Master_Data!I579</f>
        <v>3</v>
      </c>
      <c r="J579">
        <f>Master_Data!J579</f>
        <v>0.22</v>
      </c>
      <c r="K579">
        <f>Master_Data!K579</f>
        <v>0.21210000000000001</v>
      </c>
      <c r="L579">
        <f>Master_Data!L579</f>
        <v>0.87</v>
      </c>
      <c r="M579">
        <f>Master_Data!M579</f>
        <v>0.29849999999999999</v>
      </c>
      <c r="N579">
        <f>Master_Data!N579</f>
        <v>3</v>
      </c>
      <c r="O579">
        <f>Master_Data!O579</f>
        <v>69</v>
      </c>
      <c r="P579">
        <f>Master_Data!P579</f>
        <v>72</v>
      </c>
      <c r="Q579" t="str">
        <f t="shared" si="54"/>
        <v>2011</v>
      </c>
      <c r="R579" t="str">
        <f t="shared" si="55"/>
        <v>January</v>
      </c>
      <c r="S579" t="str">
        <f t="shared" si="56"/>
        <v>Weekday</v>
      </c>
      <c r="T579" t="str">
        <f t="shared" si="57"/>
        <v>Morning</v>
      </c>
      <c r="U579" t="str">
        <f t="shared" si="58"/>
        <v>Spring</v>
      </c>
      <c r="V579" t="str">
        <f t="shared" si="59"/>
        <v>Light Rain/Snow</v>
      </c>
    </row>
    <row r="580" spans="1:22">
      <c r="A580">
        <f>Master_Data!A580</f>
        <v>579</v>
      </c>
      <c r="B580">
        <f>Master_Data!B580</f>
        <v>40569</v>
      </c>
      <c r="C580">
        <f>Master_Data!C580</f>
        <v>1</v>
      </c>
      <c r="D580">
        <f>Master_Data!D580</f>
        <v>0</v>
      </c>
      <c r="E580">
        <f>Master_Data!E580</f>
        <v>1</v>
      </c>
      <c r="F580">
        <f>Master_Data!F580</f>
        <v>9</v>
      </c>
      <c r="G580" t="b">
        <f>Master_Data!G580</f>
        <v>0</v>
      </c>
      <c r="H580">
        <f>Master_Data!H580</f>
        <v>3</v>
      </c>
      <c r="I580">
        <f>Master_Data!I580</f>
        <v>3</v>
      </c>
      <c r="J580">
        <f>Master_Data!J580</f>
        <v>0.22</v>
      </c>
      <c r="K580">
        <f>Master_Data!K580</f>
        <v>0.21210000000000001</v>
      </c>
      <c r="L580">
        <f>Master_Data!L580</f>
        <v>0.87</v>
      </c>
      <c r="M580">
        <f>Master_Data!M580</f>
        <v>0.29849999999999999</v>
      </c>
      <c r="N580">
        <f>Master_Data!N580</f>
        <v>3</v>
      </c>
      <c r="O580">
        <f>Master_Data!O580</f>
        <v>55</v>
      </c>
      <c r="P580">
        <f>Master_Data!P580</f>
        <v>58</v>
      </c>
      <c r="Q580" t="str">
        <f t="shared" si="54"/>
        <v>2011</v>
      </c>
      <c r="R580" t="str">
        <f t="shared" si="55"/>
        <v>January</v>
      </c>
      <c r="S580" t="str">
        <f t="shared" si="56"/>
        <v>Weekday</v>
      </c>
      <c r="T580" t="str">
        <f t="shared" si="57"/>
        <v>Morning</v>
      </c>
      <c r="U580" t="str">
        <f t="shared" si="58"/>
        <v>Spring</v>
      </c>
      <c r="V580" t="str">
        <f t="shared" si="59"/>
        <v>Light Rain/Snow</v>
      </c>
    </row>
    <row r="581" spans="1:22">
      <c r="A581">
        <f>Master_Data!A581</f>
        <v>580</v>
      </c>
      <c r="B581">
        <f>Master_Data!B581</f>
        <v>40569</v>
      </c>
      <c r="C581">
        <f>Master_Data!C581</f>
        <v>1</v>
      </c>
      <c r="D581">
        <f>Master_Data!D581</f>
        <v>0</v>
      </c>
      <c r="E581">
        <f>Master_Data!E581</f>
        <v>1</v>
      </c>
      <c r="F581">
        <f>Master_Data!F581</f>
        <v>10</v>
      </c>
      <c r="G581" t="b">
        <f>Master_Data!G581</f>
        <v>0</v>
      </c>
      <c r="H581">
        <f>Master_Data!H581</f>
        <v>3</v>
      </c>
      <c r="I581">
        <f>Master_Data!I581</f>
        <v>3</v>
      </c>
      <c r="J581">
        <f>Master_Data!J581</f>
        <v>0.22</v>
      </c>
      <c r="K581">
        <f>Master_Data!K581</f>
        <v>0.21210000000000001</v>
      </c>
      <c r="L581">
        <f>Master_Data!L581</f>
        <v>0.93</v>
      </c>
      <c r="M581">
        <f>Master_Data!M581</f>
        <v>0.28360000000000002</v>
      </c>
      <c r="N581">
        <f>Master_Data!N581</f>
        <v>2</v>
      </c>
      <c r="O581">
        <f>Master_Data!O581</f>
        <v>26</v>
      </c>
      <c r="P581">
        <f>Master_Data!P581</f>
        <v>28</v>
      </c>
      <c r="Q581" t="str">
        <f t="shared" si="54"/>
        <v>2011</v>
      </c>
      <c r="R581" t="str">
        <f t="shared" si="55"/>
        <v>January</v>
      </c>
      <c r="S581" t="str">
        <f t="shared" si="56"/>
        <v>Weekday</v>
      </c>
      <c r="T581" t="str">
        <f t="shared" si="57"/>
        <v>Morning</v>
      </c>
      <c r="U581" t="str">
        <f t="shared" si="58"/>
        <v>Spring</v>
      </c>
      <c r="V581" t="str">
        <f t="shared" si="59"/>
        <v>Light Rain/Snow</v>
      </c>
    </row>
    <row r="582" spans="1:22">
      <c r="A582">
        <f>Master_Data!A582</f>
        <v>581</v>
      </c>
      <c r="B582">
        <f>Master_Data!B582</f>
        <v>40569</v>
      </c>
      <c r="C582">
        <f>Master_Data!C582</f>
        <v>1</v>
      </c>
      <c r="D582">
        <f>Master_Data!D582</f>
        <v>0</v>
      </c>
      <c r="E582">
        <f>Master_Data!E582</f>
        <v>1</v>
      </c>
      <c r="F582">
        <f>Master_Data!F582</f>
        <v>11</v>
      </c>
      <c r="G582" t="b">
        <f>Master_Data!G582</f>
        <v>0</v>
      </c>
      <c r="H582">
        <f>Master_Data!H582</f>
        <v>3</v>
      </c>
      <c r="I582">
        <f>Master_Data!I582</f>
        <v>3</v>
      </c>
      <c r="J582">
        <f>Master_Data!J582</f>
        <v>0.22</v>
      </c>
      <c r="K582">
        <f>Master_Data!K582</f>
        <v>0.19700000000000001</v>
      </c>
      <c r="L582">
        <f>Master_Data!L582</f>
        <v>0.93</v>
      </c>
      <c r="M582">
        <f>Master_Data!M582</f>
        <v>0.32840000000000003</v>
      </c>
      <c r="N582">
        <f>Master_Data!N582</f>
        <v>6</v>
      </c>
      <c r="O582">
        <f>Master_Data!O582</f>
        <v>35</v>
      </c>
      <c r="P582">
        <f>Master_Data!P582</f>
        <v>41</v>
      </c>
      <c r="Q582" t="str">
        <f t="shared" si="54"/>
        <v>2011</v>
      </c>
      <c r="R582" t="str">
        <f t="shared" si="55"/>
        <v>January</v>
      </c>
      <c r="S582" t="str">
        <f t="shared" si="56"/>
        <v>Weekday</v>
      </c>
      <c r="T582" t="str">
        <f t="shared" si="57"/>
        <v>Morning</v>
      </c>
      <c r="U582" t="str">
        <f t="shared" si="58"/>
        <v>Spring</v>
      </c>
      <c r="V582" t="str">
        <f t="shared" si="59"/>
        <v>Light Rain/Snow</v>
      </c>
    </row>
    <row r="583" spans="1:22">
      <c r="A583">
        <f>Master_Data!A583</f>
        <v>582</v>
      </c>
      <c r="B583">
        <f>Master_Data!B583</f>
        <v>40569</v>
      </c>
      <c r="C583">
        <f>Master_Data!C583</f>
        <v>1</v>
      </c>
      <c r="D583">
        <f>Master_Data!D583</f>
        <v>0</v>
      </c>
      <c r="E583">
        <f>Master_Data!E583</f>
        <v>1</v>
      </c>
      <c r="F583">
        <f>Master_Data!F583</f>
        <v>12</v>
      </c>
      <c r="G583" t="b">
        <f>Master_Data!G583</f>
        <v>0</v>
      </c>
      <c r="H583">
        <f>Master_Data!H583</f>
        <v>3</v>
      </c>
      <c r="I583">
        <f>Master_Data!I583</f>
        <v>3</v>
      </c>
      <c r="J583">
        <f>Master_Data!J583</f>
        <v>0.22</v>
      </c>
      <c r="K583">
        <f>Master_Data!K583</f>
        <v>0.19700000000000001</v>
      </c>
      <c r="L583">
        <f>Master_Data!L583</f>
        <v>0.93</v>
      </c>
      <c r="M583">
        <f>Master_Data!M583</f>
        <v>0.32840000000000003</v>
      </c>
      <c r="N583">
        <f>Master_Data!N583</f>
        <v>7</v>
      </c>
      <c r="O583">
        <f>Master_Data!O583</f>
        <v>41</v>
      </c>
      <c r="P583">
        <f>Master_Data!P583</f>
        <v>48</v>
      </c>
      <c r="Q583" t="str">
        <f t="shared" si="54"/>
        <v>2011</v>
      </c>
      <c r="R583" t="str">
        <f t="shared" si="55"/>
        <v>January</v>
      </c>
      <c r="S583" t="str">
        <f t="shared" si="56"/>
        <v>Weekday</v>
      </c>
      <c r="T583" t="str">
        <f t="shared" si="57"/>
        <v>Afternoon</v>
      </c>
      <c r="U583" t="str">
        <f t="shared" si="58"/>
        <v>Spring</v>
      </c>
      <c r="V583" t="str">
        <f t="shared" si="59"/>
        <v>Light Rain/Snow</v>
      </c>
    </row>
    <row r="584" spans="1:22">
      <c r="A584">
        <f>Master_Data!A584</f>
        <v>583</v>
      </c>
      <c r="B584">
        <f>Master_Data!B584</f>
        <v>40569</v>
      </c>
      <c r="C584">
        <f>Master_Data!C584</f>
        <v>1</v>
      </c>
      <c r="D584">
        <f>Master_Data!D584</f>
        <v>0</v>
      </c>
      <c r="E584">
        <f>Master_Data!E584</f>
        <v>1</v>
      </c>
      <c r="F584">
        <f>Master_Data!F584</f>
        <v>13</v>
      </c>
      <c r="G584" t="b">
        <f>Master_Data!G584</f>
        <v>0</v>
      </c>
      <c r="H584">
        <f>Master_Data!H584</f>
        <v>3</v>
      </c>
      <c r="I584">
        <f>Master_Data!I584</f>
        <v>3</v>
      </c>
      <c r="J584">
        <f>Master_Data!J584</f>
        <v>0.22</v>
      </c>
      <c r="K584">
        <f>Master_Data!K584</f>
        <v>0.19700000000000001</v>
      </c>
      <c r="L584">
        <f>Master_Data!L584</f>
        <v>0.93</v>
      </c>
      <c r="M584">
        <f>Master_Data!M584</f>
        <v>0.32840000000000003</v>
      </c>
      <c r="N584">
        <f>Master_Data!N584</f>
        <v>4</v>
      </c>
      <c r="O584">
        <f>Master_Data!O584</f>
        <v>43</v>
      </c>
      <c r="P584">
        <f>Master_Data!P584</f>
        <v>47</v>
      </c>
      <c r="Q584" t="str">
        <f t="shared" si="54"/>
        <v>2011</v>
      </c>
      <c r="R584" t="str">
        <f t="shared" si="55"/>
        <v>January</v>
      </c>
      <c r="S584" t="str">
        <f t="shared" si="56"/>
        <v>Weekday</v>
      </c>
      <c r="T584" t="str">
        <f t="shared" si="57"/>
        <v>Afternoon</v>
      </c>
      <c r="U584" t="str">
        <f t="shared" si="58"/>
        <v>Spring</v>
      </c>
      <c r="V584" t="str">
        <f t="shared" si="59"/>
        <v>Light Rain/Snow</v>
      </c>
    </row>
    <row r="585" spans="1:22">
      <c r="A585">
        <f>Master_Data!A585</f>
        <v>584</v>
      </c>
      <c r="B585">
        <f>Master_Data!B585</f>
        <v>40569</v>
      </c>
      <c r="C585">
        <f>Master_Data!C585</f>
        <v>1</v>
      </c>
      <c r="D585">
        <f>Master_Data!D585</f>
        <v>0</v>
      </c>
      <c r="E585">
        <f>Master_Data!E585</f>
        <v>1</v>
      </c>
      <c r="F585">
        <f>Master_Data!F585</f>
        <v>14</v>
      </c>
      <c r="G585" t="b">
        <f>Master_Data!G585</f>
        <v>0</v>
      </c>
      <c r="H585">
        <f>Master_Data!H585</f>
        <v>3</v>
      </c>
      <c r="I585">
        <f>Master_Data!I585</f>
        <v>3</v>
      </c>
      <c r="J585">
        <f>Master_Data!J585</f>
        <v>0.22</v>
      </c>
      <c r="K585">
        <f>Master_Data!K585</f>
        <v>0.19700000000000001</v>
      </c>
      <c r="L585">
        <f>Master_Data!L585</f>
        <v>0.93</v>
      </c>
      <c r="M585">
        <f>Master_Data!M585</f>
        <v>0.35820000000000002</v>
      </c>
      <c r="N585">
        <f>Master_Data!N585</f>
        <v>0</v>
      </c>
      <c r="O585">
        <f>Master_Data!O585</f>
        <v>36</v>
      </c>
      <c r="P585">
        <f>Master_Data!P585</f>
        <v>36</v>
      </c>
      <c r="Q585" t="str">
        <f t="shared" si="54"/>
        <v>2011</v>
      </c>
      <c r="R585" t="str">
        <f t="shared" si="55"/>
        <v>January</v>
      </c>
      <c r="S585" t="str">
        <f t="shared" si="56"/>
        <v>Weekday</v>
      </c>
      <c r="T585" t="str">
        <f t="shared" si="57"/>
        <v>Afternoon</v>
      </c>
      <c r="U585" t="str">
        <f t="shared" si="58"/>
        <v>Spring</v>
      </c>
      <c r="V585" t="str">
        <f t="shared" si="59"/>
        <v>Light Rain/Snow</v>
      </c>
    </row>
    <row r="586" spans="1:22">
      <c r="A586">
        <f>Master_Data!A586</f>
        <v>585</v>
      </c>
      <c r="B586">
        <f>Master_Data!B586</f>
        <v>40569</v>
      </c>
      <c r="C586">
        <f>Master_Data!C586</f>
        <v>1</v>
      </c>
      <c r="D586">
        <f>Master_Data!D586</f>
        <v>0</v>
      </c>
      <c r="E586">
        <f>Master_Data!E586</f>
        <v>1</v>
      </c>
      <c r="F586">
        <f>Master_Data!F586</f>
        <v>15</v>
      </c>
      <c r="G586" t="b">
        <f>Master_Data!G586</f>
        <v>0</v>
      </c>
      <c r="H586">
        <f>Master_Data!H586</f>
        <v>3</v>
      </c>
      <c r="I586">
        <f>Master_Data!I586</f>
        <v>3</v>
      </c>
      <c r="J586">
        <f>Master_Data!J586</f>
        <v>0.22</v>
      </c>
      <c r="K586">
        <f>Master_Data!K586</f>
        <v>0.18179999999999999</v>
      </c>
      <c r="L586">
        <f>Master_Data!L586</f>
        <v>0.93</v>
      </c>
      <c r="M586">
        <f>Master_Data!M586</f>
        <v>0.4627</v>
      </c>
      <c r="N586">
        <f>Master_Data!N586</f>
        <v>1</v>
      </c>
      <c r="O586">
        <f>Master_Data!O586</f>
        <v>42</v>
      </c>
      <c r="P586">
        <f>Master_Data!P586</f>
        <v>43</v>
      </c>
      <c r="Q586" t="str">
        <f t="shared" si="54"/>
        <v>2011</v>
      </c>
      <c r="R586" t="str">
        <f t="shared" si="55"/>
        <v>January</v>
      </c>
      <c r="S586" t="str">
        <f t="shared" si="56"/>
        <v>Weekday</v>
      </c>
      <c r="T586" t="str">
        <f t="shared" si="57"/>
        <v>Afternoon</v>
      </c>
      <c r="U586" t="str">
        <f t="shared" si="58"/>
        <v>Spring</v>
      </c>
      <c r="V586" t="str">
        <f t="shared" si="59"/>
        <v>Light Rain/Snow</v>
      </c>
    </row>
    <row r="587" spans="1:22">
      <c r="A587">
        <f>Master_Data!A587</f>
        <v>586</v>
      </c>
      <c r="B587">
        <f>Master_Data!B587</f>
        <v>40569</v>
      </c>
      <c r="C587">
        <f>Master_Data!C587</f>
        <v>1</v>
      </c>
      <c r="D587">
        <f>Master_Data!D587</f>
        <v>0</v>
      </c>
      <c r="E587">
        <f>Master_Data!E587</f>
        <v>1</v>
      </c>
      <c r="F587">
        <f>Master_Data!F587</f>
        <v>16</v>
      </c>
      <c r="G587" t="b">
        <f>Master_Data!G587</f>
        <v>0</v>
      </c>
      <c r="H587">
        <f>Master_Data!H587</f>
        <v>3</v>
      </c>
      <c r="I587">
        <f>Master_Data!I587</f>
        <v>4</v>
      </c>
      <c r="J587">
        <f>Master_Data!J587</f>
        <v>0.22</v>
      </c>
      <c r="K587">
        <f>Master_Data!K587</f>
        <v>0.19700000000000001</v>
      </c>
      <c r="L587">
        <f>Master_Data!L587</f>
        <v>0.93</v>
      </c>
      <c r="M587">
        <f>Master_Data!M587</f>
        <v>0.32840000000000003</v>
      </c>
      <c r="N587">
        <f>Master_Data!N587</f>
        <v>1</v>
      </c>
      <c r="O587">
        <f>Master_Data!O587</f>
        <v>35</v>
      </c>
      <c r="P587">
        <f>Master_Data!P587</f>
        <v>36</v>
      </c>
      <c r="Q587" t="str">
        <f t="shared" si="54"/>
        <v>2011</v>
      </c>
      <c r="R587" t="str">
        <f t="shared" si="55"/>
        <v>January</v>
      </c>
      <c r="S587" t="str">
        <f t="shared" si="56"/>
        <v>Weekday</v>
      </c>
      <c r="T587" t="str">
        <f t="shared" si="57"/>
        <v>Afternoon</v>
      </c>
      <c r="U587" t="str">
        <f t="shared" si="58"/>
        <v>Spring</v>
      </c>
      <c r="V587" t="str">
        <f t="shared" si="59"/>
        <v>Heavy Rain/Snow</v>
      </c>
    </row>
    <row r="588" spans="1:22">
      <c r="A588">
        <f>Master_Data!A588</f>
        <v>587</v>
      </c>
      <c r="B588">
        <f>Master_Data!B588</f>
        <v>40569</v>
      </c>
      <c r="C588">
        <f>Master_Data!C588</f>
        <v>1</v>
      </c>
      <c r="D588">
        <f>Master_Data!D588</f>
        <v>0</v>
      </c>
      <c r="E588">
        <f>Master_Data!E588</f>
        <v>1</v>
      </c>
      <c r="F588">
        <f>Master_Data!F588</f>
        <v>17</v>
      </c>
      <c r="G588" t="b">
        <f>Master_Data!G588</f>
        <v>0</v>
      </c>
      <c r="H588">
        <f>Master_Data!H588</f>
        <v>3</v>
      </c>
      <c r="I588">
        <f>Master_Data!I588</f>
        <v>3</v>
      </c>
      <c r="J588">
        <f>Master_Data!J588</f>
        <v>0.2</v>
      </c>
      <c r="K588">
        <f>Master_Data!K588</f>
        <v>0.18179999999999999</v>
      </c>
      <c r="L588">
        <f>Master_Data!L588</f>
        <v>0.93</v>
      </c>
      <c r="M588">
        <f>Master_Data!M588</f>
        <v>0.35820000000000002</v>
      </c>
      <c r="N588">
        <f>Master_Data!N588</f>
        <v>0</v>
      </c>
      <c r="O588">
        <f>Master_Data!O588</f>
        <v>26</v>
      </c>
      <c r="P588">
        <f>Master_Data!P588</f>
        <v>26</v>
      </c>
      <c r="Q588" t="str">
        <f t="shared" si="54"/>
        <v>2011</v>
      </c>
      <c r="R588" t="str">
        <f t="shared" si="55"/>
        <v>January</v>
      </c>
      <c r="S588" t="str">
        <f t="shared" si="56"/>
        <v>Weekday</v>
      </c>
      <c r="T588" t="str">
        <f t="shared" si="57"/>
        <v>Evening</v>
      </c>
      <c r="U588" t="str">
        <f t="shared" si="58"/>
        <v>Spring</v>
      </c>
      <c r="V588" t="str">
        <f t="shared" si="59"/>
        <v>Light Rain/Snow</v>
      </c>
    </row>
    <row r="589" spans="1:22">
      <c r="A589">
        <f>Master_Data!A589</f>
        <v>588</v>
      </c>
      <c r="B589">
        <f>Master_Data!B589</f>
        <v>40570</v>
      </c>
      <c r="C589">
        <f>Master_Data!C589</f>
        <v>1</v>
      </c>
      <c r="D589">
        <f>Master_Data!D589</f>
        <v>0</v>
      </c>
      <c r="E589">
        <f>Master_Data!E589</f>
        <v>1</v>
      </c>
      <c r="F589">
        <f>Master_Data!F589</f>
        <v>16</v>
      </c>
      <c r="G589" t="b">
        <f>Master_Data!G589</f>
        <v>0</v>
      </c>
      <c r="H589">
        <f>Master_Data!H589</f>
        <v>4</v>
      </c>
      <c r="I589">
        <f>Master_Data!I589</f>
        <v>1</v>
      </c>
      <c r="J589">
        <f>Master_Data!J589</f>
        <v>0.22</v>
      </c>
      <c r="K589">
        <f>Master_Data!K589</f>
        <v>0.2273</v>
      </c>
      <c r="L589">
        <f>Master_Data!L589</f>
        <v>0.55000000000000004</v>
      </c>
      <c r="M589">
        <f>Master_Data!M589</f>
        <v>0.19400000000000001</v>
      </c>
      <c r="N589">
        <f>Master_Data!N589</f>
        <v>1</v>
      </c>
      <c r="O589">
        <f>Master_Data!O589</f>
        <v>23</v>
      </c>
      <c r="P589">
        <f>Master_Data!P589</f>
        <v>24</v>
      </c>
      <c r="Q589" t="str">
        <f t="shared" si="54"/>
        <v>2011</v>
      </c>
      <c r="R589" t="str">
        <f t="shared" si="55"/>
        <v>January</v>
      </c>
      <c r="S589" t="str">
        <f t="shared" si="56"/>
        <v>Weekday</v>
      </c>
      <c r="T589" t="str">
        <f t="shared" si="57"/>
        <v>Afternoon</v>
      </c>
      <c r="U589" t="str">
        <f t="shared" si="58"/>
        <v>Spring</v>
      </c>
      <c r="V589" t="str">
        <f t="shared" si="59"/>
        <v>Clear</v>
      </c>
    </row>
    <row r="590" spans="1:22">
      <c r="A590">
        <f>Master_Data!A590</f>
        <v>589</v>
      </c>
      <c r="B590">
        <f>Master_Data!B590</f>
        <v>40570</v>
      </c>
      <c r="C590">
        <f>Master_Data!C590</f>
        <v>1</v>
      </c>
      <c r="D590">
        <f>Master_Data!D590</f>
        <v>0</v>
      </c>
      <c r="E590">
        <f>Master_Data!E590</f>
        <v>1</v>
      </c>
      <c r="F590">
        <f>Master_Data!F590</f>
        <v>17</v>
      </c>
      <c r="G590" t="b">
        <f>Master_Data!G590</f>
        <v>0</v>
      </c>
      <c r="H590">
        <f>Master_Data!H590</f>
        <v>4</v>
      </c>
      <c r="I590">
        <f>Master_Data!I590</f>
        <v>1</v>
      </c>
      <c r="J590">
        <f>Master_Data!J590</f>
        <v>0.22</v>
      </c>
      <c r="K590">
        <f>Master_Data!K590</f>
        <v>0.2424</v>
      </c>
      <c r="L590">
        <f>Master_Data!L590</f>
        <v>0.55000000000000004</v>
      </c>
      <c r="M590">
        <f>Master_Data!M590</f>
        <v>0.1045</v>
      </c>
      <c r="N590">
        <f>Master_Data!N590</f>
        <v>2</v>
      </c>
      <c r="O590">
        <f>Master_Data!O590</f>
        <v>82</v>
      </c>
      <c r="P590">
        <f>Master_Data!P590</f>
        <v>84</v>
      </c>
      <c r="Q590" t="str">
        <f t="shared" si="54"/>
        <v>2011</v>
      </c>
      <c r="R590" t="str">
        <f t="shared" si="55"/>
        <v>January</v>
      </c>
      <c r="S590" t="str">
        <f t="shared" si="56"/>
        <v>Weekday</v>
      </c>
      <c r="T590" t="str">
        <f t="shared" si="57"/>
        <v>Evening</v>
      </c>
      <c r="U590" t="str">
        <f t="shared" si="58"/>
        <v>Spring</v>
      </c>
      <c r="V590" t="str">
        <f t="shared" si="59"/>
        <v>Clear</v>
      </c>
    </row>
    <row r="591" spans="1:22">
      <c r="A591">
        <f>Master_Data!A591</f>
        <v>590</v>
      </c>
      <c r="B591">
        <f>Master_Data!B591</f>
        <v>40570</v>
      </c>
      <c r="C591">
        <f>Master_Data!C591</f>
        <v>1</v>
      </c>
      <c r="D591">
        <f>Master_Data!D591</f>
        <v>0</v>
      </c>
      <c r="E591">
        <f>Master_Data!E591</f>
        <v>1</v>
      </c>
      <c r="F591">
        <f>Master_Data!F591</f>
        <v>18</v>
      </c>
      <c r="G591" t="b">
        <f>Master_Data!G591</f>
        <v>0</v>
      </c>
      <c r="H591">
        <f>Master_Data!H591</f>
        <v>4</v>
      </c>
      <c r="I591">
        <f>Master_Data!I591</f>
        <v>1</v>
      </c>
      <c r="J591">
        <f>Master_Data!J591</f>
        <v>0.2</v>
      </c>
      <c r="K591">
        <f>Master_Data!K591</f>
        <v>0.2273</v>
      </c>
      <c r="L591">
        <f>Master_Data!L591</f>
        <v>0.69</v>
      </c>
      <c r="M591">
        <f>Master_Data!M591</f>
        <v>8.9599999999999999E-2</v>
      </c>
      <c r="N591">
        <f>Master_Data!N591</f>
        <v>3</v>
      </c>
      <c r="O591">
        <f>Master_Data!O591</f>
        <v>101</v>
      </c>
      <c r="P591">
        <f>Master_Data!P591</f>
        <v>104</v>
      </c>
      <c r="Q591" t="str">
        <f t="shared" si="54"/>
        <v>2011</v>
      </c>
      <c r="R591" t="str">
        <f t="shared" si="55"/>
        <v>January</v>
      </c>
      <c r="S591" t="str">
        <f t="shared" si="56"/>
        <v>Weekday</v>
      </c>
      <c r="T591" t="str">
        <f t="shared" si="57"/>
        <v>Evening</v>
      </c>
      <c r="U591" t="str">
        <f t="shared" si="58"/>
        <v>Spring</v>
      </c>
      <c r="V591" t="str">
        <f t="shared" si="59"/>
        <v>Clear</v>
      </c>
    </row>
    <row r="592" spans="1:22">
      <c r="A592">
        <f>Master_Data!A592</f>
        <v>591</v>
      </c>
      <c r="B592">
        <f>Master_Data!B592</f>
        <v>40570</v>
      </c>
      <c r="C592">
        <f>Master_Data!C592</f>
        <v>1</v>
      </c>
      <c r="D592">
        <f>Master_Data!D592</f>
        <v>0</v>
      </c>
      <c r="E592">
        <f>Master_Data!E592</f>
        <v>1</v>
      </c>
      <c r="F592">
        <f>Master_Data!F592</f>
        <v>19</v>
      </c>
      <c r="G592" t="b">
        <f>Master_Data!G592</f>
        <v>0</v>
      </c>
      <c r="H592">
        <f>Master_Data!H592</f>
        <v>4</v>
      </c>
      <c r="I592">
        <f>Master_Data!I592</f>
        <v>1</v>
      </c>
      <c r="J592">
        <f>Master_Data!J592</f>
        <v>0.2</v>
      </c>
      <c r="K592">
        <f>Master_Data!K592</f>
        <v>0.2273</v>
      </c>
      <c r="L592">
        <f>Master_Data!L592</f>
        <v>0.69</v>
      </c>
      <c r="M592">
        <f>Master_Data!M592</f>
        <v>8.9599999999999999E-2</v>
      </c>
      <c r="N592">
        <f>Master_Data!N592</f>
        <v>3</v>
      </c>
      <c r="O592">
        <f>Master_Data!O592</f>
        <v>76</v>
      </c>
      <c r="P592">
        <f>Master_Data!P592</f>
        <v>79</v>
      </c>
      <c r="Q592" t="str">
        <f t="shared" si="54"/>
        <v>2011</v>
      </c>
      <c r="R592" t="str">
        <f t="shared" si="55"/>
        <v>January</v>
      </c>
      <c r="S592" t="str">
        <f t="shared" si="56"/>
        <v>Weekday</v>
      </c>
      <c r="T592" t="str">
        <f t="shared" si="57"/>
        <v>Evening</v>
      </c>
      <c r="U592" t="str">
        <f t="shared" si="58"/>
        <v>Spring</v>
      </c>
      <c r="V592" t="str">
        <f t="shared" si="59"/>
        <v>Clear</v>
      </c>
    </row>
    <row r="593" spans="1:22">
      <c r="A593">
        <f>Master_Data!A593</f>
        <v>592</v>
      </c>
      <c r="B593">
        <f>Master_Data!B593</f>
        <v>40570</v>
      </c>
      <c r="C593">
        <f>Master_Data!C593</f>
        <v>1</v>
      </c>
      <c r="D593">
        <f>Master_Data!D593</f>
        <v>0</v>
      </c>
      <c r="E593">
        <f>Master_Data!E593</f>
        <v>1</v>
      </c>
      <c r="F593">
        <f>Master_Data!F593</f>
        <v>20</v>
      </c>
      <c r="G593" t="b">
        <f>Master_Data!G593</f>
        <v>0</v>
      </c>
      <c r="H593">
        <f>Master_Data!H593</f>
        <v>4</v>
      </c>
      <c r="I593">
        <f>Master_Data!I593</f>
        <v>1</v>
      </c>
      <c r="J593">
        <f>Master_Data!J593</f>
        <v>0.18</v>
      </c>
      <c r="K593">
        <f>Master_Data!K593</f>
        <v>0.21210000000000001</v>
      </c>
      <c r="L593">
        <f>Master_Data!L593</f>
        <v>0.74</v>
      </c>
      <c r="M593">
        <f>Master_Data!M593</f>
        <v>8.9599999999999999E-2</v>
      </c>
      <c r="N593">
        <f>Master_Data!N593</f>
        <v>4</v>
      </c>
      <c r="O593">
        <f>Master_Data!O593</f>
        <v>55</v>
      </c>
      <c r="P593">
        <f>Master_Data!P593</f>
        <v>59</v>
      </c>
      <c r="Q593" t="str">
        <f t="shared" si="54"/>
        <v>2011</v>
      </c>
      <c r="R593" t="str">
        <f t="shared" si="55"/>
        <v>January</v>
      </c>
      <c r="S593" t="str">
        <f t="shared" si="56"/>
        <v>Weekday</v>
      </c>
      <c r="T593" t="str">
        <f t="shared" si="57"/>
        <v>Evening</v>
      </c>
      <c r="U593" t="str">
        <f t="shared" si="58"/>
        <v>Spring</v>
      </c>
      <c r="V593" t="str">
        <f t="shared" si="59"/>
        <v>Clear</v>
      </c>
    </row>
    <row r="594" spans="1:22">
      <c r="A594">
        <f>Master_Data!A594</f>
        <v>593</v>
      </c>
      <c r="B594">
        <f>Master_Data!B594</f>
        <v>40570</v>
      </c>
      <c r="C594">
        <f>Master_Data!C594</f>
        <v>1</v>
      </c>
      <c r="D594">
        <f>Master_Data!D594</f>
        <v>0</v>
      </c>
      <c r="E594">
        <f>Master_Data!E594</f>
        <v>1</v>
      </c>
      <c r="F594">
        <f>Master_Data!F594</f>
        <v>21</v>
      </c>
      <c r="G594" t="b">
        <f>Master_Data!G594</f>
        <v>0</v>
      </c>
      <c r="H594">
        <f>Master_Data!H594</f>
        <v>4</v>
      </c>
      <c r="I594">
        <f>Master_Data!I594</f>
        <v>1</v>
      </c>
      <c r="J594">
        <f>Master_Data!J594</f>
        <v>0.18</v>
      </c>
      <c r="K594">
        <f>Master_Data!K594</f>
        <v>0.21210000000000001</v>
      </c>
      <c r="L594">
        <f>Master_Data!L594</f>
        <v>0.74</v>
      </c>
      <c r="M594">
        <f>Master_Data!M594</f>
        <v>8.9599999999999999E-2</v>
      </c>
      <c r="N594">
        <f>Master_Data!N594</f>
        <v>2</v>
      </c>
      <c r="O594">
        <f>Master_Data!O594</f>
        <v>36</v>
      </c>
      <c r="P594">
        <f>Master_Data!P594</f>
        <v>38</v>
      </c>
      <c r="Q594" t="str">
        <f t="shared" si="54"/>
        <v>2011</v>
      </c>
      <c r="R594" t="str">
        <f t="shared" si="55"/>
        <v>January</v>
      </c>
      <c r="S594" t="str">
        <f t="shared" si="56"/>
        <v>Weekday</v>
      </c>
      <c r="T594" t="str">
        <f t="shared" si="57"/>
        <v>Night</v>
      </c>
      <c r="U594" t="str">
        <f t="shared" si="58"/>
        <v>Spring</v>
      </c>
      <c r="V594" t="str">
        <f t="shared" si="59"/>
        <v>Clear</v>
      </c>
    </row>
    <row r="595" spans="1:22">
      <c r="A595">
        <f>Master_Data!A595</f>
        <v>594</v>
      </c>
      <c r="B595">
        <f>Master_Data!B595</f>
        <v>40570</v>
      </c>
      <c r="C595">
        <f>Master_Data!C595</f>
        <v>1</v>
      </c>
      <c r="D595">
        <f>Master_Data!D595</f>
        <v>0</v>
      </c>
      <c r="E595">
        <f>Master_Data!E595</f>
        <v>1</v>
      </c>
      <c r="F595">
        <f>Master_Data!F595</f>
        <v>22</v>
      </c>
      <c r="G595" t="b">
        <f>Master_Data!G595</f>
        <v>0</v>
      </c>
      <c r="H595">
        <f>Master_Data!H595</f>
        <v>4</v>
      </c>
      <c r="I595">
        <f>Master_Data!I595</f>
        <v>1</v>
      </c>
      <c r="J595">
        <f>Master_Data!J595</f>
        <v>0.18</v>
      </c>
      <c r="K595">
        <f>Master_Data!K595</f>
        <v>0.21210000000000001</v>
      </c>
      <c r="L595">
        <f>Master_Data!L595</f>
        <v>0.74</v>
      </c>
      <c r="M595">
        <f>Master_Data!M595</f>
        <v>8.9599999999999999E-2</v>
      </c>
      <c r="N595">
        <f>Master_Data!N595</f>
        <v>0</v>
      </c>
      <c r="O595">
        <f>Master_Data!O595</f>
        <v>27</v>
      </c>
      <c r="P595">
        <f>Master_Data!P595</f>
        <v>27</v>
      </c>
      <c r="Q595" t="str">
        <f t="shared" si="54"/>
        <v>2011</v>
      </c>
      <c r="R595" t="str">
        <f t="shared" si="55"/>
        <v>January</v>
      </c>
      <c r="S595" t="str">
        <f t="shared" si="56"/>
        <v>Weekday</v>
      </c>
      <c r="T595" t="str">
        <f t="shared" si="57"/>
        <v>Night</v>
      </c>
      <c r="U595" t="str">
        <f t="shared" si="58"/>
        <v>Spring</v>
      </c>
      <c r="V595" t="str">
        <f t="shared" si="59"/>
        <v>Clear</v>
      </c>
    </row>
    <row r="596" spans="1:22">
      <c r="A596">
        <f>Master_Data!A596</f>
        <v>595</v>
      </c>
      <c r="B596">
        <f>Master_Data!B596</f>
        <v>40570</v>
      </c>
      <c r="C596">
        <f>Master_Data!C596</f>
        <v>1</v>
      </c>
      <c r="D596">
        <f>Master_Data!D596</f>
        <v>0</v>
      </c>
      <c r="E596">
        <f>Master_Data!E596</f>
        <v>1</v>
      </c>
      <c r="F596">
        <f>Master_Data!F596</f>
        <v>23</v>
      </c>
      <c r="G596" t="b">
        <f>Master_Data!G596</f>
        <v>0</v>
      </c>
      <c r="H596">
        <f>Master_Data!H596</f>
        <v>4</v>
      </c>
      <c r="I596">
        <f>Master_Data!I596</f>
        <v>1</v>
      </c>
      <c r="J596">
        <f>Master_Data!J596</f>
        <v>0.18</v>
      </c>
      <c r="K596">
        <f>Master_Data!K596</f>
        <v>0.19700000000000001</v>
      </c>
      <c r="L596">
        <f>Master_Data!L596</f>
        <v>0.8</v>
      </c>
      <c r="M596">
        <f>Master_Data!M596</f>
        <v>0.16420000000000001</v>
      </c>
      <c r="N596">
        <f>Master_Data!N596</f>
        <v>0</v>
      </c>
      <c r="O596">
        <f>Master_Data!O596</f>
        <v>16</v>
      </c>
      <c r="P596">
        <f>Master_Data!P596</f>
        <v>16</v>
      </c>
      <c r="Q596" t="str">
        <f t="shared" si="54"/>
        <v>2011</v>
      </c>
      <c r="R596" t="str">
        <f t="shared" si="55"/>
        <v>January</v>
      </c>
      <c r="S596" t="str">
        <f t="shared" si="56"/>
        <v>Weekday</v>
      </c>
      <c r="T596" t="str">
        <f t="shared" si="57"/>
        <v>Night</v>
      </c>
      <c r="U596" t="str">
        <f t="shared" si="58"/>
        <v>Spring</v>
      </c>
      <c r="V596" t="str">
        <f t="shared" si="59"/>
        <v>Clear</v>
      </c>
    </row>
    <row r="597" spans="1:22">
      <c r="A597">
        <f>Master_Data!A597</f>
        <v>596</v>
      </c>
      <c r="B597">
        <f>Master_Data!B597</f>
        <v>40571</v>
      </c>
      <c r="C597">
        <f>Master_Data!C597</f>
        <v>1</v>
      </c>
      <c r="D597">
        <f>Master_Data!D597</f>
        <v>0</v>
      </c>
      <c r="E597">
        <f>Master_Data!E597</f>
        <v>1</v>
      </c>
      <c r="F597">
        <f>Master_Data!F597</f>
        <v>0</v>
      </c>
      <c r="G597" t="b">
        <f>Master_Data!G597</f>
        <v>0</v>
      </c>
      <c r="H597">
        <f>Master_Data!H597</f>
        <v>5</v>
      </c>
      <c r="I597">
        <f>Master_Data!I597</f>
        <v>2</v>
      </c>
      <c r="J597">
        <f>Master_Data!J597</f>
        <v>0.2</v>
      </c>
      <c r="K597">
        <f>Master_Data!K597</f>
        <v>0.21210000000000001</v>
      </c>
      <c r="L597">
        <f>Master_Data!L597</f>
        <v>0.75</v>
      </c>
      <c r="M597">
        <f>Master_Data!M597</f>
        <v>0.1343</v>
      </c>
      <c r="N597">
        <f>Master_Data!N597</f>
        <v>0</v>
      </c>
      <c r="O597">
        <f>Master_Data!O597</f>
        <v>9</v>
      </c>
      <c r="P597">
        <f>Master_Data!P597</f>
        <v>9</v>
      </c>
      <c r="Q597" t="str">
        <f t="shared" si="54"/>
        <v>2011</v>
      </c>
      <c r="R597" t="str">
        <f t="shared" si="55"/>
        <v>January</v>
      </c>
      <c r="S597" t="str">
        <f t="shared" si="56"/>
        <v>Weekday</v>
      </c>
      <c r="T597" t="str">
        <f t="shared" si="57"/>
        <v>Night</v>
      </c>
      <c r="U597" t="str">
        <f t="shared" si="58"/>
        <v>Spring</v>
      </c>
      <c r="V597" t="str">
        <f t="shared" si="59"/>
        <v>Mist/Cloudy</v>
      </c>
    </row>
    <row r="598" spans="1:22">
      <c r="A598">
        <f>Master_Data!A598</f>
        <v>597</v>
      </c>
      <c r="B598">
        <f>Master_Data!B598</f>
        <v>40571</v>
      </c>
      <c r="C598">
        <f>Master_Data!C598</f>
        <v>1</v>
      </c>
      <c r="D598">
        <f>Master_Data!D598</f>
        <v>0</v>
      </c>
      <c r="E598">
        <f>Master_Data!E598</f>
        <v>1</v>
      </c>
      <c r="F598">
        <f>Master_Data!F598</f>
        <v>1</v>
      </c>
      <c r="G598" t="b">
        <f>Master_Data!G598</f>
        <v>0</v>
      </c>
      <c r="H598">
        <f>Master_Data!H598</f>
        <v>5</v>
      </c>
      <c r="I598">
        <f>Master_Data!I598</f>
        <v>2</v>
      </c>
      <c r="J598">
        <f>Master_Data!J598</f>
        <v>0.2</v>
      </c>
      <c r="K598">
        <f>Master_Data!K598</f>
        <v>0.21210000000000001</v>
      </c>
      <c r="L598">
        <f>Master_Data!L598</f>
        <v>0.75</v>
      </c>
      <c r="M598">
        <f>Master_Data!M598</f>
        <v>0.1343</v>
      </c>
      <c r="N598">
        <f>Master_Data!N598</f>
        <v>1</v>
      </c>
      <c r="O598">
        <f>Master_Data!O598</f>
        <v>2</v>
      </c>
      <c r="P598">
        <f>Master_Data!P598</f>
        <v>3</v>
      </c>
      <c r="Q598" t="str">
        <f t="shared" si="54"/>
        <v>2011</v>
      </c>
      <c r="R598" t="str">
        <f t="shared" si="55"/>
        <v>January</v>
      </c>
      <c r="S598" t="str">
        <f t="shared" si="56"/>
        <v>Weekday</v>
      </c>
      <c r="T598" t="str">
        <f t="shared" si="57"/>
        <v>Night</v>
      </c>
      <c r="U598" t="str">
        <f t="shared" si="58"/>
        <v>Spring</v>
      </c>
      <c r="V598" t="str">
        <f t="shared" si="59"/>
        <v>Mist/Cloudy</v>
      </c>
    </row>
    <row r="599" spans="1:22">
      <c r="A599">
        <f>Master_Data!A599</f>
        <v>598</v>
      </c>
      <c r="B599">
        <f>Master_Data!B599</f>
        <v>40571</v>
      </c>
      <c r="C599">
        <f>Master_Data!C599</f>
        <v>1</v>
      </c>
      <c r="D599">
        <f>Master_Data!D599</f>
        <v>0</v>
      </c>
      <c r="E599">
        <f>Master_Data!E599</f>
        <v>1</v>
      </c>
      <c r="F599">
        <f>Master_Data!F599</f>
        <v>2</v>
      </c>
      <c r="G599" t="b">
        <f>Master_Data!G599</f>
        <v>0</v>
      </c>
      <c r="H599">
        <f>Master_Data!H599</f>
        <v>5</v>
      </c>
      <c r="I599">
        <f>Master_Data!I599</f>
        <v>2</v>
      </c>
      <c r="J599">
        <f>Master_Data!J599</f>
        <v>0.2</v>
      </c>
      <c r="K599">
        <f>Master_Data!K599</f>
        <v>0.21210000000000001</v>
      </c>
      <c r="L599">
        <f>Master_Data!L599</f>
        <v>0.75</v>
      </c>
      <c r="M599">
        <f>Master_Data!M599</f>
        <v>0.16420000000000001</v>
      </c>
      <c r="N599">
        <f>Master_Data!N599</f>
        <v>0</v>
      </c>
      <c r="O599">
        <f>Master_Data!O599</f>
        <v>2</v>
      </c>
      <c r="P599">
        <f>Master_Data!P599</f>
        <v>2</v>
      </c>
      <c r="Q599" t="str">
        <f t="shared" si="54"/>
        <v>2011</v>
      </c>
      <c r="R599" t="str">
        <f t="shared" si="55"/>
        <v>January</v>
      </c>
      <c r="S599" t="str">
        <f t="shared" si="56"/>
        <v>Weekday</v>
      </c>
      <c r="T599" t="str">
        <f t="shared" si="57"/>
        <v>Night</v>
      </c>
      <c r="U599" t="str">
        <f t="shared" si="58"/>
        <v>Spring</v>
      </c>
      <c r="V599" t="str">
        <f t="shared" si="59"/>
        <v>Mist/Cloudy</v>
      </c>
    </row>
    <row r="600" spans="1:22">
      <c r="A600">
        <f>Master_Data!A600</f>
        <v>599</v>
      </c>
      <c r="B600">
        <f>Master_Data!B600</f>
        <v>40571</v>
      </c>
      <c r="C600">
        <f>Master_Data!C600</f>
        <v>1</v>
      </c>
      <c r="D600">
        <f>Master_Data!D600</f>
        <v>0</v>
      </c>
      <c r="E600">
        <f>Master_Data!E600</f>
        <v>1</v>
      </c>
      <c r="F600">
        <f>Master_Data!F600</f>
        <v>3</v>
      </c>
      <c r="G600" t="b">
        <f>Master_Data!G600</f>
        <v>0</v>
      </c>
      <c r="H600">
        <f>Master_Data!H600</f>
        <v>5</v>
      </c>
      <c r="I600">
        <f>Master_Data!I600</f>
        <v>2</v>
      </c>
      <c r="J600">
        <f>Master_Data!J600</f>
        <v>0.2</v>
      </c>
      <c r="K600">
        <f>Master_Data!K600</f>
        <v>0.2273</v>
      </c>
      <c r="L600">
        <f>Master_Data!L600</f>
        <v>0.75</v>
      </c>
      <c r="M600">
        <f>Master_Data!M600</f>
        <v>0.1045</v>
      </c>
      <c r="N600">
        <f>Master_Data!N600</f>
        <v>1</v>
      </c>
      <c r="O600">
        <f>Master_Data!O600</f>
        <v>0</v>
      </c>
      <c r="P600">
        <f>Master_Data!P600</f>
        <v>1</v>
      </c>
      <c r="Q600" t="str">
        <f t="shared" si="54"/>
        <v>2011</v>
      </c>
      <c r="R600" t="str">
        <f t="shared" si="55"/>
        <v>January</v>
      </c>
      <c r="S600" t="str">
        <f t="shared" si="56"/>
        <v>Weekday</v>
      </c>
      <c r="T600" t="str">
        <f t="shared" si="57"/>
        <v>Night</v>
      </c>
      <c r="U600" t="str">
        <f t="shared" si="58"/>
        <v>Spring</v>
      </c>
      <c r="V600" t="str">
        <f t="shared" si="59"/>
        <v>Mist/Cloudy</v>
      </c>
    </row>
    <row r="601" spans="1:22">
      <c r="A601">
        <f>Master_Data!A601</f>
        <v>600</v>
      </c>
      <c r="B601">
        <f>Master_Data!B601</f>
        <v>40571</v>
      </c>
      <c r="C601">
        <f>Master_Data!C601</f>
        <v>1</v>
      </c>
      <c r="D601">
        <f>Master_Data!D601</f>
        <v>0</v>
      </c>
      <c r="E601">
        <f>Master_Data!E601</f>
        <v>1</v>
      </c>
      <c r="F601">
        <f>Master_Data!F601</f>
        <v>5</v>
      </c>
      <c r="G601" t="b">
        <f>Master_Data!G601</f>
        <v>0</v>
      </c>
      <c r="H601">
        <f>Master_Data!H601</f>
        <v>5</v>
      </c>
      <c r="I601">
        <f>Master_Data!I601</f>
        <v>2</v>
      </c>
      <c r="J601">
        <f>Master_Data!J601</f>
        <v>0.18</v>
      </c>
      <c r="K601">
        <f>Master_Data!K601</f>
        <v>0.21210000000000001</v>
      </c>
      <c r="L601">
        <f>Master_Data!L601</f>
        <v>0.8</v>
      </c>
      <c r="M601">
        <f>Master_Data!M601</f>
        <v>0.1045</v>
      </c>
      <c r="N601">
        <f>Master_Data!N601</f>
        <v>0</v>
      </c>
      <c r="O601">
        <f>Master_Data!O601</f>
        <v>4</v>
      </c>
      <c r="P601">
        <f>Master_Data!P601</f>
        <v>4</v>
      </c>
      <c r="Q601" t="str">
        <f t="shared" si="54"/>
        <v>2011</v>
      </c>
      <c r="R601" t="str">
        <f t="shared" si="55"/>
        <v>January</v>
      </c>
      <c r="S601" t="str">
        <f t="shared" si="56"/>
        <v>Weekday</v>
      </c>
      <c r="T601" t="str">
        <f t="shared" si="57"/>
        <v>Night</v>
      </c>
      <c r="U601" t="str">
        <f t="shared" si="58"/>
        <v>Spring</v>
      </c>
      <c r="V601" t="str">
        <f t="shared" si="59"/>
        <v>Mist/Cloudy</v>
      </c>
    </row>
    <row r="602" spans="1:22">
      <c r="A602">
        <f>Master_Data!A602</f>
        <v>601</v>
      </c>
      <c r="B602">
        <f>Master_Data!B602</f>
        <v>40571</v>
      </c>
      <c r="C602">
        <f>Master_Data!C602</f>
        <v>1</v>
      </c>
      <c r="D602">
        <f>Master_Data!D602</f>
        <v>0</v>
      </c>
      <c r="E602">
        <f>Master_Data!E602</f>
        <v>1</v>
      </c>
      <c r="F602">
        <f>Master_Data!F602</f>
        <v>6</v>
      </c>
      <c r="G602" t="b">
        <f>Master_Data!G602</f>
        <v>0</v>
      </c>
      <c r="H602">
        <f>Master_Data!H602</f>
        <v>5</v>
      </c>
      <c r="I602">
        <f>Master_Data!I602</f>
        <v>2</v>
      </c>
      <c r="J602">
        <f>Master_Data!J602</f>
        <v>0.18</v>
      </c>
      <c r="K602">
        <f>Master_Data!K602</f>
        <v>0.19700000000000001</v>
      </c>
      <c r="L602">
        <f>Master_Data!L602</f>
        <v>0.8</v>
      </c>
      <c r="M602">
        <f>Master_Data!M602</f>
        <v>0.1343</v>
      </c>
      <c r="N602">
        <f>Master_Data!N602</f>
        <v>0</v>
      </c>
      <c r="O602">
        <f>Master_Data!O602</f>
        <v>16</v>
      </c>
      <c r="P602">
        <f>Master_Data!P602</f>
        <v>16</v>
      </c>
      <c r="Q602" t="str">
        <f t="shared" si="54"/>
        <v>2011</v>
      </c>
      <c r="R602" t="str">
        <f t="shared" si="55"/>
        <v>January</v>
      </c>
      <c r="S602" t="str">
        <f t="shared" si="56"/>
        <v>Weekday</v>
      </c>
      <c r="T602" t="str">
        <f t="shared" si="57"/>
        <v>Morning</v>
      </c>
      <c r="U602" t="str">
        <f t="shared" si="58"/>
        <v>Spring</v>
      </c>
      <c r="V602" t="str">
        <f t="shared" si="59"/>
        <v>Mist/Cloudy</v>
      </c>
    </row>
    <row r="603" spans="1:22">
      <c r="A603">
        <f>Master_Data!A603</f>
        <v>602</v>
      </c>
      <c r="B603">
        <f>Master_Data!B603</f>
        <v>40571</v>
      </c>
      <c r="C603">
        <f>Master_Data!C603</f>
        <v>1</v>
      </c>
      <c r="D603">
        <f>Master_Data!D603</f>
        <v>0</v>
      </c>
      <c r="E603">
        <f>Master_Data!E603</f>
        <v>1</v>
      </c>
      <c r="F603">
        <f>Master_Data!F603</f>
        <v>7</v>
      </c>
      <c r="G603" t="b">
        <f>Master_Data!G603</f>
        <v>0</v>
      </c>
      <c r="H603">
        <f>Master_Data!H603</f>
        <v>5</v>
      </c>
      <c r="I603">
        <f>Master_Data!I603</f>
        <v>2</v>
      </c>
      <c r="J603">
        <f>Master_Data!J603</f>
        <v>0.16</v>
      </c>
      <c r="K603">
        <f>Master_Data!K603</f>
        <v>0.19700000000000001</v>
      </c>
      <c r="L603">
        <f>Master_Data!L603</f>
        <v>0.86</v>
      </c>
      <c r="M603">
        <f>Master_Data!M603</f>
        <v>8.9599999999999999E-2</v>
      </c>
      <c r="N603">
        <f>Master_Data!N603</f>
        <v>2</v>
      </c>
      <c r="O603">
        <f>Master_Data!O603</f>
        <v>58</v>
      </c>
      <c r="P603">
        <f>Master_Data!P603</f>
        <v>60</v>
      </c>
      <c r="Q603" t="str">
        <f t="shared" si="54"/>
        <v>2011</v>
      </c>
      <c r="R603" t="str">
        <f t="shared" si="55"/>
        <v>January</v>
      </c>
      <c r="S603" t="str">
        <f t="shared" si="56"/>
        <v>Weekday</v>
      </c>
      <c r="T603" t="str">
        <f t="shared" si="57"/>
        <v>Morning</v>
      </c>
      <c r="U603" t="str">
        <f t="shared" si="58"/>
        <v>Spring</v>
      </c>
      <c r="V603" t="str">
        <f t="shared" si="59"/>
        <v>Mist/Cloudy</v>
      </c>
    </row>
    <row r="604" spans="1:22">
      <c r="A604">
        <f>Master_Data!A604</f>
        <v>603</v>
      </c>
      <c r="B604">
        <f>Master_Data!B604</f>
        <v>40571</v>
      </c>
      <c r="C604">
        <f>Master_Data!C604</f>
        <v>1</v>
      </c>
      <c r="D604">
        <f>Master_Data!D604</f>
        <v>0</v>
      </c>
      <c r="E604">
        <f>Master_Data!E604</f>
        <v>1</v>
      </c>
      <c r="F604">
        <f>Master_Data!F604</f>
        <v>8</v>
      </c>
      <c r="G604" t="b">
        <f>Master_Data!G604</f>
        <v>0</v>
      </c>
      <c r="H604">
        <f>Master_Data!H604</f>
        <v>5</v>
      </c>
      <c r="I604">
        <f>Master_Data!I604</f>
        <v>2</v>
      </c>
      <c r="J604">
        <f>Master_Data!J604</f>
        <v>0.16</v>
      </c>
      <c r="K604">
        <f>Master_Data!K604</f>
        <v>0.19700000000000001</v>
      </c>
      <c r="L604">
        <f>Master_Data!L604</f>
        <v>0.86</v>
      </c>
      <c r="M604">
        <f>Master_Data!M604</f>
        <v>8.9599999999999999E-2</v>
      </c>
      <c r="N604">
        <f>Master_Data!N604</f>
        <v>2</v>
      </c>
      <c r="O604">
        <f>Master_Data!O604</f>
        <v>155</v>
      </c>
      <c r="P604">
        <f>Master_Data!P604</f>
        <v>157</v>
      </c>
      <c r="Q604" t="str">
        <f t="shared" si="54"/>
        <v>2011</v>
      </c>
      <c r="R604" t="str">
        <f t="shared" si="55"/>
        <v>January</v>
      </c>
      <c r="S604" t="str">
        <f t="shared" si="56"/>
        <v>Weekday</v>
      </c>
      <c r="T604" t="str">
        <f t="shared" si="57"/>
        <v>Morning</v>
      </c>
      <c r="U604" t="str">
        <f t="shared" si="58"/>
        <v>Spring</v>
      </c>
      <c r="V604" t="str">
        <f t="shared" si="59"/>
        <v>Mist/Cloudy</v>
      </c>
    </row>
    <row r="605" spans="1:22">
      <c r="A605">
        <f>Master_Data!A605</f>
        <v>604</v>
      </c>
      <c r="B605">
        <f>Master_Data!B605</f>
        <v>40571</v>
      </c>
      <c r="C605">
        <f>Master_Data!C605</f>
        <v>1</v>
      </c>
      <c r="D605">
        <f>Master_Data!D605</f>
        <v>0</v>
      </c>
      <c r="E605">
        <f>Master_Data!E605</f>
        <v>1</v>
      </c>
      <c r="F605">
        <f>Master_Data!F605</f>
        <v>9</v>
      </c>
      <c r="G605" t="b">
        <f>Master_Data!G605</f>
        <v>0</v>
      </c>
      <c r="H605">
        <f>Master_Data!H605</f>
        <v>5</v>
      </c>
      <c r="I605">
        <f>Master_Data!I605</f>
        <v>3</v>
      </c>
      <c r="J605">
        <f>Master_Data!J605</f>
        <v>0.18</v>
      </c>
      <c r="K605">
        <f>Master_Data!K605</f>
        <v>0.21210000000000001</v>
      </c>
      <c r="L605">
        <f>Master_Data!L605</f>
        <v>0.86</v>
      </c>
      <c r="M605">
        <f>Master_Data!M605</f>
        <v>8.9599999999999999E-2</v>
      </c>
      <c r="N605">
        <f>Master_Data!N605</f>
        <v>6</v>
      </c>
      <c r="O605">
        <f>Master_Data!O605</f>
        <v>95</v>
      </c>
      <c r="P605">
        <f>Master_Data!P605</f>
        <v>101</v>
      </c>
      <c r="Q605" t="str">
        <f t="shared" si="54"/>
        <v>2011</v>
      </c>
      <c r="R605" t="str">
        <f t="shared" si="55"/>
        <v>January</v>
      </c>
      <c r="S605" t="str">
        <f t="shared" si="56"/>
        <v>Weekday</v>
      </c>
      <c r="T605" t="str">
        <f t="shared" si="57"/>
        <v>Morning</v>
      </c>
      <c r="U605" t="str">
        <f t="shared" si="58"/>
        <v>Spring</v>
      </c>
      <c r="V605" t="str">
        <f t="shared" si="59"/>
        <v>Light Rain/Snow</v>
      </c>
    </row>
    <row r="606" spans="1:22">
      <c r="A606">
        <f>Master_Data!A606</f>
        <v>605</v>
      </c>
      <c r="B606">
        <f>Master_Data!B606</f>
        <v>40571</v>
      </c>
      <c r="C606">
        <f>Master_Data!C606</f>
        <v>1</v>
      </c>
      <c r="D606">
        <f>Master_Data!D606</f>
        <v>0</v>
      </c>
      <c r="E606">
        <f>Master_Data!E606</f>
        <v>1</v>
      </c>
      <c r="F606">
        <f>Master_Data!F606</f>
        <v>10</v>
      </c>
      <c r="G606" t="b">
        <f>Master_Data!G606</f>
        <v>0</v>
      </c>
      <c r="H606">
        <f>Master_Data!H606</f>
        <v>5</v>
      </c>
      <c r="I606">
        <f>Master_Data!I606</f>
        <v>3</v>
      </c>
      <c r="J606">
        <f>Master_Data!J606</f>
        <v>0.18</v>
      </c>
      <c r="K606">
        <f>Master_Data!K606</f>
        <v>0.21210000000000001</v>
      </c>
      <c r="L606">
        <f>Master_Data!L606</f>
        <v>0.86</v>
      </c>
      <c r="M606">
        <f>Master_Data!M606</f>
        <v>0.1045</v>
      </c>
      <c r="N606">
        <f>Master_Data!N606</f>
        <v>0</v>
      </c>
      <c r="O606">
        <f>Master_Data!O606</f>
        <v>49</v>
      </c>
      <c r="P606">
        <f>Master_Data!P606</f>
        <v>49</v>
      </c>
      <c r="Q606" t="str">
        <f t="shared" si="54"/>
        <v>2011</v>
      </c>
      <c r="R606" t="str">
        <f t="shared" si="55"/>
        <v>January</v>
      </c>
      <c r="S606" t="str">
        <f t="shared" si="56"/>
        <v>Weekday</v>
      </c>
      <c r="T606" t="str">
        <f t="shared" si="57"/>
        <v>Morning</v>
      </c>
      <c r="U606" t="str">
        <f t="shared" si="58"/>
        <v>Spring</v>
      </c>
      <c r="V606" t="str">
        <f t="shared" si="59"/>
        <v>Light Rain/Snow</v>
      </c>
    </row>
    <row r="607" spans="1:22">
      <c r="A607">
        <f>Master_Data!A607</f>
        <v>606</v>
      </c>
      <c r="B607">
        <f>Master_Data!B607</f>
        <v>40571</v>
      </c>
      <c r="C607">
        <f>Master_Data!C607</f>
        <v>1</v>
      </c>
      <c r="D607">
        <f>Master_Data!D607</f>
        <v>0</v>
      </c>
      <c r="E607">
        <f>Master_Data!E607</f>
        <v>1</v>
      </c>
      <c r="F607">
        <f>Master_Data!F607</f>
        <v>11</v>
      </c>
      <c r="G607" t="b">
        <f>Master_Data!G607</f>
        <v>0</v>
      </c>
      <c r="H607">
        <f>Master_Data!H607</f>
        <v>5</v>
      </c>
      <c r="I607">
        <f>Master_Data!I607</f>
        <v>3</v>
      </c>
      <c r="J607">
        <f>Master_Data!J607</f>
        <v>0.18</v>
      </c>
      <c r="K607">
        <f>Master_Data!K607</f>
        <v>0.21210000000000001</v>
      </c>
      <c r="L607">
        <f>Master_Data!L607</f>
        <v>0.93</v>
      </c>
      <c r="M607">
        <f>Master_Data!M607</f>
        <v>0.1045</v>
      </c>
      <c r="N607">
        <f>Master_Data!N607</f>
        <v>0</v>
      </c>
      <c r="O607">
        <f>Master_Data!O607</f>
        <v>30</v>
      </c>
      <c r="P607">
        <f>Master_Data!P607</f>
        <v>30</v>
      </c>
      <c r="Q607" t="str">
        <f t="shared" si="54"/>
        <v>2011</v>
      </c>
      <c r="R607" t="str">
        <f t="shared" si="55"/>
        <v>January</v>
      </c>
      <c r="S607" t="str">
        <f t="shared" si="56"/>
        <v>Weekday</v>
      </c>
      <c r="T607" t="str">
        <f t="shared" si="57"/>
        <v>Morning</v>
      </c>
      <c r="U607" t="str">
        <f t="shared" si="58"/>
        <v>Spring</v>
      </c>
      <c r="V607" t="str">
        <f t="shared" si="59"/>
        <v>Light Rain/Snow</v>
      </c>
    </row>
    <row r="608" spans="1:22">
      <c r="A608">
        <f>Master_Data!A608</f>
        <v>607</v>
      </c>
      <c r="B608">
        <f>Master_Data!B608</f>
        <v>40571</v>
      </c>
      <c r="C608">
        <f>Master_Data!C608</f>
        <v>1</v>
      </c>
      <c r="D608">
        <f>Master_Data!D608</f>
        <v>0</v>
      </c>
      <c r="E608">
        <f>Master_Data!E608</f>
        <v>1</v>
      </c>
      <c r="F608">
        <f>Master_Data!F608</f>
        <v>12</v>
      </c>
      <c r="G608" t="b">
        <f>Master_Data!G608</f>
        <v>0</v>
      </c>
      <c r="H608">
        <f>Master_Data!H608</f>
        <v>5</v>
      </c>
      <c r="I608">
        <f>Master_Data!I608</f>
        <v>3</v>
      </c>
      <c r="J608">
        <f>Master_Data!J608</f>
        <v>0.18</v>
      </c>
      <c r="K608">
        <f>Master_Data!K608</f>
        <v>0.21210000000000001</v>
      </c>
      <c r="L608">
        <f>Master_Data!L608</f>
        <v>0.93</v>
      </c>
      <c r="M608">
        <f>Master_Data!M608</f>
        <v>0.1045</v>
      </c>
      <c r="N608">
        <f>Master_Data!N608</f>
        <v>1</v>
      </c>
      <c r="O608">
        <f>Master_Data!O608</f>
        <v>28</v>
      </c>
      <c r="P608">
        <f>Master_Data!P608</f>
        <v>29</v>
      </c>
      <c r="Q608" t="str">
        <f t="shared" si="54"/>
        <v>2011</v>
      </c>
      <c r="R608" t="str">
        <f t="shared" si="55"/>
        <v>January</v>
      </c>
      <c r="S608" t="str">
        <f t="shared" si="56"/>
        <v>Weekday</v>
      </c>
      <c r="T608" t="str">
        <f t="shared" si="57"/>
        <v>Afternoon</v>
      </c>
      <c r="U608" t="str">
        <f t="shared" si="58"/>
        <v>Spring</v>
      </c>
      <c r="V608" t="str">
        <f t="shared" si="59"/>
        <v>Light Rain/Snow</v>
      </c>
    </row>
    <row r="609" spans="1:22">
      <c r="A609">
        <f>Master_Data!A609</f>
        <v>608</v>
      </c>
      <c r="B609">
        <f>Master_Data!B609</f>
        <v>40571</v>
      </c>
      <c r="C609">
        <f>Master_Data!C609</f>
        <v>1</v>
      </c>
      <c r="D609">
        <f>Master_Data!D609</f>
        <v>0</v>
      </c>
      <c r="E609">
        <f>Master_Data!E609</f>
        <v>1</v>
      </c>
      <c r="F609">
        <f>Master_Data!F609</f>
        <v>13</v>
      </c>
      <c r="G609" t="b">
        <f>Master_Data!G609</f>
        <v>0</v>
      </c>
      <c r="H609">
        <f>Master_Data!H609</f>
        <v>5</v>
      </c>
      <c r="I609">
        <f>Master_Data!I609</f>
        <v>3</v>
      </c>
      <c r="J609">
        <f>Master_Data!J609</f>
        <v>0.18</v>
      </c>
      <c r="K609">
        <f>Master_Data!K609</f>
        <v>0.21210000000000001</v>
      </c>
      <c r="L609">
        <f>Master_Data!L609</f>
        <v>0.93</v>
      </c>
      <c r="M609">
        <f>Master_Data!M609</f>
        <v>0.1045</v>
      </c>
      <c r="N609">
        <f>Master_Data!N609</f>
        <v>0</v>
      </c>
      <c r="O609">
        <f>Master_Data!O609</f>
        <v>31</v>
      </c>
      <c r="P609">
        <f>Master_Data!P609</f>
        <v>31</v>
      </c>
      <c r="Q609" t="str">
        <f t="shared" si="54"/>
        <v>2011</v>
      </c>
      <c r="R609" t="str">
        <f t="shared" si="55"/>
        <v>January</v>
      </c>
      <c r="S609" t="str">
        <f t="shared" si="56"/>
        <v>Weekday</v>
      </c>
      <c r="T609" t="str">
        <f t="shared" si="57"/>
        <v>Afternoon</v>
      </c>
      <c r="U609" t="str">
        <f t="shared" si="58"/>
        <v>Spring</v>
      </c>
      <c r="V609" t="str">
        <f t="shared" si="59"/>
        <v>Light Rain/Snow</v>
      </c>
    </row>
    <row r="610" spans="1:22">
      <c r="A610">
        <f>Master_Data!A610</f>
        <v>609</v>
      </c>
      <c r="B610">
        <f>Master_Data!B610</f>
        <v>40571</v>
      </c>
      <c r="C610">
        <f>Master_Data!C610</f>
        <v>1</v>
      </c>
      <c r="D610">
        <f>Master_Data!D610</f>
        <v>0</v>
      </c>
      <c r="E610">
        <f>Master_Data!E610</f>
        <v>1</v>
      </c>
      <c r="F610">
        <f>Master_Data!F610</f>
        <v>14</v>
      </c>
      <c r="G610" t="b">
        <f>Master_Data!G610</f>
        <v>0</v>
      </c>
      <c r="H610">
        <f>Master_Data!H610</f>
        <v>5</v>
      </c>
      <c r="I610">
        <f>Master_Data!I610</f>
        <v>3</v>
      </c>
      <c r="J610">
        <f>Master_Data!J610</f>
        <v>0.22</v>
      </c>
      <c r="K610">
        <f>Master_Data!K610</f>
        <v>0.2727</v>
      </c>
      <c r="L610">
        <f>Master_Data!L610</f>
        <v>0.8</v>
      </c>
      <c r="M610">
        <f>Master_Data!M610</f>
        <v>0</v>
      </c>
      <c r="N610">
        <f>Master_Data!N610</f>
        <v>2</v>
      </c>
      <c r="O610">
        <f>Master_Data!O610</f>
        <v>36</v>
      </c>
      <c r="P610">
        <f>Master_Data!P610</f>
        <v>38</v>
      </c>
      <c r="Q610" t="str">
        <f t="shared" si="54"/>
        <v>2011</v>
      </c>
      <c r="R610" t="str">
        <f t="shared" si="55"/>
        <v>January</v>
      </c>
      <c r="S610" t="str">
        <f t="shared" si="56"/>
        <v>Weekday</v>
      </c>
      <c r="T610" t="str">
        <f t="shared" si="57"/>
        <v>Afternoon</v>
      </c>
      <c r="U610" t="str">
        <f t="shared" si="58"/>
        <v>Spring</v>
      </c>
      <c r="V610" t="str">
        <f t="shared" si="59"/>
        <v>Light Rain/Snow</v>
      </c>
    </row>
    <row r="611" spans="1:22">
      <c r="A611">
        <f>Master_Data!A611</f>
        <v>610</v>
      </c>
      <c r="B611">
        <f>Master_Data!B611</f>
        <v>40571</v>
      </c>
      <c r="C611">
        <f>Master_Data!C611</f>
        <v>1</v>
      </c>
      <c r="D611">
        <f>Master_Data!D611</f>
        <v>0</v>
      </c>
      <c r="E611">
        <f>Master_Data!E611</f>
        <v>1</v>
      </c>
      <c r="F611">
        <f>Master_Data!F611</f>
        <v>15</v>
      </c>
      <c r="G611" t="b">
        <f>Master_Data!G611</f>
        <v>0</v>
      </c>
      <c r="H611">
        <f>Master_Data!H611</f>
        <v>5</v>
      </c>
      <c r="I611">
        <f>Master_Data!I611</f>
        <v>2</v>
      </c>
      <c r="J611">
        <f>Master_Data!J611</f>
        <v>0.2</v>
      </c>
      <c r="K611">
        <f>Master_Data!K611</f>
        <v>0.2576</v>
      </c>
      <c r="L611">
        <f>Master_Data!L611</f>
        <v>0.86</v>
      </c>
      <c r="M611">
        <f>Master_Data!M611</f>
        <v>0</v>
      </c>
      <c r="N611">
        <f>Master_Data!N611</f>
        <v>1</v>
      </c>
      <c r="O611">
        <f>Master_Data!O611</f>
        <v>40</v>
      </c>
      <c r="P611">
        <f>Master_Data!P611</f>
        <v>41</v>
      </c>
      <c r="Q611" t="str">
        <f t="shared" si="54"/>
        <v>2011</v>
      </c>
      <c r="R611" t="str">
        <f t="shared" si="55"/>
        <v>January</v>
      </c>
      <c r="S611" t="str">
        <f t="shared" si="56"/>
        <v>Weekday</v>
      </c>
      <c r="T611" t="str">
        <f t="shared" si="57"/>
        <v>Afternoon</v>
      </c>
      <c r="U611" t="str">
        <f t="shared" si="58"/>
        <v>Spring</v>
      </c>
      <c r="V611" t="str">
        <f t="shared" si="59"/>
        <v>Mist/Cloudy</v>
      </c>
    </row>
    <row r="612" spans="1:22">
      <c r="A612">
        <f>Master_Data!A612</f>
        <v>620</v>
      </c>
      <c r="B612">
        <f>Master_Data!B612</f>
        <v>40572</v>
      </c>
      <c r="C612">
        <f>Master_Data!C612</f>
        <v>1</v>
      </c>
      <c r="D612">
        <f>Master_Data!D612</f>
        <v>0</v>
      </c>
      <c r="E612">
        <f>Master_Data!E612</f>
        <v>1</v>
      </c>
      <c r="F612">
        <f>Master_Data!F612</f>
        <v>1</v>
      </c>
      <c r="G612" t="b">
        <f>Master_Data!G612</f>
        <v>0</v>
      </c>
      <c r="H612">
        <f>Master_Data!H612</f>
        <v>6</v>
      </c>
      <c r="I612">
        <f>Master_Data!I612</f>
        <v>1</v>
      </c>
      <c r="J612">
        <f>Master_Data!J612</f>
        <v>0.22</v>
      </c>
      <c r="K612">
        <f>Master_Data!K612</f>
        <v>0.2273</v>
      </c>
      <c r="L612">
        <f>Master_Data!L612</f>
        <v>0.64</v>
      </c>
      <c r="M612">
        <f>Master_Data!M612</f>
        <v>0.19400000000000001</v>
      </c>
      <c r="N612">
        <f>Master_Data!N612</f>
        <v>0</v>
      </c>
      <c r="O612">
        <f>Master_Data!O612</f>
        <v>20</v>
      </c>
      <c r="P612">
        <f>Master_Data!P612</f>
        <v>20</v>
      </c>
      <c r="Q612" t="str">
        <f t="shared" si="54"/>
        <v>2011</v>
      </c>
      <c r="R612" t="str">
        <f t="shared" si="55"/>
        <v>January</v>
      </c>
      <c r="S612" t="str">
        <f t="shared" si="56"/>
        <v>Saturday</v>
      </c>
      <c r="T612" t="str">
        <f t="shared" si="57"/>
        <v>Night</v>
      </c>
      <c r="U612" t="str">
        <f t="shared" si="58"/>
        <v>Spring</v>
      </c>
      <c r="V612" t="str">
        <f t="shared" si="59"/>
        <v>Clear</v>
      </c>
    </row>
    <row r="613" spans="1:22">
      <c r="A613">
        <f>Master_Data!A613</f>
        <v>621</v>
      </c>
      <c r="B613">
        <f>Master_Data!B613</f>
        <v>40572</v>
      </c>
      <c r="C613">
        <f>Master_Data!C613</f>
        <v>1</v>
      </c>
      <c r="D613">
        <f>Master_Data!D613</f>
        <v>0</v>
      </c>
      <c r="E613">
        <f>Master_Data!E613</f>
        <v>1</v>
      </c>
      <c r="F613">
        <f>Master_Data!F613</f>
        <v>2</v>
      </c>
      <c r="G613" t="b">
        <f>Master_Data!G613</f>
        <v>0</v>
      </c>
      <c r="H613">
        <f>Master_Data!H613</f>
        <v>6</v>
      </c>
      <c r="I613">
        <f>Master_Data!I613</f>
        <v>1</v>
      </c>
      <c r="J613">
        <f>Master_Data!J613</f>
        <v>0.22</v>
      </c>
      <c r="K613">
        <f>Master_Data!K613</f>
        <v>0.2273</v>
      </c>
      <c r="L613">
        <f>Master_Data!L613</f>
        <v>0.64</v>
      </c>
      <c r="M613">
        <f>Master_Data!M613</f>
        <v>0.16420000000000001</v>
      </c>
      <c r="N613">
        <f>Master_Data!N613</f>
        <v>0</v>
      </c>
      <c r="O613">
        <f>Master_Data!O613</f>
        <v>15</v>
      </c>
      <c r="P613">
        <f>Master_Data!P613</f>
        <v>15</v>
      </c>
      <c r="Q613" t="str">
        <f t="shared" si="54"/>
        <v>2011</v>
      </c>
      <c r="R613" t="str">
        <f t="shared" si="55"/>
        <v>January</v>
      </c>
      <c r="S613" t="str">
        <f t="shared" si="56"/>
        <v>Saturday</v>
      </c>
      <c r="T613" t="str">
        <f t="shared" si="57"/>
        <v>Night</v>
      </c>
      <c r="U613" t="str">
        <f t="shared" si="58"/>
        <v>Spring</v>
      </c>
      <c r="V613" t="str">
        <f t="shared" si="59"/>
        <v>Clear</v>
      </c>
    </row>
    <row r="614" spans="1:22">
      <c r="A614">
        <f>Master_Data!A614</f>
        <v>622</v>
      </c>
      <c r="B614">
        <f>Master_Data!B614</f>
        <v>40572</v>
      </c>
      <c r="C614">
        <f>Master_Data!C614</f>
        <v>1</v>
      </c>
      <c r="D614">
        <f>Master_Data!D614</f>
        <v>0</v>
      </c>
      <c r="E614">
        <f>Master_Data!E614</f>
        <v>1</v>
      </c>
      <c r="F614">
        <f>Master_Data!F614</f>
        <v>3</v>
      </c>
      <c r="G614" t="b">
        <f>Master_Data!G614</f>
        <v>0</v>
      </c>
      <c r="H614">
        <f>Master_Data!H614</f>
        <v>6</v>
      </c>
      <c r="I614">
        <f>Master_Data!I614</f>
        <v>1</v>
      </c>
      <c r="J614">
        <f>Master_Data!J614</f>
        <v>0.2</v>
      </c>
      <c r="K614">
        <f>Master_Data!K614</f>
        <v>0.21210000000000001</v>
      </c>
      <c r="L614">
        <f>Master_Data!L614</f>
        <v>0.64</v>
      </c>
      <c r="M614">
        <f>Master_Data!M614</f>
        <v>0.1343</v>
      </c>
      <c r="N614">
        <f>Master_Data!N614</f>
        <v>3</v>
      </c>
      <c r="O614">
        <f>Master_Data!O614</f>
        <v>5</v>
      </c>
      <c r="P614">
        <f>Master_Data!P614</f>
        <v>8</v>
      </c>
      <c r="Q614" t="str">
        <f t="shared" si="54"/>
        <v>2011</v>
      </c>
      <c r="R614" t="str">
        <f t="shared" si="55"/>
        <v>January</v>
      </c>
      <c r="S614" t="str">
        <f t="shared" si="56"/>
        <v>Saturday</v>
      </c>
      <c r="T614" t="str">
        <f t="shared" si="57"/>
        <v>Night</v>
      </c>
      <c r="U614" t="str">
        <f t="shared" si="58"/>
        <v>Spring</v>
      </c>
      <c r="V614" t="str">
        <f t="shared" si="59"/>
        <v>Clear</v>
      </c>
    </row>
    <row r="615" spans="1:22">
      <c r="A615">
        <f>Master_Data!A615</f>
        <v>623</v>
      </c>
      <c r="B615">
        <f>Master_Data!B615</f>
        <v>40572</v>
      </c>
      <c r="C615">
        <f>Master_Data!C615</f>
        <v>1</v>
      </c>
      <c r="D615">
        <f>Master_Data!D615</f>
        <v>0</v>
      </c>
      <c r="E615">
        <f>Master_Data!E615</f>
        <v>1</v>
      </c>
      <c r="F615">
        <f>Master_Data!F615</f>
        <v>4</v>
      </c>
      <c r="G615" t="b">
        <f>Master_Data!G615</f>
        <v>0</v>
      </c>
      <c r="H615">
        <f>Master_Data!H615</f>
        <v>6</v>
      </c>
      <c r="I615">
        <f>Master_Data!I615</f>
        <v>1</v>
      </c>
      <c r="J615">
        <f>Master_Data!J615</f>
        <v>0.16</v>
      </c>
      <c r="K615">
        <f>Master_Data!K615</f>
        <v>0.18179999999999999</v>
      </c>
      <c r="L615">
        <f>Master_Data!L615</f>
        <v>0.69</v>
      </c>
      <c r="M615">
        <f>Master_Data!M615</f>
        <v>0.1045</v>
      </c>
      <c r="N615">
        <f>Master_Data!N615</f>
        <v>1</v>
      </c>
      <c r="O615">
        <f>Master_Data!O615</f>
        <v>2</v>
      </c>
      <c r="P615">
        <f>Master_Data!P615</f>
        <v>3</v>
      </c>
      <c r="Q615" t="str">
        <f t="shared" si="54"/>
        <v>2011</v>
      </c>
      <c r="R615" t="str">
        <f t="shared" si="55"/>
        <v>January</v>
      </c>
      <c r="S615" t="str">
        <f t="shared" si="56"/>
        <v>Saturday</v>
      </c>
      <c r="T615" t="str">
        <f t="shared" si="57"/>
        <v>Night</v>
      </c>
      <c r="U615" t="str">
        <f t="shared" si="58"/>
        <v>Spring</v>
      </c>
      <c r="V615" t="str">
        <f t="shared" si="59"/>
        <v>Clear</v>
      </c>
    </row>
    <row r="616" spans="1:22">
      <c r="A616">
        <f>Master_Data!A616</f>
        <v>624</v>
      </c>
      <c r="B616">
        <f>Master_Data!B616</f>
        <v>40572</v>
      </c>
      <c r="C616">
        <f>Master_Data!C616</f>
        <v>1</v>
      </c>
      <c r="D616">
        <f>Master_Data!D616</f>
        <v>0</v>
      </c>
      <c r="E616">
        <f>Master_Data!E616</f>
        <v>1</v>
      </c>
      <c r="F616">
        <f>Master_Data!F616</f>
        <v>6</v>
      </c>
      <c r="G616" t="b">
        <f>Master_Data!G616</f>
        <v>0</v>
      </c>
      <c r="H616">
        <f>Master_Data!H616</f>
        <v>6</v>
      </c>
      <c r="I616">
        <f>Master_Data!I616</f>
        <v>1</v>
      </c>
      <c r="J616">
        <f>Master_Data!J616</f>
        <v>0.16</v>
      </c>
      <c r="K616">
        <f>Master_Data!K616</f>
        <v>0.18179999999999999</v>
      </c>
      <c r="L616">
        <f>Master_Data!L616</f>
        <v>0.64</v>
      </c>
      <c r="M616">
        <f>Master_Data!M616</f>
        <v>0.1343</v>
      </c>
      <c r="N616">
        <f>Master_Data!N616</f>
        <v>0</v>
      </c>
      <c r="O616">
        <f>Master_Data!O616</f>
        <v>2</v>
      </c>
      <c r="P616">
        <f>Master_Data!P616</f>
        <v>2</v>
      </c>
      <c r="Q616" t="str">
        <f t="shared" si="54"/>
        <v>2011</v>
      </c>
      <c r="R616" t="str">
        <f t="shared" si="55"/>
        <v>January</v>
      </c>
      <c r="S616" t="str">
        <f t="shared" si="56"/>
        <v>Saturday</v>
      </c>
      <c r="T616" t="str">
        <f t="shared" si="57"/>
        <v>Morning</v>
      </c>
      <c r="U616" t="str">
        <f t="shared" si="58"/>
        <v>Spring</v>
      </c>
      <c r="V616" t="str">
        <f t="shared" si="59"/>
        <v>Clear</v>
      </c>
    </row>
    <row r="617" spans="1:22">
      <c r="A617">
        <f>Master_Data!A617</f>
        <v>625</v>
      </c>
      <c r="B617">
        <f>Master_Data!B617</f>
        <v>40572</v>
      </c>
      <c r="C617">
        <f>Master_Data!C617</f>
        <v>1</v>
      </c>
      <c r="D617">
        <f>Master_Data!D617</f>
        <v>0</v>
      </c>
      <c r="E617">
        <f>Master_Data!E617</f>
        <v>1</v>
      </c>
      <c r="F617">
        <f>Master_Data!F617</f>
        <v>7</v>
      </c>
      <c r="G617" t="b">
        <f>Master_Data!G617</f>
        <v>0</v>
      </c>
      <c r="H617">
        <f>Master_Data!H617</f>
        <v>6</v>
      </c>
      <c r="I617">
        <f>Master_Data!I617</f>
        <v>1</v>
      </c>
      <c r="J617">
        <f>Master_Data!J617</f>
        <v>0.16</v>
      </c>
      <c r="K617">
        <f>Master_Data!K617</f>
        <v>0.18179999999999999</v>
      </c>
      <c r="L617">
        <f>Master_Data!L617</f>
        <v>0.59</v>
      </c>
      <c r="M617">
        <f>Master_Data!M617</f>
        <v>0.1045</v>
      </c>
      <c r="N617">
        <f>Master_Data!N617</f>
        <v>1</v>
      </c>
      <c r="O617">
        <f>Master_Data!O617</f>
        <v>4</v>
      </c>
      <c r="P617">
        <f>Master_Data!P617</f>
        <v>5</v>
      </c>
      <c r="Q617" t="str">
        <f t="shared" si="54"/>
        <v>2011</v>
      </c>
      <c r="R617" t="str">
        <f t="shared" si="55"/>
        <v>January</v>
      </c>
      <c r="S617" t="str">
        <f t="shared" si="56"/>
        <v>Saturday</v>
      </c>
      <c r="T617" t="str">
        <f t="shared" si="57"/>
        <v>Morning</v>
      </c>
      <c r="U617" t="str">
        <f t="shared" si="58"/>
        <v>Spring</v>
      </c>
      <c r="V617" t="str">
        <f t="shared" si="59"/>
        <v>Clear</v>
      </c>
    </row>
    <row r="618" spans="1:22">
      <c r="A618">
        <f>Master_Data!A618</f>
        <v>626</v>
      </c>
      <c r="B618">
        <f>Master_Data!B618</f>
        <v>40572</v>
      </c>
      <c r="C618">
        <f>Master_Data!C618</f>
        <v>1</v>
      </c>
      <c r="D618">
        <f>Master_Data!D618</f>
        <v>0</v>
      </c>
      <c r="E618">
        <f>Master_Data!E618</f>
        <v>1</v>
      </c>
      <c r="F618">
        <f>Master_Data!F618</f>
        <v>8</v>
      </c>
      <c r="G618" t="b">
        <f>Master_Data!G618</f>
        <v>0</v>
      </c>
      <c r="H618">
        <f>Master_Data!H618</f>
        <v>6</v>
      </c>
      <c r="I618">
        <f>Master_Data!I618</f>
        <v>1</v>
      </c>
      <c r="J618">
        <f>Master_Data!J618</f>
        <v>0.18</v>
      </c>
      <c r="K618">
        <f>Master_Data!K618</f>
        <v>0.19700000000000001</v>
      </c>
      <c r="L618">
        <f>Master_Data!L618</f>
        <v>0.55000000000000004</v>
      </c>
      <c r="M618">
        <f>Master_Data!M618</f>
        <v>0.16420000000000001</v>
      </c>
      <c r="N618">
        <f>Master_Data!N618</f>
        <v>3</v>
      </c>
      <c r="O618">
        <f>Master_Data!O618</f>
        <v>31</v>
      </c>
      <c r="P618">
        <f>Master_Data!P618</f>
        <v>34</v>
      </c>
      <c r="Q618" t="str">
        <f t="shared" si="54"/>
        <v>2011</v>
      </c>
      <c r="R618" t="str">
        <f t="shared" si="55"/>
        <v>January</v>
      </c>
      <c r="S618" t="str">
        <f t="shared" si="56"/>
        <v>Saturday</v>
      </c>
      <c r="T618" t="str">
        <f t="shared" si="57"/>
        <v>Morning</v>
      </c>
      <c r="U618" t="str">
        <f t="shared" si="58"/>
        <v>Spring</v>
      </c>
      <c r="V618" t="str">
        <f t="shared" si="59"/>
        <v>Clear</v>
      </c>
    </row>
    <row r="619" spans="1:22">
      <c r="A619">
        <f>Master_Data!A619</f>
        <v>627</v>
      </c>
      <c r="B619">
        <f>Master_Data!B619</f>
        <v>40572</v>
      </c>
      <c r="C619">
        <f>Master_Data!C619</f>
        <v>1</v>
      </c>
      <c r="D619">
        <f>Master_Data!D619</f>
        <v>0</v>
      </c>
      <c r="E619">
        <f>Master_Data!E619</f>
        <v>1</v>
      </c>
      <c r="F619">
        <f>Master_Data!F619</f>
        <v>9</v>
      </c>
      <c r="G619" t="b">
        <f>Master_Data!G619</f>
        <v>0</v>
      </c>
      <c r="H619">
        <f>Master_Data!H619</f>
        <v>6</v>
      </c>
      <c r="I619">
        <f>Master_Data!I619</f>
        <v>1</v>
      </c>
      <c r="J619">
        <f>Master_Data!J619</f>
        <v>0.18</v>
      </c>
      <c r="K619">
        <f>Master_Data!K619</f>
        <v>0.21210000000000001</v>
      </c>
      <c r="L619">
        <f>Master_Data!L619</f>
        <v>0.59</v>
      </c>
      <c r="M619">
        <f>Master_Data!M619</f>
        <v>8.9599999999999999E-2</v>
      </c>
      <c r="N619">
        <f>Master_Data!N619</f>
        <v>0</v>
      </c>
      <c r="O619">
        <f>Master_Data!O619</f>
        <v>34</v>
      </c>
      <c r="P619">
        <f>Master_Data!P619</f>
        <v>34</v>
      </c>
      <c r="Q619" t="str">
        <f t="shared" si="54"/>
        <v>2011</v>
      </c>
      <c r="R619" t="str">
        <f t="shared" si="55"/>
        <v>January</v>
      </c>
      <c r="S619" t="str">
        <f t="shared" si="56"/>
        <v>Saturday</v>
      </c>
      <c r="T619" t="str">
        <f t="shared" si="57"/>
        <v>Morning</v>
      </c>
      <c r="U619" t="str">
        <f t="shared" si="58"/>
        <v>Spring</v>
      </c>
      <c r="V619" t="str">
        <f t="shared" si="59"/>
        <v>Clear</v>
      </c>
    </row>
    <row r="620" spans="1:22">
      <c r="A620">
        <f>Master_Data!A620</f>
        <v>628</v>
      </c>
      <c r="B620">
        <f>Master_Data!B620</f>
        <v>40572</v>
      </c>
      <c r="C620">
        <f>Master_Data!C620</f>
        <v>1</v>
      </c>
      <c r="D620">
        <f>Master_Data!D620</f>
        <v>0</v>
      </c>
      <c r="E620">
        <f>Master_Data!E620</f>
        <v>1</v>
      </c>
      <c r="F620">
        <f>Master_Data!F620</f>
        <v>10</v>
      </c>
      <c r="G620" t="b">
        <f>Master_Data!G620</f>
        <v>0</v>
      </c>
      <c r="H620">
        <f>Master_Data!H620</f>
        <v>6</v>
      </c>
      <c r="I620">
        <f>Master_Data!I620</f>
        <v>2</v>
      </c>
      <c r="J620">
        <f>Master_Data!J620</f>
        <v>0.18</v>
      </c>
      <c r="K620">
        <f>Master_Data!K620</f>
        <v>0.21210000000000001</v>
      </c>
      <c r="L620">
        <f>Master_Data!L620</f>
        <v>0.64</v>
      </c>
      <c r="M620">
        <f>Master_Data!M620</f>
        <v>0.1045</v>
      </c>
      <c r="N620">
        <f>Master_Data!N620</f>
        <v>4</v>
      </c>
      <c r="O620">
        <f>Master_Data!O620</f>
        <v>51</v>
      </c>
      <c r="P620">
        <f>Master_Data!P620</f>
        <v>55</v>
      </c>
      <c r="Q620" t="str">
        <f t="shared" si="54"/>
        <v>2011</v>
      </c>
      <c r="R620" t="str">
        <f t="shared" si="55"/>
        <v>January</v>
      </c>
      <c r="S620" t="str">
        <f t="shared" si="56"/>
        <v>Saturday</v>
      </c>
      <c r="T620" t="str">
        <f t="shared" si="57"/>
        <v>Morning</v>
      </c>
      <c r="U620" t="str">
        <f t="shared" si="58"/>
        <v>Spring</v>
      </c>
      <c r="V620" t="str">
        <f t="shared" si="59"/>
        <v>Mist/Cloudy</v>
      </c>
    </row>
    <row r="621" spans="1:22">
      <c r="A621">
        <f>Master_Data!A621</f>
        <v>629</v>
      </c>
      <c r="B621">
        <f>Master_Data!B621</f>
        <v>40572</v>
      </c>
      <c r="C621">
        <f>Master_Data!C621</f>
        <v>1</v>
      </c>
      <c r="D621">
        <f>Master_Data!D621</f>
        <v>0</v>
      </c>
      <c r="E621">
        <f>Master_Data!E621</f>
        <v>1</v>
      </c>
      <c r="F621">
        <f>Master_Data!F621</f>
        <v>11</v>
      </c>
      <c r="G621" t="b">
        <f>Master_Data!G621</f>
        <v>0</v>
      </c>
      <c r="H621">
        <f>Master_Data!H621</f>
        <v>6</v>
      </c>
      <c r="I621">
        <f>Master_Data!I621</f>
        <v>2</v>
      </c>
      <c r="J621">
        <f>Master_Data!J621</f>
        <v>0.18</v>
      </c>
      <c r="K621">
        <f>Master_Data!K621</f>
        <v>0.19700000000000001</v>
      </c>
      <c r="L621">
        <f>Master_Data!L621</f>
        <v>0.64</v>
      </c>
      <c r="M621">
        <f>Master_Data!M621</f>
        <v>0.1343</v>
      </c>
      <c r="N621">
        <f>Master_Data!N621</f>
        <v>4</v>
      </c>
      <c r="O621">
        <f>Master_Data!O621</f>
        <v>60</v>
      </c>
      <c r="P621">
        <f>Master_Data!P621</f>
        <v>64</v>
      </c>
      <c r="Q621" t="str">
        <f t="shared" si="54"/>
        <v>2011</v>
      </c>
      <c r="R621" t="str">
        <f t="shared" si="55"/>
        <v>January</v>
      </c>
      <c r="S621" t="str">
        <f t="shared" si="56"/>
        <v>Saturday</v>
      </c>
      <c r="T621" t="str">
        <f t="shared" si="57"/>
        <v>Morning</v>
      </c>
      <c r="U621" t="str">
        <f t="shared" si="58"/>
        <v>Spring</v>
      </c>
      <c r="V621" t="str">
        <f t="shared" si="59"/>
        <v>Mist/Cloudy</v>
      </c>
    </row>
    <row r="622" spans="1:22">
      <c r="A622">
        <f>Master_Data!A622</f>
        <v>630</v>
      </c>
      <c r="B622">
        <f>Master_Data!B622</f>
        <v>40572</v>
      </c>
      <c r="C622">
        <f>Master_Data!C622</f>
        <v>1</v>
      </c>
      <c r="D622">
        <f>Master_Data!D622</f>
        <v>0</v>
      </c>
      <c r="E622">
        <f>Master_Data!E622</f>
        <v>1</v>
      </c>
      <c r="F622">
        <f>Master_Data!F622</f>
        <v>12</v>
      </c>
      <c r="G622" t="b">
        <f>Master_Data!G622</f>
        <v>0</v>
      </c>
      <c r="H622">
        <f>Master_Data!H622</f>
        <v>6</v>
      </c>
      <c r="I622">
        <f>Master_Data!I622</f>
        <v>2</v>
      </c>
      <c r="J622">
        <f>Master_Data!J622</f>
        <v>0.2</v>
      </c>
      <c r="K622">
        <f>Master_Data!K622</f>
        <v>0.19700000000000001</v>
      </c>
      <c r="L622">
        <f>Master_Data!L622</f>
        <v>0.59</v>
      </c>
      <c r="M622">
        <f>Master_Data!M622</f>
        <v>0.19400000000000001</v>
      </c>
      <c r="N622">
        <f>Master_Data!N622</f>
        <v>12</v>
      </c>
      <c r="O622">
        <f>Master_Data!O622</f>
        <v>66</v>
      </c>
      <c r="P622">
        <f>Master_Data!P622</f>
        <v>78</v>
      </c>
      <c r="Q622" t="str">
        <f t="shared" si="54"/>
        <v>2011</v>
      </c>
      <c r="R622" t="str">
        <f t="shared" si="55"/>
        <v>January</v>
      </c>
      <c r="S622" t="str">
        <f t="shared" si="56"/>
        <v>Saturday</v>
      </c>
      <c r="T622" t="str">
        <f t="shared" si="57"/>
        <v>Afternoon</v>
      </c>
      <c r="U622" t="str">
        <f t="shared" si="58"/>
        <v>Spring</v>
      </c>
      <c r="V622" t="str">
        <f t="shared" si="59"/>
        <v>Mist/Cloudy</v>
      </c>
    </row>
    <row r="623" spans="1:22">
      <c r="A623">
        <f>Master_Data!A623</f>
        <v>631</v>
      </c>
      <c r="B623">
        <f>Master_Data!B623</f>
        <v>40572</v>
      </c>
      <c r="C623">
        <f>Master_Data!C623</f>
        <v>1</v>
      </c>
      <c r="D623">
        <f>Master_Data!D623</f>
        <v>0</v>
      </c>
      <c r="E623">
        <f>Master_Data!E623</f>
        <v>1</v>
      </c>
      <c r="F623">
        <f>Master_Data!F623</f>
        <v>13</v>
      </c>
      <c r="G623" t="b">
        <f>Master_Data!G623</f>
        <v>0</v>
      </c>
      <c r="H623">
        <f>Master_Data!H623</f>
        <v>6</v>
      </c>
      <c r="I623">
        <f>Master_Data!I623</f>
        <v>2</v>
      </c>
      <c r="J623">
        <f>Master_Data!J623</f>
        <v>0.22</v>
      </c>
      <c r="K623">
        <f>Master_Data!K623</f>
        <v>0.2273</v>
      </c>
      <c r="L623">
        <f>Master_Data!L623</f>
        <v>0.55000000000000004</v>
      </c>
      <c r="M623">
        <f>Master_Data!M623</f>
        <v>0.16420000000000001</v>
      </c>
      <c r="N623">
        <f>Master_Data!N623</f>
        <v>9</v>
      </c>
      <c r="O623">
        <f>Master_Data!O623</f>
        <v>56</v>
      </c>
      <c r="P623">
        <f>Master_Data!P623</f>
        <v>65</v>
      </c>
      <c r="Q623" t="str">
        <f t="shared" si="54"/>
        <v>2011</v>
      </c>
      <c r="R623" t="str">
        <f t="shared" si="55"/>
        <v>January</v>
      </c>
      <c r="S623" t="str">
        <f t="shared" si="56"/>
        <v>Saturday</v>
      </c>
      <c r="T623" t="str">
        <f t="shared" si="57"/>
        <v>Afternoon</v>
      </c>
      <c r="U623" t="str">
        <f t="shared" si="58"/>
        <v>Spring</v>
      </c>
      <c r="V623" t="str">
        <f t="shared" si="59"/>
        <v>Mist/Cloudy</v>
      </c>
    </row>
    <row r="624" spans="1:22">
      <c r="A624">
        <f>Master_Data!A624</f>
        <v>632</v>
      </c>
      <c r="B624">
        <f>Master_Data!B624</f>
        <v>40572</v>
      </c>
      <c r="C624">
        <f>Master_Data!C624</f>
        <v>1</v>
      </c>
      <c r="D624">
        <f>Master_Data!D624</f>
        <v>0</v>
      </c>
      <c r="E624">
        <f>Master_Data!E624</f>
        <v>1</v>
      </c>
      <c r="F624">
        <f>Master_Data!F624</f>
        <v>14</v>
      </c>
      <c r="G624" t="b">
        <f>Master_Data!G624</f>
        <v>0</v>
      </c>
      <c r="H624">
        <f>Master_Data!H624</f>
        <v>6</v>
      </c>
      <c r="I624">
        <f>Master_Data!I624</f>
        <v>2</v>
      </c>
      <c r="J624">
        <f>Master_Data!J624</f>
        <v>0.22</v>
      </c>
      <c r="K624">
        <f>Master_Data!K624</f>
        <v>0.2273</v>
      </c>
      <c r="L624">
        <f>Master_Data!L624</f>
        <v>0.6</v>
      </c>
      <c r="M624">
        <f>Master_Data!M624</f>
        <v>0.1343</v>
      </c>
      <c r="N624">
        <f>Master_Data!N624</f>
        <v>10</v>
      </c>
      <c r="O624">
        <f>Master_Data!O624</f>
        <v>89</v>
      </c>
      <c r="P624">
        <f>Master_Data!P624</f>
        <v>99</v>
      </c>
      <c r="Q624" t="str">
        <f t="shared" si="54"/>
        <v>2011</v>
      </c>
      <c r="R624" t="str">
        <f t="shared" si="55"/>
        <v>January</v>
      </c>
      <c r="S624" t="str">
        <f t="shared" si="56"/>
        <v>Saturday</v>
      </c>
      <c r="T624" t="str">
        <f t="shared" si="57"/>
        <v>Afternoon</v>
      </c>
      <c r="U624" t="str">
        <f t="shared" si="58"/>
        <v>Spring</v>
      </c>
      <c r="V624" t="str">
        <f t="shared" si="59"/>
        <v>Mist/Cloudy</v>
      </c>
    </row>
    <row r="625" spans="1:22">
      <c r="A625">
        <f>Master_Data!A625</f>
        <v>633</v>
      </c>
      <c r="B625">
        <f>Master_Data!B625</f>
        <v>40572</v>
      </c>
      <c r="C625">
        <f>Master_Data!C625</f>
        <v>1</v>
      </c>
      <c r="D625">
        <f>Master_Data!D625</f>
        <v>0</v>
      </c>
      <c r="E625">
        <f>Master_Data!E625</f>
        <v>1</v>
      </c>
      <c r="F625">
        <f>Master_Data!F625</f>
        <v>15</v>
      </c>
      <c r="G625" t="b">
        <f>Master_Data!G625</f>
        <v>0</v>
      </c>
      <c r="H625">
        <f>Master_Data!H625</f>
        <v>6</v>
      </c>
      <c r="I625">
        <f>Master_Data!I625</f>
        <v>1</v>
      </c>
      <c r="J625">
        <f>Master_Data!J625</f>
        <v>0.22</v>
      </c>
      <c r="K625">
        <f>Master_Data!K625</f>
        <v>0.21210000000000001</v>
      </c>
      <c r="L625">
        <f>Master_Data!L625</f>
        <v>0.69</v>
      </c>
      <c r="M625">
        <f>Master_Data!M625</f>
        <v>0.25369999999999998</v>
      </c>
      <c r="N625">
        <f>Master_Data!N625</f>
        <v>22</v>
      </c>
      <c r="O625">
        <f>Master_Data!O625</f>
        <v>98</v>
      </c>
      <c r="P625">
        <f>Master_Data!P625</f>
        <v>120</v>
      </c>
      <c r="Q625" t="str">
        <f t="shared" si="54"/>
        <v>2011</v>
      </c>
      <c r="R625" t="str">
        <f t="shared" si="55"/>
        <v>January</v>
      </c>
      <c r="S625" t="str">
        <f t="shared" si="56"/>
        <v>Saturday</v>
      </c>
      <c r="T625" t="str">
        <f t="shared" si="57"/>
        <v>Afternoon</v>
      </c>
      <c r="U625" t="str">
        <f t="shared" si="58"/>
        <v>Spring</v>
      </c>
      <c r="V625" t="str">
        <f t="shared" si="59"/>
        <v>Clear</v>
      </c>
    </row>
    <row r="626" spans="1:22">
      <c r="A626">
        <f>Master_Data!A626</f>
        <v>634</v>
      </c>
      <c r="B626">
        <f>Master_Data!B626</f>
        <v>40572</v>
      </c>
      <c r="C626">
        <f>Master_Data!C626</f>
        <v>1</v>
      </c>
      <c r="D626">
        <f>Master_Data!D626</f>
        <v>0</v>
      </c>
      <c r="E626">
        <f>Master_Data!E626</f>
        <v>1</v>
      </c>
      <c r="F626">
        <f>Master_Data!F626</f>
        <v>16</v>
      </c>
      <c r="G626" t="b">
        <f>Master_Data!G626</f>
        <v>0</v>
      </c>
      <c r="H626">
        <f>Master_Data!H626</f>
        <v>6</v>
      </c>
      <c r="I626">
        <f>Master_Data!I626</f>
        <v>1</v>
      </c>
      <c r="J626">
        <f>Master_Data!J626</f>
        <v>0.24</v>
      </c>
      <c r="K626">
        <f>Master_Data!K626</f>
        <v>0.2424</v>
      </c>
      <c r="L626">
        <f>Master_Data!L626</f>
        <v>0.6</v>
      </c>
      <c r="M626">
        <f>Master_Data!M626</f>
        <v>0.16420000000000001</v>
      </c>
      <c r="N626">
        <f>Master_Data!N626</f>
        <v>19</v>
      </c>
      <c r="O626">
        <f>Master_Data!O626</f>
        <v>88</v>
      </c>
      <c r="P626">
        <f>Master_Data!P626</f>
        <v>107</v>
      </c>
      <c r="Q626" t="str">
        <f t="shared" si="54"/>
        <v>2011</v>
      </c>
      <c r="R626" t="str">
        <f t="shared" si="55"/>
        <v>January</v>
      </c>
      <c r="S626" t="str">
        <f t="shared" si="56"/>
        <v>Saturday</v>
      </c>
      <c r="T626" t="str">
        <f t="shared" si="57"/>
        <v>Afternoon</v>
      </c>
      <c r="U626" t="str">
        <f t="shared" si="58"/>
        <v>Spring</v>
      </c>
      <c r="V626" t="str">
        <f t="shared" si="59"/>
        <v>Clear</v>
      </c>
    </row>
    <row r="627" spans="1:22">
      <c r="A627">
        <f>Master_Data!A627</f>
        <v>635</v>
      </c>
      <c r="B627">
        <f>Master_Data!B627</f>
        <v>40572</v>
      </c>
      <c r="C627">
        <f>Master_Data!C627</f>
        <v>1</v>
      </c>
      <c r="D627">
        <f>Master_Data!D627</f>
        <v>0</v>
      </c>
      <c r="E627">
        <f>Master_Data!E627</f>
        <v>1</v>
      </c>
      <c r="F627">
        <f>Master_Data!F627</f>
        <v>17</v>
      </c>
      <c r="G627" t="b">
        <f>Master_Data!G627</f>
        <v>0</v>
      </c>
      <c r="H627">
        <f>Master_Data!H627</f>
        <v>6</v>
      </c>
      <c r="I627">
        <f>Master_Data!I627</f>
        <v>1</v>
      </c>
      <c r="J627">
        <f>Master_Data!J627</f>
        <v>0.24</v>
      </c>
      <c r="K627">
        <f>Master_Data!K627</f>
        <v>0.28789999999999999</v>
      </c>
      <c r="L627">
        <f>Master_Data!L627</f>
        <v>0.6</v>
      </c>
      <c r="M627">
        <f>Master_Data!M627</f>
        <v>0</v>
      </c>
      <c r="N627">
        <f>Master_Data!N627</f>
        <v>9</v>
      </c>
      <c r="O627">
        <f>Master_Data!O627</f>
        <v>82</v>
      </c>
      <c r="P627">
        <f>Master_Data!P627</f>
        <v>91</v>
      </c>
      <c r="Q627" t="str">
        <f t="shared" si="54"/>
        <v>2011</v>
      </c>
      <c r="R627" t="str">
        <f t="shared" si="55"/>
        <v>January</v>
      </c>
      <c r="S627" t="str">
        <f t="shared" si="56"/>
        <v>Saturday</v>
      </c>
      <c r="T627" t="str">
        <f t="shared" si="57"/>
        <v>Evening</v>
      </c>
      <c r="U627" t="str">
        <f t="shared" si="58"/>
        <v>Spring</v>
      </c>
      <c r="V627" t="str">
        <f t="shared" si="59"/>
        <v>Clear</v>
      </c>
    </row>
    <row r="628" spans="1:22">
      <c r="A628">
        <f>Master_Data!A628</f>
        <v>636</v>
      </c>
      <c r="B628">
        <f>Master_Data!B628</f>
        <v>40572</v>
      </c>
      <c r="C628">
        <f>Master_Data!C628</f>
        <v>1</v>
      </c>
      <c r="D628">
        <f>Master_Data!D628</f>
        <v>0</v>
      </c>
      <c r="E628">
        <f>Master_Data!E628</f>
        <v>1</v>
      </c>
      <c r="F628">
        <f>Master_Data!F628</f>
        <v>18</v>
      </c>
      <c r="G628" t="b">
        <f>Master_Data!G628</f>
        <v>0</v>
      </c>
      <c r="H628">
        <f>Master_Data!H628</f>
        <v>6</v>
      </c>
      <c r="I628">
        <f>Master_Data!I628</f>
        <v>1</v>
      </c>
      <c r="J628">
        <f>Master_Data!J628</f>
        <v>0.22</v>
      </c>
      <c r="K628">
        <f>Master_Data!K628</f>
        <v>0.2273</v>
      </c>
      <c r="L628">
        <f>Master_Data!L628</f>
        <v>0.69</v>
      </c>
      <c r="M628">
        <f>Master_Data!M628</f>
        <v>0.1343</v>
      </c>
      <c r="N628">
        <f>Master_Data!N628</f>
        <v>9</v>
      </c>
      <c r="O628">
        <f>Master_Data!O628</f>
        <v>59</v>
      </c>
      <c r="P628">
        <f>Master_Data!P628</f>
        <v>68</v>
      </c>
      <c r="Q628" t="str">
        <f t="shared" si="54"/>
        <v>2011</v>
      </c>
      <c r="R628" t="str">
        <f t="shared" si="55"/>
        <v>January</v>
      </c>
      <c r="S628" t="str">
        <f t="shared" si="56"/>
        <v>Saturday</v>
      </c>
      <c r="T628" t="str">
        <f t="shared" si="57"/>
        <v>Evening</v>
      </c>
      <c r="U628" t="str">
        <f t="shared" si="58"/>
        <v>Spring</v>
      </c>
      <c r="V628" t="str">
        <f t="shared" si="59"/>
        <v>Clear</v>
      </c>
    </row>
    <row r="629" spans="1:22">
      <c r="A629">
        <f>Master_Data!A629</f>
        <v>637</v>
      </c>
      <c r="B629">
        <f>Master_Data!B629</f>
        <v>40572</v>
      </c>
      <c r="C629">
        <f>Master_Data!C629</f>
        <v>1</v>
      </c>
      <c r="D629">
        <f>Master_Data!D629</f>
        <v>0</v>
      </c>
      <c r="E629">
        <f>Master_Data!E629</f>
        <v>1</v>
      </c>
      <c r="F629">
        <f>Master_Data!F629</f>
        <v>19</v>
      </c>
      <c r="G629" t="b">
        <f>Master_Data!G629</f>
        <v>0</v>
      </c>
      <c r="H629">
        <f>Master_Data!H629</f>
        <v>6</v>
      </c>
      <c r="I629">
        <f>Master_Data!I629</f>
        <v>2</v>
      </c>
      <c r="J629">
        <f>Master_Data!J629</f>
        <v>0.22</v>
      </c>
      <c r="K629">
        <f>Master_Data!K629</f>
        <v>0.21210000000000001</v>
      </c>
      <c r="L629">
        <f>Master_Data!L629</f>
        <v>0.69</v>
      </c>
      <c r="M629">
        <f>Master_Data!M629</f>
        <v>0.25369999999999998</v>
      </c>
      <c r="N629">
        <f>Master_Data!N629</f>
        <v>6</v>
      </c>
      <c r="O629">
        <f>Master_Data!O629</f>
        <v>52</v>
      </c>
      <c r="P629">
        <f>Master_Data!P629</f>
        <v>58</v>
      </c>
      <c r="Q629" t="str">
        <f t="shared" si="54"/>
        <v>2011</v>
      </c>
      <c r="R629" t="str">
        <f t="shared" si="55"/>
        <v>January</v>
      </c>
      <c r="S629" t="str">
        <f t="shared" si="56"/>
        <v>Saturday</v>
      </c>
      <c r="T629" t="str">
        <f t="shared" si="57"/>
        <v>Evening</v>
      </c>
      <c r="U629" t="str">
        <f t="shared" si="58"/>
        <v>Spring</v>
      </c>
      <c r="V629" t="str">
        <f t="shared" si="59"/>
        <v>Mist/Cloudy</v>
      </c>
    </row>
    <row r="630" spans="1:22">
      <c r="A630">
        <f>Master_Data!A630</f>
        <v>638</v>
      </c>
      <c r="B630">
        <f>Master_Data!B630</f>
        <v>40572</v>
      </c>
      <c r="C630">
        <f>Master_Data!C630</f>
        <v>1</v>
      </c>
      <c r="D630">
        <f>Master_Data!D630</f>
        <v>0</v>
      </c>
      <c r="E630">
        <f>Master_Data!E630</f>
        <v>1</v>
      </c>
      <c r="F630">
        <f>Master_Data!F630</f>
        <v>20</v>
      </c>
      <c r="G630" t="b">
        <f>Master_Data!G630</f>
        <v>0</v>
      </c>
      <c r="H630">
        <f>Master_Data!H630</f>
        <v>6</v>
      </c>
      <c r="I630">
        <f>Master_Data!I630</f>
        <v>1</v>
      </c>
      <c r="J630">
        <f>Master_Data!J630</f>
        <v>0.18</v>
      </c>
      <c r="K630">
        <f>Master_Data!K630</f>
        <v>0.21210000000000001</v>
      </c>
      <c r="L630">
        <f>Master_Data!L630</f>
        <v>0.74</v>
      </c>
      <c r="M630">
        <f>Master_Data!M630</f>
        <v>8.9599999999999999E-2</v>
      </c>
      <c r="N630">
        <f>Master_Data!N630</f>
        <v>1</v>
      </c>
      <c r="O630">
        <f>Master_Data!O630</f>
        <v>42</v>
      </c>
      <c r="P630">
        <f>Master_Data!P630</f>
        <v>43</v>
      </c>
      <c r="Q630" t="str">
        <f t="shared" si="54"/>
        <v>2011</v>
      </c>
      <c r="R630" t="str">
        <f t="shared" si="55"/>
        <v>January</v>
      </c>
      <c r="S630" t="str">
        <f t="shared" si="56"/>
        <v>Saturday</v>
      </c>
      <c r="T630" t="str">
        <f t="shared" si="57"/>
        <v>Evening</v>
      </c>
      <c r="U630" t="str">
        <f t="shared" si="58"/>
        <v>Spring</v>
      </c>
      <c r="V630" t="str">
        <f t="shared" si="59"/>
        <v>Clear</v>
      </c>
    </row>
    <row r="631" spans="1:22">
      <c r="A631">
        <f>Master_Data!A631</f>
        <v>639</v>
      </c>
      <c r="B631">
        <f>Master_Data!B631</f>
        <v>40572</v>
      </c>
      <c r="C631">
        <f>Master_Data!C631</f>
        <v>1</v>
      </c>
      <c r="D631">
        <f>Master_Data!D631</f>
        <v>0</v>
      </c>
      <c r="E631">
        <f>Master_Data!E631</f>
        <v>1</v>
      </c>
      <c r="F631">
        <f>Master_Data!F631</f>
        <v>21</v>
      </c>
      <c r="G631" t="b">
        <f>Master_Data!G631</f>
        <v>0</v>
      </c>
      <c r="H631">
        <f>Master_Data!H631</f>
        <v>6</v>
      </c>
      <c r="I631">
        <f>Master_Data!I631</f>
        <v>1</v>
      </c>
      <c r="J631">
        <f>Master_Data!J631</f>
        <v>0.18</v>
      </c>
      <c r="K631">
        <f>Master_Data!K631</f>
        <v>0.21210000000000001</v>
      </c>
      <c r="L631">
        <f>Master_Data!L631</f>
        <v>0.74</v>
      </c>
      <c r="M631">
        <f>Master_Data!M631</f>
        <v>8.9599999999999999E-2</v>
      </c>
      <c r="N631">
        <f>Master_Data!N631</f>
        <v>1</v>
      </c>
      <c r="O631">
        <f>Master_Data!O631</f>
        <v>35</v>
      </c>
      <c r="P631">
        <f>Master_Data!P631</f>
        <v>36</v>
      </c>
      <c r="Q631" t="str">
        <f t="shared" si="54"/>
        <v>2011</v>
      </c>
      <c r="R631" t="str">
        <f t="shared" si="55"/>
        <v>January</v>
      </c>
      <c r="S631" t="str">
        <f t="shared" si="56"/>
        <v>Saturday</v>
      </c>
      <c r="T631" t="str">
        <f t="shared" si="57"/>
        <v>Night</v>
      </c>
      <c r="U631" t="str">
        <f t="shared" si="58"/>
        <v>Spring</v>
      </c>
      <c r="V631" t="str">
        <f t="shared" si="59"/>
        <v>Clear</v>
      </c>
    </row>
    <row r="632" spans="1:22">
      <c r="A632">
        <f>Master_Data!A632</f>
        <v>640</v>
      </c>
      <c r="B632">
        <f>Master_Data!B632</f>
        <v>40572</v>
      </c>
      <c r="C632">
        <f>Master_Data!C632</f>
        <v>1</v>
      </c>
      <c r="D632">
        <f>Master_Data!D632</f>
        <v>0</v>
      </c>
      <c r="E632">
        <f>Master_Data!E632</f>
        <v>1</v>
      </c>
      <c r="F632">
        <f>Master_Data!F632</f>
        <v>22</v>
      </c>
      <c r="G632" t="b">
        <f>Master_Data!G632</f>
        <v>0</v>
      </c>
      <c r="H632">
        <f>Master_Data!H632</f>
        <v>6</v>
      </c>
      <c r="I632">
        <f>Master_Data!I632</f>
        <v>1</v>
      </c>
      <c r="J632">
        <f>Master_Data!J632</f>
        <v>0.16</v>
      </c>
      <c r="K632">
        <f>Master_Data!K632</f>
        <v>0.19700000000000001</v>
      </c>
      <c r="L632">
        <f>Master_Data!L632</f>
        <v>0.8</v>
      </c>
      <c r="M632">
        <f>Master_Data!M632</f>
        <v>8.9599999999999999E-2</v>
      </c>
      <c r="N632">
        <f>Master_Data!N632</f>
        <v>4</v>
      </c>
      <c r="O632">
        <f>Master_Data!O632</f>
        <v>28</v>
      </c>
      <c r="P632">
        <f>Master_Data!P632</f>
        <v>32</v>
      </c>
      <c r="Q632" t="str">
        <f t="shared" si="54"/>
        <v>2011</v>
      </c>
      <c r="R632" t="str">
        <f t="shared" si="55"/>
        <v>January</v>
      </c>
      <c r="S632" t="str">
        <f t="shared" si="56"/>
        <v>Saturday</v>
      </c>
      <c r="T632" t="str">
        <f t="shared" si="57"/>
        <v>Night</v>
      </c>
      <c r="U632" t="str">
        <f t="shared" si="58"/>
        <v>Spring</v>
      </c>
      <c r="V632" t="str">
        <f t="shared" si="59"/>
        <v>Clear</v>
      </c>
    </row>
    <row r="633" spans="1:22">
      <c r="A633">
        <f>Master_Data!A633</f>
        <v>641</v>
      </c>
      <c r="B633">
        <f>Master_Data!B633</f>
        <v>40572</v>
      </c>
      <c r="C633">
        <f>Master_Data!C633</f>
        <v>1</v>
      </c>
      <c r="D633">
        <f>Master_Data!D633</f>
        <v>0</v>
      </c>
      <c r="E633">
        <f>Master_Data!E633</f>
        <v>1</v>
      </c>
      <c r="F633">
        <f>Master_Data!F633</f>
        <v>23</v>
      </c>
      <c r="G633" t="b">
        <f>Master_Data!G633</f>
        <v>0</v>
      </c>
      <c r="H633">
        <f>Master_Data!H633</f>
        <v>6</v>
      </c>
      <c r="I633">
        <f>Master_Data!I633</f>
        <v>1</v>
      </c>
      <c r="J633">
        <f>Master_Data!J633</f>
        <v>0.16</v>
      </c>
      <c r="K633">
        <f>Master_Data!K633</f>
        <v>0.19700000000000001</v>
      </c>
      <c r="L633">
        <f>Master_Data!L633</f>
        <v>0.8</v>
      </c>
      <c r="M633">
        <f>Master_Data!M633</f>
        <v>8.9599999999999999E-2</v>
      </c>
      <c r="N633">
        <f>Master_Data!N633</f>
        <v>3</v>
      </c>
      <c r="O633">
        <f>Master_Data!O633</f>
        <v>30</v>
      </c>
      <c r="P633">
        <f>Master_Data!P633</f>
        <v>33</v>
      </c>
      <c r="Q633" t="str">
        <f t="shared" si="54"/>
        <v>2011</v>
      </c>
      <c r="R633" t="str">
        <f t="shared" si="55"/>
        <v>January</v>
      </c>
      <c r="S633" t="str">
        <f t="shared" si="56"/>
        <v>Saturday</v>
      </c>
      <c r="T633" t="str">
        <f t="shared" si="57"/>
        <v>Night</v>
      </c>
      <c r="U633" t="str">
        <f t="shared" si="58"/>
        <v>Spring</v>
      </c>
      <c r="V633" t="str">
        <f t="shared" si="59"/>
        <v>Clear</v>
      </c>
    </row>
    <row r="634" spans="1:22">
      <c r="A634">
        <f>Master_Data!A634</f>
        <v>642</v>
      </c>
      <c r="B634">
        <f>Master_Data!B634</f>
        <v>40573</v>
      </c>
      <c r="C634">
        <f>Master_Data!C634</f>
        <v>1</v>
      </c>
      <c r="D634">
        <f>Master_Data!D634</f>
        <v>0</v>
      </c>
      <c r="E634">
        <f>Master_Data!E634</f>
        <v>1</v>
      </c>
      <c r="F634">
        <f>Master_Data!F634</f>
        <v>0</v>
      </c>
      <c r="G634" t="b">
        <f>Master_Data!G634</f>
        <v>0</v>
      </c>
      <c r="H634">
        <f>Master_Data!H634</f>
        <v>0</v>
      </c>
      <c r="I634">
        <f>Master_Data!I634</f>
        <v>1</v>
      </c>
      <c r="J634">
        <f>Master_Data!J634</f>
        <v>0.16</v>
      </c>
      <c r="K634">
        <f>Master_Data!K634</f>
        <v>0.18179999999999999</v>
      </c>
      <c r="L634">
        <f>Master_Data!L634</f>
        <v>0.8</v>
      </c>
      <c r="M634">
        <f>Master_Data!M634</f>
        <v>0.1045</v>
      </c>
      <c r="N634">
        <f>Master_Data!N634</f>
        <v>0</v>
      </c>
      <c r="O634">
        <f>Master_Data!O634</f>
        <v>33</v>
      </c>
      <c r="P634">
        <f>Master_Data!P634</f>
        <v>33</v>
      </c>
      <c r="Q634" t="str">
        <f t="shared" si="54"/>
        <v>2011</v>
      </c>
      <c r="R634" t="str">
        <f t="shared" si="55"/>
        <v>January</v>
      </c>
      <c r="S634" t="str">
        <f t="shared" si="56"/>
        <v>Sunday</v>
      </c>
      <c r="T634" t="str">
        <f t="shared" si="57"/>
        <v>Night</v>
      </c>
      <c r="U634" t="str">
        <f t="shared" si="58"/>
        <v>Spring</v>
      </c>
      <c r="V634" t="str">
        <f t="shared" si="59"/>
        <v>Clear</v>
      </c>
    </row>
    <row r="635" spans="1:22">
      <c r="A635">
        <f>Master_Data!A635</f>
        <v>643</v>
      </c>
      <c r="B635">
        <f>Master_Data!B635</f>
        <v>40573</v>
      </c>
      <c r="C635">
        <f>Master_Data!C635</f>
        <v>1</v>
      </c>
      <c r="D635">
        <f>Master_Data!D635</f>
        <v>0</v>
      </c>
      <c r="E635">
        <f>Master_Data!E635</f>
        <v>1</v>
      </c>
      <c r="F635">
        <f>Master_Data!F635</f>
        <v>1</v>
      </c>
      <c r="G635" t="b">
        <f>Master_Data!G635</f>
        <v>0</v>
      </c>
      <c r="H635">
        <f>Master_Data!H635</f>
        <v>0</v>
      </c>
      <c r="I635">
        <f>Master_Data!I635</f>
        <v>1</v>
      </c>
      <c r="J635">
        <f>Master_Data!J635</f>
        <v>0.14000000000000001</v>
      </c>
      <c r="K635">
        <f>Master_Data!K635</f>
        <v>0.21210000000000001</v>
      </c>
      <c r="L635">
        <f>Master_Data!L635</f>
        <v>0.8</v>
      </c>
      <c r="M635">
        <f>Master_Data!M635</f>
        <v>0</v>
      </c>
      <c r="N635">
        <f>Master_Data!N635</f>
        <v>7</v>
      </c>
      <c r="O635">
        <f>Master_Data!O635</f>
        <v>22</v>
      </c>
      <c r="P635">
        <f>Master_Data!P635</f>
        <v>29</v>
      </c>
      <c r="Q635" t="str">
        <f t="shared" si="54"/>
        <v>2011</v>
      </c>
      <c r="R635" t="str">
        <f t="shared" si="55"/>
        <v>January</v>
      </c>
      <c r="S635" t="str">
        <f t="shared" si="56"/>
        <v>Sunday</v>
      </c>
      <c r="T635" t="str">
        <f t="shared" si="57"/>
        <v>Night</v>
      </c>
      <c r="U635" t="str">
        <f t="shared" si="58"/>
        <v>Spring</v>
      </c>
      <c r="V635" t="str">
        <f t="shared" si="59"/>
        <v>Clear</v>
      </c>
    </row>
    <row r="636" spans="1:22">
      <c r="A636">
        <f>Master_Data!A636</f>
        <v>644</v>
      </c>
      <c r="B636">
        <f>Master_Data!B636</f>
        <v>40573</v>
      </c>
      <c r="C636">
        <f>Master_Data!C636</f>
        <v>1</v>
      </c>
      <c r="D636">
        <f>Master_Data!D636</f>
        <v>0</v>
      </c>
      <c r="E636">
        <f>Master_Data!E636</f>
        <v>1</v>
      </c>
      <c r="F636">
        <f>Master_Data!F636</f>
        <v>2</v>
      </c>
      <c r="G636" t="b">
        <f>Master_Data!G636</f>
        <v>0</v>
      </c>
      <c r="H636">
        <f>Master_Data!H636</f>
        <v>0</v>
      </c>
      <c r="I636">
        <f>Master_Data!I636</f>
        <v>1</v>
      </c>
      <c r="J636">
        <f>Master_Data!J636</f>
        <v>0.16</v>
      </c>
      <c r="K636">
        <f>Master_Data!K636</f>
        <v>0.2273</v>
      </c>
      <c r="L636">
        <f>Master_Data!L636</f>
        <v>0.8</v>
      </c>
      <c r="M636">
        <f>Master_Data!M636</f>
        <v>0</v>
      </c>
      <c r="N636">
        <f>Master_Data!N636</f>
        <v>1</v>
      </c>
      <c r="O636">
        <f>Master_Data!O636</f>
        <v>10</v>
      </c>
      <c r="P636">
        <f>Master_Data!P636</f>
        <v>11</v>
      </c>
      <c r="Q636" t="str">
        <f t="shared" si="54"/>
        <v>2011</v>
      </c>
      <c r="R636" t="str">
        <f t="shared" si="55"/>
        <v>January</v>
      </c>
      <c r="S636" t="str">
        <f t="shared" si="56"/>
        <v>Sunday</v>
      </c>
      <c r="T636" t="str">
        <f t="shared" si="57"/>
        <v>Night</v>
      </c>
      <c r="U636" t="str">
        <f t="shared" si="58"/>
        <v>Spring</v>
      </c>
      <c r="V636" t="str">
        <f t="shared" si="59"/>
        <v>Clear</v>
      </c>
    </row>
    <row r="637" spans="1:22">
      <c r="A637">
        <f>Master_Data!A637</f>
        <v>645</v>
      </c>
      <c r="B637">
        <f>Master_Data!B637</f>
        <v>40573</v>
      </c>
      <c r="C637">
        <f>Master_Data!C637</f>
        <v>1</v>
      </c>
      <c r="D637">
        <f>Master_Data!D637</f>
        <v>0</v>
      </c>
      <c r="E637">
        <f>Master_Data!E637</f>
        <v>1</v>
      </c>
      <c r="F637">
        <f>Master_Data!F637</f>
        <v>3</v>
      </c>
      <c r="G637" t="b">
        <f>Master_Data!G637</f>
        <v>0</v>
      </c>
      <c r="H637">
        <f>Master_Data!H637</f>
        <v>0</v>
      </c>
      <c r="I637">
        <f>Master_Data!I637</f>
        <v>1</v>
      </c>
      <c r="J637">
        <f>Master_Data!J637</f>
        <v>0.14000000000000001</v>
      </c>
      <c r="K637">
        <f>Master_Data!K637</f>
        <v>0.21210000000000001</v>
      </c>
      <c r="L637">
        <f>Master_Data!L637</f>
        <v>0.93</v>
      </c>
      <c r="M637">
        <f>Master_Data!M637</f>
        <v>0</v>
      </c>
      <c r="N637">
        <f>Master_Data!N637</f>
        <v>1</v>
      </c>
      <c r="O637">
        <f>Master_Data!O637</f>
        <v>7</v>
      </c>
      <c r="P637">
        <f>Master_Data!P637</f>
        <v>8</v>
      </c>
      <c r="Q637" t="str">
        <f t="shared" si="54"/>
        <v>2011</v>
      </c>
      <c r="R637" t="str">
        <f t="shared" si="55"/>
        <v>January</v>
      </c>
      <c r="S637" t="str">
        <f t="shared" si="56"/>
        <v>Sunday</v>
      </c>
      <c r="T637" t="str">
        <f t="shared" si="57"/>
        <v>Night</v>
      </c>
      <c r="U637" t="str">
        <f t="shared" si="58"/>
        <v>Spring</v>
      </c>
      <c r="V637" t="str">
        <f t="shared" si="59"/>
        <v>Clear</v>
      </c>
    </row>
    <row r="638" spans="1:22">
      <c r="A638">
        <f>Master_Data!A638</f>
        <v>646</v>
      </c>
      <c r="B638">
        <f>Master_Data!B638</f>
        <v>40573</v>
      </c>
      <c r="C638">
        <f>Master_Data!C638</f>
        <v>1</v>
      </c>
      <c r="D638">
        <f>Master_Data!D638</f>
        <v>0</v>
      </c>
      <c r="E638">
        <f>Master_Data!E638</f>
        <v>1</v>
      </c>
      <c r="F638">
        <f>Master_Data!F638</f>
        <v>4</v>
      </c>
      <c r="G638" t="b">
        <f>Master_Data!G638</f>
        <v>0</v>
      </c>
      <c r="H638">
        <f>Master_Data!H638</f>
        <v>0</v>
      </c>
      <c r="I638">
        <f>Master_Data!I638</f>
        <v>1</v>
      </c>
      <c r="J638">
        <f>Master_Data!J638</f>
        <v>0.14000000000000001</v>
      </c>
      <c r="K638">
        <f>Master_Data!K638</f>
        <v>0.21210000000000001</v>
      </c>
      <c r="L638">
        <f>Master_Data!L638</f>
        <v>0.93</v>
      </c>
      <c r="M638">
        <f>Master_Data!M638</f>
        <v>0</v>
      </c>
      <c r="N638">
        <f>Master_Data!N638</f>
        <v>0</v>
      </c>
      <c r="O638">
        <f>Master_Data!O638</f>
        <v>1</v>
      </c>
      <c r="P638">
        <f>Master_Data!P638</f>
        <v>1</v>
      </c>
      <c r="Q638" t="str">
        <f t="shared" si="54"/>
        <v>2011</v>
      </c>
      <c r="R638" t="str">
        <f t="shared" si="55"/>
        <v>January</v>
      </c>
      <c r="S638" t="str">
        <f t="shared" si="56"/>
        <v>Sunday</v>
      </c>
      <c r="T638" t="str">
        <f t="shared" si="57"/>
        <v>Night</v>
      </c>
      <c r="U638" t="str">
        <f t="shared" si="58"/>
        <v>Spring</v>
      </c>
      <c r="V638" t="str">
        <f t="shared" si="59"/>
        <v>Clear</v>
      </c>
    </row>
    <row r="639" spans="1:22">
      <c r="A639">
        <f>Master_Data!A639</f>
        <v>647</v>
      </c>
      <c r="B639">
        <f>Master_Data!B639</f>
        <v>40573</v>
      </c>
      <c r="C639">
        <f>Master_Data!C639</f>
        <v>1</v>
      </c>
      <c r="D639">
        <f>Master_Data!D639</f>
        <v>0</v>
      </c>
      <c r="E639">
        <f>Master_Data!E639</f>
        <v>1</v>
      </c>
      <c r="F639">
        <f>Master_Data!F639</f>
        <v>5</v>
      </c>
      <c r="G639" t="b">
        <f>Master_Data!G639</f>
        <v>0</v>
      </c>
      <c r="H639">
        <f>Master_Data!H639</f>
        <v>0</v>
      </c>
      <c r="I639">
        <f>Master_Data!I639</f>
        <v>1</v>
      </c>
      <c r="J639">
        <f>Master_Data!J639</f>
        <v>0.14000000000000001</v>
      </c>
      <c r="K639">
        <f>Master_Data!K639</f>
        <v>0.21210000000000001</v>
      </c>
      <c r="L639">
        <f>Master_Data!L639</f>
        <v>0.86</v>
      </c>
      <c r="M639">
        <f>Master_Data!M639</f>
        <v>0</v>
      </c>
      <c r="N639">
        <f>Master_Data!N639</f>
        <v>0</v>
      </c>
      <c r="O639">
        <f>Master_Data!O639</f>
        <v>3</v>
      </c>
      <c r="P639">
        <f>Master_Data!P639</f>
        <v>3</v>
      </c>
      <c r="Q639" t="str">
        <f t="shared" si="54"/>
        <v>2011</v>
      </c>
      <c r="R639" t="str">
        <f t="shared" si="55"/>
        <v>January</v>
      </c>
      <c r="S639" t="str">
        <f t="shared" si="56"/>
        <v>Sunday</v>
      </c>
      <c r="T639" t="str">
        <f t="shared" si="57"/>
        <v>Night</v>
      </c>
      <c r="U639" t="str">
        <f t="shared" si="58"/>
        <v>Spring</v>
      </c>
      <c r="V639" t="str">
        <f t="shared" si="59"/>
        <v>Clear</v>
      </c>
    </row>
    <row r="640" spans="1:22">
      <c r="A640">
        <f>Master_Data!A640</f>
        <v>648</v>
      </c>
      <c r="B640">
        <f>Master_Data!B640</f>
        <v>40573</v>
      </c>
      <c r="C640">
        <f>Master_Data!C640</f>
        <v>1</v>
      </c>
      <c r="D640">
        <f>Master_Data!D640</f>
        <v>0</v>
      </c>
      <c r="E640">
        <f>Master_Data!E640</f>
        <v>1</v>
      </c>
      <c r="F640">
        <f>Master_Data!F640</f>
        <v>7</v>
      </c>
      <c r="G640" t="b">
        <f>Master_Data!G640</f>
        <v>0</v>
      </c>
      <c r="H640">
        <f>Master_Data!H640</f>
        <v>0</v>
      </c>
      <c r="I640">
        <f>Master_Data!I640</f>
        <v>1</v>
      </c>
      <c r="J640">
        <f>Master_Data!J640</f>
        <v>0.14000000000000001</v>
      </c>
      <c r="K640">
        <f>Master_Data!K640</f>
        <v>0.21210000000000001</v>
      </c>
      <c r="L640">
        <f>Master_Data!L640</f>
        <v>0.86</v>
      </c>
      <c r="M640">
        <f>Master_Data!M640</f>
        <v>0</v>
      </c>
      <c r="N640">
        <f>Master_Data!N640</f>
        <v>0</v>
      </c>
      <c r="O640">
        <f>Master_Data!O640</f>
        <v>3</v>
      </c>
      <c r="P640">
        <f>Master_Data!P640</f>
        <v>3</v>
      </c>
      <c r="Q640" t="str">
        <f t="shared" si="54"/>
        <v>2011</v>
      </c>
      <c r="R640" t="str">
        <f t="shared" si="55"/>
        <v>January</v>
      </c>
      <c r="S640" t="str">
        <f t="shared" si="56"/>
        <v>Sunday</v>
      </c>
      <c r="T640" t="str">
        <f t="shared" si="57"/>
        <v>Morning</v>
      </c>
      <c r="U640" t="str">
        <f t="shared" si="58"/>
        <v>Spring</v>
      </c>
      <c r="V640" t="str">
        <f t="shared" si="59"/>
        <v>Clear</v>
      </c>
    </row>
    <row r="641" spans="1:22">
      <c r="A641">
        <f>Master_Data!A641</f>
        <v>649</v>
      </c>
      <c r="B641">
        <f>Master_Data!B641</f>
        <v>40573</v>
      </c>
      <c r="C641">
        <f>Master_Data!C641</f>
        <v>1</v>
      </c>
      <c r="D641">
        <f>Master_Data!D641</f>
        <v>0</v>
      </c>
      <c r="E641">
        <f>Master_Data!E641</f>
        <v>1</v>
      </c>
      <c r="F641">
        <f>Master_Data!F641</f>
        <v>8</v>
      </c>
      <c r="G641" t="b">
        <f>Master_Data!G641</f>
        <v>0</v>
      </c>
      <c r="H641">
        <f>Master_Data!H641</f>
        <v>0</v>
      </c>
      <c r="I641">
        <f>Master_Data!I641</f>
        <v>2</v>
      </c>
      <c r="J641">
        <f>Master_Data!J641</f>
        <v>0.14000000000000001</v>
      </c>
      <c r="K641">
        <f>Master_Data!K641</f>
        <v>0.21210000000000001</v>
      </c>
      <c r="L641">
        <f>Master_Data!L641</f>
        <v>0.86</v>
      </c>
      <c r="M641">
        <f>Master_Data!M641</f>
        <v>0</v>
      </c>
      <c r="N641">
        <f>Master_Data!N641</f>
        <v>1</v>
      </c>
      <c r="O641">
        <f>Master_Data!O641</f>
        <v>11</v>
      </c>
      <c r="P641">
        <f>Master_Data!P641</f>
        <v>12</v>
      </c>
      <c r="Q641" t="str">
        <f t="shared" si="54"/>
        <v>2011</v>
      </c>
      <c r="R641" t="str">
        <f t="shared" si="55"/>
        <v>January</v>
      </c>
      <c r="S641" t="str">
        <f t="shared" si="56"/>
        <v>Sunday</v>
      </c>
      <c r="T641" t="str">
        <f t="shared" si="57"/>
        <v>Morning</v>
      </c>
      <c r="U641" t="str">
        <f t="shared" si="58"/>
        <v>Spring</v>
      </c>
      <c r="V641" t="str">
        <f t="shared" si="59"/>
        <v>Mist/Cloudy</v>
      </c>
    </row>
    <row r="642" spans="1:22">
      <c r="A642">
        <f>Master_Data!A642</f>
        <v>650</v>
      </c>
      <c r="B642">
        <f>Master_Data!B642</f>
        <v>40573</v>
      </c>
      <c r="C642">
        <f>Master_Data!C642</f>
        <v>1</v>
      </c>
      <c r="D642">
        <f>Master_Data!D642</f>
        <v>0</v>
      </c>
      <c r="E642">
        <f>Master_Data!E642</f>
        <v>1</v>
      </c>
      <c r="F642">
        <f>Master_Data!F642</f>
        <v>9</v>
      </c>
      <c r="G642" t="b">
        <f>Master_Data!G642</f>
        <v>0</v>
      </c>
      <c r="H642">
        <f>Master_Data!H642</f>
        <v>0</v>
      </c>
      <c r="I642">
        <f>Master_Data!I642</f>
        <v>2</v>
      </c>
      <c r="J642">
        <f>Master_Data!J642</f>
        <v>0.16</v>
      </c>
      <c r="K642">
        <f>Master_Data!K642</f>
        <v>0.2273</v>
      </c>
      <c r="L642">
        <f>Master_Data!L642</f>
        <v>0.8</v>
      </c>
      <c r="M642">
        <f>Master_Data!M642</f>
        <v>0</v>
      </c>
      <c r="N642">
        <f>Master_Data!N642</f>
        <v>4</v>
      </c>
      <c r="O642">
        <f>Master_Data!O642</f>
        <v>34</v>
      </c>
      <c r="P642">
        <f>Master_Data!P642</f>
        <v>38</v>
      </c>
      <c r="Q642" t="str">
        <f t="shared" ref="Q642:Q705" si="60">IF(D642=0,"2011","2012")</f>
        <v>2011</v>
      </c>
      <c r="R642" t="str">
        <f t="shared" ref="R642:R705" si="61">TEXT(B642,"mmmm")</f>
        <v>January</v>
      </c>
      <c r="S642" t="str">
        <f t="shared" ref="S642:S705" si="62">IF(G642=TRUE,"Holiday",IF(H642=0,"Sunday",IF(H642=6,"Saturday","Weekday")))</f>
        <v>Sunday</v>
      </c>
      <c r="T642" t="str">
        <f t="shared" ref="T642:T705" si="63">IF(F642&lt;6,"Night",IF(F642&lt;12,"Morning",IF(F642&lt;17,"Afternoon",IF(F642&lt;21,"Evening","Night"))))</f>
        <v>Morning</v>
      </c>
      <c r="U642" t="str">
        <f t="shared" ref="U642:U705" si="64">CHOOSE(C642,"Spring","Summer","Fall","Winter")</f>
        <v>Spring</v>
      </c>
      <c r="V642" t="str">
        <f t="shared" ref="V642:V705" si="65">CHOOSE(I642,"Clear","Mist/Cloudy","Light Rain/Snow","Heavy Rain/Snow")</f>
        <v>Mist/Cloudy</v>
      </c>
    </row>
    <row r="643" spans="1:22">
      <c r="A643">
        <f>Master_Data!A643</f>
        <v>651</v>
      </c>
      <c r="B643">
        <f>Master_Data!B643</f>
        <v>40573</v>
      </c>
      <c r="C643">
        <f>Master_Data!C643</f>
        <v>1</v>
      </c>
      <c r="D643">
        <f>Master_Data!D643</f>
        <v>0</v>
      </c>
      <c r="E643">
        <f>Master_Data!E643</f>
        <v>1</v>
      </c>
      <c r="F643">
        <f>Master_Data!F643</f>
        <v>10</v>
      </c>
      <c r="G643" t="b">
        <f>Master_Data!G643</f>
        <v>0</v>
      </c>
      <c r="H643">
        <f>Master_Data!H643</f>
        <v>0</v>
      </c>
      <c r="I643">
        <f>Master_Data!I643</f>
        <v>2</v>
      </c>
      <c r="J643">
        <f>Master_Data!J643</f>
        <v>0.18</v>
      </c>
      <c r="K643">
        <f>Master_Data!K643</f>
        <v>0.2424</v>
      </c>
      <c r="L643">
        <f>Master_Data!L643</f>
        <v>0.8</v>
      </c>
      <c r="M643">
        <f>Master_Data!M643</f>
        <v>0</v>
      </c>
      <c r="N643">
        <f>Master_Data!N643</f>
        <v>7</v>
      </c>
      <c r="O643">
        <f>Master_Data!O643</f>
        <v>57</v>
      </c>
      <c r="P643">
        <f>Master_Data!P643</f>
        <v>64</v>
      </c>
      <c r="Q643" t="str">
        <f t="shared" si="60"/>
        <v>2011</v>
      </c>
      <c r="R643" t="str">
        <f t="shared" si="61"/>
        <v>January</v>
      </c>
      <c r="S643" t="str">
        <f t="shared" si="62"/>
        <v>Sunday</v>
      </c>
      <c r="T643" t="str">
        <f t="shared" si="63"/>
        <v>Morning</v>
      </c>
      <c r="U643" t="str">
        <f t="shared" si="64"/>
        <v>Spring</v>
      </c>
      <c r="V643" t="str">
        <f t="shared" si="65"/>
        <v>Mist/Cloudy</v>
      </c>
    </row>
    <row r="644" spans="1:22">
      <c r="A644">
        <f>Master_Data!A644</f>
        <v>652</v>
      </c>
      <c r="B644">
        <f>Master_Data!B644</f>
        <v>40573</v>
      </c>
      <c r="C644">
        <f>Master_Data!C644</f>
        <v>1</v>
      </c>
      <c r="D644">
        <f>Master_Data!D644</f>
        <v>0</v>
      </c>
      <c r="E644">
        <f>Master_Data!E644</f>
        <v>1</v>
      </c>
      <c r="F644">
        <f>Master_Data!F644</f>
        <v>11</v>
      </c>
      <c r="G644" t="b">
        <f>Master_Data!G644</f>
        <v>0</v>
      </c>
      <c r="H644">
        <f>Master_Data!H644</f>
        <v>0</v>
      </c>
      <c r="I644">
        <f>Master_Data!I644</f>
        <v>1</v>
      </c>
      <c r="J644">
        <f>Master_Data!J644</f>
        <v>0.22</v>
      </c>
      <c r="K644">
        <f>Master_Data!K644</f>
        <v>0.2727</v>
      </c>
      <c r="L644">
        <f>Master_Data!L644</f>
        <v>0.75</v>
      </c>
      <c r="M644">
        <f>Master_Data!M644</f>
        <v>0</v>
      </c>
      <c r="N644">
        <f>Master_Data!N644</f>
        <v>9</v>
      </c>
      <c r="O644">
        <f>Master_Data!O644</f>
        <v>50</v>
      </c>
      <c r="P644">
        <f>Master_Data!P644</f>
        <v>59</v>
      </c>
      <c r="Q644" t="str">
        <f t="shared" si="60"/>
        <v>2011</v>
      </c>
      <c r="R644" t="str">
        <f t="shared" si="61"/>
        <v>January</v>
      </c>
      <c r="S644" t="str">
        <f t="shared" si="62"/>
        <v>Sunday</v>
      </c>
      <c r="T644" t="str">
        <f t="shared" si="63"/>
        <v>Morning</v>
      </c>
      <c r="U644" t="str">
        <f t="shared" si="64"/>
        <v>Spring</v>
      </c>
      <c r="V644" t="str">
        <f t="shared" si="65"/>
        <v>Clear</v>
      </c>
    </row>
    <row r="645" spans="1:22">
      <c r="A645">
        <f>Master_Data!A645</f>
        <v>653</v>
      </c>
      <c r="B645">
        <f>Master_Data!B645</f>
        <v>40573</v>
      </c>
      <c r="C645">
        <f>Master_Data!C645</f>
        <v>1</v>
      </c>
      <c r="D645">
        <f>Master_Data!D645</f>
        <v>0</v>
      </c>
      <c r="E645">
        <f>Master_Data!E645</f>
        <v>1</v>
      </c>
      <c r="F645">
        <f>Master_Data!F645</f>
        <v>12</v>
      </c>
      <c r="G645" t="b">
        <f>Master_Data!G645</f>
        <v>0</v>
      </c>
      <c r="H645">
        <f>Master_Data!H645</f>
        <v>0</v>
      </c>
      <c r="I645">
        <f>Master_Data!I645</f>
        <v>1</v>
      </c>
      <c r="J645">
        <f>Master_Data!J645</f>
        <v>0.3</v>
      </c>
      <c r="K645">
        <f>Master_Data!K645</f>
        <v>0.31819999999999998</v>
      </c>
      <c r="L645">
        <f>Master_Data!L645</f>
        <v>0.52</v>
      </c>
      <c r="M645">
        <f>Master_Data!M645</f>
        <v>0.1045</v>
      </c>
      <c r="N645">
        <f>Master_Data!N645</f>
        <v>10</v>
      </c>
      <c r="O645">
        <f>Master_Data!O645</f>
        <v>87</v>
      </c>
      <c r="P645">
        <f>Master_Data!P645</f>
        <v>97</v>
      </c>
      <c r="Q645" t="str">
        <f t="shared" si="60"/>
        <v>2011</v>
      </c>
      <c r="R645" t="str">
        <f t="shared" si="61"/>
        <v>January</v>
      </c>
      <c r="S645" t="str">
        <f t="shared" si="62"/>
        <v>Sunday</v>
      </c>
      <c r="T645" t="str">
        <f t="shared" si="63"/>
        <v>Afternoon</v>
      </c>
      <c r="U645" t="str">
        <f t="shared" si="64"/>
        <v>Spring</v>
      </c>
      <c r="V645" t="str">
        <f t="shared" si="65"/>
        <v>Clear</v>
      </c>
    </row>
    <row r="646" spans="1:22">
      <c r="A646">
        <f>Master_Data!A646</f>
        <v>654</v>
      </c>
      <c r="B646">
        <f>Master_Data!B646</f>
        <v>40573</v>
      </c>
      <c r="C646">
        <f>Master_Data!C646</f>
        <v>1</v>
      </c>
      <c r="D646">
        <f>Master_Data!D646</f>
        <v>0</v>
      </c>
      <c r="E646">
        <f>Master_Data!E646</f>
        <v>1</v>
      </c>
      <c r="F646">
        <f>Master_Data!F646</f>
        <v>13</v>
      </c>
      <c r="G646" t="b">
        <f>Master_Data!G646</f>
        <v>0</v>
      </c>
      <c r="H646">
        <f>Master_Data!H646</f>
        <v>0</v>
      </c>
      <c r="I646">
        <f>Master_Data!I646</f>
        <v>1</v>
      </c>
      <c r="J646">
        <f>Master_Data!J646</f>
        <v>0.28000000000000003</v>
      </c>
      <c r="K646">
        <f>Master_Data!K646</f>
        <v>0.28789999999999999</v>
      </c>
      <c r="L646">
        <f>Master_Data!L646</f>
        <v>0.61</v>
      </c>
      <c r="M646">
        <f>Master_Data!M646</f>
        <v>0.1045</v>
      </c>
      <c r="N646">
        <f>Master_Data!N646</f>
        <v>13</v>
      </c>
      <c r="O646">
        <f>Master_Data!O646</f>
        <v>71</v>
      </c>
      <c r="P646">
        <f>Master_Data!P646</f>
        <v>84</v>
      </c>
      <c r="Q646" t="str">
        <f t="shared" si="60"/>
        <v>2011</v>
      </c>
      <c r="R646" t="str">
        <f t="shared" si="61"/>
        <v>January</v>
      </c>
      <c r="S646" t="str">
        <f t="shared" si="62"/>
        <v>Sunday</v>
      </c>
      <c r="T646" t="str">
        <f t="shared" si="63"/>
        <v>Afternoon</v>
      </c>
      <c r="U646" t="str">
        <f t="shared" si="64"/>
        <v>Spring</v>
      </c>
      <c r="V646" t="str">
        <f t="shared" si="65"/>
        <v>Clear</v>
      </c>
    </row>
    <row r="647" spans="1:22">
      <c r="A647">
        <f>Master_Data!A647</f>
        <v>655</v>
      </c>
      <c r="B647">
        <f>Master_Data!B647</f>
        <v>40573</v>
      </c>
      <c r="C647">
        <f>Master_Data!C647</f>
        <v>1</v>
      </c>
      <c r="D647">
        <f>Master_Data!D647</f>
        <v>0</v>
      </c>
      <c r="E647">
        <f>Master_Data!E647</f>
        <v>1</v>
      </c>
      <c r="F647">
        <f>Master_Data!F647</f>
        <v>14</v>
      </c>
      <c r="G647" t="b">
        <f>Master_Data!G647</f>
        <v>0</v>
      </c>
      <c r="H647">
        <f>Master_Data!H647</f>
        <v>0</v>
      </c>
      <c r="I647">
        <f>Master_Data!I647</f>
        <v>1</v>
      </c>
      <c r="J647">
        <f>Master_Data!J647</f>
        <v>0.28000000000000003</v>
      </c>
      <c r="K647">
        <f>Master_Data!K647</f>
        <v>0.30299999999999999</v>
      </c>
      <c r="L647">
        <f>Master_Data!L647</f>
        <v>0.61</v>
      </c>
      <c r="M647">
        <f>Master_Data!M647</f>
        <v>8.9599999999999999E-2</v>
      </c>
      <c r="N647">
        <f>Master_Data!N647</f>
        <v>18</v>
      </c>
      <c r="O647">
        <f>Master_Data!O647</f>
        <v>104</v>
      </c>
      <c r="P647">
        <f>Master_Data!P647</f>
        <v>122</v>
      </c>
      <c r="Q647" t="str">
        <f t="shared" si="60"/>
        <v>2011</v>
      </c>
      <c r="R647" t="str">
        <f t="shared" si="61"/>
        <v>January</v>
      </c>
      <c r="S647" t="str">
        <f t="shared" si="62"/>
        <v>Sunday</v>
      </c>
      <c r="T647" t="str">
        <f t="shared" si="63"/>
        <v>Afternoon</v>
      </c>
      <c r="U647" t="str">
        <f t="shared" si="64"/>
        <v>Spring</v>
      </c>
      <c r="V647" t="str">
        <f t="shared" si="65"/>
        <v>Clear</v>
      </c>
    </row>
    <row r="648" spans="1:22">
      <c r="A648">
        <f>Master_Data!A648</f>
        <v>656</v>
      </c>
      <c r="B648">
        <f>Master_Data!B648</f>
        <v>40573</v>
      </c>
      <c r="C648">
        <f>Master_Data!C648</f>
        <v>1</v>
      </c>
      <c r="D648">
        <f>Master_Data!D648</f>
        <v>0</v>
      </c>
      <c r="E648">
        <f>Master_Data!E648</f>
        <v>1</v>
      </c>
      <c r="F648">
        <f>Master_Data!F648</f>
        <v>15</v>
      </c>
      <c r="G648" t="b">
        <f>Master_Data!G648</f>
        <v>0</v>
      </c>
      <c r="H648">
        <f>Master_Data!H648</f>
        <v>0</v>
      </c>
      <c r="I648">
        <f>Master_Data!I648</f>
        <v>1</v>
      </c>
      <c r="J648">
        <f>Master_Data!J648</f>
        <v>0.3</v>
      </c>
      <c r="K648">
        <f>Master_Data!K648</f>
        <v>0.33329999999999999</v>
      </c>
      <c r="L648">
        <f>Master_Data!L648</f>
        <v>0.56000000000000005</v>
      </c>
      <c r="M648">
        <f>Master_Data!M648</f>
        <v>0</v>
      </c>
      <c r="N648">
        <f>Master_Data!N648</f>
        <v>14</v>
      </c>
      <c r="O648">
        <f>Master_Data!O648</f>
        <v>95</v>
      </c>
      <c r="P648">
        <f>Master_Data!P648</f>
        <v>109</v>
      </c>
      <c r="Q648" t="str">
        <f t="shared" si="60"/>
        <v>2011</v>
      </c>
      <c r="R648" t="str">
        <f t="shared" si="61"/>
        <v>January</v>
      </c>
      <c r="S648" t="str">
        <f t="shared" si="62"/>
        <v>Sunday</v>
      </c>
      <c r="T648" t="str">
        <f t="shared" si="63"/>
        <v>Afternoon</v>
      </c>
      <c r="U648" t="str">
        <f t="shared" si="64"/>
        <v>Spring</v>
      </c>
      <c r="V648" t="str">
        <f t="shared" si="65"/>
        <v>Clear</v>
      </c>
    </row>
    <row r="649" spans="1:22">
      <c r="A649">
        <f>Master_Data!A649</f>
        <v>657</v>
      </c>
      <c r="B649">
        <f>Master_Data!B649</f>
        <v>40573</v>
      </c>
      <c r="C649">
        <f>Master_Data!C649</f>
        <v>1</v>
      </c>
      <c r="D649">
        <f>Master_Data!D649</f>
        <v>0</v>
      </c>
      <c r="E649">
        <f>Master_Data!E649</f>
        <v>1</v>
      </c>
      <c r="F649">
        <f>Master_Data!F649</f>
        <v>16</v>
      </c>
      <c r="G649" t="b">
        <f>Master_Data!G649</f>
        <v>0</v>
      </c>
      <c r="H649">
        <f>Master_Data!H649</f>
        <v>0</v>
      </c>
      <c r="I649">
        <f>Master_Data!I649</f>
        <v>1</v>
      </c>
      <c r="J649">
        <f>Master_Data!J649</f>
        <v>0.3</v>
      </c>
      <c r="K649">
        <f>Master_Data!K649</f>
        <v>0.33329999999999999</v>
      </c>
      <c r="L649">
        <f>Master_Data!L649</f>
        <v>0.56000000000000005</v>
      </c>
      <c r="M649">
        <f>Master_Data!M649</f>
        <v>0</v>
      </c>
      <c r="N649">
        <f>Master_Data!N649</f>
        <v>19</v>
      </c>
      <c r="O649">
        <f>Master_Data!O649</f>
        <v>104</v>
      </c>
      <c r="P649">
        <f>Master_Data!P649</f>
        <v>123</v>
      </c>
      <c r="Q649" t="str">
        <f t="shared" si="60"/>
        <v>2011</v>
      </c>
      <c r="R649" t="str">
        <f t="shared" si="61"/>
        <v>January</v>
      </c>
      <c r="S649" t="str">
        <f t="shared" si="62"/>
        <v>Sunday</v>
      </c>
      <c r="T649" t="str">
        <f t="shared" si="63"/>
        <v>Afternoon</v>
      </c>
      <c r="U649" t="str">
        <f t="shared" si="64"/>
        <v>Spring</v>
      </c>
      <c r="V649" t="str">
        <f t="shared" si="65"/>
        <v>Clear</v>
      </c>
    </row>
    <row r="650" spans="1:22">
      <c r="A650">
        <f>Master_Data!A650</f>
        <v>658</v>
      </c>
      <c r="B650">
        <f>Master_Data!B650</f>
        <v>40573</v>
      </c>
      <c r="C650">
        <f>Master_Data!C650</f>
        <v>1</v>
      </c>
      <c r="D650">
        <f>Master_Data!D650</f>
        <v>0</v>
      </c>
      <c r="E650">
        <f>Master_Data!E650</f>
        <v>1</v>
      </c>
      <c r="F650">
        <f>Master_Data!F650</f>
        <v>17</v>
      </c>
      <c r="G650" t="b">
        <f>Master_Data!G650</f>
        <v>0</v>
      </c>
      <c r="H650">
        <f>Master_Data!H650</f>
        <v>0</v>
      </c>
      <c r="I650">
        <f>Master_Data!I650</f>
        <v>1</v>
      </c>
      <c r="J650">
        <f>Master_Data!J650</f>
        <v>0.3</v>
      </c>
      <c r="K650">
        <f>Master_Data!K650</f>
        <v>0.28789999999999999</v>
      </c>
      <c r="L650">
        <f>Master_Data!L650</f>
        <v>0.56000000000000005</v>
      </c>
      <c r="M650">
        <f>Master_Data!M650</f>
        <v>0.19400000000000001</v>
      </c>
      <c r="N650">
        <f>Master_Data!N650</f>
        <v>6</v>
      </c>
      <c r="O650">
        <f>Master_Data!O650</f>
        <v>71</v>
      </c>
      <c r="P650">
        <f>Master_Data!P650</f>
        <v>77</v>
      </c>
      <c r="Q650" t="str">
        <f t="shared" si="60"/>
        <v>2011</v>
      </c>
      <c r="R650" t="str">
        <f t="shared" si="61"/>
        <v>January</v>
      </c>
      <c r="S650" t="str">
        <f t="shared" si="62"/>
        <v>Sunday</v>
      </c>
      <c r="T650" t="str">
        <f t="shared" si="63"/>
        <v>Evening</v>
      </c>
      <c r="U650" t="str">
        <f t="shared" si="64"/>
        <v>Spring</v>
      </c>
      <c r="V650" t="str">
        <f t="shared" si="65"/>
        <v>Clear</v>
      </c>
    </row>
    <row r="651" spans="1:22">
      <c r="A651">
        <f>Master_Data!A651</f>
        <v>659</v>
      </c>
      <c r="B651">
        <f>Master_Data!B651</f>
        <v>40573</v>
      </c>
      <c r="C651">
        <f>Master_Data!C651</f>
        <v>1</v>
      </c>
      <c r="D651">
        <f>Master_Data!D651</f>
        <v>0</v>
      </c>
      <c r="E651">
        <f>Master_Data!E651</f>
        <v>1</v>
      </c>
      <c r="F651">
        <f>Master_Data!F651</f>
        <v>18</v>
      </c>
      <c r="G651" t="b">
        <f>Master_Data!G651</f>
        <v>0</v>
      </c>
      <c r="H651">
        <f>Master_Data!H651</f>
        <v>0</v>
      </c>
      <c r="I651">
        <f>Master_Data!I651</f>
        <v>1</v>
      </c>
      <c r="J651">
        <f>Master_Data!J651</f>
        <v>0.26</v>
      </c>
      <c r="K651">
        <f>Master_Data!K651</f>
        <v>0.2576</v>
      </c>
      <c r="L651">
        <f>Master_Data!L651</f>
        <v>0.65</v>
      </c>
      <c r="M651">
        <f>Master_Data!M651</f>
        <v>0.16420000000000001</v>
      </c>
      <c r="N651">
        <f>Master_Data!N651</f>
        <v>8</v>
      </c>
      <c r="O651">
        <f>Master_Data!O651</f>
        <v>57</v>
      </c>
      <c r="P651">
        <f>Master_Data!P651</f>
        <v>65</v>
      </c>
      <c r="Q651" t="str">
        <f t="shared" si="60"/>
        <v>2011</v>
      </c>
      <c r="R651" t="str">
        <f t="shared" si="61"/>
        <v>January</v>
      </c>
      <c r="S651" t="str">
        <f t="shared" si="62"/>
        <v>Sunday</v>
      </c>
      <c r="T651" t="str">
        <f t="shared" si="63"/>
        <v>Evening</v>
      </c>
      <c r="U651" t="str">
        <f t="shared" si="64"/>
        <v>Spring</v>
      </c>
      <c r="V651" t="str">
        <f t="shared" si="65"/>
        <v>Clear</v>
      </c>
    </row>
    <row r="652" spans="1:22">
      <c r="A652">
        <f>Master_Data!A652</f>
        <v>660</v>
      </c>
      <c r="B652">
        <f>Master_Data!B652</f>
        <v>40573</v>
      </c>
      <c r="C652">
        <f>Master_Data!C652</f>
        <v>1</v>
      </c>
      <c r="D652">
        <f>Master_Data!D652</f>
        <v>0</v>
      </c>
      <c r="E652">
        <f>Master_Data!E652</f>
        <v>1</v>
      </c>
      <c r="F652">
        <f>Master_Data!F652</f>
        <v>19</v>
      </c>
      <c r="G652" t="b">
        <f>Master_Data!G652</f>
        <v>0</v>
      </c>
      <c r="H652">
        <f>Master_Data!H652</f>
        <v>0</v>
      </c>
      <c r="I652">
        <f>Master_Data!I652</f>
        <v>1</v>
      </c>
      <c r="J652">
        <f>Master_Data!J652</f>
        <v>0.26</v>
      </c>
      <c r="K652">
        <f>Master_Data!K652</f>
        <v>0.2576</v>
      </c>
      <c r="L652">
        <f>Master_Data!L652</f>
        <v>0.65</v>
      </c>
      <c r="M652">
        <f>Master_Data!M652</f>
        <v>0.19400000000000001</v>
      </c>
      <c r="N652">
        <f>Master_Data!N652</f>
        <v>9</v>
      </c>
      <c r="O652">
        <f>Master_Data!O652</f>
        <v>46</v>
      </c>
      <c r="P652">
        <f>Master_Data!P652</f>
        <v>55</v>
      </c>
      <c r="Q652" t="str">
        <f t="shared" si="60"/>
        <v>2011</v>
      </c>
      <c r="R652" t="str">
        <f t="shared" si="61"/>
        <v>January</v>
      </c>
      <c r="S652" t="str">
        <f t="shared" si="62"/>
        <v>Sunday</v>
      </c>
      <c r="T652" t="str">
        <f t="shared" si="63"/>
        <v>Evening</v>
      </c>
      <c r="U652" t="str">
        <f t="shared" si="64"/>
        <v>Spring</v>
      </c>
      <c r="V652" t="str">
        <f t="shared" si="65"/>
        <v>Clear</v>
      </c>
    </row>
    <row r="653" spans="1:22">
      <c r="A653">
        <f>Master_Data!A653</f>
        <v>661</v>
      </c>
      <c r="B653">
        <f>Master_Data!B653</f>
        <v>40573</v>
      </c>
      <c r="C653">
        <f>Master_Data!C653</f>
        <v>1</v>
      </c>
      <c r="D653">
        <f>Master_Data!D653</f>
        <v>0</v>
      </c>
      <c r="E653">
        <f>Master_Data!E653</f>
        <v>1</v>
      </c>
      <c r="F653">
        <f>Master_Data!F653</f>
        <v>20</v>
      </c>
      <c r="G653" t="b">
        <f>Master_Data!G653</f>
        <v>0</v>
      </c>
      <c r="H653">
        <f>Master_Data!H653</f>
        <v>0</v>
      </c>
      <c r="I653">
        <f>Master_Data!I653</f>
        <v>2</v>
      </c>
      <c r="J653">
        <f>Master_Data!J653</f>
        <v>0.26</v>
      </c>
      <c r="K653">
        <f>Master_Data!K653</f>
        <v>0.2727</v>
      </c>
      <c r="L653">
        <f>Master_Data!L653</f>
        <v>0.65</v>
      </c>
      <c r="M653">
        <f>Master_Data!M653</f>
        <v>0.1045</v>
      </c>
      <c r="N653">
        <f>Master_Data!N653</f>
        <v>3</v>
      </c>
      <c r="O653">
        <f>Master_Data!O653</f>
        <v>30</v>
      </c>
      <c r="P653">
        <f>Master_Data!P653</f>
        <v>33</v>
      </c>
      <c r="Q653" t="str">
        <f t="shared" si="60"/>
        <v>2011</v>
      </c>
      <c r="R653" t="str">
        <f t="shared" si="61"/>
        <v>January</v>
      </c>
      <c r="S653" t="str">
        <f t="shared" si="62"/>
        <v>Sunday</v>
      </c>
      <c r="T653" t="str">
        <f t="shared" si="63"/>
        <v>Evening</v>
      </c>
      <c r="U653" t="str">
        <f t="shared" si="64"/>
        <v>Spring</v>
      </c>
      <c r="V653" t="str">
        <f t="shared" si="65"/>
        <v>Mist/Cloudy</v>
      </c>
    </row>
    <row r="654" spans="1:22">
      <c r="A654">
        <f>Master_Data!A654</f>
        <v>662</v>
      </c>
      <c r="B654">
        <f>Master_Data!B654</f>
        <v>40573</v>
      </c>
      <c r="C654">
        <f>Master_Data!C654</f>
        <v>1</v>
      </c>
      <c r="D654">
        <f>Master_Data!D654</f>
        <v>0</v>
      </c>
      <c r="E654">
        <f>Master_Data!E654</f>
        <v>1</v>
      </c>
      <c r="F654">
        <f>Master_Data!F654</f>
        <v>21</v>
      </c>
      <c r="G654" t="b">
        <f>Master_Data!G654</f>
        <v>0</v>
      </c>
      <c r="H654">
        <f>Master_Data!H654</f>
        <v>0</v>
      </c>
      <c r="I654">
        <f>Master_Data!I654</f>
        <v>2</v>
      </c>
      <c r="J654">
        <f>Master_Data!J654</f>
        <v>0.24</v>
      </c>
      <c r="K654">
        <f>Master_Data!K654</f>
        <v>0.2424</v>
      </c>
      <c r="L654">
        <f>Master_Data!L654</f>
        <v>0.7</v>
      </c>
      <c r="M654">
        <f>Master_Data!M654</f>
        <v>0.16420000000000001</v>
      </c>
      <c r="N654">
        <f>Master_Data!N654</f>
        <v>3</v>
      </c>
      <c r="O654">
        <f>Master_Data!O654</f>
        <v>25</v>
      </c>
      <c r="P654">
        <f>Master_Data!P654</f>
        <v>28</v>
      </c>
      <c r="Q654" t="str">
        <f t="shared" si="60"/>
        <v>2011</v>
      </c>
      <c r="R654" t="str">
        <f t="shared" si="61"/>
        <v>January</v>
      </c>
      <c r="S654" t="str">
        <f t="shared" si="62"/>
        <v>Sunday</v>
      </c>
      <c r="T654" t="str">
        <f t="shared" si="63"/>
        <v>Night</v>
      </c>
      <c r="U654" t="str">
        <f t="shared" si="64"/>
        <v>Spring</v>
      </c>
      <c r="V654" t="str">
        <f t="shared" si="65"/>
        <v>Mist/Cloudy</v>
      </c>
    </row>
    <row r="655" spans="1:22">
      <c r="A655">
        <f>Master_Data!A655</f>
        <v>663</v>
      </c>
      <c r="B655">
        <f>Master_Data!B655</f>
        <v>40573</v>
      </c>
      <c r="C655">
        <f>Master_Data!C655</f>
        <v>1</v>
      </c>
      <c r="D655">
        <f>Master_Data!D655</f>
        <v>0</v>
      </c>
      <c r="E655">
        <f>Master_Data!E655</f>
        <v>1</v>
      </c>
      <c r="F655">
        <f>Master_Data!F655</f>
        <v>22</v>
      </c>
      <c r="G655" t="b">
        <f>Master_Data!G655</f>
        <v>0</v>
      </c>
      <c r="H655">
        <f>Master_Data!H655</f>
        <v>0</v>
      </c>
      <c r="I655">
        <f>Master_Data!I655</f>
        <v>2</v>
      </c>
      <c r="J655">
        <f>Master_Data!J655</f>
        <v>0.24</v>
      </c>
      <c r="K655">
        <f>Master_Data!K655</f>
        <v>0.2273</v>
      </c>
      <c r="L655">
        <f>Master_Data!L655</f>
        <v>0.7</v>
      </c>
      <c r="M655">
        <f>Master_Data!M655</f>
        <v>0.19400000000000001</v>
      </c>
      <c r="N655">
        <f>Master_Data!N655</f>
        <v>2</v>
      </c>
      <c r="O655">
        <f>Master_Data!O655</f>
        <v>19</v>
      </c>
      <c r="P655">
        <f>Master_Data!P655</f>
        <v>21</v>
      </c>
      <c r="Q655" t="str">
        <f t="shared" si="60"/>
        <v>2011</v>
      </c>
      <c r="R655" t="str">
        <f t="shared" si="61"/>
        <v>January</v>
      </c>
      <c r="S655" t="str">
        <f t="shared" si="62"/>
        <v>Sunday</v>
      </c>
      <c r="T655" t="str">
        <f t="shared" si="63"/>
        <v>Night</v>
      </c>
      <c r="U655" t="str">
        <f t="shared" si="64"/>
        <v>Spring</v>
      </c>
      <c r="V655" t="str">
        <f t="shared" si="65"/>
        <v>Mist/Cloudy</v>
      </c>
    </row>
    <row r="656" spans="1:22">
      <c r="A656">
        <f>Master_Data!A656</f>
        <v>664</v>
      </c>
      <c r="B656">
        <f>Master_Data!B656</f>
        <v>40573</v>
      </c>
      <c r="C656">
        <f>Master_Data!C656</f>
        <v>1</v>
      </c>
      <c r="D656">
        <f>Master_Data!D656</f>
        <v>0</v>
      </c>
      <c r="E656">
        <f>Master_Data!E656</f>
        <v>1</v>
      </c>
      <c r="F656">
        <f>Master_Data!F656</f>
        <v>23</v>
      </c>
      <c r="G656" t="b">
        <f>Master_Data!G656</f>
        <v>0</v>
      </c>
      <c r="H656">
        <f>Master_Data!H656</f>
        <v>0</v>
      </c>
      <c r="I656">
        <f>Master_Data!I656</f>
        <v>2</v>
      </c>
      <c r="J656">
        <f>Master_Data!J656</f>
        <v>0.24</v>
      </c>
      <c r="K656">
        <f>Master_Data!K656</f>
        <v>0.21210000000000001</v>
      </c>
      <c r="L656">
        <f>Master_Data!L656</f>
        <v>0.65</v>
      </c>
      <c r="M656">
        <f>Master_Data!M656</f>
        <v>0.28360000000000002</v>
      </c>
      <c r="N656">
        <f>Master_Data!N656</f>
        <v>5</v>
      </c>
      <c r="O656">
        <f>Master_Data!O656</f>
        <v>16</v>
      </c>
      <c r="P656">
        <f>Master_Data!P656</f>
        <v>21</v>
      </c>
      <c r="Q656" t="str">
        <f t="shared" si="60"/>
        <v>2011</v>
      </c>
      <c r="R656" t="str">
        <f t="shared" si="61"/>
        <v>January</v>
      </c>
      <c r="S656" t="str">
        <f t="shared" si="62"/>
        <v>Sunday</v>
      </c>
      <c r="T656" t="str">
        <f t="shared" si="63"/>
        <v>Night</v>
      </c>
      <c r="U656" t="str">
        <f t="shared" si="64"/>
        <v>Spring</v>
      </c>
      <c r="V656" t="str">
        <f t="shared" si="65"/>
        <v>Mist/Cloudy</v>
      </c>
    </row>
    <row r="657" spans="1:22">
      <c r="A657">
        <f>Master_Data!A657</f>
        <v>665</v>
      </c>
      <c r="B657">
        <f>Master_Data!B657</f>
        <v>40574</v>
      </c>
      <c r="C657">
        <f>Master_Data!C657</f>
        <v>1</v>
      </c>
      <c r="D657">
        <f>Master_Data!D657</f>
        <v>0</v>
      </c>
      <c r="E657">
        <f>Master_Data!E657</f>
        <v>1</v>
      </c>
      <c r="F657">
        <f>Master_Data!F657</f>
        <v>0</v>
      </c>
      <c r="G657" t="b">
        <f>Master_Data!G657</f>
        <v>0</v>
      </c>
      <c r="H657">
        <f>Master_Data!H657</f>
        <v>1</v>
      </c>
      <c r="I657">
        <f>Master_Data!I657</f>
        <v>2</v>
      </c>
      <c r="J657">
        <f>Master_Data!J657</f>
        <v>0.24</v>
      </c>
      <c r="K657">
        <f>Master_Data!K657</f>
        <v>0.2273</v>
      </c>
      <c r="L657">
        <f>Master_Data!L657</f>
        <v>0.65</v>
      </c>
      <c r="M657">
        <f>Master_Data!M657</f>
        <v>0.22389999999999999</v>
      </c>
      <c r="N657">
        <f>Master_Data!N657</f>
        <v>1</v>
      </c>
      <c r="O657">
        <f>Master_Data!O657</f>
        <v>6</v>
      </c>
      <c r="P657">
        <f>Master_Data!P657</f>
        <v>7</v>
      </c>
      <c r="Q657" t="str">
        <f t="shared" si="60"/>
        <v>2011</v>
      </c>
      <c r="R657" t="str">
        <f t="shared" si="61"/>
        <v>January</v>
      </c>
      <c r="S657" t="str">
        <f t="shared" si="62"/>
        <v>Weekday</v>
      </c>
      <c r="T657" t="str">
        <f t="shared" si="63"/>
        <v>Night</v>
      </c>
      <c r="U657" t="str">
        <f t="shared" si="64"/>
        <v>Spring</v>
      </c>
      <c r="V657" t="str">
        <f t="shared" si="65"/>
        <v>Mist/Cloudy</v>
      </c>
    </row>
    <row r="658" spans="1:22">
      <c r="A658">
        <f>Master_Data!A658</f>
        <v>666</v>
      </c>
      <c r="B658">
        <f>Master_Data!B658</f>
        <v>40574</v>
      </c>
      <c r="C658">
        <f>Master_Data!C658</f>
        <v>1</v>
      </c>
      <c r="D658">
        <f>Master_Data!D658</f>
        <v>0</v>
      </c>
      <c r="E658">
        <f>Master_Data!E658</f>
        <v>1</v>
      </c>
      <c r="F658">
        <f>Master_Data!F658</f>
        <v>1</v>
      </c>
      <c r="G658" t="b">
        <f>Master_Data!G658</f>
        <v>0</v>
      </c>
      <c r="H658">
        <f>Master_Data!H658</f>
        <v>1</v>
      </c>
      <c r="I658">
        <f>Master_Data!I658</f>
        <v>1</v>
      </c>
      <c r="J658">
        <f>Master_Data!J658</f>
        <v>0.22</v>
      </c>
      <c r="K658">
        <f>Master_Data!K658</f>
        <v>0.21210000000000001</v>
      </c>
      <c r="L658">
        <f>Master_Data!L658</f>
        <v>0.64</v>
      </c>
      <c r="M658">
        <f>Master_Data!M658</f>
        <v>0.25369999999999998</v>
      </c>
      <c r="N658">
        <f>Master_Data!N658</f>
        <v>2</v>
      </c>
      <c r="O658">
        <f>Master_Data!O658</f>
        <v>5</v>
      </c>
      <c r="P658">
        <f>Master_Data!P658</f>
        <v>7</v>
      </c>
      <c r="Q658" t="str">
        <f t="shared" si="60"/>
        <v>2011</v>
      </c>
      <c r="R658" t="str">
        <f t="shared" si="61"/>
        <v>January</v>
      </c>
      <c r="S658" t="str">
        <f t="shared" si="62"/>
        <v>Weekday</v>
      </c>
      <c r="T658" t="str">
        <f t="shared" si="63"/>
        <v>Night</v>
      </c>
      <c r="U658" t="str">
        <f t="shared" si="64"/>
        <v>Spring</v>
      </c>
      <c r="V658" t="str">
        <f t="shared" si="65"/>
        <v>Clear</v>
      </c>
    </row>
    <row r="659" spans="1:22">
      <c r="A659">
        <f>Master_Data!A659</f>
        <v>667</v>
      </c>
      <c r="B659">
        <f>Master_Data!B659</f>
        <v>40574</v>
      </c>
      <c r="C659">
        <f>Master_Data!C659</f>
        <v>1</v>
      </c>
      <c r="D659">
        <f>Master_Data!D659</f>
        <v>0</v>
      </c>
      <c r="E659">
        <f>Master_Data!E659</f>
        <v>1</v>
      </c>
      <c r="F659">
        <f>Master_Data!F659</f>
        <v>2</v>
      </c>
      <c r="G659" t="b">
        <f>Master_Data!G659</f>
        <v>0</v>
      </c>
      <c r="H659">
        <f>Master_Data!H659</f>
        <v>1</v>
      </c>
      <c r="I659">
        <f>Master_Data!I659</f>
        <v>1</v>
      </c>
      <c r="J659">
        <f>Master_Data!J659</f>
        <v>0.22</v>
      </c>
      <c r="K659">
        <f>Master_Data!K659</f>
        <v>0.2273</v>
      </c>
      <c r="L659">
        <f>Master_Data!L659</f>
        <v>0.64</v>
      </c>
      <c r="M659">
        <f>Master_Data!M659</f>
        <v>0.19400000000000001</v>
      </c>
      <c r="N659">
        <f>Master_Data!N659</f>
        <v>0</v>
      </c>
      <c r="O659">
        <f>Master_Data!O659</f>
        <v>1</v>
      </c>
      <c r="P659">
        <f>Master_Data!P659</f>
        <v>1</v>
      </c>
      <c r="Q659" t="str">
        <f t="shared" si="60"/>
        <v>2011</v>
      </c>
      <c r="R659" t="str">
        <f t="shared" si="61"/>
        <v>January</v>
      </c>
      <c r="S659" t="str">
        <f t="shared" si="62"/>
        <v>Weekday</v>
      </c>
      <c r="T659" t="str">
        <f t="shared" si="63"/>
        <v>Night</v>
      </c>
      <c r="U659" t="str">
        <f t="shared" si="64"/>
        <v>Spring</v>
      </c>
      <c r="V659" t="str">
        <f t="shared" si="65"/>
        <v>Clear</v>
      </c>
    </row>
    <row r="660" spans="1:22">
      <c r="A660">
        <f>Master_Data!A660</f>
        <v>668</v>
      </c>
      <c r="B660">
        <f>Master_Data!B660</f>
        <v>40574</v>
      </c>
      <c r="C660">
        <f>Master_Data!C660</f>
        <v>1</v>
      </c>
      <c r="D660">
        <f>Master_Data!D660</f>
        <v>0</v>
      </c>
      <c r="E660">
        <f>Master_Data!E660</f>
        <v>1</v>
      </c>
      <c r="F660">
        <f>Master_Data!F660</f>
        <v>3</v>
      </c>
      <c r="G660" t="b">
        <f>Master_Data!G660</f>
        <v>0</v>
      </c>
      <c r="H660">
        <f>Master_Data!H660</f>
        <v>1</v>
      </c>
      <c r="I660">
        <f>Master_Data!I660</f>
        <v>1</v>
      </c>
      <c r="J660">
        <f>Master_Data!J660</f>
        <v>0.22</v>
      </c>
      <c r="K660">
        <f>Master_Data!K660</f>
        <v>0.2273</v>
      </c>
      <c r="L660">
        <f>Master_Data!L660</f>
        <v>0.64</v>
      </c>
      <c r="M660">
        <f>Master_Data!M660</f>
        <v>0.19400000000000001</v>
      </c>
      <c r="N660">
        <f>Master_Data!N660</f>
        <v>0</v>
      </c>
      <c r="O660">
        <f>Master_Data!O660</f>
        <v>2</v>
      </c>
      <c r="P660">
        <f>Master_Data!P660</f>
        <v>2</v>
      </c>
      <c r="Q660" t="str">
        <f t="shared" si="60"/>
        <v>2011</v>
      </c>
      <c r="R660" t="str">
        <f t="shared" si="61"/>
        <v>January</v>
      </c>
      <c r="S660" t="str">
        <f t="shared" si="62"/>
        <v>Weekday</v>
      </c>
      <c r="T660" t="str">
        <f t="shared" si="63"/>
        <v>Night</v>
      </c>
      <c r="U660" t="str">
        <f t="shared" si="64"/>
        <v>Spring</v>
      </c>
      <c r="V660" t="str">
        <f t="shared" si="65"/>
        <v>Clear</v>
      </c>
    </row>
    <row r="661" spans="1:22">
      <c r="A661">
        <f>Master_Data!A661</f>
        <v>669</v>
      </c>
      <c r="B661">
        <f>Master_Data!B661</f>
        <v>40574</v>
      </c>
      <c r="C661">
        <f>Master_Data!C661</f>
        <v>1</v>
      </c>
      <c r="D661">
        <f>Master_Data!D661</f>
        <v>0</v>
      </c>
      <c r="E661">
        <f>Master_Data!E661</f>
        <v>1</v>
      </c>
      <c r="F661">
        <f>Master_Data!F661</f>
        <v>4</v>
      </c>
      <c r="G661" t="b">
        <f>Master_Data!G661</f>
        <v>0</v>
      </c>
      <c r="H661">
        <f>Master_Data!H661</f>
        <v>1</v>
      </c>
      <c r="I661">
        <f>Master_Data!I661</f>
        <v>1</v>
      </c>
      <c r="J661">
        <f>Master_Data!J661</f>
        <v>0.2</v>
      </c>
      <c r="K661">
        <f>Master_Data!K661</f>
        <v>0.19700000000000001</v>
      </c>
      <c r="L661">
        <f>Master_Data!L661</f>
        <v>0.59</v>
      </c>
      <c r="M661">
        <f>Master_Data!M661</f>
        <v>0.22389999999999999</v>
      </c>
      <c r="N661">
        <f>Master_Data!N661</f>
        <v>0</v>
      </c>
      <c r="O661">
        <f>Master_Data!O661</f>
        <v>2</v>
      </c>
      <c r="P661">
        <f>Master_Data!P661</f>
        <v>2</v>
      </c>
      <c r="Q661" t="str">
        <f t="shared" si="60"/>
        <v>2011</v>
      </c>
      <c r="R661" t="str">
        <f t="shared" si="61"/>
        <v>January</v>
      </c>
      <c r="S661" t="str">
        <f t="shared" si="62"/>
        <v>Weekday</v>
      </c>
      <c r="T661" t="str">
        <f t="shared" si="63"/>
        <v>Night</v>
      </c>
      <c r="U661" t="str">
        <f t="shared" si="64"/>
        <v>Spring</v>
      </c>
      <c r="V661" t="str">
        <f t="shared" si="65"/>
        <v>Clear</v>
      </c>
    </row>
    <row r="662" spans="1:22">
      <c r="A662">
        <f>Master_Data!A662</f>
        <v>670</v>
      </c>
      <c r="B662">
        <f>Master_Data!B662</f>
        <v>40574</v>
      </c>
      <c r="C662">
        <f>Master_Data!C662</f>
        <v>1</v>
      </c>
      <c r="D662">
        <f>Master_Data!D662</f>
        <v>0</v>
      </c>
      <c r="E662">
        <f>Master_Data!E662</f>
        <v>1</v>
      </c>
      <c r="F662">
        <f>Master_Data!F662</f>
        <v>5</v>
      </c>
      <c r="G662" t="b">
        <f>Master_Data!G662</f>
        <v>0</v>
      </c>
      <c r="H662">
        <f>Master_Data!H662</f>
        <v>1</v>
      </c>
      <c r="I662">
        <f>Master_Data!I662</f>
        <v>1</v>
      </c>
      <c r="J662">
        <f>Master_Data!J662</f>
        <v>0.18</v>
      </c>
      <c r="K662">
        <f>Master_Data!K662</f>
        <v>0.16669999999999999</v>
      </c>
      <c r="L662">
        <f>Master_Data!L662</f>
        <v>0.64</v>
      </c>
      <c r="M662">
        <f>Master_Data!M662</f>
        <v>0.28360000000000002</v>
      </c>
      <c r="N662">
        <f>Master_Data!N662</f>
        <v>0</v>
      </c>
      <c r="O662">
        <f>Master_Data!O662</f>
        <v>8</v>
      </c>
      <c r="P662">
        <f>Master_Data!P662</f>
        <v>8</v>
      </c>
      <c r="Q662" t="str">
        <f t="shared" si="60"/>
        <v>2011</v>
      </c>
      <c r="R662" t="str">
        <f t="shared" si="61"/>
        <v>January</v>
      </c>
      <c r="S662" t="str">
        <f t="shared" si="62"/>
        <v>Weekday</v>
      </c>
      <c r="T662" t="str">
        <f t="shared" si="63"/>
        <v>Night</v>
      </c>
      <c r="U662" t="str">
        <f t="shared" si="64"/>
        <v>Spring</v>
      </c>
      <c r="V662" t="str">
        <f t="shared" si="65"/>
        <v>Clear</v>
      </c>
    </row>
    <row r="663" spans="1:22">
      <c r="A663">
        <f>Master_Data!A663</f>
        <v>671</v>
      </c>
      <c r="B663">
        <f>Master_Data!B663</f>
        <v>40574</v>
      </c>
      <c r="C663">
        <f>Master_Data!C663</f>
        <v>1</v>
      </c>
      <c r="D663">
        <f>Master_Data!D663</f>
        <v>0</v>
      </c>
      <c r="E663">
        <f>Master_Data!E663</f>
        <v>1</v>
      </c>
      <c r="F663">
        <f>Master_Data!F663</f>
        <v>6</v>
      </c>
      <c r="G663" t="b">
        <f>Master_Data!G663</f>
        <v>0</v>
      </c>
      <c r="H663">
        <f>Master_Data!H663</f>
        <v>1</v>
      </c>
      <c r="I663">
        <f>Master_Data!I663</f>
        <v>1</v>
      </c>
      <c r="J663">
        <f>Master_Data!J663</f>
        <v>0.16</v>
      </c>
      <c r="K663">
        <f>Master_Data!K663</f>
        <v>0.13639999999999999</v>
      </c>
      <c r="L663">
        <f>Master_Data!L663</f>
        <v>0.69</v>
      </c>
      <c r="M663">
        <f>Master_Data!M663</f>
        <v>0.32840000000000003</v>
      </c>
      <c r="N663">
        <f>Master_Data!N663</f>
        <v>0</v>
      </c>
      <c r="O663">
        <f>Master_Data!O663</f>
        <v>37</v>
      </c>
      <c r="P663">
        <f>Master_Data!P663</f>
        <v>37</v>
      </c>
      <c r="Q663" t="str">
        <f t="shared" si="60"/>
        <v>2011</v>
      </c>
      <c r="R663" t="str">
        <f t="shared" si="61"/>
        <v>January</v>
      </c>
      <c r="S663" t="str">
        <f t="shared" si="62"/>
        <v>Weekday</v>
      </c>
      <c r="T663" t="str">
        <f t="shared" si="63"/>
        <v>Morning</v>
      </c>
      <c r="U663" t="str">
        <f t="shared" si="64"/>
        <v>Spring</v>
      </c>
      <c r="V663" t="str">
        <f t="shared" si="65"/>
        <v>Clear</v>
      </c>
    </row>
    <row r="664" spans="1:22">
      <c r="A664">
        <f>Master_Data!A664</f>
        <v>672</v>
      </c>
      <c r="B664">
        <f>Master_Data!B664</f>
        <v>40574</v>
      </c>
      <c r="C664">
        <f>Master_Data!C664</f>
        <v>1</v>
      </c>
      <c r="D664">
        <f>Master_Data!D664</f>
        <v>0</v>
      </c>
      <c r="E664">
        <f>Master_Data!E664</f>
        <v>1</v>
      </c>
      <c r="F664">
        <f>Master_Data!F664</f>
        <v>7</v>
      </c>
      <c r="G664" t="b">
        <f>Master_Data!G664</f>
        <v>0</v>
      </c>
      <c r="H664">
        <f>Master_Data!H664</f>
        <v>1</v>
      </c>
      <c r="I664">
        <f>Master_Data!I664</f>
        <v>2</v>
      </c>
      <c r="J664">
        <f>Master_Data!J664</f>
        <v>0.16</v>
      </c>
      <c r="K664">
        <f>Master_Data!K664</f>
        <v>0.13639999999999999</v>
      </c>
      <c r="L664">
        <f>Master_Data!L664</f>
        <v>0.64</v>
      </c>
      <c r="M664">
        <f>Master_Data!M664</f>
        <v>0.28360000000000002</v>
      </c>
      <c r="N664">
        <f>Master_Data!N664</f>
        <v>1</v>
      </c>
      <c r="O664">
        <f>Master_Data!O664</f>
        <v>71</v>
      </c>
      <c r="P664">
        <f>Master_Data!P664</f>
        <v>72</v>
      </c>
      <c r="Q664" t="str">
        <f t="shared" si="60"/>
        <v>2011</v>
      </c>
      <c r="R664" t="str">
        <f t="shared" si="61"/>
        <v>January</v>
      </c>
      <c r="S664" t="str">
        <f t="shared" si="62"/>
        <v>Weekday</v>
      </c>
      <c r="T664" t="str">
        <f t="shared" si="63"/>
        <v>Morning</v>
      </c>
      <c r="U664" t="str">
        <f t="shared" si="64"/>
        <v>Spring</v>
      </c>
      <c r="V664" t="str">
        <f t="shared" si="65"/>
        <v>Mist/Cloudy</v>
      </c>
    </row>
    <row r="665" spans="1:22">
      <c r="A665">
        <f>Master_Data!A665</f>
        <v>673</v>
      </c>
      <c r="B665">
        <f>Master_Data!B665</f>
        <v>40574</v>
      </c>
      <c r="C665">
        <f>Master_Data!C665</f>
        <v>1</v>
      </c>
      <c r="D665">
        <f>Master_Data!D665</f>
        <v>0</v>
      </c>
      <c r="E665">
        <f>Master_Data!E665</f>
        <v>1</v>
      </c>
      <c r="F665">
        <f>Master_Data!F665</f>
        <v>8</v>
      </c>
      <c r="G665" t="b">
        <f>Master_Data!G665</f>
        <v>0</v>
      </c>
      <c r="H665">
        <f>Master_Data!H665</f>
        <v>1</v>
      </c>
      <c r="I665">
        <f>Master_Data!I665</f>
        <v>2</v>
      </c>
      <c r="J665">
        <f>Master_Data!J665</f>
        <v>0.16</v>
      </c>
      <c r="K665">
        <f>Master_Data!K665</f>
        <v>0.13639999999999999</v>
      </c>
      <c r="L665">
        <f>Master_Data!L665</f>
        <v>0.59</v>
      </c>
      <c r="M665">
        <f>Master_Data!M665</f>
        <v>0.28360000000000002</v>
      </c>
      <c r="N665">
        <f>Master_Data!N665</f>
        <v>3</v>
      </c>
      <c r="O665">
        <f>Master_Data!O665</f>
        <v>182</v>
      </c>
      <c r="P665">
        <f>Master_Data!P665</f>
        <v>185</v>
      </c>
      <c r="Q665" t="str">
        <f t="shared" si="60"/>
        <v>2011</v>
      </c>
      <c r="R665" t="str">
        <f t="shared" si="61"/>
        <v>January</v>
      </c>
      <c r="S665" t="str">
        <f t="shared" si="62"/>
        <v>Weekday</v>
      </c>
      <c r="T665" t="str">
        <f t="shared" si="63"/>
        <v>Morning</v>
      </c>
      <c r="U665" t="str">
        <f t="shared" si="64"/>
        <v>Spring</v>
      </c>
      <c r="V665" t="str">
        <f t="shared" si="65"/>
        <v>Mist/Cloudy</v>
      </c>
    </row>
    <row r="666" spans="1:22">
      <c r="A666">
        <f>Master_Data!A666</f>
        <v>674</v>
      </c>
      <c r="B666">
        <f>Master_Data!B666</f>
        <v>40574</v>
      </c>
      <c r="C666">
        <f>Master_Data!C666</f>
        <v>1</v>
      </c>
      <c r="D666">
        <f>Master_Data!D666</f>
        <v>0</v>
      </c>
      <c r="E666">
        <f>Master_Data!E666</f>
        <v>1</v>
      </c>
      <c r="F666">
        <f>Master_Data!F666</f>
        <v>9</v>
      </c>
      <c r="G666" t="b">
        <f>Master_Data!G666</f>
        <v>0</v>
      </c>
      <c r="H666">
        <f>Master_Data!H666</f>
        <v>1</v>
      </c>
      <c r="I666">
        <f>Master_Data!I666</f>
        <v>2</v>
      </c>
      <c r="J666">
        <f>Master_Data!J666</f>
        <v>0.16</v>
      </c>
      <c r="K666">
        <f>Master_Data!K666</f>
        <v>0.13639999999999999</v>
      </c>
      <c r="L666">
        <f>Master_Data!L666</f>
        <v>0.59</v>
      </c>
      <c r="M666">
        <f>Master_Data!M666</f>
        <v>0.29849999999999999</v>
      </c>
      <c r="N666">
        <f>Master_Data!N666</f>
        <v>0</v>
      </c>
      <c r="O666">
        <f>Master_Data!O666</f>
        <v>112</v>
      </c>
      <c r="P666">
        <f>Master_Data!P666</f>
        <v>112</v>
      </c>
      <c r="Q666" t="str">
        <f t="shared" si="60"/>
        <v>2011</v>
      </c>
      <c r="R666" t="str">
        <f t="shared" si="61"/>
        <v>January</v>
      </c>
      <c r="S666" t="str">
        <f t="shared" si="62"/>
        <v>Weekday</v>
      </c>
      <c r="T666" t="str">
        <f t="shared" si="63"/>
        <v>Morning</v>
      </c>
      <c r="U666" t="str">
        <f t="shared" si="64"/>
        <v>Spring</v>
      </c>
      <c r="V666" t="str">
        <f t="shared" si="65"/>
        <v>Mist/Cloudy</v>
      </c>
    </row>
    <row r="667" spans="1:22">
      <c r="A667">
        <f>Master_Data!A667</f>
        <v>675</v>
      </c>
      <c r="B667">
        <f>Master_Data!B667</f>
        <v>40574</v>
      </c>
      <c r="C667">
        <f>Master_Data!C667</f>
        <v>1</v>
      </c>
      <c r="D667">
        <f>Master_Data!D667</f>
        <v>0</v>
      </c>
      <c r="E667">
        <f>Master_Data!E667</f>
        <v>1</v>
      </c>
      <c r="F667">
        <f>Master_Data!F667</f>
        <v>10</v>
      </c>
      <c r="G667" t="b">
        <f>Master_Data!G667</f>
        <v>0</v>
      </c>
      <c r="H667">
        <f>Master_Data!H667</f>
        <v>1</v>
      </c>
      <c r="I667">
        <f>Master_Data!I667</f>
        <v>2</v>
      </c>
      <c r="J667">
        <f>Master_Data!J667</f>
        <v>0.16</v>
      </c>
      <c r="K667">
        <f>Master_Data!K667</f>
        <v>0.1515</v>
      </c>
      <c r="L667">
        <f>Master_Data!L667</f>
        <v>0.59</v>
      </c>
      <c r="M667">
        <f>Master_Data!M667</f>
        <v>0.19400000000000001</v>
      </c>
      <c r="N667">
        <f>Master_Data!N667</f>
        <v>1</v>
      </c>
      <c r="O667">
        <f>Master_Data!O667</f>
        <v>68</v>
      </c>
      <c r="P667">
        <f>Master_Data!P667</f>
        <v>69</v>
      </c>
      <c r="Q667" t="str">
        <f t="shared" si="60"/>
        <v>2011</v>
      </c>
      <c r="R667" t="str">
        <f t="shared" si="61"/>
        <v>January</v>
      </c>
      <c r="S667" t="str">
        <f t="shared" si="62"/>
        <v>Weekday</v>
      </c>
      <c r="T667" t="str">
        <f t="shared" si="63"/>
        <v>Morning</v>
      </c>
      <c r="U667" t="str">
        <f t="shared" si="64"/>
        <v>Spring</v>
      </c>
      <c r="V667" t="str">
        <f t="shared" si="65"/>
        <v>Mist/Cloudy</v>
      </c>
    </row>
    <row r="668" spans="1:22">
      <c r="A668">
        <f>Master_Data!A668</f>
        <v>676</v>
      </c>
      <c r="B668">
        <f>Master_Data!B668</f>
        <v>40574</v>
      </c>
      <c r="C668">
        <f>Master_Data!C668</f>
        <v>1</v>
      </c>
      <c r="D668">
        <f>Master_Data!D668</f>
        <v>0</v>
      </c>
      <c r="E668">
        <f>Master_Data!E668</f>
        <v>1</v>
      </c>
      <c r="F668">
        <f>Master_Data!F668</f>
        <v>11</v>
      </c>
      <c r="G668" t="b">
        <f>Master_Data!G668</f>
        <v>0</v>
      </c>
      <c r="H668">
        <f>Master_Data!H668</f>
        <v>1</v>
      </c>
      <c r="I668">
        <f>Master_Data!I668</f>
        <v>2</v>
      </c>
      <c r="J668">
        <f>Master_Data!J668</f>
        <v>0.16</v>
      </c>
      <c r="K668">
        <f>Master_Data!K668</f>
        <v>0.1515</v>
      </c>
      <c r="L668">
        <f>Master_Data!L668</f>
        <v>0.59</v>
      </c>
      <c r="M668">
        <f>Master_Data!M668</f>
        <v>0.19400000000000001</v>
      </c>
      <c r="N668">
        <f>Master_Data!N668</f>
        <v>2</v>
      </c>
      <c r="O668">
        <f>Master_Data!O668</f>
        <v>46</v>
      </c>
      <c r="P668">
        <f>Master_Data!P668</f>
        <v>48</v>
      </c>
      <c r="Q668" t="str">
        <f t="shared" si="60"/>
        <v>2011</v>
      </c>
      <c r="R668" t="str">
        <f t="shared" si="61"/>
        <v>January</v>
      </c>
      <c r="S668" t="str">
        <f t="shared" si="62"/>
        <v>Weekday</v>
      </c>
      <c r="T668" t="str">
        <f t="shared" si="63"/>
        <v>Morning</v>
      </c>
      <c r="U668" t="str">
        <f t="shared" si="64"/>
        <v>Spring</v>
      </c>
      <c r="V668" t="str">
        <f t="shared" si="65"/>
        <v>Mist/Cloudy</v>
      </c>
    </row>
    <row r="669" spans="1:22">
      <c r="A669">
        <f>Master_Data!A669</f>
        <v>677</v>
      </c>
      <c r="B669">
        <f>Master_Data!B669</f>
        <v>40574</v>
      </c>
      <c r="C669">
        <f>Master_Data!C669</f>
        <v>1</v>
      </c>
      <c r="D669">
        <f>Master_Data!D669</f>
        <v>0</v>
      </c>
      <c r="E669">
        <f>Master_Data!E669</f>
        <v>1</v>
      </c>
      <c r="F669">
        <f>Master_Data!F669</f>
        <v>12</v>
      </c>
      <c r="G669" t="b">
        <f>Master_Data!G669</f>
        <v>0</v>
      </c>
      <c r="H669">
        <f>Master_Data!H669</f>
        <v>1</v>
      </c>
      <c r="I669">
        <f>Master_Data!I669</f>
        <v>2</v>
      </c>
      <c r="J669">
        <f>Master_Data!J669</f>
        <v>0.18</v>
      </c>
      <c r="K669">
        <f>Master_Data!K669</f>
        <v>0.21210000000000001</v>
      </c>
      <c r="L669">
        <f>Master_Data!L669</f>
        <v>0.55000000000000004</v>
      </c>
      <c r="M669">
        <f>Master_Data!M669</f>
        <v>0.1045</v>
      </c>
      <c r="N669">
        <f>Master_Data!N669</f>
        <v>6</v>
      </c>
      <c r="O669">
        <f>Master_Data!O669</f>
        <v>62</v>
      </c>
      <c r="P669">
        <f>Master_Data!P669</f>
        <v>68</v>
      </c>
      <c r="Q669" t="str">
        <f t="shared" si="60"/>
        <v>2011</v>
      </c>
      <c r="R669" t="str">
        <f t="shared" si="61"/>
        <v>January</v>
      </c>
      <c r="S669" t="str">
        <f t="shared" si="62"/>
        <v>Weekday</v>
      </c>
      <c r="T669" t="str">
        <f t="shared" si="63"/>
        <v>Afternoon</v>
      </c>
      <c r="U669" t="str">
        <f t="shared" si="64"/>
        <v>Spring</v>
      </c>
      <c r="V669" t="str">
        <f t="shared" si="65"/>
        <v>Mist/Cloudy</v>
      </c>
    </row>
    <row r="670" spans="1:22">
      <c r="A670">
        <f>Master_Data!A670</f>
        <v>678</v>
      </c>
      <c r="B670">
        <f>Master_Data!B670</f>
        <v>40574</v>
      </c>
      <c r="C670">
        <f>Master_Data!C670</f>
        <v>1</v>
      </c>
      <c r="D670">
        <f>Master_Data!D670</f>
        <v>0</v>
      </c>
      <c r="E670">
        <f>Master_Data!E670</f>
        <v>1</v>
      </c>
      <c r="F670">
        <f>Master_Data!F670</f>
        <v>13</v>
      </c>
      <c r="G670" t="b">
        <f>Master_Data!G670</f>
        <v>0</v>
      </c>
      <c r="H670">
        <f>Master_Data!H670</f>
        <v>1</v>
      </c>
      <c r="I670">
        <f>Master_Data!I670</f>
        <v>2</v>
      </c>
      <c r="J670">
        <f>Master_Data!J670</f>
        <v>0.16</v>
      </c>
      <c r="K670">
        <f>Master_Data!K670</f>
        <v>0.2273</v>
      </c>
      <c r="L670">
        <f>Master_Data!L670</f>
        <v>0.59</v>
      </c>
      <c r="M670">
        <f>Master_Data!M670</f>
        <v>0</v>
      </c>
      <c r="N670">
        <f>Master_Data!N670</f>
        <v>2</v>
      </c>
      <c r="O670">
        <f>Master_Data!O670</f>
        <v>52</v>
      </c>
      <c r="P670">
        <f>Master_Data!P670</f>
        <v>54</v>
      </c>
      <c r="Q670" t="str">
        <f t="shared" si="60"/>
        <v>2011</v>
      </c>
      <c r="R670" t="str">
        <f t="shared" si="61"/>
        <v>January</v>
      </c>
      <c r="S670" t="str">
        <f t="shared" si="62"/>
        <v>Weekday</v>
      </c>
      <c r="T670" t="str">
        <f t="shared" si="63"/>
        <v>Afternoon</v>
      </c>
      <c r="U670" t="str">
        <f t="shared" si="64"/>
        <v>Spring</v>
      </c>
      <c r="V670" t="str">
        <f t="shared" si="65"/>
        <v>Mist/Cloudy</v>
      </c>
    </row>
    <row r="671" spans="1:22">
      <c r="A671">
        <f>Master_Data!A671</f>
        <v>679</v>
      </c>
      <c r="B671">
        <f>Master_Data!B671</f>
        <v>40574</v>
      </c>
      <c r="C671">
        <f>Master_Data!C671</f>
        <v>1</v>
      </c>
      <c r="D671">
        <f>Master_Data!D671</f>
        <v>0</v>
      </c>
      <c r="E671">
        <f>Master_Data!E671</f>
        <v>1</v>
      </c>
      <c r="F671">
        <f>Master_Data!F671</f>
        <v>14</v>
      </c>
      <c r="G671" t="b">
        <f>Master_Data!G671</f>
        <v>0</v>
      </c>
      <c r="H671">
        <f>Master_Data!H671</f>
        <v>1</v>
      </c>
      <c r="I671">
        <f>Master_Data!I671</f>
        <v>2</v>
      </c>
      <c r="J671">
        <f>Master_Data!J671</f>
        <v>0.18</v>
      </c>
      <c r="K671">
        <f>Master_Data!K671</f>
        <v>0.19700000000000001</v>
      </c>
      <c r="L671">
        <f>Master_Data!L671</f>
        <v>0.55000000000000004</v>
      </c>
      <c r="M671">
        <f>Master_Data!M671</f>
        <v>0.1343</v>
      </c>
      <c r="N671">
        <f>Master_Data!N671</f>
        <v>1</v>
      </c>
      <c r="O671">
        <f>Master_Data!O671</f>
        <v>85</v>
      </c>
      <c r="P671">
        <f>Master_Data!P671</f>
        <v>86</v>
      </c>
      <c r="Q671" t="str">
        <f t="shared" si="60"/>
        <v>2011</v>
      </c>
      <c r="R671" t="str">
        <f t="shared" si="61"/>
        <v>January</v>
      </c>
      <c r="S671" t="str">
        <f t="shared" si="62"/>
        <v>Weekday</v>
      </c>
      <c r="T671" t="str">
        <f t="shared" si="63"/>
        <v>Afternoon</v>
      </c>
      <c r="U671" t="str">
        <f t="shared" si="64"/>
        <v>Spring</v>
      </c>
      <c r="V671" t="str">
        <f t="shared" si="65"/>
        <v>Mist/Cloudy</v>
      </c>
    </row>
    <row r="672" spans="1:22">
      <c r="A672">
        <f>Master_Data!A672</f>
        <v>680</v>
      </c>
      <c r="B672">
        <f>Master_Data!B672</f>
        <v>40574</v>
      </c>
      <c r="C672">
        <f>Master_Data!C672</f>
        <v>1</v>
      </c>
      <c r="D672">
        <f>Master_Data!D672</f>
        <v>0</v>
      </c>
      <c r="E672">
        <f>Master_Data!E672</f>
        <v>1</v>
      </c>
      <c r="F672">
        <f>Master_Data!F672</f>
        <v>15</v>
      </c>
      <c r="G672" t="b">
        <f>Master_Data!G672</f>
        <v>0</v>
      </c>
      <c r="H672">
        <f>Master_Data!H672</f>
        <v>1</v>
      </c>
      <c r="I672">
        <f>Master_Data!I672</f>
        <v>2</v>
      </c>
      <c r="J672">
        <f>Master_Data!J672</f>
        <v>0.16</v>
      </c>
      <c r="K672">
        <f>Master_Data!K672</f>
        <v>0.18179999999999999</v>
      </c>
      <c r="L672">
        <f>Master_Data!L672</f>
        <v>0.59</v>
      </c>
      <c r="M672">
        <f>Master_Data!M672</f>
        <v>0.1343</v>
      </c>
      <c r="N672">
        <f>Master_Data!N672</f>
        <v>3</v>
      </c>
      <c r="O672">
        <f>Master_Data!O672</f>
        <v>41</v>
      </c>
      <c r="P672">
        <f>Master_Data!P672</f>
        <v>44</v>
      </c>
      <c r="Q672" t="str">
        <f t="shared" si="60"/>
        <v>2011</v>
      </c>
      <c r="R672" t="str">
        <f t="shared" si="61"/>
        <v>January</v>
      </c>
      <c r="S672" t="str">
        <f t="shared" si="62"/>
        <v>Weekday</v>
      </c>
      <c r="T672" t="str">
        <f t="shared" si="63"/>
        <v>Afternoon</v>
      </c>
      <c r="U672" t="str">
        <f t="shared" si="64"/>
        <v>Spring</v>
      </c>
      <c r="V672" t="str">
        <f t="shared" si="65"/>
        <v>Mist/Cloudy</v>
      </c>
    </row>
    <row r="673" spans="1:22">
      <c r="A673">
        <f>Master_Data!A673</f>
        <v>681</v>
      </c>
      <c r="B673">
        <f>Master_Data!B673</f>
        <v>40574</v>
      </c>
      <c r="C673">
        <f>Master_Data!C673</f>
        <v>1</v>
      </c>
      <c r="D673">
        <f>Master_Data!D673</f>
        <v>0</v>
      </c>
      <c r="E673">
        <f>Master_Data!E673</f>
        <v>1</v>
      </c>
      <c r="F673">
        <f>Master_Data!F673</f>
        <v>16</v>
      </c>
      <c r="G673" t="b">
        <f>Master_Data!G673</f>
        <v>0</v>
      </c>
      <c r="H673">
        <f>Master_Data!H673</f>
        <v>1</v>
      </c>
      <c r="I673">
        <f>Master_Data!I673</f>
        <v>2</v>
      </c>
      <c r="J673">
        <f>Master_Data!J673</f>
        <v>0.16</v>
      </c>
      <c r="K673">
        <f>Master_Data!K673</f>
        <v>0.18179999999999999</v>
      </c>
      <c r="L673">
        <f>Master_Data!L673</f>
        <v>0.56000000000000005</v>
      </c>
      <c r="M673">
        <f>Master_Data!M673</f>
        <v>0.19400000000000001</v>
      </c>
      <c r="N673">
        <f>Master_Data!N673</f>
        <v>3</v>
      </c>
      <c r="O673">
        <f>Master_Data!O673</f>
        <v>83</v>
      </c>
      <c r="P673">
        <f>Master_Data!P673</f>
        <v>86</v>
      </c>
      <c r="Q673" t="str">
        <f t="shared" si="60"/>
        <v>2011</v>
      </c>
      <c r="R673" t="str">
        <f t="shared" si="61"/>
        <v>January</v>
      </c>
      <c r="S673" t="str">
        <f t="shared" si="62"/>
        <v>Weekday</v>
      </c>
      <c r="T673" t="str">
        <f t="shared" si="63"/>
        <v>Afternoon</v>
      </c>
      <c r="U673" t="str">
        <f t="shared" si="64"/>
        <v>Spring</v>
      </c>
      <c r="V673" t="str">
        <f t="shared" si="65"/>
        <v>Mist/Cloudy</v>
      </c>
    </row>
    <row r="674" spans="1:22">
      <c r="A674">
        <f>Master_Data!A674</f>
        <v>682</v>
      </c>
      <c r="B674">
        <f>Master_Data!B674</f>
        <v>40574</v>
      </c>
      <c r="C674">
        <f>Master_Data!C674</f>
        <v>1</v>
      </c>
      <c r="D674">
        <f>Master_Data!D674</f>
        <v>0</v>
      </c>
      <c r="E674">
        <f>Master_Data!E674</f>
        <v>1</v>
      </c>
      <c r="F674">
        <f>Master_Data!F674</f>
        <v>17</v>
      </c>
      <c r="G674" t="b">
        <f>Master_Data!G674</f>
        <v>0</v>
      </c>
      <c r="H674">
        <f>Master_Data!H674</f>
        <v>1</v>
      </c>
      <c r="I674">
        <f>Master_Data!I674</f>
        <v>2</v>
      </c>
      <c r="J674">
        <f>Master_Data!J674</f>
        <v>0.16</v>
      </c>
      <c r="K674">
        <f>Master_Data!K674</f>
        <v>0.1515</v>
      </c>
      <c r="L674">
        <f>Master_Data!L674</f>
        <v>0.59</v>
      </c>
      <c r="M674">
        <f>Master_Data!M674</f>
        <v>0.19400000000000001</v>
      </c>
      <c r="N674">
        <f>Master_Data!N674</f>
        <v>6</v>
      </c>
      <c r="O674">
        <f>Master_Data!O674</f>
        <v>155</v>
      </c>
      <c r="P674">
        <f>Master_Data!P674</f>
        <v>161</v>
      </c>
      <c r="Q674" t="str">
        <f t="shared" si="60"/>
        <v>2011</v>
      </c>
      <c r="R674" t="str">
        <f t="shared" si="61"/>
        <v>January</v>
      </c>
      <c r="S674" t="str">
        <f t="shared" si="62"/>
        <v>Weekday</v>
      </c>
      <c r="T674" t="str">
        <f t="shared" si="63"/>
        <v>Evening</v>
      </c>
      <c r="U674" t="str">
        <f t="shared" si="64"/>
        <v>Spring</v>
      </c>
      <c r="V674" t="str">
        <f t="shared" si="65"/>
        <v>Mist/Cloudy</v>
      </c>
    </row>
    <row r="675" spans="1:22">
      <c r="A675">
        <f>Master_Data!A675</f>
        <v>683</v>
      </c>
      <c r="B675">
        <f>Master_Data!B675</f>
        <v>40574</v>
      </c>
      <c r="C675">
        <f>Master_Data!C675</f>
        <v>1</v>
      </c>
      <c r="D675">
        <f>Master_Data!D675</f>
        <v>0</v>
      </c>
      <c r="E675">
        <f>Master_Data!E675</f>
        <v>1</v>
      </c>
      <c r="F675">
        <f>Master_Data!F675</f>
        <v>18</v>
      </c>
      <c r="G675" t="b">
        <f>Master_Data!G675</f>
        <v>0</v>
      </c>
      <c r="H675">
        <f>Master_Data!H675</f>
        <v>1</v>
      </c>
      <c r="I675">
        <f>Master_Data!I675</f>
        <v>2</v>
      </c>
      <c r="J675">
        <f>Master_Data!J675</f>
        <v>0.16</v>
      </c>
      <c r="K675">
        <f>Master_Data!K675</f>
        <v>0.1515</v>
      </c>
      <c r="L675">
        <f>Master_Data!L675</f>
        <v>0.55000000000000004</v>
      </c>
      <c r="M675">
        <f>Master_Data!M675</f>
        <v>0.22389999999999999</v>
      </c>
      <c r="N675">
        <f>Master_Data!N675</f>
        <v>3</v>
      </c>
      <c r="O675">
        <f>Master_Data!O675</f>
        <v>153</v>
      </c>
      <c r="P675">
        <f>Master_Data!P675</f>
        <v>156</v>
      </c>
      <c r="Q675" t="str">
        <f t="shared" si="60"/>
        <v>2011</v>
      </c>
      <c r="R675" t="str">
        <f t="shared" si="61"/>
        <v>January</v>
      </c>
      <c r="S675" t="str">
        <f t="shared" si="62"/>
        <v>Weekday</v>
      </c>
      <c r="T675" t="str">
        <f t="shared" si="63"/>
        <v>Evening</v>
      </c>
      <c r="U675" t="str">
        <f t="shared" si="64"/>
        <v>Spring</v>
      </c>
      <c r="V675" t="str">
        <f t="shared" si="65"/>
        <v>Mist/Cloudy</v>
      </c>
    </row>
    <row r="676" spans="1:22">
      <c r="A676">
        <f>Master_Data!A676</f>
        <v>684</v>
      </c>
      <c r="B676">
        <f>Master_Data!B676</f>
        <v>40574</v>
      </c>
      <c r="C676">
        <f>Master_Data!C676</f>
        <v>1</v>
      </c>
      <c r="D676">
        <f>Master_Data!D676</f>
        <v>0</v>
      </c>
      <c r="E676">
        <f>Master_Data!E676</f>
        <v>1</v>
      </c>
      <c r="F676">
        <f>Master_Data!F676</f>
        <v>19</v>
      </c>
      <c r="G676" t="b">
        <f>Master_Data!G676</f>
        <v>0</v>
      </c>
      <c r="H676">
        <f>Master_Data!H676</f>
        <v>1</v>
      </c>
      <c r="I676">
        <f>Master_Data!I676</f>
        <v>1</v>
      </c>
      <c r="J676">
        <f>Master_Data!J676</f>
        <v>0.3</v>
      </c>
      <c r="K676">
        <f>Master_Data!K676</f>
        <v>0.31819999999999998</v>
      </c>
      <c r="L676">
        <f>Master_Data!L676</f>
        <v>0.61</v>
      </c>
      <c r="M676">
        <f>Master_Data!M676</f>
        <v>0.1045</v>
      </c>
      <c r="N676">
        <f>Master_Data!N676</f>
        <v>3</v>
      </c>
      <c r="O676">
        <f>Master_Data!O676</f>
        <v>108</v>
      </c>
      <c r="P676">
        <f>Master_Data!P676</f>
        <v>111</v>
      </c>
      <c r="Q676" t="str">
        <f t="shared" si="60"/>
        <v>2011</v>
      </c>
      <c r="R676" t="str">
        <f t="shared" si="61"/>
        <v>January</v>
      </c>
      <c r="S676" t="str">
        <f t="shared" si="62"/>
        <v>Weekday</v>
      </c>
      <c r="T676" t="str">
        <f t="shared" si="63"/>
        <v>Evening</v>
      </c>
      <c r="U676" t="str">
        <f t="shared" si="64"/>
        <v>Spring</v>
      </c>
      <c r="V676" t="str">
        <f t="shared" si="65"/>
        <v>Clear</v>
      </c>
    </row>
    <row r="677" spans="1:22">
      <c r="A677">
        <f>Master_Data!A677</f>
        <v>685</v>
      </c>
      <c r="B677">
        <f>Master_Data!B677</f>
        <v>40574</v>
      </c>
      <c r="C677">
        <f>Master_Data!C677</f>
        <v>1</v>
      </c>
      <c r="D677">
        <f>Master_Data!D677</f>
        <v>0</v>
      </c>
      <c r="E677">
        <f>Master_Data!E677</f>
        <v>1</v>
      </c>
      <c r="F677">
        <f>Master_Data!F677</f>
        <v>20</v>
      </c>
      <c r="G677" t="b">
        <f>Master_Data!G677</f>
        <v>0</v>
      </c>
      <c r="H677">
        <f>Master_Data!H677</f>
        <v>1</v>
      </c>
      <c r="I677">
        <f>Master_Data!I677</f>
        <v>3</v>
      </c>
      <c r="J677">
        <f>Master_Data!J677</f>
        <v>0.16</v>
      </c>
      <c r="K677">
        <f>Master_Data!K677</f>
        <v>0.16669999999999999</v>
      </c>
      <c r="L677">
        <f>Master_Data!L677</f>
        <v>0.59</v>
      </c>
      <c r="M677">
        <f>Master_Data!M677</f>
        <v>0.16420000000000001</v>
      </c>
      <c r="N677">
        <f>Master_Data!N677</f>
        <v>0</v>
      </c>
      <c r="O677">
        <f>Master_Data!O677</f>
        <v>78</v>
      </c>
      <c r="P677">
        <f>Master_Data!P677</f>
        <v>78</v>
      </c>
      <c r="Q677" t="str">
        <f t="shared" si="60"/>
        <v>2011</v>
      </c>
      <c r="R677" t="str">
        <f t="shared" si="61"/>
        <v>January</v>
      </c>
      <c r="S677" t="str">
        <f t="shared" si="62"/>
        <v>Weekday</v>
      </c>
      <c r="T677" t="str">
        <f t="shared" si="63"/>
        <v>Evening</v>
      </c>
      <c r="U677" t="str">
        <f t="shared" si="64"/>
        <v>Spring</v>
      </c>
      <c r="V677" t="str">
        <f t="shared" si="65"/>
        <v>Light Rain/Snow</v>
      </c>
    </row>
    <row r="678" spans="1:22">
      <c r="A678">
        <f>Master_Data!A678</f>
        <v>686</v>
      </c>
      <c r="B678">
        <f>Master_Data!B678</f>
        <v>40574</v>
      </c>
      <c r="C678">
        <f>Master_Data!C678</f>
        <v>1</v>
      </c>
      <c r="D678">
        <f>Master_Data!D678</f>
        <v>0</v>
      </c>
      <c r="E678">
        <f>Master_Data!E678</f>
        <v>1</v>
      </c>
      <c r="F678">
        <f>Master_Data!F678</f>
        <v>21</v>
      </c>
      <c r="G678" t="b">
        <f>Master_Data!G678</f>
        <v>0</v>
      </c>
      <c r="H678">
        <f>Master_Data!H678</f>
        <v>1</v>
      </c>
      <c r="I678">
        <f>Master_Data!I678</f>
        <v>3</v>
      </c>
      <c r="J678">
        <f>Master_Data!J678</f>
        <v>0.16</v>
      </c>
      <c r="K678">
        <f>Master_Data!K678</f>
        <v>0.19700000000000001</v>
      </c>
      <c r="L678">
        <f>Master_Data!L678</f>
        <v>0.59</v>
      </c>
      <c r="M678">
        <f>Master_Data!M678</f>
        <v>8.9599999999999999E-2</v>
      </c>
      <c r="N678">
        <f>Master_Data!N678</f>
        <v>3</v>
      </c>
      <c r="O678">
        <f>Master_Data!O678</f>
        <v>53</v>
      </c>
      <c r="P678">
        <f>Master_Data!P678</f>
        <v>56</v>
      </c>
      <c r="Q678" t="str">
        <f t="shared" si="60"/>
        <v>2011</v>
      </c>
      <c r="R678" t="str">
        <f t="shared" si="61"/>
        <v>January</v>
      </c>
      <c r="S678" t="str">
        <f t="shared" si="62"/>
        <v>Weekday</v>
      </c>
      <c r="T678" t="str">
        <f t="shared" si="63"/>
        <v>Night</v>
      </c>
      <c r="U678" t="str">
        <f t="shared" si="64"/>
        <v>Spring</v>
      </c>
      <c r="V678" t="str">
        <f t="shared" si="65"/>
        <v>Light Rain/Snow</v>
      </c>
    </row>
    <row r="679" spans="1:22">
      <c r="A679">
        <f>Master_Data!A679</f>
        <v>687</v>
      </c>
      <c r="B679">
        <f>Master_Data!B679</f>
        <v>40574</v>
      </c>
      <c r="C679">
        <f>Master_Data!C679</f>
        <v>1</v>
      </c>
      <c r="D679">
        <f>Master_Data!D679</f>
        <v>0</v>
      </c>
      <c r="E679">
        <f>Master_Data!E679</f>
        <v>1</v>
      </c>
      <c r="F679">
        <f>Master_Data!F679</f>
        <v>22</v>
      </c>
      <c r="G679" t="b">
        <f>Master_Data!G679</f>
        <v>0</v>
      </c>
      <c r="H679">
        <f>Master_Data!H679</f>
        <v>1</v>
      </c>
      <c r="I679">
        <f>Master_Data!I679</f>
        <v>2</v>
      </c>
      <c r="J679">
        <f>Master_Data!J679</f>
        <v>0.16</v>
      </c>
      <c r="K679">
        <f>Master_Data!K679</f>
        <v>0.18179999999999999</v>
      </c>
      <c r="L679">
        <f>Master_Data!L679</f>
        <v>0.59</v>
      </c>
      <c r="M679">
        <f>Master_Data!M679</f>
        <v>0.1045</v>
      </c>
      <c r="N679">
        <f>Master_Data!N679</f>
        <v>0</v>
      </c>
      <c r="O679">
        <f>Master_Data!O679</f>
        <v>34</v>
      </c>
      <c r="P679">
        <f>Master_Data!P679</f>
        <v>34</v>
      </c>
      <c r="Q679" t="str">
        <f t="shared" si="60"/>
        <v>2011</v>
      </c>
      <c r="R679" t="str">
        <f t="shared" si="61"/>
        <v>January</v>
      </c>
      <c r="S679" t="str">
        <f t="shared" si="62"/>
        <v>Weekday</v>
      </c>
      <c r="T679" t="str">
        <f t="shared" si="63"/>
        <v>Night</v>
      </c>
      <c r="U679" t="str">
        <f t="shared" si="64"/>
        <v>Spring</v>
      </c>
      <c r="V679" t="str">
        <f t="shared" si="65"/>
        <v>Mist/Cloudy</v>
      </c>
    </row>
    <row r="680" spans="1:22">
      <c r="A680">
        <f>Master_Data!A680</f>
        <v>688</v>
      </c>
      <c r="B680">
        <f>Master_Data!B680</f>
        <v>40574</v>
      </c>
      <c r="C680">
        <f>Master_Data!C680</f>
        <v>1</v>
      </c>
      <c r="D680">
        <f>Master_Data!D680</f>
        <v>0</v>
      </c>
      <c r="E680">
        <f>Master_Data!E680</f>
        <v>1</v>
      </c>
      <c r="F680">
        <f>Master_Data!F680</f>
        <v>23</v>
      </c>
      <c r="G680" t="b">
        <f>Master_Data!G680</f>
        <v>0</v>
      </c>
      <c r="H680">
        <f>Master_Data!H680</f>
        <v>1</v>
      </c>
      <c r="I680">
        <f>Master_Data!I680</f>
        <v>2</v>
      </c>
      <c r="J680">
        <f>Master_Data!J680</f>
        <v>0.16</v>
      </c>
      <c r="K680">
        <f>Master_Data!K680</f>
        <v>0.19700000000000001</v>
      </c>
      <c r="L680">
        <f>Master_Data!L680</f>
        <v>0.64</v>
      </c>
      <c r="M680">
        <f>Master_Data!M680</f>
        <v>8.9599999999999999E-2</v>
      </c>
      <c r="N680">
        <f>Master_Data!N680</f>
        <v>2</v>
      </c>
      <c r="O680">
        <f>Master_Data!O680</f>
        <v>15</v>
      </c>
      <c r="P680">
        <f>Master_Data!P680</f>
        <v>17</v>
      </c>
      <c r="Q680" t="str">
        <f t="shared" si="60"/>
        <v>2011</v>
      </c>
      <c r="R680" t="str">
        <f t="shared" si="61"/>
        <v>January</v>
      </c>
      <c r="S680" t="str">
        <f t="shared" si="62"/>
        <v>Weekday</v>
      </c>
      <c r="T680" t="str">
        <f t="shared" si="63"/>
        <v>Night</v>
      </c>
      <c r="U680" t="str">
        <f t="shared" si="64"/>
        <v>Spring</v>
      </c>
      <c r="V680" t="str">
        <f t="shared" si="65"/>
        <v>Mist/Cloudy</v>
      </c>
    </row>
    <row r="681" spans="1:22">
      <c r="A681">
        <f>Master_Data!A681</f>
        <v>689</v>
      </c>
      <c r="B681">
        <f>Master_Data!B681</f>
        <v>40575</v>
      </c>
      <c r="C681">
        <f>Master_Data!C681</f>
        <v>1</v>
      </c>
      <c r="D681">
        <f>Master_Data!D681</f>
        <v>0</v>
      </c>
      <c r="E681">
        <f>Master_Data!E681</f>
        <v>2</v>
      </c>
      <c r="F681">
        <f>Master_Data!F681</f>
        <v>0</v>
      </c>
      <c r="G681" t="b">
        <f>Master_Data!G681</f>
        <v>0</v>
      </c>
      <c r="H681">
        <f>Master_Data!H681</f>
        <v>2</v>
      </c>
      <c r="I681">
        <f>Master_Data!I681</f>
        <v>2</v>
      </c>
      <c r="J681">
        <f>Master_Data!J681</f>
        <v>0.16</v>
      </c>
      <c r="K681">
        <f>Master_Data!K681</f>
        <v>0.18179999999999999</v>
      </c>
      <c r="L681">
        <f>Master_Data!L681</f>
        <v>0.64</v>
      </c>
      <c r="M681">
        <f>Master_Data!M681</f>
        <v>0.1045</v>
      </c>
      <c r="N681">
        <f>Master_Data!N681</f>
        <v>2</v>
      </c>
      <c r="O681">
        <f>Master_Data!O681</f>
        <v>6</v>
      </c>
      <c r="P681">
        <f>Master_Data!P681</f>
        <v>8</v>
      </c>
      <c r="Q681" t="str">
        <f t="shared" si="60"/>
        <v>2011</v>
      </c>
      <c r="R681" t="str">
        <f t="shared" si="61"/>
        <v>February</v>
      </c>
      <c r="S681" t="str">
        <f t="shared" si="62"/>
        <v>Weekday</v>
      </c>
      <c r="T681" t="str">
        <f t="shared" si="63"/>
        <v>Night</v>
      </c>
      <c r="U681" t="str">
        <f t="shared" si="64"/>
        <v>Spring</v>
      </c>
      <c r="V681" t="str">
        <f t="shared" si="65"/>
        <v>Mist/Cloudy</v>
      </c>
    </row>
    <row r="682" spans="1:22">
      <c r="A682">
        <f>Master_Data!A682</f>
        <v>690</v>
      </c>
      <c r="B682">
        <f>Master_Data!B682</f>
        <v>40575</v>
      </c>
      <c r="C682">
        <f>Master_Data!C682</f>
        <v>1</v>
      </c>
      <c r="D682">
        <f>Master_Data!D682</f>
        <v>0</v>
      </c>
      <c r="E682">
        <f>Master_Data!E682</f>
        <v>2</v>
      </c>
      <c r="F682">
        <f>Master_Data!F682</f>
        <v>1</v>
      </c>
      <c r="G682" t="b">
        <f>Master_Data!G682</f>
        <v>0</v>
      </c>
      <c r="H682">
        <f>Master_Data!H682</f>
        <v>2</v>
      </c>
      <c r="I682">
        <f>Master_Data!I682</f>
        <v>2</v>
      </c>
      <c r="J682">
        <f>Master_Data!J682</f>
        <v>0.16</v>
      </c>
      <c r="K682">
        <f>Master_Data!K682</f>
        <v>0.18179999999999999</v>
      </c>
      <c r="L682">
        <f>Master_Data!L682</f>
        <v>0.69</v>
      </c>
      <c r="M682">
        <f>Master_Data!M682</f>
        <v>0.1045</v>
      </c>
      <c r="N682">
        <f>Master_Data!N682</f>
        <v>0</v>
      </c>
      <c r="O682">
        <f>Master_Data!O682</f>
        <v>3</v>
      </c>
      <c r="P682">
        <f>Master_Data!P682</f>
        <v>3</v>
      </c>
      <c r="Q682" t="str">
        <f t="shared" si="60"/>
        <v>2011</v>
      </c>
      <c r="R682" t="str">
        <f t="shared" si="61"/>
        <v>February</v>
      </c>
      <c r="S682" t="str">
        <f t="shared" si="62"/>
        <v>Weekday</v>
      </c>
      <c r="T682" t="str">
        <f t="shared" si="63"/>
        <v>Night</v>
      </c>
      <c r="U682" t="str">
        <f t="shared" si="64"/>
        <v>Spring</v>
      </c>
      <c r="V682" t="str">
        <f t="shared" si="65"/>
        <v>Mist/Cloudy</v>
      </c>
    </row>
    <row r="683" spans="1:22">
      <c r="A683">
        <f>Master_Data!A683</f>
        <v>691</v>
      </c>
      <c r="B683">
        <f>Master_Data!B683</f>
        <v>40575</v>
      </c>
      <c r="C683">
        <f>Master_Data!C683</f>
        <v>1</v>
      </c>
      <c r="D683">
        <f>Master_Data!D683</f>
        <v>0</v>
      </c>
      <c r="E683">
        <f>Master_Data!E683</f>
        <v>2</v>
      </c>
      <c r="F683">
        <f>Master_Data!F683</f>
        <v>2</v>
      </c>
      <c r="G683" t="b">
        <f>Master_Data!G683</f>
        <v>0</v>
      </c>
      <c r="H683">
        <f>Master_Data!H683</f>
        <v>2</v>
      </c>
      <c r="I683">
        <f>Master_Data!I683</f>
        <v>2</v>
      </c>
      <c r="J683">
        <f>Master_Data!J683</f>
        <v>0.16</v>
      </c>
      <c r="K683">
        <f>Master_Data!K683</f>
        <v>0.2273</v>
      </c>
      <c r="L683">
        <f>Master_Data!L683</f>
        <v>0.69</v>
      </c>
      <c r="M683">
        <f>Master_Data!M683</f>
        <v>0</v>
      </c>
      <c r="N683">
        <f>Master_Data!N683</f>
        <v>0</v>
      </c>
      <c r="O683">
        <f>Master_Data!O683</f>
        <v>2</v>
      </c>
      <c r="P683">
        <f>Master_Data!P683</f>
        <v>2</v>
      </c>
      <c r="Q683" t="str">
        <f t="shared" si="60"/>
        <v>2011</v>
      </c>
      <c r="R683" t="str">
        <f t="shared" si="61"/>
        <v>February</v>
      </c>
      <c r="S683" t="str">
        <f t="shared" si="62"/>
        <v>Weekday</v>
      </c>
      <c r="T683" t="str">
        <f t="shared" si="63"/>
        <v>Night</v>
      </c>
      <c r="U683" t="str">
        <f t="shared" si="64"/>
        <v>Spring</v>
      </c>
      <c r="V683" t="str">
        <f t="shared" si="65"/>
        <v>Mist/Cloudy</v>
      </c>
    </row>
    <row r="684" spans="1:22">
      <c r="A684">
        <f>Master_Data!A684</f>
        <v>692</v>
      </c>
      <c r="B684">
        <f>Master_Data!B684</f>
        <v>40575</v>
      </c>
      <c r="C684">
        <f>Master_Data!C684</f>
        <v>1</v>
      </c>
      <c r="D684">
        <f>Master_Data!D684</f>
        <v>0</v>
      </c>
      <c r="E684">
        <f>Master_Data!E684</f>
        <v>2</v>
      </c>
      <c r="F684">
        <f>Master_Data!F684</f>
        <v>3</v>
      </c>
      <c r="G684" t="b">
        <f>Master_Data!G684</f>
        <v>0</v>
      </c>
      <c r="H684">
        <f>Master_Data!H684</f>
        <v>2</v>
      </c>
      <c r="I684">
        <f>Master_Data!I684</f>
        <v>2</v>
      </c>
      <c r="J684">
        <f>Master_Data!J684</f>
        <v>0.16</v>
      </c>
      <c r="K684">
        <f>Master_Data!K684</f>
        <v>0.2273</v>
      </c>
      <c r="L684">
        <f>Master_Data!L684</f>
        <v>0.69</v>
      </c>
      <c r="M684">
        <f>Master_Data!M684</f>
        <v>0</v>
      </c>
      <c r="N684">
        <f>Master_Data!N684</f>
        <v>0</v>
      </c>
      <c r="O684">
        <f>Master_Data!O684</f>
        <v>2</v>
      </c>
      <c r="P684">
        <f>Master_Data!P684</f>
        <v>2</v>
      </c>
      <c r="Q684" t="str">
        <f t="shared" si="60"/>
        <v>2011</v>
      </c>
      <c r="R684" t="str">
        <f t="shared" si="61"/>
        <v>February</v>
      </c>
      <c r="S684" t="str">
        <f t="shared" si="62"/>
        <v>Weekday</v>
      </c>
      <c r="T684" t="str">
        <f t="shared" si="63"/>
        <v>Night</v>
      </c>
      <c r="U684" t="str">
        <f t="shared" si="64"/>
        <v>Spring</v>
      </c>
      <c r="V684" t="str">
        <f t="shared" si="65"/>
        <v>Mist/Cloudy</v>
      </c>
    </row>
    <row r="685" spans="1:22">
      <c r="A685">
        <f>Master_Data!A685</f>
        <v>693</v>
      </c>
      <c r="B685">
        <f>Master_Data!B685</f>
        <v>40575</v>
      </c>
      <c r="C685">
        <f>Master_Data!C685</f>
        <v>1</v>
      </c>
      <c r="D685">
        <f>Master_Data!D685</f>
        <v>0</v>
      </c>
      <c r="E685">
        <f>Master_Data!E685</f>
        <v>2</v>
      </c>
      <c r="F685">
        <f>Master_Data!F685</f>
        <v>5</v>
      </c>
      <c r="G685" t="b">
        <f>Master_Data!G685</f>
        <v>0</v>
      </c>
      <c r="H685">
        <f>Master_Data!H685</f>
        <v>2</v>
      </c>
      <c r="I685">
        <f>Master_Data!I685</f>
        <v>3</v>
      </c>
      <c r="J685">
        <f>Master_Data!J685</f>
        <v>0.14000000000000001</v>
      </c>
      <c r="K685">
        <f>Master_Data!K685</f>
        <v>0.21210000000000001</v>
      </c>
      <c r="L685">
        <f>Master_Data!L685</f>
        <v>0.93</v>
      </c>
      <c r="M685">
        <f>Master_Data!M685</f>
        <v>0</v>
      </c>
      <c r="N685">
        <f>Master_Data!N685</f>
        <v>0</v>
      </c>
      <c r="O685">
        <f>Master_Data!O685</f>
        <v>3</v>
      </c>
      <c r="P685">
        <f>Master_Data!P685</f>
        <v>3</v>
      </c>
      <c r="Q685" t="str">
        <f t="shared" si="60"/>
        <v>2011</v>
      </c>
      <c r="R685" t="str">
        <f t="shared" si="61"/>
        <v>February</v>
      </c>
      <c r="S685" t="str">
        <f t="shared" si="62"/>
        <v>Weekday</v>
      </c>
      <c r="T685" t="str">
        <f t="shared" si="63"/>
        <v>Night</v>
      </c>
      <c r="U685" t="str">
        <f t="shared" si="64"/>
        <v>Spring</v>
      </c>
      <c r="V685" t="str">
        <f t="shared" si="65"/>
        <v>Light Rain/Snow</v>
      </c>
    </row>
    <row r="686" spans="1:22">
      <c r="A686">
        <f>Master_Data!A686</f>
        <v>694</v>
      </c>
      <c r="B686">
        <f>Master_Data!B686</f>
        <v>40575</v>
      </c>
      <c r="C686">
        <f>Master_Data!C686</f>
        <v>1</v>
      </c>
      <c r="D686">
        <f>Master_Data!D686</f>
        <v>0</v>
      </c>
      <c r="E686">
        <f>Master_Data!E686</f>
        <v>2</v>
      </c>
      <c r="F686">
        <f>Master_Data!F686</f>
        <v>6</v>
      </c>
      <c r="G686" t="b">
        <f>Master_Data!G686</f>
        <v>0</v>
      </c>
      <c r="H686">
        <f>Master_Data!H686</f>
        <v>2</v>
      </c>
      <c r="I686">
        <f>Master_Data!I686</f>
        <v>3</v>
      </c>
      <c r="J686">
        <f>Master_Data!J686</f>
        <v>0.14000000000000001</v>
      </c>
      <c r="K686">
        <f>Master_Data!K686</f>
        <v>0.21210000000000001</v>
      </c>
      <c r="L686">
        <f>Master_Data!L686</f>
        <v>0.93</v>
      </c>
      <c r="M686">
        <f>Master_Data!M686</f>
        <v>0</v>
      </c>
      <c r="N686">
        <f>Master_Data!N686</f>
        <v>0</v>
      </c>
      <c r="O686">
        <f>Master_Data!O686</f>
        <v>22</v>
      </c>
      <c r="P686">
        <f>Master_Data!P686</f>
        <v>22</v>
      </c>
      <c r="Q686" t="str">
        <f t="shared" si="60"/>
        <v>2011</v>
      </c>
      <c r="R686" t="str">
        <f t="shared" si="61"/>
        <v>February</v>
      </c>
      <c r="S686" t="str">
        <f t="shared" si="62"/>
        <v>Weekday</v>
      </c>
      <c r="T686" t="str">
        <f t="shared" si="63"/>
        <v>Morning</v>
      </c>
      <c r="U686" t="str">
        <f t="shared" si="64"/>
        <v>Spring</v>
      </c>
      <c r="V686" t="str">
        <f t="shared" si="65"/>
        <v>Light Rain/Snow</v>
      </c>
    </row>
    <row r="687" spans="1:22">
      <c r="A687">
        <f>Master_Data!A687</f>
        <v>695</v>
      </c>
      <c r="B687">
        <f>Master_Data!B687</f>
        <v>40575</v>
      </c>
      <c r="C687">
        <f>Master_Data!C687</f>
        <v>1</v>
      </c>
      <c r="D687">
        <f>Master_Data!D687</f>
        <v>0</v>
      </c>
      <c r="E687">
        <f>Master_Data!E687</f>
        <v>2</v>
      </c>
      <c r="F687">
        <f>Master_Data!F687</f>
        <v>7</v>
      </c>
      <c r="G687" t="b">
        <f>Master_Data!G687</f>
        <v>0</v>
      </c>
      <c r="H687">
        <f>Master_Data!H687</f>
        <v>2</v>
      </c>
      <c r="I687">
        <f>Master_Data!I687</f>
        <v>3</v>
      </c>
      <c r="J687">
        <f>Master_Data!J687</f>
        <v>0.16</v>
      </c>
      <c r="K687">
        <f>Master_Data!K687</f>
        <v>0.2273</v>
      </c>
      <c r="L687">
        <f>Master_Data!L687</f>
        <v>0.93</v>
      </c>
      <c r="M687">
        <f>Master_Data!M687</f>
        <v>0</v>
      </c>
      <c r="N687">
        <f>Master_Data!N687</f>
        <v>0</v>
      </c>
      <c r="O687">
        <f>Master_Data!O687</f>
        <v>52</v>
      </c>
      <c r="P687">
        <f>Master_Data!P687</f>
        <v>52</v>
      </c>
      <c r="Q687" t="str">
        <f t="shared" si="60"/>
        <v>2011</v>
      </c>
      <c r="R687" t="str">
        <f t="shared" si="61"/>
        <v>February</v>
      </c>
      <c r="S687" t="str">
        <f t="shared" si="62"/>
        <v>Weekday</v>
      </c>
      <c r="T687" t="str">
        <f t="shared" si="63"/>
        <v>Morning</v>
      </c>
      <c r="U687" t="str">
        <f t="shared" si="64"/>
        <v>Spring</v>
      </c>
      <c r="V687" t="str">
        <f t="shared" si="65"/>
        <v>Light Rain/Snow</v>
      </c>
    </row>
    <row r="688" spans="1:22">
      <c r="A688">
        <f>Master_Data!A688</f>
        <v>696</v>
      </c>
      <c r="B688">
        <f>Master_Data!B688</f>
        <v>40575</v>
      </c>
      <c r="C688">
        <f>Master_Data!C688</f>
        <v>1</v>
      </c>
      <c r="D688">
        <f>Master_Data!D688</f>
        <v>0</v>
      </c>
      <c r="E688">
        <f>Master_Data!E688</f>
        <v>2</v>
      </c>
      <c r="F688">
        <f>Master_Data!F688</f>
        <v>8</v>
      </c>
      <c r="G688" t="b">
        <f>Master_Data!G688</f>
        <v>0</v>
      </c>
      <c r="H688">
        <f>Master_Data!H688</f>
        <v>2</v>
      </c>
      <c r="I688">
        <f>Master_Data!I688</f>
        <v>3</v>
      </c>
      <c r="J688">
        <f>Master_Data!J688</f>
        <v>0.16</v>
      </c>
      <c r="K688">
        <f>Master_Data!K688</f>
        <v>0.2273</v>
      </c>
      <c r="L688">
        <f>Master_Data!L688</f>
        <v>0.93</v>
      </c>
      <c r="M688">
        <f>Master_Data!M688</f>
        <v>0</v>
      </c>
      <c r="N688">
        <f>Master_Data!N688</f>
        <v>3</v>
      </c>
      <c r="O688">
        <f>Master_Data!O688</f>
        <v>132</v>
      </c>
      <c r="P688">
        <f>Master_Data!P688</f>
        <v>135</v>
      </c>
      <c r="Q688" t="str">
        <f t="shared" si="60"/>
        <v>2011</v>
      </c>
      <c r="R688" t="str">
        <f t="shared" si="61"/>
        <v>February</v>
      </c>
      <c r="S688" t="str">
        <f t="shared" si="62"/>
        <v>Weekday</v>
      </c>
      <c r="T688" t="str">
        <f t="shared" si="63"/>
        <v>Morning</v>
      </c>
      <c r="U688" t="str">
        <f t="shared" si="64"/>
        <v>Spring</v>
      </c>
      <c r="V688" t="str">
        <f t="shared" si="65"/>
        <v>Light Rain/Snow</v>
      </c>
    </row>
    <row r="689" spans="1:22">
      <c r="A689">
        <f>Master_Data!A689</f>
        <v>697</v>
      </c>
      <c r="B689">
        <f>Master_Data!B689</f>
        <v>40575</v>
      </c>
      <c r="C689">
        <f>Master_Data!C689</f>
        <v>1</v>
      </c>
      <c r="D689">
        <f>Master_Data!D689</f>
        <v>0</v>
      </c>
      <c r="E689">
        <f>Master_Data!E689</f>
        <v>2</v>
      </c>
      <c r="F689">
        <f>Master_Data!F689</f>
        <v>9</v>
      </c>
      <c r="G689" t="b">
        <f>Master_Data!G689</f>
        <v>0</v>
      </c>
      <c r="H689">
        <f>Master_Data!H689</f>
        <v>2</v>
      </c>
      <c r="I689">
        <f>Master_Data!I689</f>
        <v>2</v>
      </c>
      <c r="J689">
        <f>Master_Data!J689</f>
        <v>0.16</v>
      </c>
      <c r="K689">
        <f>Master_Data!K689</f>
        <v>0.2273</v>
      </c>
      <c r="L689">
        <f>Master_Data!L689</f>
        <v>0.93</v>
      </c>
      <c r="M689">
        <f>Master_Data!M689</f>
        <v>0</v>
      </c>
      <c r="N689">
        <f>Master_Data!N689</f>
        <v>2</v>
      </c>
      <c r="O689">
        <f>Master_Data!O689</f>
        <v>114</v>
      </c>
      <c r="P689">
        <f>Master_Data!P689</f>
        <v>116</v>
      </c>
      <c r="Q689" t="str">
        <f t="shared" si="60"/>
        <v>2011</v>
      </c>
      <c r="R689" t="str">
        <f t="shared" si="61"/>
        <v>February</v>
      </c>
      <c r="S689" t="str">
        <f t="shared" si="62"/>
        <v>Weekday</v>
      </c>
      <c r="T689" t="str">
        <f t="shared" si="63"/>
        <v>Morning</v>
      </c>
      <c r="U689" t="str">
        <f t="shared" si="64"/>
        <v>Spring</v>
      </c>
      <c r="V689" t="str">
        <f t="shared" si="65"/>
        <v>Mist/Cloudy</v>
      </c>
    </row>
    <row r="690" spans="1:22">
      <c r="A690">
        <f>Master_Data!A690</f>
        <v>698</v>
      </c>
      <c r="B690">
        <f>Master_Data!B690</f>
        <v>40575</v>
      </c>
      <c r="C690">
        <f>Master_Data!C690</f>
        <v>1</v>
      </c>
      <c r="D690">
        <f>Master_Data!D690</f>
        <v>0</v>
      </c>
      <c r="E690">
        <f>Master_Data!E690</f>
        <v>2</v>
      </c>
      <c r="F690">
        <f>Master_Data!F690</f>
        <v>10</v>
      </c>
      <c r="G690" t="b">
        <f>Master_Data!G690</f>
        <v>0</v>
      </c>
      <c r="H690">
        <f>Master_Data!H690</f>
        <v>2</v>
      </c>
      <c r="I690">
        <f>Master_Data!I690</f>
        <v>2</v>
      </c>
      <c r="J690">
        <f>Master_Data!J690</f>
        <v>0.16</v>
      </c>
      <c r="K690">
        <f>Master_Data!K690</f>
        <v>0.2273</v>
      </c>
      <c r="L690">
        <f>Master_Data!L690</f>
        <v>0.93</v>
      </c>
      <c r="M690">
        <f>Master_Data!M690</f>
        <v>0</v>
      </c>
      <c r="N690">
        <f>Master_Data!N690</f>
        <v>0</v>
      </c>
      <c r="O690">
        <f>Master_Data!O690</f>
        <v>47</v>
      </c>
      <c r="P690">
        <f>Master_Data!P690</f>
        <v>47</v>
      </c>
      <c r="Q690" t="str">
        <f t="shared" si="60"/>
        <v>2011</v>
      </c>
      <c r="R690" t="str">
        <f t="shared" si="61"/>
        <v>February</v>
      </c>
      <c r="S690" t="str">
        <f t="shared" si="62"/>
        <v>Weekday</v>
      </c>
      <c r="T690" t="str">
        <f t="shared" si="63"/>
        <v>Morning</v>
      </c>
      <c r="U690" t="str">
        <f t="shared" si="64"/>
        <v>Spring</v>
      </c>
      <c r="V690" t="str">
        <f t="shared" si="65"/>
        <v>Mist/Cloudy</v>
      </c>
    </row>
    <row r="691" spans="1:22">
      <c r="A691">
        <f>Master_Data!A691</f>
        <v>699</v>
      </c>
      <c r="B691">
        <f>Master_Data!B691</f>
        <v>40575</v>
      </c>
      <c r="C691">
        <f>Master_Data!C691</f>
        <v>1</v>
      </c>
      <c r="D691">
        <f>Master_Data!D691</f>
        <v>0</v>
      </c>
      <c r="E691">
        <f>Master_Data!E691</f>
        <v>2</v>
      </c>
      <c r="F691">
        <f>Master_Data!F691</f>
        <v>11</v>
      </c>
      <c r="G691" t="b">
        <f>Master_Data!G691</f>
        <v>0</v>
      </c>
      <c r="H691">
        <f>Master_Data!H691</f>
        <v>2</v>
      </c>
      <c r="I691">
        <f>Master_Data!I691</f>
        <v>2</v>
      </c>
      <c r="J691">
        <f>Master_Data!J691</f>
        <v>0.18</v>
      </c>
      <c r="K691">
        <f>Master_Data!K691</f>
        <v>0.2424</v>
      </c>
      <c r="L691">
        <f>Master_Data!L691</f>
        <v>0.86</v>
      </c>
      <c r="M691">
        <f>Master_Data!M691</f>
        <v>0</v>
      </c>
      <c r="N691">
        <f>Master_Data!N691</f>
        <v>2</v>
      </c>
      <c r="O691">
        <f>Master_Data!O691</f>
        <v>49</v>
      </c>
      <c r="P691">
        <f>Master_Data!P691</f>
        <v>51</v>
      </c>
      <c r="Q691" t="str">
        <f t="shared" si="60"/>
        <v>2011</v>
      </c>
      <c r="R691" t="str">
        <f t="shared" si="61"/>
        <v>February</v>
      </c>
      <c r="S691" t="str">
        <f t="shared" si="62"/>
        <v>Weekday</v>
      </c>
      <c r="T691" t="str">
        <f t="shared" si="63"/>
        <v>Morning</v>
      </c>
      <c r="U691" t="str">
        <f t="shared" si="64"/>
        <v>Spring</v>
      </c>
      <c r="V691" t="str">
        <f t="shared" si="65"/>
        <v>Mist/Cloudy</v>
      </c>
    </row>
    <row r="692" spans="1:22">
      <c r="A692">
        <f>Master_Data!A692</f>
        <v>700</v>
      </c>
      <c r="B692">
        <f>Master_Data!B692</f>
        <v>40575</v>
      </c>
      <c r="C692">
        <f>Master_Data!C692</f>
        <v>1</v>
      </c>
      <c r="D692">
        <f>Master_Data!D692</f>
        <v>0</v>
      </c>
      <c r="E692">
        <f>Master_Data!E692</f>
        <v>2</v>
      </c>
      <c r="F692">
        <f>Master_Data!F692</f>
        <v>12</v>
      </c>
      <c r="G692" t="b">
        <f>Master_Data!G692</f>
        <v>0</v>
      </c>
      <c r="H692">
        <f>Master_Data!H692</f>
        <v>2</v>
      </c>
      <c r="I692">
        <f>Master_Data!I692</f>
        <v>2</v>
      </c>
      <c r="J692">
        <f>Master_Data!J692</f>
        <v>0.2</v>
      </c>
      <c r="K692">
        <f>Master_Data!K692</f>
        <v>0.2576</v>
      </c>
      <c r="L692">
        <f>Master_Data!L692</f>
        <v>0.86</v>
      </c>
      <c r="M692">
        <f>Master_Data!M692</f>
        <v>0</v>
      </c>
      <c r="N692">
        <f>Master_Data!N692</f>
        <v>2</v>
      </c>
      <c r="O692">
        <f>Master_Data!O692</f>
        <v>53</v>
      </c>
      <c r="P692">
        <f>Master_Data!P692</f>
        <v>55</v>
      </c>
      <c r="Q692" t="str">
        <f t="shared" si="60"/>
        <v>2011</v>
      </c>
      <c r="R692" t="str">
        <f t="shared" si="61"/>
        <v>February</v>
      </c>
      <c r="S692" t="str">
        <f t="shared" si="62"/>
        <v>Weekday</v>
      </c>
      <c r="T692" t="str">
        <f t="shared" si="63"/>
        <v>Afternoon</v>
      </c>
      <c r="U692" t="str">
        <f t="shared" si="64"/>
        <v>Spring</v>
      </c>
      <c r="V692" t="str">
        <f t="shared" si="65"/>
        <v>Mist/Cloudy</v>
      </c>
    </row>
    <row r="693" spans="1:22">
      <c r="A693">
        <f>Master_Data!A693</f>
        <v>701</v>
      </c>
      <c r="B693">
        <f>Master_Data!B693</f>
        <v>40575</v>
      </c>
      <c r="C693">
        <f>Master_Data!C693</f>
        <v>1</v>
      </c>
      <c r="D693">
        <f>Master_Data!D693</f>
        <v>0</v>
      </c>
      <c r="E693">
        <f>Master_Data!E693</f>
        <v>2</v>
      </c>
      <c r="F693">
        <f>Master_Data!F693</f>
        <v>13</v>
      </c>
      <c r="G693" t="b">
        <f>Master_Data!G693</f>
        <v>0</v>
      </c>
      <c r="H693">
        <f>Master_Data!H693</f>
        <v>2</v>
      </c>
      <c r="I693">
        <f>Master_Data!I693</f>
        <v>2</v>
      </c>
      <c r="J693">
        <f>Master_Data!J693</f>
        <v>0.2</v>
      </c>
      <c r="K693">
        <f>Master_Data!K693</f>
        <v>0.2576</v>
      </c>
      <c r="L693">
        <f>Master_Data!L693</f>
        <v>0.86</v>
      </c>
      <c r="M693">
        <f>Master_Data!M693</f>
        <v>0</v>
      </c>
      <c r="N693">
        <f>Master_Data!N693</f>
        <v>3</v>
      </c>
      <c r="O693">
        <f>Master_Data!O693</f>
        <v>49</v>
      </c>
      <c r="P693">
        <f>Master_Data!P693</f>
        <v>52</v>
      </c>
      <c r="Q693" t="str">
        <f t="shared" si="60"/>
        <v>2011</v>
      </c>
      <c r="R693" t="str">
        <f t="shared" si="61"/>
        <v>February</v>
      </c>
      <c r="S693" t="str">
        <f t="shared" si="62"/>
        <v>Weekday</v>
      </c>
      <c r="T693" t="str">
        <f t="shared" si="63"/>
        <v>Afternoon</v>
      </c>
      <c r="U693" t="str">
        <f t="shared" si="64"/>
        <v>Spring</v>
      </c>
      <c r="V693" t="str">
        <f t="shared" si="65"/>
        <v>Mist/Cloudy</v>
      </c>
    </row>
    <row r="694" spans="1:22">
      <c r="A694">
        <f>Master_Data!A694</f>
        <v>702</v>
      </c>
      <c r="B694">
        <f>Master_Data!B694</f>
        <v>40575</v>
      </c>
      <c r="C694">
        <f>Master_Data!C694</f>
        <v>1</v>
      </c>
      <c r="D694">
        <f>Master_Data!D694</f>
        <v>0</v>
      </c>
      <c r="E694">
        <f>Master_Data!E694</f>
        <v>2</v>
      </c>
      <c r="F694">
        <f>Master_Data!F694</f>
        <v>14</v>
      </c>
      <c r="G694" t="b">
        <f>Master_Data!G694</f>
        <v>0</v>
      </c>
      <c r="H694">
        <f>Master_Data!H694</f>
        <v>2</v>
      </c>
      <c r="I694">
        <f>Master_Data!I694</f>
        <v>2</v>
      </c>
      <c r="J694">
        <f>Master_Data!J694</f>
        <v>0.22</v>
      </c>
      <c r="K694">
        <f>Master_Data!K694</f>
        <v>0.2576</v>
      </c>
      <c r="L694">
        <f>Master_Data!L694</f>
        <v>0.8</v>
      </c>
      <c r="M694">
        <f>Master_Data!M694</f>
        <v>8.9599999999999999E-2</v>
      </c>
      <c r="N694">
        <f>Master_Data!N694</f>
        <v>5</v>
      </c>
      <c r="O694">
        <f>Master_Data!O694</f>
        <v>49</v>
      </c>
      <c r="P694">
        <f>Master_Data!P694</f>
        <v>54</v>
      </c>
      <c r="Q694" t="str">
        <f t="shared" si="60"/>
        <v>2011</v>
      </c>
      <c r="R694" t="str">
        <f t="shared" si="61"/>
        <v>February</v>
      </c>
      <c r="S694" t="str">
        <f t="shared" si="62"/>
        <v>Weekday</v>
      </c>
      <c r="T694" t="str">
        <f t="shared" si="63"/>
        <v>Afternoon</v>
      </c>
      <c r="U694" t="str">
        <f t="shared" si="64"/>
        <v>Spring</v>
      </c>
      <c r="V694" t="str">
        <f t="shared" si="65"/>
        <v>Mist/Cloudy</v>
      </c>
    </row>
    <row r="695" spans="1:22">
      <c r="A695">
        <f>Master_Data!A695</f>
        <v>703</v>
      </c>
      <c r="B695">
        <f>Master_Data!B695</f>
        <v>40575</v>
      </c>
      <c r="C695">
        <f>Master_Data!C695</f>
        <v>1</v>
      </c>
      <c r="D695">
        <f>Master_Data!D695</f>
        <v>0</v>
      </c>
      <c r="E695">
        <f>Master_Data!E695</f>
        <v>2</v>
      </c>
      <c r="F695">
        <f>Master_Data!F695</f>
        <v>15</v>
      </c>
      <c r="G695" t="b">
        <f>Master_Data!G695</f>
        <v>0</v>
      </c>
      <c r="H695">
        <f>Master_Data!H695</f>
        <v>2</v>
      </c>
      <c r="I695">
        <f>Master_Data!I695</f>
        <v>2</v>
      </c>
      <c r="J695">
        <f>Master_Data!J695</f>
        <v>0.24</v>
      </c>
      <c r="K695">
        <f>Master_Data!K695</f>
        <v>0.28789999999999999</v>
      </c>
      <c r="L695">
        <f>Master_Data!L695</f>
        <v>0.75</v>
      </c>
      <c r="M695">
        <f>Master_Data!M695</f>
        <v>0</v>
      </c>
      <c r="N695">
        <f>Master_Data!N695</f>
        <v>7</v>
      </c>
      <c r="O695">
        <f>Master_Data!O695</f>
        <v>45</v>
      </c>
      <c r="P695">
        <f>Master_Data!P695</f>
        <v>52</v>
      </c>
      <c r="Q695" t="str">
        <f t="shared" si="60"/>
        <v>2011</v>
      </c>
      <c r="R695" t="str">
        <f t="shared" si="61"/>
        <v>February</v>
      </c>
      <c r="S695" t="str">
        <f t="shared" si="62"/>
        <v>Weekday</v>
      </c>
      <c r="T695" t="str">
        <f t="shared" si="63"/>
        <v>Afternoon</v>
      </c>
      <c r="U695" t="str">
        <f t="shared" si="64"/>
        <v>Spring</v>
      </c>
      <c r="V695" t="str">
        <f t="shared" si="65"/>
        <v>Mist/Cloudy</v>
      </c>
    </row>
    <row r="696" spans="1:22">
      <c r="A696">
        <f>Master_Data!A696</f>
        <v>704</v>
      </c>
      <c r="B696">
        <f>Master_Data!B696</f>
        <v>40575</v>
      </c>
      <c r="C696">
        <f>Master_Data!C696</f>
        <v>1</v>
      </c>
      <c r="D696">
        <f>Master_Data!D696</f>
        <v>0</v>
      </c>
      <c r="E696">
        <f>Master_Data!E696</f>
        <v>2</v>
      </c>
      <c r="F696">
        <f>Master_Data!F696</f>
        <v>16</v>
      </c>
      <c r="G696" t="b">
        <f>Master_Data!G696</f>
        <v>0</v>
      </c>
      <c r="H696">
        <f>Master_Data!H696</f>
        <v>2</v>
      </c>
      <c r="I696">
        <f>Master_Data!I696</f>
        <v>2</v>
      </c>
      <c r="J696">
        <f>Master_Data!J696</f>
        <v>0.24</v>
      </c>
      <c r="K696">
        <f>Master_Data!K696</f>
        <v>0.2424</v>
      </c>
      <c r="L696">
        <f>Master_Data!L696</f>
        <v>0.75</v>
      </c>
      <c r="M696">
        <f>Master_Data!M696</f>
        <v>0.1343</v>
      </c>
      <c r="N696">
        <f>Master_Data!N696</f>
        <v>3</v>
      </c>
      <c r="O696">
        <f>Master_Data!O696</f>
        <v>61</v>
      </c>
      <c r="P696">
        <f>Master_Data!P696</f>
        <v>64</v>
      </c>
      <c r="Q696" t="str">
        <f t="shared" si="60"/>
        <v>2011</v>
      </c>
      <c r="R696" t="str">
        <f t="shared" si="61"/>
        <v>February</v>
      </c>
      <c r="S696" t="str">
        <f t="shared" si="62"/>
        <v>Weekday</v>
      </c>
      <c r="T696" t="str">
        <f t="shared" si="63"/>
        <v>Afternoon</v>
      </c>
      <c r="U696" t="str">
        <f t="shared" si="64"/>
        <v>Spring</v>
      </c>
      <c r="V696" t="str">
        <f t="shared" si="65"/>
        <v>Mist/Cloudy</v>
      </c>
    </row>
    <row r="697" spans="1:22">
      <c r="A697">
        <f>Master_Data!A697</f>
        <v>705</v>
      </c>
      <c r="B697">
        <f>Master_Data!B697</f>
        <v>40575</v>
      </c>
      <c r="C697">
        <f>Master_Data!C697</f>
        <v>1</v>
      </c>
      <c r="D697">
        <f>Master_Data!D697</f>
        <v>0</v>
      </c>
      <c r="E697">
        <f>Master_Data!E697</f>
        <v>2</v>
      </c>
      <c r="F697">
        <f>Master_Data!F697</f>
        <v>17</v>
      </c>
      <c r="G697" t="b">
        <f>Master_Data!G697</f>
        <v>0</v>
      </c>
      <c r="H697">
        <f>Master_Data!H697</f>
        <v>2</v>
      </c>
      <c r="I697">
        <f>Master_Data!I697</f>
        <v>2</v>
      </c>
      <c r="J697">
        <f>Master_Data!J697</f>
        <v>0.24</v>
      </c>
      <c r="K697">
        <f>Master_Data!K697</f>
        <v>0.28789999999999999</v>
      </c>
      <c r="L697">
        <f>Master_Data!L697</f>
        <v>0.75</v>
      </c>
      <c r="M697">
        <f>Master_Data!M697</f>
        <v>0</v>
      </c>
      <c r="N697">
        <f>Master_Data!N697</f>
        <v>4</v>
      </c>
      <c r="O697">
        <f>Master_Data!O697</f>
        <v>172</v>
      </c>
      <c r="P697">
        <f>Master_Data!P697</f>
        <v>176</v>
      </c>
      <c r="Q697" t="str">
        <f t="shared" si="60"/>
        <v>2011</v>
      </c>
      <c r="R697" t="str">
        <f t="shared" si="61"/>
        <v>February</v>
      </c>
      <c r="S697" t="str">
        <f t="shared" si="62"/>
        <v>Weekday</v>
      </c>
      <c r="T697" t="str">
        <f t="shared" si="63"/>
        <v>Evening</v>
      </c>
      <c r="U697" t="str">
        <f t="shared" si="64"/>
        <v>Spring</v>
      </c>
      <c r="V697" t="str">
        <f t="shared" si="65"/>
        <v>Mist/Cloudy</v>
      </c>
    </row>
    <row r="698" spans="1:22">
      <c r="A698">
        <f>Master_Data!A698</f>
        <v>706</v>
      </c>
      <c r="B698">
        <f>Master_Data!B698</f>
        <v>40575</v>
      </c>
      <c r="C698">
        <f>Master_Data!C698</f>
        <v>1</v>
      </c>
      <c r="D698">
        <f>Master_Data!D698</f>
        <v>0</v>
      </c>
      <c r="E698">
        <f>Master_Data!E698</f>
        <v>2</v>
      </c>
      <c r="F698">
        <f>Master_Data!F698</f>
        <v>18</v>
      </c>
      <c r="G698" t="b">
        <f>Master_Data!G698</f>
        <v>0</v>
      </c>
      <c r="H698">
        <f>Master_Data!H698</f>
        <v>2</v>
      </c>
      <c r="I698">
        <f>Master_Data!I698</f>
        <v>2</v>
      </c>
      <c r="J698">
        <f>Master_Data!J698</f>
        <v>0.24</v>
      </c>
      <c r="K698">
        <f>Master_Data!K698</f>
        <v>0.2576</v>
      </c>
      <c r="L698">
        <f>Master_Data!L698</f>
        <v>0.81</v>
      </c>
      <c r="M698">
        <f>Master_Data!M698</f>
        <v>0.1045</v>
      </c>
      <c r="N698">
        <f>Master_Data!N698</f>
        <v>3</v>
      </c>
      <c r="O698">
        <f>Master_Data!O698</f>
        <v>165</v>
      </c>
      <c r="P698">
        <f>Master_Data!P698</f>
        <v>168</v>
      </c>
      <c r="Q698" t="str">
        <f t="shared" si="60"/>
        <v>2011</v>
      </c>
      <c r="R698" t="str">
        <f t="shared" si="61"/>
        <v>February</v>
      </c>
      <c r="S698" t="str">
        <f t="shared" si="62"/>
        <v>Weekday</v>
      </c>
      <c r="T698" t="str">
        <f t="shared" si="63"/>
        <v>Evening</v>
      </c>
      <c r="U698" t="str">
        <f t="shared" si="64"/>
        <v>Spring</v>
      </c>
      <c r="V698" t="str">
        <f t="shared" si="65"/>
        <v>Mist/Cloudy</v>
      </c>
    </row>
    <row r="699" spans="1:22">
      <c r="A699">
        <f>Master_Data!A699</f>
        <v>707</v>
      </c>
      <c r="B699">
        <f>Master_Data!B699</f>
        <v>40575</v>
      </c>
      <c r="C699">
        <f>Master_Data!C699</f>
        <v>1</v>
      </c>
      <c r="D699">
        <f>Master_Data!D699</f>
        <v>0</v>
      </c>
      <c r="E699">
        <f>Master_Data!E699</f>
        <v>2</v>
      </c>
      <c r="F699">
        <f>Master_Data!F699</f>
        <v>19</v>
      </c>
      <c r="G699" t="b">
        <f>Master_Data!G699</f>
        <v>0</v>
      </c>
      <c r="H699">
        <f>Master_Data!H699</f>
        <v>2</v>
      </c>
      <c r="I699">
        <f>Master_Data!I699</f>
        <v>2</v>
      </c>
      <c r="J699">
        <f>Master_Data!J699</f>
        <v>0.24</v>
      </c>
      <c r="K699">
        <f>Master_Data!K699</f>
        <v>0.2424</v>
      </c>
      <c r="L699">
        <f>Master_Data!L699</f>
        <v>0.81</v>
      </c>
      <c r="M699">
        <f>Master_Data!M699</f>
        <v>0.1343</v>
      </c>
      <c r="N699">
        <f>Master_Data!N699</f>
        <v>3</v>
      </c>
      <c r="O699">
        <f>Master_Data!O699</f>
        <v>105</v>
      </c>
      <c r="P699">
        <f>Master_Data!P699</f>
        <v>108</v>
      </c>
      <c r="Q699" t="str">
        <f t="shared" si="60"/>
        <v>2011</v>
      </c>
      <c r="R699" t="str">
        <f t="shared" si="61"/>
        <v>February</v>
      </c>
      <c r="S699" t="str">
        <f t="shared" si="62"/>
        <v>Weekday</v>
      </c>
      <c r="T699" t="str">
        <f t="shared" si="63"/>
        <v>Evening</v>
      </c>
      <c r="U699" t="str">
        <f t="shared" si="64"/>
        <v>Spring</v>
      </c>
      <c r="V699" t="str">
        <f t="shared" si="65"/>
        <v>Mist/Cloudy</v>
      </c>
    </row>
    <row r="700" spans="1:22">
      <c r="A700">
        <f>Master_Data!A700</f>
        <v>708</v>
      </c>
      <c r="B700">
        <f>Master_Data!B700</f>
        <v>40575</v>
      </c>
      <c r="C700">
        <f>Master_Data!C700</f>
        <v>1</v>
      </c>
      <c r="D700">
        <f>Master_Data!D700</f>
        <v>0</v>
      </c>
      <c r="E700">
        <f>Master_Data!E700</f>
        <v>2</v>
      </c>
      <c r="F700">
        <f>Master_Data!F700</f>
        <v>20</v>
      </c>
      <c r="G700" t="b">
        <f>Master_Data!G700</f>
        <v>0</v>
      </c>
      <c r="H700">
        <f>Master_Data!H700</f>
        <v>2</v>
      </c>
      <c r="I700">
        <f>Master_Data!I700</f>
        <v>2</v>
      </c>
      <c r="J700">
        <f>Master_Data!J700</f>
        <v>0.22</v>
      </c>
      <c r="K700">
        <f>Master_Data!K700</f>
        <v>0.2273</v>
      </c>
      <c r="L700">
        <f>Master_Data!L700</f>
        <v>0.87</v>
      </c>
      <c r="M700">
        <f>Master_Data!M700</f>
        <v>0.1343</v>
      </c>
      <c r="N700">
        <f>Master_Data!N700</f>
        <v>5</v>
      </c>
      <c r="O700">
        <f>Master_Data!O700</f>
        <v>69</v>
      </c>
      <c r="P700">
        <f>Master_Data!P700</f>
        <v>74</v>
      </c>
      <c r="Q700" t="str">
        <f t="shared" si="60"/>
        <v>2011</v>
      </c>
      <c r="R700" t="str">
        <f t="shared" si="61"/>
        <v>February</v>
      </c>
      <c r="S700" t="str">
        <f t="shared" si="62"/>
        <v>Weekday</v>
      </c>
      <c r="T700" t="str">
        <f t="shared" si="63"/>
        <v>Evening</v>
      </c>
      <c r="U700" t="str">
        <f t="shared" si="64"/>
        <v>Spring</v>
      </c>
      <c r="V700" t="str">
        <f t="shared" si="65"/>
        <v>Mist/Cloudy</v>
      </c>
    </row>
    <row r="701" spans="1:22">
      <c r="A701">
        <f>Master_Data!A701</f>
        <v>709</v>
      </c>
      <c r="B701">
        <f>Master_Data!B701</f>
        <v>40575</v>
      </c>
      <c r="C701">
        <f>Master_Data!C701</f>
        <v>1</v>
      </c>
      <c r="D701">
        <f>Master_Data!D701</f>
        <v>0</v>
      </c>
      <c r="E701">
        <f>Master_Data!E701</f>
        <v>2</v>
      </c>
      <c r="F701">
        <f>Master_Data!F701</f>
        <v>21</v>
      </c>
      <c r="G701" t="b">
        <f>Master_Data!G701</f>
        <v>0</v>
      </c>
      <c r="H701">
        <f>Master_Data!H701</f>
        <v>2</v>
      </c>
      <c r="I701">
        <f>Master_Data!I701</f>
        <v>2</v>
      </c>
      <c r="J701">
        <f>Master_Data!J701</f>
        <v>0.22</v>
      </c>
      <c r="K701">
        <f>Master_Data!K701</f>
        <v>0.2273</v>
      </c>
      <c r="L701">
        <f>Master_Data!L701</f>
        <v>0.87</v>
      </c>
      <c r="M701">
        <f>Master_Data!M701</f>
        <v>0.1343</v>
      </c>
      <c r="N701">
        <f>Master_Data!N701</f>
        <v>0</v>
      </c>
      <c r="O701">
        <f>Master_Data!O701</f>
        <v>64</v>
      </c>
      <c r="P701">
        <f>Master_Data!P701</f>
        <v>64</v>
      </c>
      <c r="Q701" t="str">
        <f t="shared" si="60"/>
        <v>2011</v>
      </c>
      <c r="R701" t="str">
        <f t="shared" si="61"/>
        <v>February</v>
      </c>
      <c r="S701" t="str">
        <f t="shared" si="62"/>
        <v>Weekday</v>
      </c>
      <c r="T701" t="str">
        <f t="shared" si="63"/>
        <v>Night</v>
      </c>
      <c r="U701" t="str">
        <f t="shared" si="64"/>
        <v>Spring</v>
      </c>
      <c r="V701" t="str">
        <f t="shared" si="65"/>
        <v>Mist/Cloudy</v>
      </c>
    </row>
    <row r="702" spans="1:22">
      <c r="A702">
        <f>Master_Data!A702</f>
        <v>710</v>
      </c>
      <c r="B702">
        <f>Master_Data!B702</f>
        <v>40575</v>
      </c>
      <c r="C702">
        <f>Master_Data!C702</f>
        <v>1</v>
      </c>
      <c r="D702">
        <f>Master_Data!D702</f>
        <v>0</v>
      </c>
      <c r="E702">
        <f>Master_Data!E702</f>
        <v>2</v>
      </c>
      <c r="F702">
        <f>Master_Data!F702</f>
        <v>22</v>
      </c>
      <c r="G702" t="b">
        <f>Master_Data!G702</f>
        <v>0</v>
      </c>
      <c r="H702">
        <f>Master_Data!H702</f>
        <v>2</v>
      </c>
      <c r="I702">
        <f>Master_Data!I702</f>
        <v>2</v>
      </c>
      <c r="J702">
        <f>Master_Data!J702</f>
        <v>0.22</v>
      </c>
      <c r="K702">
        <f>Master_Data!K702</f>
        <v>0.2576</v>
      </c>
      <c r="L702">
        <f>Master_Data!L702</f>
        <v>0.87</v>
      </c>
      <c r="M702">
        <f>Master_Data!M702</f>
        <v>8.9599999999999999E-2</v>
      </c>
      <c r="N702">
        <f>Master_Data!N702</f>
        <v>2</v>
      </c>
      <c r="O702">
        <f>Master_Data!O702</f>
        <v>34</v>
      </c>
      <c r="P702">
        <f>Master_Data!P702</f>
        <v>36</v>
      </c>
      <c r="Q702" t="str">
        <f t="shared" si="60"/>
        <v>2011</v>
      </c>
      <c r="R702" t="str">
        <f t="shared" si="61"/>
        <v>February</v>
      </c>
      <c r="S702" t="str">
        <f t="shared" si="62"/>
        <v>Weekday</v>
      </c>
      <c r="T702" t="str">
        <f t="shared" si="63"/>
        <v>Night</v>
      </c>
      <c r="U702" t="str">
        <f t="shared" si="64"/>
        <v>Spring</v>
      </c>
      <c r="V702" t="str">
        <f t="shared" si="65"/>
        <v>Mist/Cloudy</v>
      </c>
    </row>
    <row r="703" spans="1:22">
      <c r="A703">
        <f>Master_Data!A703</f>
        <v>711</v>
      </c>
      <c r="B703">
        <f>Master_Data!B703</f>
        <v>40575</v>
      </c>
      <c r="C703">
        <f>Master_Data!C703</f>
        <v>1</v>
      </c>
      <c r="D703">
        <f>Master_Data!D703</f>
        <v>0</v>
      </c>
      <c r="E703">
        <f>Master_Data!E703</f>
        <v>2</v>
      </c>
      <c r="F703">
        <f>Master_Data!F703</f>
        <v>23</v>
      </c>
      <c r="G703" t="b">
        <f>Master_Data!G703</f>
        <v>0</v>
      </c>
      <c r="H703">
        <f>Master_Data!H703</f>
        <v>2</v>
      </c>
      <c r="I703">
        <f>Master_Data!I703</f>
        <v>3</v>
      </c>
      <c r="J703">
        <f>Master_Data!J703</f>
        <v>0.2</v>
      </c>
      <c r="K703">
        <f>Master_Data!K703</f>
        <v>0.19700000000000001</v>
      </c>
      <c r="L703">
        <f>Master_Data!L703</f>
        <v>0.93</v>
      </c>
      <c r="M703">
        <f>Master_Data!M703</f>
        <v>0.19400000000000001</v>
      </c>
      <c r="N703">
        <f>Master_Data!N703</f>
        <v>1</v>
      </c>
      <c r="O703">
        <f>Master_Data!O703</f>
        <v>15</v>
      </c>
      <c r="P703">
        <f>Master_Data!P703</f>
        <v>16</v>
      </c>
      <c r="Q703" t="str">
        <f t="shared" si="60"/>
        <v>2011</v>
      </c>
      <c r="R703" t="str">
        <f t="shared" si="61"/>
        <v>February</v>
      </c>
      <c r="S703" t="str">
        <f t="shared" si="62"/>
        <v>Weekday</v>
      </c>
      <c r="T703" t="str">
        <f t="shared" si="63"/>
        <v>Night</v>
      </c>
      <c r="U703" t="str">
        <f t="shared" si="64"/>
        <v>Spring</v>
      </c>
      <c r="V703" t="str">
        <f t="shared" si="65"/>
        <v>Light Rain/Snow</v>
      </c>
    </row>
    <row r="704" spans="1:22">
      <c r="A704">
        <f>Master_Data!A704</f>
        <v>712</v>
      </c>
      <c r="B704">
        <f>Master_Data!B704</f>
        <v>40576</v>
      </c>
      <c r="C704">
        <f>Master_Data!C704</f>
        <v>1</v>
      </c>
      <c r="D704">
        <f>Master_Data!D704</f>
        <v>0</v>
      </c>
      <c r="E704">
        <f>Master_Data!E704</f>
        <v>2</v>
      </c>
      <c r="F704">
        <f>Master_Data!F704</f>
        <v>0</v>
      </c>
      <c r="G704" t="b">
        <f>Master_Data!G704</f>
        <v>0</v>
      </c>
      <c r="H704">
        <f>Master_Data!H704</f>
        <v>3</v>
      </c>
      <c r="I704">
        <f>Master_Data!I704</f>
        <v>3</v>
      </c>
      <c r="J704">
        <f>Master_Data!J704</f>
        <v>0.22</v>
      </c>
      <c r="K704">
        <f>Master_Data!K704</f>
        <v>0.2424</v>
      </c>
      <c r="L704">
        <f>Master_Data!L704</f>
        <v>0.93</v>
      </c>
      <c r="M704">
        <f>Master_Data!M704</f>
        <v>0.1045</v>
      </c>
      <c r="N704">
        <f>Master_Data!N704</f>
        <v>0</v>
      </c>
      <c r="O704">
        <f>Master_Data!O704</f>
        <v>2</v>
      </c>
      <c r="P704">
        <f>Master_Data!P704</f>
        <v>2</v>
      </c>
      <c r="Q704" t="str">
        <f t="shared" si="60"/>
        <v>2011</v>
      </c>
      <c r="R704" t="str">
        <f t="shared" si="61"/>
        <v>February</v>
      </c>
      <c r="S704" t="str">
        <f t="shared" si="62"/>
        <v>Weekday</v>
      </c>
      <c r="T704" t="str">
        <f t="shared" si="63"/>
        <v>Night</v>
      </c>
      <c r="U704" t="str">
        <f t="shared" si="64"/>
        <v>Spring</v>
      </c>
      <c r="V704" t="str">
        <f t="shared" si="65"/>
        <v>Light Rain/Snow</v>
      </c>
    </row>
    <row r="705" spans="1:22">
      <c r="A705">
        <f>Master_Data!A705</f>
        <v>713</v>
      </c>
      <c r="B705">
        <f>Master_Data!B705</f>
        <v>40576</v>
      </c>
      <c r="C705">
        <f>Master_Data!C705</f>
        <v>1</v>
      </c>
      <c r="D705">
        <f>Master_Data!D705</f>
        <v>0</v>
      </c>
      <c r="E705">
        <f>Master_Data!E705</f>
        <v>2</v>
      </c>
      <c r="F705">
        <f>Master_Data!F705</f>
        <v>1</v>
      </c>
      <c r="G705" t="b">
        <f>Master_Data!G705</f>
        <v>0</v>
      </c>
      <c r="H705">
        <f>Master_Data!H705</f>
        <v>3</v>
      </c>
      <c r="I705">
        <f>Master_Data!I705</f>
        <v>3</v>
      </c>
      <c r="J705">
        <f>Master_Data!J705</f>
        <v>0.22</v>
      </c>
      <c r="K705">
        <f>Master_Data!K705</f>
        <v>0.2273</v>
      </c>
      <c r="L705">
        <f>Master_Data!L705</f>
        <v>0.93</v>
      </c>
      <c r="M705">
        <f>Master_Data!M705</f>
        <v>0.19400000000000001</v>
      </c>
      <c r="N705">
        <f>Master_Data!N705</f>
        <v>0</v>
      </c>
      <c r="O705">
        <f>Master_Data!O705</f>
        <v>3</v>
      </c>
      <c r="P705">
        <f>Master_Data!P705</f>
        <v>3</v>
      </c>
      <c r="Q705" t="str">
        <f t="shared" si="60"/>
        <v>2011</v>
      </c>
      <c r="R705" t="str">
        <f t="shared" si="61"/>
        <v>February</v>
      </c>
      <c r="S705" t="str">
        <f t="shared" si="62"/>
        <v>Weekday</v>
      </c>
      <c r="T705" t="str">
        <f t="shared" si="63"/>
        <v>Night</v>
      </c>
      <c r="U705" t="str">
        <f t="shared" si="64"/>
        <v>Spring</v>
      </c>
      <c r="V705" t="str">
        <f t="shared" si="65"/>
        <v>Light Rain/Snow</v>
      </c>
    </row>
    <row r="706" spans="1:22">
      <c r="A706">
        <f>Master_Data!A706</f>
        <v>714</v>
      </c>
      <c r="B706">
        <f>Master_Data!B706</f>
        <v>40576</v>
      </c>
      <c r="C706">
        <f>Master_Data!C706</f>
        <v>1</v>
      </c>
      <c r="D706">
        <f>Master_Data!D706</f>
        <v>0</v>
      </c>
      <c r="E706">
        <f>Master_Data!E706</f>
        <v>2</v>
      </c>
      <c r="F706">
        <f>Master_Data!F706</f>
        <v>2</v>
      </c>
      <c r="G706" t="b">
        <f>Master_Data!G706</f>
        <v>0</v>
      </c>
      <c r="H706">
        <f>Master_Data!H706</f>
        <v>3</v>
      </c>
      <c r="I706">
        <f>Master_Data!I706</f>
        <v>3</v>
      </c>
      <c r="J706">
        <f>Master_Data!J706</f>
        <v>0.22</v>
      </c>
      <c r="K706">
        <f>Master_Data!K706</f>
        <v>0.2273</v>
      </c>
      <c r="L706">
        <f>Master_Data!L706</f>
        <v>0.93</v>
      </c>
      <c r="M706">
        <f>Master_Data!M706</f>
        <v>0.1343</v>
      </c>
      <c r="N706">
        <f>Master_Data!N706</f>
        <v>4</v>
      </c>
      <c r="O706">
        <f>Master_Data!O706</f>
        <v>0</v>
      </c>
      <c r="P706">
        <f>Master_Data!P706</f>
        <v>4</v>
      </c>
      <c r="Q706" t="str">
        <f t="shared" ref="Q706:Q769" si="66">IF(D706=0,"2011","2012")</f>
        <v>2011</v>
      </c>
      <c r="R706" t="str">
        <f t="shared" ref="R706:R769" si="67">TEXT(B706,"mmmm")</f>
        <v>February</v>
      </c>
      <c r="S706" t="str">
        <f t="shared" ref="S706:S769" si="68">IF(G706=TRUE,"Holiday",IF(H706=0,"Sunday",IF(H706=6,"Saturday","Weekday")))</f>
        <v>Weekday</v>
      </c>
      <c r="T706" t="str">
        <f t="shared" ref="T706:T769" si="69">IF(F706&lt;6,"Night",IF(F706&lt;12,"Morning",IF(F706&lt;17,"Afternoon",IF(F706&lt;21,"Evening","Night"))))</f>
        <v>Night</v>
      </c>
      <c r="U706" t="str">
        <f t="shared" ref="U706:U769" si="70">CHOOSE(C706,"Spring","Summer","Fall","Winter")</f>
        <v>Spring</v>
      </c>
      <c r="V706" t="str">
        <f t="shared" ref="V706:V769" si="71">CHOOSE(I706,"Clear","Mist/Cloudy","Light Rain/Snow","Heavy Rain/Snow")</f>
        <v>Light Rain/Snow</v>
      </c>
    </row>
    <row r="707" spans="1:22">
      <c r="A707">
        <f>Master_Data!A707</f>
        <v>715</v>
      </c>
      <c r="B707">
        <f>Master_Data!B707</f>
        <v>40576</v>
      </c>
      <c r="C707">
        <f>Master_Data!C707</f>
        <v>1</v>
      </c>
      <c r="D707">
        <f>Master_Data!D707</f>
        <v>0</v>
      </c>
      <c r="E707">
        <f>Master_Data!E707</f>
        <v>2</v>
      </c>
      <c r="F707">
        <f>Master_Data!F707</f>
        <v>3</v>
      </c>
      <c r="G707" t="b">
        <f>Master_Data!G707</f>
        <v>0</v>
      </c>
      <c r="H707">
        <f>Master_Data!H707</f>
        <v>3</v>
      </c>
      <c r="I707">
        <f>Master_Data!I707</f>
        <v>3</v>
      </c>
      <c r="J707">
        <f>Master_Data!J707</f>
        <v>0.22</v>
      </c>
      <c r="K707">
        <f>Master_Data!K707</f>
        <v>0.2273</v>
      </c>
      <c r="L707">
        <f>Master_Data!L707</f>
        <v>0.93</v>
      </c>
      <c r="M707">
        <f>Master_Data!M707</f>
        <v>0.1343</v>
      </c>
      <c r="N707">
        <f>Master_Data!N707</f>
        <v>0</v>
      </c>
      <c r="O707">
        <f>Master_Data!O707</f>
        <v>1</v>
      </c>
      <c r="P707">
        <f>Master_Data!P707</f>
        <v>1</v>
      </c>
      <c r="Q707" t="str">
        <f t="shared" si="66"/>
        <v>2011</v>
      </c>
      <c r="R707" t="str">
        <f t="shared" si="67"/>
        <v>February</v>
      </c>
      <c r="S707" t="str">
        <f t="shared" si="68"/>
        <v>Weekday</v>
      </c>
      <c r="T707" t="str">
        <f t="shared" si="69"/>
        <v>Night</v>
      </c>
      <c r="U707" t="str">
        <f t="shared" si="70"/>
        <v>Spring</v>
      </c>
      <c r="V707" t="str">
        <f t="shared" si="71"/>
        <v>Light Rain/Snow</v>
      </c>
    </row>
    <row r="708" spans="1:22">
      <c r="A708">
        <f>Master_Data!A708</f>
        <v>716</v>
      </c>
      <c r="B708">
        <f>Master_Data!B708</f>
        <v>40576</v>
      </c>
      <c r="C708">
        <f>Master_Data!C708</f>
        <v>1</v>
      </c>
      <c r="D708">
        <f>Master_Data!D708</f>
        <v>0</v>
      </c>
      <c r="E708">
        <f>Master_Data!E708</f>
        <v>2</v>
      </c>
      <c r="F708">
        <f>Master_Data!F708</f>
        <v>4</v>
      </c>
      <c r="G708" t="b">
        <f>Master_Data!G708</f>
        <v>0</v>
      </c>
      <c r="H708">
        <f>Master_Data!H708</f>
        <v>3</v>
      </c>
      <c r="I708">
        <f>Master_Data!I708</f>
        <v>3</v>
      </c>
      <c r="J708">
        <f>Master_Data!J708</f>
        <v>0.22</v>
      </c>
      <c r="K708">
        <f>Master_Data!K708</f>
        <v>0.21210000000000001</v>
      </c>
      <c r="L708">
        <f>Master_Data!L708</f>
        <v>0.93</v>
      </c>
      <c r="M708">
        <f>Master_Data!M708</f>
        <v>0.28360000000000002</v>
      </c>
      <c r="N708">
        <f>Master_Data!N708</f>
        <v>0</v>
      </c>
      <c r="O708">
        <f>Master_Data!O708</f>
        <v>1</v>
      </c>
      <c r="P708">
        <f>Master_Data!P708</f>
        <v>1</v>
      </c>
      <c r="Q708" t="str">
        <f t="shared" si="66"/>
        <v>2011</v>
      </c>
      <c r="R708" t="str">
        <f t="shared" si="67"/>
        <v>February</v>
      </c>
      <c r="S708" t="str">
        <f t="shared" si="68"/>
        <v>Weekday</v>
      </c>
      <c r="T708" t="str">
        <f t="shared" si="69"/>
        <v>Night</v>
      </c>
      <c r="U708" t="str">
        <f t="shared" si="70"/>
        <v>Spring</v>
      </c>
      <c r="V708" t="str">
        <f t="shared" si="71"/>
        <v>Light Rain/Snow</v>
      </c>
    </row>
    <row r="709" spans="1:22">
      <c r="A709">
        <f>Master_Data!A709</f>
        <v>717</v>
      </c>
      <c r="B709">
        <f>Master_Data!B709</f>
        <v>40576</v>
      </c>
      <c r="C709">
        <f>Master_Data!C709</f>
        <v>1</v>
      </c>
      <c r="D709">
        <f>Master_Data!D709</f>
        <v>0</v>
      </c>
      <c r="E709">
        <f>Master_Data!E709</f>
        <v>2</v>
      </c>
      <c r="F709">
        <f>Master_Data!F709</f>
        <v>5</v>
      </c>
      <c r="G709" t="b">
        <f>Master_Data!G709</f>
        <v>0</v>
      </c>
      <c r="H709">
        <f>Master_Data!H709</f>
        <v>3</v>
      </c>
      <c r="I709">
        <f>Master_Data!I709</f>
        <v>3</v>
      </c>
      <c r="J709">
        <f>Master_Data!J709</f>
        <v>0.22</v>
      </c>
      <c r="K709">
        <f>Master_Data!K709</f>
        <v>0.2424</v>
      </c>
      <c r="L709">
        <f>Master_Data!L709</f>
        <v>0.93</v>
      </c>
      <c r="M709">
        <f>Master_Data!M709</f>
        <v>0.1045</v>
      </c>
      <c r="N709">
        <f>Master_Data!N709</f>
        <v>0</v>
      </c>
      <c r="O709">
        <f>Master_Data!O709</f>
        <v>3</v>
      </c>
      <c r="P709">
        <f>Master_Data!P709</f>
        <v>3</v>
      </c>
      <c r="Q709" t="str">
        <f t="shared" si="66"/>
        <v>2011</v>
      </c>
      <c r="R709" t="str">
        <f t="shared" si="67"/>
        <v>February</v>
      </c>
      <c r="S709" t="str">
        <f t="shared" si="68"/>
        <v>Weekday</v>
      </c>
      <c r="T709" t="str">
        <f t="shared" si="69"/>
        <v>Night</v>
      </c>
      <c r="U709" t="str">
        <f t="shared" si="70"/>
        <v>Spring</v>
      </c>
      <c r="V709" t="str">
        <f t="shared" si="71"/>
        <v>Light Rain/Snow</v>
      </c>
    </row>
    <row r="710" spans="1:22">
      <c r="A710">
        <f>Master_Data!A710</f>
        <v>718</v>
      </c>
      <c r="B710">
        <f>Master_Data!B710</f>
        <v>40576</v>
      </c>
      <c r="C710">
        <f>Master_Data!C710</f>
        <v>1</v>
      </c>
      <c r="D710">
        <f>Master_Data!D710</f>
        <v>0</v>
      </c>
      <c r="E710">
        <f>Master_Data!E710</f>
        <v>2</v>
      </c>
      <c r="F710">
        <f>Master_Data!F710</f>
        <v>6</v>
      </c>
      <c r="G710" t="b">
        <f>Master_Data!G710</f>
        <v>0</v>
      </c>
      <c r="H710">
        <f>Master_Data!H710</f>
        <v>3</v>
      </c>
      <c r="I710">
        <f>Master_Data!I710</f>
        <v>3</v>
      </c>
      <c r="J710">
        <f>Master_Data!J710</f>
        <v>0.22</v>
      </c>
      <c r="K710">
        <f>Master_Data!K710</f>
        <v>0.2424</v>
      </c>
      <c r="L710">
        <f>Master_Data!L710</f>
        <v>0.93</v>
      </c>
      <c r="M710">
        <f>Master_Data!M710</f>
        <v>0.1045</v>
      </c>
      <c r="N710">
        <f>Master_Data!N710</f>
        <v>1</v>
      </c>
      <c r="O710">
        <f>Master_Data!O710</f>
        <v>17</v>
      </c>
      <c r="P710">
        <f>Master_Data!P710</f>
        <v>18</v>
      </c>
      <c r="Q710" t="str">
        <f t="shared" si="66"/>
        <v>2011</v>
      </c>
      <c r="R710" t="str">
        <f t="shared" si="67"/>
        <v>February</v>
      </c>
      <c r="S710" t="str">
        <f t="shared" si="68"/>
        <v>Weekday</v>
      </c>
      <c r="T710" t="str">
        <f t="shared" si="69"/>
        <v>Morning</v>
      </c>
      <c r="U710" t="str">
        <f t="shared" si="70"/>
        <v>Spring</v>
      </c>
      <c r="V710" t="str">
        <f t="shared" si="71"/>
        <v>Light Rain/Snow</v>
      </c>
    </row>
    <row r="711" spans="1:22">
      <c r="A711">
        <f>Master_Data!A711</f>
        <v>719</v>
      </c>
      <c r="B711">
        <f>Master_Data!B711</f>
        <v>40576</v>
      </c>
      <c r="C711">
        <f>Master_Data!C711</f>
        <v>1</v>
      </c>
      <c r="D711">
        <f>Master_Data!D711</f>
        <v>0</v>
      </c>
      <c r="E711">
        <f>Master_Data!E711</f>
        <v>2</v>
      </c>
      <c r="F711">
        <f>Master_Data!F711</f>
        <v>7</v>
      </c>
      <c r="G711" t="b">
        <f>Master_Data!G711</f>
        <v>0</v>
      </c>
      <c r="H711">
        <f>Master_Data!H711</f>
        <v>3</v>
      </c>
      <c r="I711">
        <f>Master_Data!I711</f>
        <v>3</v>
      </c>
      <c r="J711">
        <f>Master_Data!J711</f>
        <v>0.22</v>
      </c>
      <c r="K711">
        <f>Master_Data!K711</f>
        <v>0.21210000000000001</v>
      </c>
      <c r="L711">
        <f>Master_Data!L711</f>
        <v>0.93</v>
      </c>
      <c r="M711">
        <f>Master_Data!M711</f>
        <v>0.22389999999999999</v>
      </c>
      <c r="N711">
        <f>Master_Data!N711</f>
        <v>1</v>
      </c>
      <c r="O711">
        <f>Master_Data!O711</f>
        <v>48</v>
      </c>
      <c r="P711">
        <f>Master_Data!P711</f>
        <v>49</v>
      </c>
      <c r="Q711" t="str">
        <f t="shared" si="66"/>
        <v>2011</v>
      </c>
      <c r="R711" t="str">
        <f t="shared" si="67"/>
        <v>February</v>
      </c>
      <c r="S711" t="str">
        <f t="shared" si="68"/>
        <v>Weekday</v>
      </c>
      <c r="T711" t="str">
        <f t="shared" si="69"/>
        <v>Morning</v>
      </c>
      <c r="U711" t="str">
        <f t="shared" si="70"/>
        <v>Spring</v>
      </c>
      <c r="V711" t="str">
        <f t="shared" si="71"/>
        <v>Light Rain/Snow</v>
      </c>
    </row>
    <row r="712" spans="1:22">
      <c r="A712">
        <f>Master_Data!A712</f>
        <v>720</v>
      </c>
      <c r="B712">
        <f>Master_Data!B712</f>
        <v>40576</v>
      </c>
      <c r="C712">
        <f>Master_Data!C712</f>
        <v>1</v>
      </c>
      <c r="D712">
        <f>Master_Data!D712</f>
        <v>0</v>
      </c>
      <c r="E712">
        <f>Master_Data!E712</f>
        <v>2</v>
      </c>
      <c r="F712">
        <f>Master_Data!F712</f>
        <v>8</v>
      </c>
      <c r="G712" t="b">
        <f>Master_Data!G712</f>
        <v>0</v>
      </c>
      <c r="H712">
        <f>Master_Data!H712</f>
        <v>3</v>
      </c>
      <c r="I712">
        <f>Master_Data!I712</f>
        <v>3</v>
      </c>
      <c r="J712">
        <f>Master_Data!J712</f>
        <v>0.22</v>
      </c>
      <c r="K712">
        <f>Master_Data!K712</f>
        <v>0.21210000000000001</v>
      </c>
      <c r="L712">
        <f>Master_Data!L712</f>
        <v>0.93</v>
      </c>
      <c r="M712">
        <f>Master_Data!M712</f>
        <v>0.22389999999999999</v>
      </c>
      <c r="N712">
        <f>Master_Data!N712</f>
        <v>1</v>
      </c>
      <c r="O712">
        <f>Master_Data!O712</f>
        <v>154</v>
      </c>
      <c r="P712">
        <f>Master_Data!P712</f>
        <v>155</v>
      </c>
      <c r="Q712" t="str">
        <f t="shared" si="66"/>
        <v>2011</v>
      </c>
      <c r="R712" t="str">
        <f t="shared" si="67"/>
        <v>February</v>
      </c>
      <c r="S712" t="str">
        <f t="shared" si="68"/>
        <v>Weekday</v>
      </c>
      <c r="T712" t="str">
        <f t="shared" si="69"/>
        <v>Morning</v>
      </c>
      <c r="U712" t="str">
        <f t="shared" si="70"/>
        <v>Spring</v>
      </c>
      <c r="V712" t="str">
        <f t="shared" si="71"/>
        <v>Light Rain/Snow</v>
      </c>
    </row>
    <row r="713" spans="1:22">
      <c r="A713">
        <f>Master_Data!A713</f>
        <v>721</v>
      </c>
      <c r="B713">
        <f>Master_Data!B713</f>
        <v>40576</v>
      </c>
      <c r="C713">
        <f>Master_Data!C713</f>
        <v>1</v>
      </c>
      <c r="D713">
        <f>Master_Data!D713</f>
        <v>0</v>
      </c>
      <c r="E713">
        <f>Master_Data!E713</f>
        <v>2</v>
      </c>
      <c r="F713">
        <f>Master_Data!F713</f>
        <v>9</v>
      </c>
      <c r="G713" t="b">
        <f>Master_Data!G713</f>
        <v>0</v>
      </c>
      <c r="H713">
        <f>Master_Data!H713</f>
        <v>3</v>
      </c>
      <c r="I713">
        <f>Master_Data!I713</f>
        <v>2</v>
      </c>
      <c r="J713">
        <f>Master_Data!J713</f>
        <v>0.24</v>
      </c>
      <c r="K713">
        <f>Master_Data!K713</f>
        <v>0.2576</v>
      </c>
      <c r="L713">
        <f>Master_Data!L713</f>
        <v>0.93</v>
      </c>
      <c r="M713">
        <f>Master_Data!M713</f>
        <v>8.9599999999999999E-2</v>
      </c>
      <c r="N713">
        <f>Master_Data!N713</f>
        <v>4</v>
      </c>
      <c r="O713">
        <f>Master_Data!O713</f>
        <v>119</v>
      </c>
      <c r="P713">
        <f>Master_Data!P713</f>
        <v>123</v>
      </c>
      <c r="Q713" t="str">
        <f t="shared" si="66"/>
        <v>2011</v>
      </c>
      <c r="R713" t="str">
        <f t="shared" si="67"/>
        <v>February</v>
      </c>
      <c r="S713" t="str">
        <f t="shared" si="68"/>
        <v>Weekday</v>
      </c>
      <c r="T713" t="str">
        <f t="shared" si="69"/>
        <v>Morning</v>
      </c>
      <c r="U713" t="str">
        <f t="shared" si="70"/>
        <v>Spring</v>
      </c>
      <c r="V713" t="str">
        <f t="shared" si="71"/>
        <v>Mist/Cloudy</v>
      </c>
    </row>
    <row r="714" spans="1:22">
      <c r="A714">
        <f>Master_Data!A714</f>
        <v>722</v>
      </c>
      <c r="B714">
        <f>Master_Data!B714</f>
        <v>40576</v>
      </c>
      <c r="C714">
        <f>Master_Data!C714</f>
        <v>1</v>
      </c>
      <c r="D714">
        <f>Master_Data!D714</f>
        <v>0</v>
      </c>
      <c r="E714">
        <f>Master_Data!E714</f>
        <v>2</v>
      </c>
      <c r="F714">
        <f>Master_Data!F714</f>
        <v>10</v>
      </c>
      <c r="G714" t="b">
        <f>Master_Data!G714</f>
        <v>0</v>
      </c>
      <c r="H714">
        <f>Master_Data!H714</f>
        <v>3</v>
      </c>
      <c r="I714">
        <f>Master_Data!I714</f>
        <v>2</v>
      </c>
      <c r="J714">
        <f>Master_Data!J714</f>
        <v>0.22</v>
      </c>
      <c r="K714">
        <f>Master_Data!K714</f>
        <v>0.2727</v>
      </c>
      <c r="L714">
        <f>Master_Data!L714</f>
        <v>1</v>
      </c>
      <c r="M714">
        <f>Master_Data!M714</f>
        <v>0</v>
      </c>
      <c r="N714">
        <f>Master_Data!N714</f>
        <v>2</v>
      </c>
      <c r="O714">
        <f>Master_Data!O714</f>
        <v>59</v>
      </c>
      <c r="P714">
        <f>Master_Data!P714</f>
        <v>61</v>
      </c>
      <c r="Q714" t="str">
        <f t="shared" si="66"/>
        <v>2011</v>
      </c>
      <c r="R714" t="str">
        <f t="shared" si="67"/>
        <v>February</v>
      </c>
      <c r="S714" t="str">
        <f t="shared" si="68"/>
        <v>Weekday</v>
      </c>
      <c r="T714" t="str">
        <f t="shared" si="69"/>
        <v>Morning</v>
      </c>
      <c r="U714" t="str">
        <f t="shared" si="70"/>
        <v>Spring</v>
      </c>
      <c r="V714" t="str">
        <f t="shared" si="71"/>
        <v>Mist/Cloudy</v>
      </c>
    </row>
    <row r="715" spans="1:22">
      <c r="A715">
        <f>Master_Data!A715</f>
        <v>723</v>
      </c>
      <c r="B715">
        <f>Master_Data!B715</f>
        <v>40576</v>
      </c>
      <c r="C715">
        <f>Master_Data!C715</f>
        <v>1</v>
      </c>
      <c r="D715">
        <f>Master_Data!D715</f>
        <v>0</v>
      </c>
      <c r="E715">
        <f>Master_Data!E715</f>
        <v>2</v>
      </c>
      <c r="F715">
        <f>Master_Data!F715</f>
        <v>11</v>
      </c>
      <c r="G715" t="b">
        <f>Master_Data!G715</f>
        <v>0</v>
      </c>
      <c r="H715">
        <f>Master_Data!H715</f>
        <v>3</v>
      </c>
      <c r="I715">
        <f>Master_Data!I715</f>
        <v>2</v>
      </c>
      <c r="J715">
        <f>Master_Data!J715</f>
        <v>0.24</v>
      </c>
      <c r="K715">
        <f>Master_Data!K715</f>
        <v>0.2273</v>
      </c>
      <c r="L715">
        <f>Master_Data!L715</f>
        <v>0.93</v>
      </c>
      <c r="M715">
        <f>Master_Data!M715</f>
        <v>0.19400000000000001</v>
      </c>
      <c r="N715">
        <f>Master_Data!N715</f>
        <v>5</v>
      </c>
      <c r="O715">
        <f>Master_Data!O715</f>
        <v>47</v>
      </c>
      <c r="P715">
        <f>Master_Data!P715</f>
        <v>52</v>
      </c>
      <c r="Q715" t="str">
        <f t="shared" si="66"/>
        <v>2011</v>
      </c>
      <c r="R715" t="str">
        <f t="shared" si="67"/>
        <v>February</v>
      </c>
      <c r="S715" t="str">
        <f t="shared" si="68"/>
        <v>Weekday</v>
      </c>
      <c r="T715" t="str">
        <f t="shared" si="69"/>
        <v>Morning</v>
      </c>
      <c r="U715" t="str">
        <f t="shared" si="70"/>
        <v>Spring</v>
      </c>
      <c r="V715" t="str">
        <f t="shared" si="71"/>
        <v>Mist/Cloudy</v>
      </c>
    </row>
    <row r="716" spans="1:22">
      <c r="A716">
        <f>Master_Data!A716</f>
        <v>724</v>
      </c>
      <c r="B716">
        <f>Master_Data!B716</f>
        <v>40576</v>
      </c>
      <c r="C716">
        <f>Master_Data!C716</f>
        <v>1</v>
      </c>
      <c r="D716">
        <f>Master_Data!D716</f>
        <v>0</v>
      </c>
      <c r="E716">
        <f>Master_Data!E716</f>
        <v>2</v>
      </c>
      <c r="F716">
        <f>Master_Data!F716</f>
        <v>12</v>
      </c>
      <c r="G716" t="b">
        <f>Master_Data!G716</f>
        <v>0</v>
      </c>
      <c r="H716">
        <f>Master_Data!H716</f>
        <v>3</v>
      </c>
      <c r="I716">
        <f>Master_Data!I716</f>
        <v>2</v>
      </c>
      <c r="J716">
        <f>Master_Data!J716</f>
        <v>0.24</v>
      </c>
      <c r="K716">
        <f>Master_Data!K716</f>
        <v>0.2273</v>
      </c>
      <c r="L716">
        <f>Master_Data!L716</f>
        <v>0.93</v>
      </c>
      <c r="M716">
        <f>Master_Data!M716</f>
        <v>0.22389999999999999</v>
      </c>
      <c r="N716">
        <f>Master_Data!N716</f>
        <v>3</v>
      </c>
      <c r="O716">
        <f>Master_Data!O716</f>
        <v>61</v>
      </c>
      <c r="P716">
        <f>Master_Data!P716</f>
        <v>64</v>
      </c>
      <c r="Q716" t="str">
        <f t="shared" si="66"/>
        <v>2011</v>
      </c>
      <c r="R716" t="str">
        <f t="shared" si="67"/>
        <v>February</v>
      </c>
      <c r="S716" t="str">
        <f t="shared" si="68"/>
        <v>Weekday</v>
      </c>
      <c r="T716" t="str">
        <f t="shared" si="69"/>
        <v>Afternoon</v>
      </c>
      <c r="U716" t="str">
        <f t="shared" si="70"/>
        <v>Spring</v>
      </c>
      <c r="V716" t="str">
        <f t="shared" si="71"/>
        <v>Mist/Cloudy</v>
      </c>
    </row>
    <row r="717" spans="1:22">
      <c r="A717">
        <f>Master_Data!A717</f>
        <v>725</v>
      </c>
      <c r="B717">
        <f>Master_Data!B717</f>
        <v>40576</v>
      </c>
      <c r="C717">
        <f>Master_Data!C717</f>
        <v>1</v>
      </c>
      <c r="D717">
        <f>Master_Data!D717</f>
        <v>0</v>
      </c>
      <c r="E717">
        <f>Master_Data!E717</f>
        <v>2</v>
      </c>
      <c r="F717">
        <f>Master_Data!F717</f>
        <v>13</v>
      </c>
      <c r="G717" t="b">
        <f>Master_Data!G717</f>
        <v>0</v>
      </c>
      <c r="H717">
        <f>Master_Data!H717</f>
        <v>3</v>
      </c>
      <c r="I717">
        <f>Master_Data!I717</f>
        <v>1</v>
      </c>
      <c r="J717">
        <f>Master_Data!J717</f>
        <v>0.34</v>
      </c>
      <c r="K717">
        <f>Master_Data!K717</f>
        <v>0.33329999999999999</v>
      </c>
      <c r="L717">
        <f>Master_Data!L717</f>
        <v>0.93</v>
      </c>
      <c r="M717">
        <f>Master_Data!M717</f>
        <v>0.16420000000000001</v>
      </c>
      <c r="N717">
        <f>Master_Data!N717</f>
        <v>1</v>
      </c>
      <c r="O717">
        <f>Master_Data!O717</f>
        <v>74</v>
      </c>
      <c r="P717">
        <f>Master_Data!P717</f>
        <v>75</v>
      </c>
      <c r="Q717" t="str">
        <f t="shared" si="66"/>
        <v>2011</v>
      </c>
      <c r="R717" t="str">
        <f t="shared" si="67"/>
        <v>February</v>
      </c>
      <c r="S717" t="str">
        <f t="shared" si="68"/>
        <v>Weekday</v>
      </c>
      <c r="T717" t="str">
        <f t="shared" si="69"/>
        <v>Afternoon</v>
      </c>
      <c r="U717" t="str">
        <f t="shared" si="70"/>
        <v>Spring</v>
      </c>
      <c r="V717" t="str">
        <f t="shared" si="71"/>
        <v>Clear</v>
      </c>
    </row>
    <row r="718" spans="1:22">
      <c r="A718">
        <f>Master_Data!A718</f>
        <v>726</v>
      </c>
      <c r="B718">
        <f>Master_Data!B718</f>
        <v>40576</v>
      </c>
      <c r="C718">
        <f>Master_Data!C718</f>
        <v>1</v>
      </c>
      <c r="D718">
        <f>Master_Data!D718</f>
        <v>0</v>
      </c>
      <c r="E718">
        <f>Master_Data!E718</f>
        <v>2</v>
      </c>
      <c r="F718">
        <f>Master_Data!F718</f>
        <v>14</v>
      </c>
      <c r="G718" t="b">
        <f>Master_Data!G718</f>
        <v>0</v>
      </c>
      <c r="H718">
        <f>Master_Data!H718</f>
        <v>3</v>
      </c>
      <c r="I718">
        <f>Master_Data!I718</f>
        <v>1</v>
      </c>
      <c r="J718">
        <f>Master_Data!J718</f>
        <v>0.38</v>
      </c>
      <c r="K718">
        <f>Master_Data!K718</f>
        <v>0.39389999999999997</v>
      </c>
      <c r="L718">
        <f>Master_Data!L718</f>
        <v>0.82</v>
      </c>
      <c r="M718">
        <f>Master_Data!M718</f>
        <v>0.3881</v>
      </c>
      <c r="N718">
        <f>Master_Data!N718</f>
        <v>2</v>
      </c>
      <c r="O718">
        <f>Master_Data!O718</f>
        <v>61</v>
      </c>
      <c r="P718">
        <f>Master_Data!P718</f>
        <v>63</v>
      </c>
      <c r="Q718" t="str">
        <f t="shared" si="66"/>
        <v>2011</v>
      </c>
      <c r="R718" t="str">
        <f t="shared" si="67"/>
        <v>February</v>
      </c>
      <c r="S718" t="str">
        <f t="shared" si="68"/>
        <v>Weekday</v>
      </c>
      <c r="T718" t="str">
        <f t="shared" si="69"/>
        <v>Afternoon</v>
      </c>
      <c r="U718" t="str">
        <f t="shared" si="70"/>
        <v>Spring</v>
      </c>
      <c r="V718" t="str">
        <f t="shared" si="71"/>
        <v>Clear</v>
      </c>
    </row>
    <row r="719" spans="1:22">
      <c r="A719">
        <f>Master_Data!A719</f>
        <v>727</v>
      </c>
      <c r="B719">
        <f>Master_Data!B719</f>
        <v>40576</v>
      </c>
      <c r="C719">
        <f>Master_Data!C719</f>
        <v>1</v>
      </c>
      <c r="D719">
        <f>Master_Data!D719</f>
        <v>0</v>
      </c>
      <c r="E719">
        <f>Master_Data!E719</f>
        <v>2</v>
      </c>
      <c r="F719">
        <f>Master_Data!F719</f>
        <v>15</v>
      </c>
      <c r="G719" t="b">
        <f>Master_Data!G719</f>
        <v>0</v>
      </c>
      <c r="H719">
        <f>Master_Data!H719</f>
        <v>3</v>
      </c>
      <c r="I719">
        <f>Master_Data!I719</f>
        <v>1</v>
      </c>
      <c r="J719">
        <f>Master_Data!J719</f>
        <v>0.38</v>
      </c>
      <c r="K719">
        <f>Master_Data!K719</f>
        <v>0.39389999999999997</v>
      </c>
      <c r="L719">
        <f>Master_Data!L719</f>
        <v>0.76</v>
      </c>
      <c r="M719">
        <f>Master_Data!M719</f>
        <v>0.32840000000000003</v>
      </c>
      <c r="N719">
        <f>Master_Data!N719</f>
        <v>10</v>
      </c>
      <c r="O719">
        <f>Master_Data!O719</f>
        <v>66</v>
      </c>
      <c r="P719">
        <f>Master_Data!P719</f>
        <v>76</v>
      </c>
      <c r="Q719" t="str">
        <f t="shared" si="66"/>
        <v>2011</v>
      </c>
      <c r="R719" t="str">
        <f t="shared" si="67"/>
        <v>February</v>
      </c>
      <c r="S719" t="str">
        <f t="shared" si="68"/>
        <v>Weekday</v>
      </c>
      <c r="T719" t="str">
        <f t="shared" si="69"/>
        <v>Afternoon</v>
      </c>
      <c r="U719" t="str">
        <f t="shared" si="70"/>
        <v>Spring</v>
      </c>
      <c r="V719" t="str">
        <f t="shared" si="71"/>
        <v>Clear</v>
      </c>
    </row>
    <row r="720" spans="1:22">
      <c r="A720">
        <f>Master_Data!A720</f>
        <v>728</v>
      </c>
      <c r="B720">
        <f>Master_Data!B720</f>
        <v>40576</v>
      </c>
      <c r="C720">
        <f>Master_Data!C720</f>
        <v>1</v>
      </c>
      <c r="D720">
        <f>Master_Data!D720</f>
        <v>0</v>
      </c>
      <c r="E720">
        <f>Master_Data!E720</f>
        <v>2</v>
      </c>
      <c r="F720">
        <f>Master_Data!F720</f>
        <v>16</v>
      </c>
      <c r="G720" t="b">
        <f>Master_Data!G720</f>
        <v>0</v>
      </c>
      <c r="H720">
        <f>Master_Data!H720</f>
        <v>3</v>
      </c>
      <c r="I720">
        <f>Master_Data!I720</f>
        <v>1</v>
      </c>
      <c r="J720">
        <f>Master_Data!J720</f>
        <v>0.36</v>
      </c>
      <c r="K720">
        <f>Master_Data!K720</f>
        <v>0.33329999999999999</v>
      </c>
      <c r="L720">
        <f>Master_Data!L720</f>
        <v>0.71</v>
      </c>
      <c r="M720">
        <f>Master_Data!M720</f>
        <v>0.29849999999999999</v>
      </c>
      <c r="N720">
        <f>Master_Data!N720</f>
        <v>8</v>
      </c>
      <c r="O720">
        <f>Master_Data!O720</f>
        <v>95</v>
      </c>
      <c r="P720">
        <f>Master_Data!P720</f>
        <v>103</v>
      </c>
      <c r="Q720" t="str">
        <f t="shared" si="66"/>
        <v>2011</v>
      </c>
      <c r="R720" t="str">
        <f t="shared" si="67"/>
        <v>February</v>
      </c>
      <c r="S720" t="str">
        <f t="shared" si="68"/>
        <v>Weekday</v>
      </c>
      <c r="T720" t="str">
        <f t="shared" si="69"/>
        <v>Afternoon</v>
      </c>
      <c r="U720" t="str">
        <f t="shared" si="70"/>
        <v>Spring</v>
      </c>
      <c r="V720" t="str">
        <f t="shared" si="71"/>
        <v>Clear</v>
      </c>
    </row>
    <row r="721" spans="1:22">
      <c r="A721">
        <f>Master_Data!A721</f>
        <v>729</v>
      </c>
      <c r="B721">
        <f>Master_Data!B721</f>
        <v>40576</v>
      </c>
      <c r="C721">
        <f>Master_Data!C721</f>
        <v>1</v>
      </c>
      <c r="D721">
        <f>Master_Data!D721</f>
        <v>0</v>
      </c>
      <c r="E721">
        <f>Master_Data!E721</f>
        <v>2</v>
      </c>
      <c r="F721">
        <f>Master_Data!F721</f>
        <v>17</v>
      </c>
      <c r="G721" t="b">
        <f>Master_Data!G721</f>
        <v>0</v>
      </c>
      <c r="H721">
        <f>Master_Data!H721</f>
        <v>3</v>
      </c>
      <c r="I721">
        <f>Master_Data!I721</f>
        <v>1</v>
      </c>
      <c r="J721">
        <f>Master_Data!J721</f>
        <v>0.36</v>
      </c>
      <c r="K721">
        <f>Master_Data!K721</f>
        <v>0.31819999999999998</v>
      </c>
      <c r="L721">
        <f>Master_Data!L721</f>
        <v>0.53</v>
      </c>
      <c r="M721">
        <f>Master_Data!M721</f>
        <v>0.52239999999999998</v>
      </c>
      <c r="N721">
        <f>Master_Data!N721</f>
        <v>7</v>
      </c>
      <c r="O721">
        <f>Master_Data!O721</f>
        <v>183</v>
      </c>
      <c r="P721">
        <f>Master_Data!P721</f>
        <v>190</v>
      </c>
      <c r="Q721" t="str">
        <f t="shared" si="66"/>
        <v>2011</v>
      </c>
      <c r="R721" t="str">
        <f t="shared" si="67"/>
        <v>February</v>
      </c>
      <c r="S721" t="str">
        <f t="shared" si="68"/>
        <v>Weekday</v>
      </c>
      <c r="T721" t="str">
        <f t="shared" si="69"/>
        <v>Evening</v>
      </c>
      <c r="U721" t="str">
        <f t="shared" si="70"/>
        <v>Spring</v>
      </c>
      <c r="V721" t="str">
        <f t="shared" si="71"/>
        <v>Clear</v>
      </c>
    </row>
    <row r="722" spans="1:22">
      <c r="A722">
        <f>Master_Data!A722</f>
        <v>730</v>
      </c>
      <c r="B722">
        <f>Master_Data!B722</f>
        <v>40576</v>
      </c>
      <c r="C722">
        <f>Master_Data!C722</f>
        <v>1</v>
      </c>
      <c r="D722">
        <f>Master_Data!D722</f>
        <v>0</v>
      </c>
      <c r="E722">
        <f>Master_Data!E722</f>
        <v>2</v>
      </c>
      <c r="F722">
        <f>Master_Data!F722</f>
        <v>18</v>
      </c>
      <c r="G722" t="b">
        <f>Master_Data!G722</f>
        <v>0</v>
      </c>
      <c r="H722">
        <f>Master_Data!H722</f>
        <v>3</v>
      </c>
      <c r="I722">
        <f>Master_Data!I722</f>
        <v>1</v>
      </c>
      <c r="J722">
        <f>Master_Data!J722</f>
        <v>0.34</v>
      </c>
      <c r="K722">
        <f>Master_Data!K722</f>
        <v>0.28789999999999999</v>
      </c>
      <c r="L722">
        <f>Master_Data!L722</f>
        <v>0.42</v>
      </c>
      <c r="M722">
        <f>Master_Data!M722</f>
        <v>0.55220000000000002</v>
      </c>
      <c r="N722">
        <f>Master_Data!N722</f>
        <v>7</v>
      </c>
      <c r="O722">
        <f>Master_Data!O722</f>
        <v>175</v>
      </c>
      <c r="P722">
        <f>Master_Data!P722</f>
        <v>182</v>
      </c>
      <c r="Q722" t="str">
        <f t="shared" si="66"/>
        <v>2011</v>
      </c>
      <c r="R722" t="str">
        <f t="shared" si="67"/>
        <v>February</v>
      </c>
      <c r="S722" t="str">
        <f t="shared" si="68"/>
        <v>Weekday</v>
      </c>
      <c r="T722" t="str">
        <f t="shared" si="69"/>
        <v>Evening</v>
      </c>
      <c r="U722" t="str">
        <f t="shared" si="70"/>
        <v>Spring</v>
      </c>
      <c r="V722" t="str">
        <f t="shared" si="71"/>
        <v>Clear</v>
      </c>
    </row>
    <row r="723" spans="1:22">
      <c r="A723">
        <f>Master_Data!A723</f>
        <v>731</v>
      </c>
      <c r="B723">
        <f>Master_Data!B723</f>
        <v>40576</v>
      </c>
      <c r="C723">
        <f>Master_Data!C723</f>
        <v>1</v>
      </c>
      <c r="D723">
        <f>Master_Data!D723</f>
        <v>0</v>
      </c>
      <c r="E723">
        <f>Master_Data!E723</f>
        <v>2</v>
      </c>
      <c r="F723">
        <f>Master_Data!F723</f>
        <v>19</v>
      </c>
      <c r="G723" t="b">
        <f>Master_Data!G723</f>
        <v>0</v>
      </c>
      <c r="H723">
        <f>Master_Data!H723</f>
        <v>3</v>
      </c>
      <c r="I723">
        <f>Master_Data!I723</f>
        <v>1</v>
      </c>
      <c r="J723">
        <f>Master_Data!J723</f>
        <v>0.28000000000000003</v>
      </c>
      <c r="K723">
        <f>Master_Data!K723</f>
        <v>0.2424</v>
      </c>
      <c r="L723">
        <f>Master_Data!L723</f>
        <v>0.45</v>
      </c>
      <c r="M723">
        <f>Master_Data!M723</f>
        <v>0.49249999999999999</v>
      </c>
      <c r="N723">
        <f>Master_Data!N723</f>
        <v>3</v>
      </c>
      <c r="O723">
        <f>Master_Data!O723</f>
        <v>88</v>
      </c>
      <c r="P723">
        <f>Master_Data!P723</f>
        <v>91</v>
      </c>
      <c r="Q723" t="str">
        <f t="shared" si="66"/>
        <v>2011</v>
      </c>
      <c r="R723" t="str">
        <f t="shared" si="67"/>
        <v>February</v>
      </c>
      <c r="S723" t="str">
        <f t="shared" si="68"/>
        <v>Weekday</v>
      </c>
      <c r="T723" t="str">
        <f t="shared" si="69"/>
        <v>Evening</v>
      </c>
      <c r="U723" t="str">
        <f t="shared" si="70"/>
        <v>Spring</v>
      </c>
      <c r="V723" t="str">
        <f t="shared" si="71"/>
        <v>Clear</v>
      </c>
    </row>
    <row r="724" spans="1:22">
      <c r="A724">
        <f>Master_Data!A724</f>
        <v>732</v>
      </c>
      <c r="B724">
        <f>Master_Data!B724</f>
        <v>40576</v>
      </c>
      <c r="C724">
        <f>Master_Data!C724</f>
        <v>1</v>
      </c>
      <c r="D724">
        <f>Master_Data!D724</f>
        <v>0</v>
      </c>
      <c r="E724">
        <f>Master_Data!E724</f>
        <v>2</v>
      </c>
      <c r="F724">
        <f>Master_Data!F724</f>
        <v>20</v>
      </c>
      <c r="G724" t="b">
        <f>Master_Data!G724</f>
        <v>0</v>
      </c>
      <c r="H724">
        <f>Master_Data!H724</f>
        <v>3</v>
      </c>
      <c r="I724">
        <f>Master_Data!I724</f>
        <v>1</v>
      </c>
      <c r="J724">
        <f>Master_Data!J724</f>
        <v>0.24</v>
      </c>
      <c r="K724">
        <f>Master_Data!K724</f>
        <v>0.19700000000000001</v>
      </c>
      <c r="L724">
        <f>Master_Data!L724</f>
        <v>0.48</v>
      </c>
      <c r="M724">
        <f>Master_Data!M724</f>
        <v>0.55220000000000002</v>
      </c>
      <c r="N724">
        <f>Master_Data!N724</f>
        <v>4</v>
      </c>
      <c r="O724">
        <f>Master_Data!O724</f>
        <v>71</v>
      </c>
      <c r="P724">
        <f>Master_Data!P724</f>
        <v>75</v>
      </c>
      <c r="Q724" t="str">
        <f t="shared" si="66"/>
        <v>2011</v>
      </c>
      <c r="R724" t="str">
        <f t="shared" si="67"/>
        <v>February</v>
      </c>
      <c r="S724" t="str">
        <f t="shared" si="68"/>
        <v>Weekday</v>
      </c>
      <c r="T724" t="str">
        <f t="shared" si="69"/>
        <v>Evening</v>
      </c>
      <c r="U724" t="str">
        <f t="shared" si="70"/>
        <v>Spring</v>
      </c>
      <c r="V724" t="str">
        <f t="shared" si="71"/>
        <v>Clear</v>
      </c>
    </row>
    <row r="725" spans="1:22">
      <c r="A725">
        <f>Master_Data!A725</f>
        <v>733</v>
      </c>
      <c r="B725">
        <f>Master_Data!B725</f>
        <v>40576</v>
      </c>
      <c r="C725">
        <f>Master_Data!C725</f>
        <v>1</v>
      </c>
      <c r="D725">
        <f>Master_Data!D725</f>
        <v>0</v>
      </c>
      <c r="E725">
        <f>Master_Data!E725</f>
        <v>2</v>
      </c>
      <c r="F725">
        <f>Master_Data!F725</f>
        <v>21</v>
      </c>
      <c r="G725" t="b">
        <f>Master_Data!G725</f>
        <v>0</v>
      </c>
      <c r="H725">
        <f>Master_Data!H725</f>
        <v>3</v>
      </c>
      <c r="I725">
        <f>Master_Data!I725</f>
        <v>1</v>
      </c>
      <c r="J725">
        <f>Master_Data!J725</f>
        <v>0.22</v>
      </c>
      <c r="K725">
        <f>Master_Data!K725</f>
        <v>0.19700000000000001</v>
      </c>
      <c r="L725">
        <f>Master_Data!L725</f>
        <v>0.47</v>
      </c>
      <c r="M725">
        <f>Master_Data!M725</f>
        <v>0.32840000000000003</v>
      </c>
      <c r="N725">
        <f>Master_Data!N725</f>
        <v>1</v>
      </c>
      <c r="O725">
        <f>Master_Data!O725</f>
        <v>62</v>
      </c>
      <c r="P725">
        <f>Master_Data!P725</f>
        <v>63</v>
      </c>
      <c r="Q725" t="str">
        <f t="shared" si="66"/>
        <v>2011</v>
      </c>
      <c r="R725" t="str">
        <f t="shared" si="67"/>
        <v>February</v>
      </c>
      <c r="S725" t="str">
        <f t="shared" si="68"/>
        <v>Weekday</v>
      </c>
      <c r="T725" t="str">
        <f t="shared" si="69"/>
        <v>Night</v>
      </c>
      <c r="U725" t="str">
        <f t="shared" si="70"/>
        <v>Spring</v>
      </c>
      <c r="V725" t="str">
        <f t="shared" si="71"/>
        <v>Clear</v>
      </c>
    </row>
    <row r="726" spans="1:22">
      <c r="A726">
        <f>Master_Data!A726</f>
        <v>734</v>
      </c>
      <c r="B726">
        <f>Master_Data!B726</f>
        <v>40576</v>
      </c>
      <c r="C726">
        <f>Master_Data!C726</f>
        <v>1</v>
      </c>
      <c r="D726">
        <f>Master_Data!D726</f>
        <v>0</v>
      </c>
      <c r="E726">
        <f>Master_Data!E726</f>
        <v>2</v>
      </c>
      <c r="F726">
        <f>Master_Data!F726</f>
        <v>22</v>
      </c>
      <c r="G726" t="b">
        <f>Master_Data!G726</f>
        <v>0</v>
      </c>
      <c r="H726">
        <f>Master_Data!H726</f>
        <v>3</v>
      </c>
      <c r="I726">
        <f>Master_Data!I726</f>
        <v>1</v>
      </c>
      <c r="J726">
        <f>Master_Data!J726</f>
        <v>0.22</v>
      </c>
      <c r="K726">
        <f>Master_Data!K726</f>
        <v>0.21210000000000001</v>
      </c>
      <c r="L726">
        <f>Master_Data!L726</f>
        <v>0.44</v>
      </c>
      <c r="M726">
        <f>Master_Data!M726</f>
        <v>0.25369999999999998</v>
      </c>
      <c r="N726">
        <f>Master_Data!N726</f>
        <v>5</v>
      </c>
      <c r="O726">
        <f>Master_Data!O726</f>
        <v>35</v>
      </c>
      <c r="P726">
        <f>Master_Data!P726</f>
        <v>40</v>
      </c>
      <c r="Q726" t="str">
        <f t="shared" si="66"/>
        <v>2011</v>
      </c>
      <c r="R726" t="str">
        <f t="shared" si="67"/>
        <v>February</v>
      </c>
      <c r="S726" t="str">
        <f t="shared" si="68"/>
        <v>Weekday</v>
      </c>
      <c r="T726" t="str">
        <f t="shared" si="69"/>
        <v>Night</v>
      </c>
      <c r="U726" t="str">
        <f t="shared" si="70"/>
        <v>Spring</v>
      </c>
      <c r="V726" t="str">
        <f t="shared" si="71"/>
        <v>Clear</v>
      </c>
    </row>
    <row r="727" spans="1:22">
      <c r="A727">
        <f>Master_Data!A727</f>
        <v>735</v>
      </c>
      <c r="B727">
        <f>Master_Data!B727</f>
        <v>40576</v>
      </c>
      <c r="C727">
        <f>Master_Data!C727</f>
        <v>1</v>
      </c>
      <c r="D727">
        <f>Master_Data!D727</f>
        <v>0</v>
      </c>
      <c r="E727">
        <f>Master_Data!E727</f>
        <v>2</v>
      </c>
      <c r="F727">
        <f>Master_Data!F727</f>
        <v>23</v>
      </c>
      <c r="G727" t="b">
        <f>Master_Data!G727</f>
        <v>0</v>
      </c>
      <c r="H727">
        <f>Master_Data!H727</f>
        <v>3</v>
      </c>
      <c r="I727">
        <f>Master_Data!I727</f>
        <v>1</v>
      </c>
      <c r="J727">
        <f>Master_Data!J727</f>
        <v>0.2</v>
      </c>
      <c r="K727">
        <f>Master_Data!K727</f>
        <v>0.16669999999999999</v>
      </c>
      <c r="L727">
        <f>Master_Data!L727</f>
        <v>0.44</v>
      </c>
      <c r="M727">
        <f>Master_Data!M727</f>
        <v>0.44779999999999998</v>
      </c>
      <c r="N727">
        <f>Master_Data!N727</f>
        <v>3</v>
      </c>
      <c r="O727">
        <f>Master_Data!O727</f>
        <v>29</v>
      </c>
      <c r="P727">
        <f>Master_Data!P727</f>
        <v>32</v>
      </c>
      <c r="Q727" t="str">
        <f t="shared" si="66"/>
        <v>2011</v>
      </c>
      <c r="R727" t="str">
        <f t="shared" si="67"/>
        <v>February</v>
      </c>
      <c r="S727" t="str">
        <f t="shared" si="68"/>
        <v>Weekday</v>
      </c>
      <c r="T727" t="str">
        <f t="shared" si="69"/>
        <v>Night</v>
      </c>
      <c r="U727" t="str">
        <f t="shared" si="70"/>
        <v>Spring</v>
      </c>
      <c r="V727" t="str">
        <f t="shared" si="71"/>
        <v>Clear</v>
      </c>
    </row>
    <row r="728" spans="1:22">
      <c r="A728">
        <f>Master_Data!A728</f>
        <v>736</v>
      </c>
      <c r="B728">
        <f>Master_Data!B728</f>
        <v>40577</v>
      </c>
      <c r="C728">
        <f>Master_Data!C728</f>
        <v>1</v>
      </c>
      <c r="D728">
        <f>Master_Data!D728</f>
        <v>0</v>
      </c>
      <c r="E728">
        <f>Master_Data!E728</f>
        <v>2</v>
      </c>
      <c r="F728">
        <f>Master_Data!F728</f>
        <v>0</v>
      </c>
      <c r="G728" t="b">
        <f>Master_Data!G728</f>
        <v>0</v>
      </c>
      <c r="H728">
        <f>Master_Data!H728</f>
        <v>4</v>
      </c>
      <c r="I728">
        <f>Master_Data!I728</f>
        <v>1</v>
      </c>
      <c r="J728">
        <f>Master_Data!J728</f>
        <v>0.2</v>
      </c>
      <c r="K728">
        <f>Master_Data!K728</f>
        <v>0.16669999999999999</v>
      </c>
      <c r="L728">
        <f>Master_Data!L728</f>
        <v>0.4</v>
      </c>
      <c r="M728">
        <f>Master_Data!M728</f>
        <v>0.44779999999999998</v>
      </c>
      <c r="N728">
        <f>Master_Data!N728</f>
        <v>1</v>
      </c>
      <c r="O728">
        <f>Master_Data!O728</f>
        <v>11</v>
      </c>
      <c r="P728">
        <f>Master_Data!P728</f>
        <v>12</v>
      </c>
      <c r="Q728" t="str">
        <f t="shared" si="66"/>
        <v>2011</v>
      </c>
      <c r="R728" t="str">
        <f t="shared" si="67"/>
        <v>February</v>
      </c>
      <c r="S728" t="str">
        <f t="shared" si="68"/>
        <v>Weekday</v>
      </c>
      <c r="T728" t="str">
        <f t="shared" si="69"/>
        <v>Night</v>
      </c>
      <c r="U728" t="str">
        <f t="shared" si="70"/>
        <v>Spring</v>
      </c>
      <c r="V728" t="str">
        <f t="shared" si="71"/>
        <v>Clear</v>
      </c>
    </row>
    <row r="729" spans="1:22">
      <c r="A729">
        <f>Master_Data!A729</f>
        <v>737</v>
      </c>
      <c r="B729">
        <f>Master_Data!B729</f>
        <v>40577</v>
      </c>
      <c r="C729">
        <f>Master_Data!C729</f>
        <v>1</v>
      </c>
      <c r="D729">
        <f>Master_Data!D729</f>
        <v>0</v>
      </c>
      <c r="E729">
        <f>Master_Data!E729</f>
        <v>2</v>
      </c>
      <c r="F729">
        <f>Master_Data!F729</f>
        <v>1</v>
      </c>
      <c r="G729" t="b">
        <f>Master_Data!G729</f>
        <v>0</v>
      </c>
      <c r="H729">
        <f>Master_Data!H729</f>
        <v>4</v>
      </c>
      <c r="I729">
        <f>Master_Data!I729</f>
        <v>1</v>
      </c>
      <c r="J729">
        <f>Master_Data!J729</f>
        <v>0.2</v>
      </c>
      <c r="K729">
        <f>Master_Data!K729</f>
        <v>0.1515</v>
      </c>
      <c r="L729">
        <f>Master_Data!L729</f>
        <v>0.44</v>
      </c>
      <c r="M729">
        <f>Master_Data!M729</f>
        <v>0.52239999999999998</v>
      </c>
      <c r="N729">
        <f>Master_Data!N729</f>
        <v>0</v>
      </c>
      <c r="O729">
        <f>Master_Data!O729</f>
        <v>5</v>
      </c>
      <c r="P729">
        <f>Master_Data!P729</f>
        <v>5</v>
      </c>
      <c r="Q729" t="str">
        <f t="shared" si="66"/>
        <v>2011</v>
      </c>
      <c r="R729" t="str">
        <f t="shared" si="67"/>
        <v>February</v>
      </c>
      <c r="S729" t="str">
        <f t="shared" si="68"/>
        <v>Weekday</v>
      </c>
      <c r="T729" t="str">
        <f t="shared" si="69"/>
        <v>Night</v>
      </c>
      <c r="U729" t="str">
        <f t="shared" si="70"/>
        <v>Spring</v>
      </c>
      <c r="V729" t="str">
        <f t="shared" si="71"/>
        <v>Clear</v>
      </c>
    </row>
    <row r="730" spans="1:22">
      <c r="A730">
        <f>Master_Data!A730</f>
        <v>738</v>
      </c>
      <c r="B730">
        <f>Master_Data!B730</f>
        <v>40577</v>
      </c>
      <c r="C730">
        <f>Master_Data!C730</f>
        <v>1</v>
      </c>
      <c r="D730">
        <f>Master_Data!D730</f>
        <v>0</v>
      </c>
      <c r="E730">
        <f>Master_Data!E730</f>
        <v>2</v>
      </c>
      <c r="F730">
        <f>Master_Data!F730</f>
        <v>2</v>
      </c>
      <c r="G730" t="b">
        <f>Master_Data!G730</f>
        <v>0</v>
      </c>
      <c r="H730">
        <f>Master_Data!H730</f>
        <v>4</v>
      </c>
      <c r="I730">
        <f>Master_Data!I730</f>
        <v>1</v>
      </c>
      <c r="J730">
        <f>Master_Data!J730</f>
        <v>0.18</v>
      </c>
      <c r="K730">
        <f>Master_Data!K730</f>
        <v>0.16669999999999999</v>
      </c>
      <c r="L730">
        <f>Master_Data!L730</f>
        <v>0.43</v>
      </c>
      <c r="M730">
        <f>Master_Data!M730</f>
        <v>0.25369999999999998</v>
      </c>
      <c r="N730">
        <f>Master_Data!N730</f>
        <v>0</v>
      </c>
      <c r="O730">
        <f>Master_Data!O730</f>
        <v>2</v>
      </c>
      <c r="P730">
        <f>Master_Data!P730</f>
        <v>2</v>
      </c>
      <c r="Q730" t="str">
        <f t="shared" si="66"/>
        <v>2011</v>
      </c>
      <c r="R730" t="str">
        <f t="shared" si="67"/>
        <v>February</v>
      </c>
      <c r="S730" t="str">
        <f t="shared" si="68"/>
        <v>Weekday</v>
      </c>
      <c r="T730" t="str">
        <f t="shared" si="69"/>
        <v>Night</v>
      </c>
      <c r="U730" t="str">
        <f t="shared" si="70"/>
        <v>Spring</v>
      </c>
      <c r="V730" t="str">
        <f t="shared" si="71"/>
        <v>Clear</v>
      </c>
    </row>
    <row r="731" spans="1:22">
      <c r="A731">
        <f>Master_Data!A731</f>
        <v>739</v>
      </c>
      <c r="B731">
        <f>Master_Data!B731</f>
        <v>40577</v>
      </c>
      <c r="C731">
        <f>Master_Data!C731</f>
        <v>1</v>
      </c>
      <c r="D731">
        <f>Master_Data!D731</f>
        <v>0</v>
      </c>
      <c r="E731">
        <f>Master_Data!E731</f>
        <v>2</v>
      </c>
      <c r="F731">
        <f>Master_Data!F731</f>
        <v>3</v>
      </c>
      <c r="G731" t="b">
        <f>Master_Data!G731</f>
        <v>0</v>
      </c>
      <c r="H731">
        <f>Master_Data!H731</f>
        <v>4</v>
      </c>
      <c r="I731">
        <f>Master_Data!I731</f>
        <v>1</v>
      </c>
      <c r="J731">
        <f>Master_Data!J731</f>
        <v>0.18</v>
      </c>
      <c r="K731">
        <f>Master_Data!K731</f>
        <v>0.16669999999999999</v>
      </c>
      <c r="L731">
        <f>Master_Data!L731</f>
        <v>0.43</v>
      </c>
      <c r="M731">
        <f>Master_Data!M731</f>
        <v>0.25369999999999998</v>
      </c>
      <c r="N731">
        <f>Master_Data!N731</f>
        <v>0</v>
      </c>
      <c r="O731">
        <f>Master_Data!O731</f>
        <v>1</v>
      </c>
      <c r="P731">
        <f>Master_Data!P731</f>
        <v>1</v>
      </c>
      <c r="Q731" t="str">
        <f t="shared" si="66"/>
        <v>2011</v>
      </c>
      <c r="R731" t="str">
        <f t="shared" si="67"/>
        <v>February</v>
      </c>
      <c r="S731" t="str">
        <f t="shared" si="68"/>
        <v>Weekday</v>
      </c>
      <c r="T731" t="str">
        <f t="shared" si="69"/>
        <v>Night</v>
      </c>
      <c r="U731" t="str">
        <f t="shared" si="70"/>
        <v>Spring</v>
      </c>
      <c r="V731" t="str">
        <f t="shared" si="71"/>
        <v>Clear</v>
      </c>
    </row>
    <row r="732" spans="1:22">
      <c r="A732">
        <f>Master_Data!A732</f>
        <v>740</v>
      </c>
      <c r="B732">
        <f>Master_Data!B732</f>
        <v>40577</v>
      </c>
      <c r="C732">
        <f>Master_Data!C732</f>
        <v>1</v>
      </c>
      <c r="D732">
        <f>Master_Data!D732</f>
        <v>0</v>
      </c>
      <c r="E732">
        <f>Master_Data!E732</f>
        <v>2</v>
      </c>
      <c r="F732">
        <f>Master_Data!F732</f>
        <v>5</v>
      </c>
      <c r="G732" t="b">
        <f>Master_Data!G732</f>
        <v>0</v>
      </c>
      <c r="H732">
        <f>Master_Data!H732</f>
        <v>4</v>
      </c>
      <c r="I732">
        <f>Master_Data!I732</f>
        <v>1</v>
      </c>
      <c r="J732">
        <f>Master_Data!J732</f>
        <v>0.16</v>
      </c>
      <c r="K732">
        <f>Master_Data!K732</f>
        <v>0.13639999999999999</v>
      </c>
      <c r="L732">
        <f>Master_Data!L732</f>
        <v>0.5</v>
      </c>
      <c r="M732">
        <f>Master_Data!M732</f>
        <v>0.29849999999999999</v>
      </c>
      <c r="N732">
        <f>Master_Data!N732</f>
        <v>0</v>
      </c>
      <c r="O732">
        <f>Master_Data!O732</f>
        <v>2</v>
      </c>
      <c r="P732">
        <f>Master_Data!P732</f>
        <v>2</v>
      </c>
      <c r="Q732" t="str">
        <f t="shared" si="66"/>
        <v>2011</v>
      </c>
      <c r="R732" t="str">
        <f t="shared" si="67"/>
        <v>February</v>
      </c>
      <c r="S732" t="str">
        <f t="shared" si="68"/>
        <v>Weekday</v>
      </c>
      <c r="T732" t="str">
        <f t="shared" si="69"/>
        <v>Night</v>
      </c>
      <c r="U732" t="str">
        <f t="shared" si="70"/>
        <v>Spring</v>
      </c>
      <c r="V732" t="str">
        <f t="shared" si="71"/>
        <v>Clear</v>
      </c>
    </row>
    <row r="733" spans="1:22">
      <c r="A733">
        <f>Master_Data!A733</f>
        <v>741</v>
      </c>
      <c r="B733">
        <f>Master_Data!B733</f>
        <v>40577</v>
      </c>
      <c r="C733">
        <f>Master_Data!C733</f>
        <v>1</v>
      </c>
      <c r="D733">
        <f>Master_Data!D733</f>
        <v>0</v>
      </c>
      <c r="E733">
        <f>Master_Data!E733</f>
        <v>2</v>
      </c>
      <c r="F733">
        <f>Master_Data!F733</f>
        <v>6</v>
      </c>
      <c r="G733" t="b">
        <f>Master_Data!G733</f>
        <v>0</v>
      </c>
      <c r="H733">
        <f>Master_Data!H733</f>
        <v>4</v>
      </c>
      <c r="I733">
        <f>Master_Data!I733</f>
        <v>1</v>
      </c>
      <c r="J733">
        <f>Master_Data!J733</f>
        <v>0.16</v>
      </c>
      <c r="K733">
        <f>Master_Data!K733</f>
        <v>0.13639999999999999</v>
      </c>
      <c r="L733">
        <f>Master_Data!L733</f>
        <v>0.43</v>
      </c>
      <c r="M733">
        <f>Master_Data!M733</f>
        <v>0.35820000000000002</v>
      </c>
      <c r="N733">
        <f>Master_Data!N733</f>
        <v>0</v>
      </c>
      <c r="O733">
        <f>Master_Data!O733</f>
        <v>39</v>
      </c>
      <c r="P733">
        <f>Master_Data!P733</f>
        <v>39</v>
      </c>
      <c r="Q733" t="str">
        <f t="shared" si="66"/>
        <v>2011</v>
      </c>
      <c r="R733" t="str">
        <f t="shared" si="67"/>
        <v>February</v>
      </c>
      <c r="S733" t="str">
        <f t="shared" si="68"/>
        <v>Weekday</v>
      </c>
      <c r="T733" t="str">
        <f t="shared" si="69"/>
        <v>Morning</v>
      </c>
      <c r="U733" t="str">
        <f t="shared" si="70"/>
        <v>Spring</v>
      </c>
      <c r="V733" t="str">
        <f t="shared" si="71"/>
        <v>Clear</v>
      </c>
    </row>
    <row r="734" spans="1:22">
      <c r="A734">
        <f>Master_Data!A734</f>
        <v>742</v>
      </c>
      <c r="B734">
        <f>Master_Data!B734</f>
        <v>40577</v>
      </c>
      <c r="C734">
        <f>Master_Data!C734</f>
        <v>1</v>
      </c>
      <c r="D734">
        <f>Master_Data!D734</f>
        <v>0</v>
      </c>
      <c r="E734">
        <f>Master_Data!E734</f>
        <v>2</v>
      </c>
      <c r="F734">
        <f>Master_Data!F734</f>
        <v>7</v>
      </c>
      <c r="G734" t="b">
        <f>Master_Data!G734</f>
        <v>0</v>
      </c>
      <c r="H734">
        <f>Master_Data!H734</f>
        <v>4</v>
      </c>
      <c r="I734">
        <f>Master_Data!I734</f>
        <v>1</v>
      </c>
      <c r="J734">
        <f>Master_Data!J734</f>
        <v>0.14000000000000001</v>
      </c>
      <c r="K734">
        <f>Master_Data!K734</f>
        <v>0.1212</v>
      </c>
      <c r="L734">
        <f>Master_Data!L734</f>
        <v>0.5</v>
      </c>
      <c r="M734">
        <f>Master_Data!M734</f>
        <v>0.32840000000000003</v>
      </c>
      <c r="N734">
        <f>Master_Data!N734</f>
        <v>1</v>
      </c>
      <c r="O734">
        <f>Master_Data!O734</f>
        <v>86</v>
      </c>
      <c r="P734">
        <f>Master_Data!P734</f>
        <v>87</v>
      </c>
      <c r="Q734" t="str">
        <f t="shared" si="66"/>
        <v>2011</v>
      </c>
      <c r="R734" t="str">
        <f t="shared" si="67"/>
        <v>February</v>
      </c>
      <c r="S734" t="str">
        <f t="shared" si="68"/>
        <v>Weekday</v>
      </c>
      <c r="T734" t="str">
        <f t="shared" si="69"/>
        <v>Morning</v>
      </c>
      <c r="U734" t="str">
        <f t="shared" si="70"/>
        <v>Spring</v>
      </c>
      <c r="V734" t="str">
        <f t="shared" si="71"/>
        <v>Clear</v>
      </c>
    </row>
    <row r="735" spans="1:22">
      <c r="A735">
        <f>Master_Data!A735</f>
        <v>743</v>
      </c>
      <c r="B735">
        <f>Master_Data!B735</f>
        <v>40577</v>
      </c>
      <c r="C735">
        <f>Master_Data!C735</f>
        <v>1</v>
      </c>
      <c r="D735">
        <f>Master_Data!D735</f>
        <v>0</v>
      </c>
      <c r="E735">
        <f>Master_Data!E735</f>
        <v>2</v>
      </c>
      <c r="F735">
        <f>Master_Data!F735</f>
        <v>8</v>
      </c>
      <c r="G735" t="b">
        <f>Master_Data!G735</f>
        <v>0</v>
      </c>
      <c r="H735">
        <f>Master_Data!H735</f>
        <v>4</v>
      </c>
      <c r="I735">
        <f>Master_Data!I735</f>
        <v>1</v>
      </c>
      <c r="J735">
        <f>Master_Data!J735</f>
        <v>0.14000000000000001</v>
      </c>
      <c r="K735">
        <f>Master_Data!K735</f>
        <v>0.1212</v>
      </c>
      <c r="L735">
        <f>Master_Data!L735</f>
        <v>0.5</v>
      </c>
      <c r="M735">
        <f>Master_Data!M735</f>
        <v>0.35820000000000002</v>
      </c>
      <c r="N735">
        <f>Master_Data!N735</f>
        <v>4</v>
      </c>
      <c r="O735">
        <f>Master_Data!O735</f>
        <v>184</v>
      </c>
      <c r="P735">
        <f>Master_Data!P735</f>
        <v>188</v>
      </c>
      <c r="Q735" t="str">
        <f t="shared" si="66"/>
        <v>2011</v>
      </c>
      <c r="R735" t="str">
        <f t="shared" si="67"/>
        <v>February</v>
      </c>
      <c r="S735" t="str">
        <f t="shared" si="68"/>
        <v>Weekday</v>
      </c>
      <c r="T735" t="str">
        <f t="shared" si="69"/>
        <v>Morning</v>
      </c>
      <c r="U735" t="str">
        <f t="shared" si="70"/>
        <v>Spring</v>
      </c>
      <c r="V735" t="str">
        <f t="shared" si="71"/>
        <v>Clear</v>
      </c>
    </row>
    <row r="736" spans="1:22">
      <c r="A736">
        <f>Master_Data!A736</f>
        <v>744</v>
      </c>
      <c r="B736">
        <f>Master_Data!B736</f>
        <v>40577</v>
      </c>
      <c r="C736">
        <f>Master_Data!C736</f>
        <v>1</v>
      </c>
      <c r="D736">
        <f>Master_Data!D736</f>
        <v>0</v>
      </c>
      <c r="E736">
        <f>Master_Data!E736</f>
        <v>2</v>
      </c>
      <c r="F736">
        <f>Master_Data!F736</f>
        <v>9</v>
      </c>
      <c r="G736" t="b">
        <f>Master_Data!G736</f>
        <v>0</v>
      </c>
      <c r="H736">
        <f>Master_Data!H736</f>
        <v>4</v>
      </c>
      <c r="I736">
        <f>Master_Data!I736</f>
        <v>1</v>
      </c>
      <c r="J736">
        <f>Master_Data!J736</f>
        <v>0.16</v>
      </c>
      <c r="K736">
        <f>Master_Data!K736</f>
        <v>0.13639999999999999</v>
      </c>
      <c r="L736">
        <f>Master_Data!L736</f>
        <v>0.47</v>
      </c>
      <c r="M736">
        <f>Master_Data!M736</f>
        <v>0.29849999999999999</v>
      </c>
      <c r="N736">
        <f>Master_Data!N736</f>
        <v>6</v>
      </c>
      <c r="O736">
        <f>Master_Data!O736</f>
        <v>127</v>
      </c>
      <c r="P736">
        <f>Master_Data!P736</f>
        <v>133</v>
      </c>
      <c r="Q736" t="str">
        <f t="shared" si="66"/>
        <v>2011</v>
      </c>
      <c r="R736" t="str">
        <f t="shared" si="67"/>
        <v>February</v>
      </c>
      <c r="S736" t="str">
        <f t="shared" si="68"/>
        <v>Weekday</v>
      </c>
      <c r="T736" t="str">
        <f t="shared" si="69"/>
        <v>Morning</v>
      </c>
      <c r="U736" t="str">
        <f t="shared" si="70"/>
        <v>Spring</v>
      </c>
      <c r="V736" t="str">
        <f t="shared" si="71"/>
        <v>Clear</v>
      </c>
    </row>
    <row r="737" spans="1:22">
      <c r="A737">
        <f>Master_Data!A737</f>
        <v>745</v>
      </c>
      <c r="B737">
        <f>Master_Data!B737</f>
        <v>40577</v>
      </c>
      <c r="C737">
        <f>Master_Data!C737</f>
        <v>1</v>
      </c>
      <c r="D737">
        <f>Master_Data!D737</f>
        <v>0</v>
      </c>
      <c r="E737">
        <f>Master_Data!E737</f>
        <v>2</v>
      </c>
      <c r="F737">
        <f>Master_Data!F737</f>
        <v>10</v>
      </c>
      <c r="G737" t="b">
        <f>Master_Data!G737</f>
        <v>0</v>
      </c>
      <c r="H737">
        <f>Master_Data!H737</f>
        <v>4</v>
      </c>
      <c r="I737">
        <f>Master_Data!I737</f>
        <v>1</v>
      </c>
      <c r="J737">
        <f>Master_Data!J737</f>
        <v>0.18</v>
      </c>
      <c r="K737">
        <f>Master_Data!K737</f>
        <v>0.1515</v>
      </c>
      <c r="L737">
        <f>Master_Data!L737</f>
        <v>0.43</v>
      </c>
      <c r="M737">
        <f>Master_Data!M737</f>
        <v>0.32840000000000003</v>
      </c>
      <c r="N737">
        <f>Master_Data!N737</f>
        <v>2</v>
      </c>
      <c r="O737">
        <f>Master_Data!O737</f>
        <v>50</v>
      </c>
      <c r="P737">
        <f>Master_Data!P737</f>
        <v>52</v>
      </c>
      <c r="Q737" t="str">
        <f t="shared" si="66"/>
        <v>2011</v>
      </c>
      <c r="R737" t="str">
        <f t="shared" si="67"/>
        <v>February</v>
      </c>
      <c r="S737" t="str">
        <f t="shared" si="68"/>
        <v>Weekday</v>
      </c>
      <c r="T737" t="str">
        <f t="shared" si="69"/>
        <v>Morning</v>
      </c>
      <c r="U737" t="str">
        <f t="shared" si="70"/>
        <v>Spring</v>
      </c>
      <c r="V737" t="str">
        <f t="shared" si="71"/>
        <v>Clear</v>
      </c>
    </row>
    <row r="738" spans="1:22">
      <c r="A738">
        <f>Master_Data!A738</f>
        <v>746</v>
      </c>
      <c r="B738">
        <f>Master_Data!B738</f>
        <v>40577</v>
      </c>
      <c r="C738">
        <f>Master_Data!C738</f>
        <v>1</v>
      </c>
      <c r="D738">
        <f>Master_Data!D738</f>
        <v>0</v>
      </c>
      <c r="E738">
        <f>Master_Data!E738</f>
        <v>2</v>
      </c>
      <c r="F738">
        <f>Master_Data!F738</f>
        <v>11</v>
      </c>
      <c r="G738" t="b">
        <f>Master_Data!G738</f>
        <v>0</v>
      </c>
      <c r="H738">
        <f>Master_Data!H738</f>
        <v>4</v>
      </c>
      <c r="I738">
        <f>Master_Data!I738</f>
        <v>1</v>
      </c>
      <c r="J738">
        <f>Master_Data!J738</f>
        <v>0.18</v>
      </c>
      <c r="K738">
        <f>Master_Data!K738</f>
        <v>0.13639999999999999</v>
      </c>
      <c r="L738">
        <f>Master_Data!L738</f>
        <v>0.43</v>
      </c>
      <c r="M738">
        <f>Master_Data!M738</f>
        <v>0.44779999999999998</v>
      </c>
      <c r="N738">
        <f>Master_Data!N738</f>
        <v>9</v>
      </c>
      <c r="O738">
        <f>Master_Data!O738</f>
        <v>55</v>
      </c>
      <c r="P738">
        <f>Master_Data!P738</f>
        <v>64</v>
      </c>
      <c r="Q738" t="str">
        <f t="shared" si="66"/>
        <v>2011</v>
      </c>
      <c r="R738" t="str">
        <f t="shared" si="67"/>
        <v>February</v>
      </c>
      <c r="S738" t="str">
        <f t="shared" si="68"/>
        <v>Weekday</v>
      </c>
      <c r="T738" t="str">
        <f t="shared" si="69"/>
        <v>Morning</v>
      </c>
      <c r="U738" t="str">
        <f t="shared" si="70"/>
        <v>Spring</v>
      </c>
      <c r="V738" t="str">
        <f t="shared" si="71"/>
        <v>Clear</v>
      </c>
    </row>
    <row r="739" spans="1:22">
      <c r="A739">
        <f>Master_Data!A739</f>
        <v>747</v>
      </c>
      <c r="B739">
        <f>Master_Data!B739</f>
        <v>40577</v>
      </c>
      <c r="C739">
        <f>Master_Data!C739</f>
        <v>1</v>
      </c>
      <c r="D739">
        <f>Master_Data!D739</f>
        <v>0</v>
      </c>
      <c r="E739">
        <f>Master_Data!E739</f>
        <v>2</v>
      </c>
      <c r="F739">
        <f>Master_Data!F739</f>
        <v>12</v>
      </c>
      <c r="G739" t="b">
        <f>Master_Data!G739</f>
        <v>0</v>
      </c>
      <c r="H739">
        <f>Master_Data!H739</f>
        <v>4</v>
      </c>
      <c r="I739">
        <f>Master_Data!I739</f>
        <v>1</v>
      </c>
      <c r="J739">
        <f>Master_Data!J739</f>
        <v>0.2</v>
      </c>
      <c r="K739">
        <f>Master_Data!K739</f>
        <v>0.18179999999999999</v>
      </c>
      <c r="L739">
        <f>Master_Data!L739</f>
        <v>0.4</v>
      </c>
      <c r="M739">
        <f>Master_Data!M739</f>
        <v>0.35820000000000002</v>
      </c>
      <c r="N739">
        <f>Master_Data!N739</f>
        <v>2</v>
      </c>
      <c r="O739">
        <f>Master_Data!O739</f>
        <v>67</v>
      </c>
      <c r="P739">
        <f>Master_Data!P739</f>
        <v>69</v>
      </c>
      <c r="Q739" t="str">
        <f t="shared" si="66"/>
        <v>2011</v>
      </c>
      <c r="R739" t="str">
        <f t="shared" si="67"/>
        <v>February</v>
      </c>
      <c r="S739" t="str">
        <f t="shared" si="68"/>
        <v>Weekday</v>
      </c>
      <c r="T739" t="str">
        <f t="shared" si="69"/>
        <v>Afternoon</v>
      </c>
      <c r="U739" t="str">
        <f t="shared" si="70"/>
        <v>Spring</v>
      </c>
      <c r="V739" t="str">
        <f t="shared" si="71"/>
        <v>Clear</v>
      </c>
    </row>
    <row r="740" spans="1:22">
      <c r="A740">
        <f>Master_Data!A740</f>
        <v>748</v>
      </c>
      <c r="B740">
        <f>Master_Data!B740</f>
        <v>40577</v>
      </c>
      <c r="C740">
        <f>Master_Data!C740</f>
        <v>1</v>
      </c>
      <c r="D740">
        <f>Master_Data!D740</f>
        <v>0</v>
      </c>
      <c r="E740">
        <f>Master_Data!E740</f>
        <v>2</v>
      </c>
      <c r="F740">
        <f>Master_Data!F740</f>
        <v>13</v>
      </c>
      <c r="G740" t="b">
        <f>Master_Data!G740</f>
        <v>0</v>
      </c>
      <c r="H740">
        <f>Master_Data!H740</f>
        <v>4</v>
      </c>
      <c r="I740">
        <f>Master_Data!I740</f>
        <v>1</v>
      </c>
      <c r="J740">
        <f>Master_Data!J740</f>
        <v>0.2</v>
      </c>
      <c r="K740">
        <f>Master_Data!K740</f>
        <v>0.16669999999999999</v>
      </c>
      <c r="L740">
        <f>Master_Data!L740</f>
        <v>0.4</v>
      </c>
      <c r="M740">
        <f>Master_Data!M740</f>
        <v>0.41789999999999999</v>
      </c>
      <c r="N740">
        <f>Master_Data!N740</f>
        <v>4</v>
      </c>
      <c r="O740">
        <f>Master_Data!O740</f>
        <v>47</v>
      </c>
      <c r="P740">
        <f>Master_Data!P740</f>
        <v>51</v>
      </c>
      <c r="Q740" t="str">
        <f t="shared" si="66"/>
        <v>2011</v>
      </c>
      <c r="R740" t="str">
        <f t="shared" si="67"/>
        <v>February</v>
      </c>
      <c r="S740" t="str">
        <f t="shared" si="68"/>
        <v>Weekday</v>
      </c>
      <c r="T740" t="str">
        <f t="shared" si="69"/>
        <v>Afternoon</v>
      </c>
      <c r="U740" t="str">
        <f t="shared" si="70"/>
        <v>Spring</v>
      </c>
      <c r="V740" t="str">
        <f t="shared" si="71"/>
        <v>Clear</v>
      </c>
    </row>
    <row r="741" spans="1:22">
      <c r="A741">
        <f>Master_Data!A741</f>
        <v>749</v>
      </c>
      <c r="B741">
        <f>Master_Data!B741</f>
        <v>40577</v>
      </c>
      <c r="C741">
        <f>Master_Data!C741</f>
        <v>1</v>
      </c>
      <c r="D741">
        <f>Master_Data!D741</f>
        <v>0</v>
      </c>
      <c r="E741">
        <f>Master_Data!E741</f>
        <v>2</v>
      </c>
      <c r="F741">
        <f>Master_Data!F741</f>
        <v>14</v>
      </c>
      <c r="G741" t="b">
        <f>Master_Data!G741</f>
        <v>0</v>
      </c>
      <c r="H741">
        <f>Master_Data!H741</f>
        <v>4</v>
      </c>
      <c r="I741">
        <f>Master_Data!I741</f>
        <v>1</v>
      </c>
      <c r="J741">
        <f>Master_Data!J741</f>
        <v>0.22</v>
      </c>
      <c r="K741">
        <f>Master_Data!K741</f>
        <v>0.19700000000000001</v>
      </c>
      <c r="L741">
        <f>Master_Data!L741</f>
        <v>0.37</v>
      </c>
      <c r="M741">
        <f>Master_Data!M741</f>
        <v>0.3881</v>
      </c>
      <c r="N741">
        <f>Master_Data!N741</f>
        <v>4</v>
      </c>
      <c r="O741">
        <f>Master_Data!O741</f>
        <v>43</v>
      </c>
      <c r="P741">
        <f>Master_Data!P741</f>
        <v>47</v>
      </c>
      <c r="Q741" t="str">
        <f t="shared" si="66"/>
        <v>2011</v>
      </c>
      <c r="R741" t="str">
        <f t="shared" si="67"/>
        <v>February</v>
      </c>
      <c r="S741" t="str">
        <f t="shared" si="68"/>
        <v>Weekday</v>
      </c>
      <c r="T741" t="str">
        <f t="shared" si="69"/>
        <v>Afternoon</v>
      </c>
      <c r="U741" t="str">
        <f t="shared" si="70"/>
        <v>Spring</v>
      </c>
      <c r="V741" t="str">
        <f t="shared" si="71"/>
        <v>Clear</v>
      </c>
    </row>
    <row r="742" spans="1:22">
      <c r="A742">
        <f>Master_Data!A742</f>
        <v>750</v>
      </c>
      <c r="B742">
        <f>Master_Data!B742</f>
        <v>40577</v>
      </c>
      <c r="C742">
        <f>Master_Data!C742</f>
        <v>1</v>
      </c>
      <c r="D742">
        <f>Master_Data!D742</f>
        <v>0</v>
      </c>
      <c r="E742">
        <f>Master_Data!E742</f>
        <v>2</v>
      </c>
      <c r="F742">
        <f>Master_Data!F742</f>
        <v>15</v>
      </c>
      <c r="G742" t="b">
        <f>Master_Data!G742</f>
        <v>0</v>
      </c>
      <c r="H742">
        <f>Master_Data!H742</f>
        <v>4</v>
      </c>
      <c r="I742">
        <f>Master_Data!I742</f>
        <v>1</v>
      </c>
      <c r="J742">
        <f>Master_Data!J742</f>
        <v>0.22</v>
      </c>
      <c r="K742">
        <f>Master_Data!K742</f>
        <v>0.19700000000000001</v>
      </c>
      <c r="L742">
        <f>Master_Data!L742</f>
        <v>0.37</v>
      </c>
      <c r="M742">
        <f>Master_Data!M742</f>
        <v>0.32840000000000003</v>
      </c>
      <c r="N742">
        <f>Master_Data!N742</f>
        <v>4</v>
      </c>
      <c r="O742">
        <f>Master_Data!O742</f>
        <v>56</v>
      </c>
      <c r="P742">
        <f>Master_Data!P742</f>
        <v>60</v>
      </c>
      <c r="Q742" t="str">
        <f t="shared" si="66"/>
        <v>2011</v>
      </c>
      <c r="R742" t="str">
        <f t="shared" si="67"/>
        <v>February</v>
      </c>
      <c r="S742" t="str">
        <f t="shared" si="68"/>
        <v>Weekday</v>
      </c>
      <c r="T742" t="str">
        <f t="shared" si="69"/>
        <v>Afternoon</v>
      </c>
      <c r="U742" t="str">
        <f t="shared" si="70"/>
        <v>Spring</v>
      </c>
      <c r="V742" t="str">
        <f t="shared" si="71"/>
        <v>Clear</v>
      </c>
    </row>
    <row r="743" spans="1:22">
      <c r="A743">
        <f>Master_Data!A743</f>
        <v>751</v>
      </c>
      <c r="B743">
        <f>Master_Data!B743</f>
        <v>40577</v>
      </c>
      <c r="C743">
        <f>Master_Data!C743</f>
        <v>1</v>
      </c>
      <c r="D743">
        <f>Master_Data!D743</f>
        <v>0</v>
      </c>
      <c r="E743">
        <f>Master_Data!E743</f>
        <v>2</v>
      </c>
      <c r="F743">
        <f>Master_Data!F743</f>
        <v>16</v>
      </c>
      <c r="G743" t="b">
        <f>Master_Data!G743</f>
        <v>0</v>
      </c>
      <c r="H743">
        <f>Master_Data!H743</f>
        <v>4</v>
      </c>
      <c r="I743">
        <f>Master_Data!I743</f>
        <v>1</v>
      </c>
      <c r="J743">
        <f>Master_Data!J743</f>
        <v>0.22</v>
      </c>
      <c r="K743">
        <f>Master_Data!K743</f>
        <v>0.21210000000000001</v>
      </c>
      <c r="L743">
        <f>Master_Data!L743</f>
        <v>0.37</v>
      </c>
      <c r="M743">
        <f>Master_Data!M743</f>
        <v>0.25369999999999998</v>
      </c>
      <c r="N743">
        <f>Master_Data!N743</f>
        <v>5</v>
      </c>
      <c r="O743">
        <f>Master_Data!O743</f>
        <v>73</v>
      </c>
      <c r="P743">
        <f>Master_Data!P743</f>
        <v>78</v>
      </c>
      <c r="Q743" t="str">
        <f t="shared" si="66"/>
        <v>2011</v>
      </c>
      <c r="R743" t="str">
        <f t="shared" si="67"/>
        <v>February</v>
      </c>
      <c r="S743" t="str">
        <f t="shared" si="68"/>
        <v>Weekday</v>
      </c>
      <c r="T743" t="str">
        <f t="shared" si="69"/>
        <v>Afternoon</v>
      </c>
      <c r="U743" t="str">
        <f t="shared" si="70"/>
        <v>Spring</v>
      </c>
      <c r="V743" t="str">
        <f t="shared" si="71"/>
        <v>Clear</v>
      </c>
    </row>
    <row r="744" spans="1:22">
      <c r="A744">
        <f>Master_Data!A744</f>
        <v>752</v>
      </c>
      <c r="B744">
        <f>Master_Data!B744</f>
        <v>40577</v>
      </c>
      <c r="C744">
        <f>Master_Data!C744</f>
        <v>1</v>
      </c>
      <c r="D744">
        <f>Master_Data!D744</f>
        <v>0</v>
      </c>
      <c r="E744">
        <f>Master_Data!E744</f>
        <v>2</v>
      </c>
      <c r="F744">
        <f>Master_Data!F744</f>
        <v>17</v>
      </c>
      <c r="G744" t="b">
        <f>Master_Data!G744</f>
        <v>0</v>
      </c>
      <c r="H744">
        <f>Master_Data!H744</f>
        <v>4</v>
      </c>
      <c r="I744">
        <f>Master_Data!I744</f>
        <v>1</v>
      </c>
      <c r="J744">
        <f>Master_Data!J744</f>
        <v>0.2</v>
      </c>
      <c r="K744">
        <f>Master_Data!K744</f>
        <v>0.19700000000000001</v>
      </c>
      <c r="L744">
        <f>Master_Data!L744</f>
        <v>0.4</v>
      </c>
      <c r="M744">
        <f>Master_Data!M744</f>
        <v>0.19400000000000001</v>
      </c>
      <c r="N744">
        <f>Master_Data!N744</f>
        <v>5</v>
      </c>
      <c r="O744">
        <f>Master_Data!O744</f>
        <v>170</v>
      </c>
      <c r="P744">
        <f>Master_Data!P744</f>
        <v>175</v>
      </c>
      <c r="Q744" t="str">
        <f t="shared" si="66"/>
        <v>2011</v>
      </c>
      <c r="R744" t="str">
        <f t="shared" si="67"/>
        <v>February</v>
      </c>
      <c r="S744" t="str">
        <f t="shared" si="68"/>
        <v>Weekday</v>
      </c>
      <c r="T744" t="str">
        <f t="shared" si="69"/>
        <v>Evening</v>
      </c>
      <c r="U744" t="str">
        <f t="shared" si="70"/>
        <v>Spring</v>
      </c>
      <c r="V744" t="str">
        <f t="shared" si="71"/>
        <v>Clear</v>
      </c>
    </row>
    <row r="745" spans="1:22">
      <c r="A745">
        <f>Master_Data!A745</f>
        <v>753</v>
      </c>
      <c r="B745">
        <f>Master_Data!B745</f>
        <v>40577</v>
      </c>
      <c r="C745">
        <f>Master_Data!C745</f>
        <v>1</v>
      </c>
      <c r="D745">
        <f>Master_Data!D745</f>
        <v>0</v>
      </c>
      <c r="E745">
        <f>Master_Data!E745</f>
        <v>2</v>
      </c>
      <c r="F745">
        <f>Master_Data!F745</f>
        <v>18</v>
      </c>
      <c r="G745" t="b">
        <f>Master_Data!G745</f>
        <v>0</v>
      </c>
      <c r="H745">
        <f>Master_Data!H745</f>
        <v>4</v>
      </c>
      <c r="I745">
        <f>Master_Data!I745</f>
        <v>1</v>
      </c>
      <c r="J745">
        <f>Master_Data!J745</f>
        <v>0.2</v>
      </c>
      <c r="K745">
        <f>Master_Data!K745</f>
        <v>0.21210000000000001</v>
      </c>
      <c r="L745">
        <f>Master_Data!L745</f>
        <v>0.4</v>
      </c>
      <c r="M745">
        <f>Master_Data!M745</f>
        <v>0.16420000000000001</v>
      </c>
      <c r="N745">
        <f>Master_Data!N745</f>
        <v>2</v>
      </c>
      <c r="O745">
        <f>Master_Data!O745</f>
        <v>145</v>
      </c>
      <c r="P745">
        <f>Master_Data!P745</f>
        <v>147</v>
      </c>
      <c r="Q745" t="str">
        <f t="shared" si="66"/>
        <v>2011</v>
      </c>
      <c r="R745" t="str">
        <f t="shared" si="67"/>
        <v>February</v>
      </c>
      <c r="S745" t="str">
        <f t="shared" si="68"/>
        <v>Weekday</v>
      </c>
      <c r="T745" t="str">
        <f t="shared" si="69"/>
        <v>Evening</v>
      </c>
      <c r="U745" t="str">
        <f t="shared" si="70"/>
        <v>Spring</v>
      </c>
      <c r="V745" t="str">
        <f t="shared" si="71"/>
        <v>Clear</v>
      </c>
    </row>
    <row r="746" spans="1:22">
      <c r="A746">
        <f>Master_Data!A746</f>
        <v>754</v>
      </c>
      <c r="B746">
        <f>Master_Data!B746</f>
        <v>40577</v>
      </c>
      <c r="C746">
        <f>Master_Data!C746</f>
        <v>1</v>
      </c>
      <c r="D746">
        <f>Master_Data!D746</f>
        <v>0</v>
      </c>
      <c r="E746">
        <f>Master_Data!E746</f>
        <v>2</v>
      </c>
      <c r="F746">
        <f>Master_Data!F746</f>
        <v>19</v>
      </c>
      <c r="G746" t="b">
        <f>Master_Data!G746</f>
        <v>0</v>
      </c>
      <c r="H746">
        <f>Master_Data!H746</f>
        <v>4</v>
      </c>
      <c r="I746">
        <f>Master_Data!I746</f>
        <v>1</v>
      </c>
      <c r="J746">
        <f>Master_Data!J746</f>
        <v>0.2</v>
      </c>
      <c r="K746">
        <f>Master_Data!K746</f>
        <v>0.2576</v>
      </c>
      <c r="L746">
        <f>Master_Data!L746</f>
        <v>0.4</v>
      </c>
      <c r="M746">
        <f>Master_Data!M746</f>
        <v>0</v>
      </c>
      <c r="N746">
        <f>Master_Data!N746</f>
        <v>4</v>
      </c>
      <c r="O746">
        <f>Master_Data!O746</f>
        <v>92</v>
      </c>
      <c r="P746">
        <f>Master_Data!P746</f>
        <v>96</v>
      </c>
      <c r="Q746" t="str">
        <f t="shared" si="66"/>
        <v>2011</v>
      </c>
      <c r="R746" t="str">
        <f t="shared" si="67"/>
        <v>February</v>
      </c>
      <c r="S746" t="str">
        <f t="shared" si="68"/>
        <v>Weekday</v>
      </c>
      <c r="T746" t="str">
        <f t="shared" si="69"/>
        <v>Evening</v>
      </c>
      <c r="U746" t="str">
        <f t="shared" si="70"/>
        <v>Spring</v>
      </c>
      <c r="V746" t="str">
        <f t="shared" si="71"/>
        <v>Clear</v>
      </c>
    </row>
    <row r="747" spans="1:22">
      <c r="A747">
        <f>Master_Data!A747</f>
        <v>755</v>
      </c>
      <c r="B747">
        <f>Master_Data!B747</f>
        <v>40577</v>
      </c>
      <c r="C747">
        <f>Master_Data!C747</f>
        <v>1</v>
      </c>
      <c r="D747">
        <f>Master_Data!D747</f>
        <v>0</v>
      </c>
      <c r="E747">
        <f>Master_Data!E747</f>
        <v>2</v>
      </c>
      <c r="F747">
        <f>Master_Data!F747</f>
        <v>20</v>
      </c>
      <c r="G747" t="b">
        <f>Master_Data!G747</f>
        <v>0</v>
      </c>
      <c r="H747">
        <f>Master_Data!H747</f>
        <v>4</v>
      </c>
      <c r="I747">
        <f>Master_Data!I747</f>
        <v>1</v>
      </c>
      <c r="J747">
        <f>Master_Data!J747</f>
        <v>0.2</v>
      </c>
      <c r="K747">
        <f>Master_Data!K747</f>
        <v>0.2273</v>
      </c>
      <c r="L747">
        <f>Master_Data!L747</f>
        <v>0.47</v>
      </c>
      <c r="M747">
        <f>Master_Data!M747</f>
        <v>8.9599999999999999E-2</v>
      </c>
      <c r="N747">
        <f>Master_Data!N747</f>
        <v>1</v>
      </c>
      <c r="O747">
        <f>Master_Data!O747</f>
        <v>108</v>
      </c>
      <c r="P747">
        <f>Master_Data!P747</f>
        <v>109</v>
      </c>
      <c r="Q747" t="str">
        <f t="shared" si="66"/>
        <v>2011</v>
      </c>
      <c r="R747" t="str">
        <f t="shared" si="67"/>
        <v>February</v>
      </c>
      <c r="S747" t="str">
        <f t="shared" si="68"/>
        <v>Weekday</v>
      </c>
      <c r="T747" t="str">
        <f t="shared" si="69"/>
        <v>Evening</v>
      </c>
      <c r="U747" t="str">
        <f t="shared" si="70"/>
        <v>Spring</v>
      </c>
      <c r="V747" t="str">
        <f t="shared" si="71"/>
        <v>Clear</v>
      </c>
    </row>
    <row r="748" spans="1:22">
      <c r="A748">
        <f>Master_Data!A748</f>
        <v>756</v>
      </c>
      <c r="B748">
        <f>Master_Data!B748</f>
        <v>40577</v>
      </c>
      <c r="C748">
        <f>Master_Data!C748</f>
        <v>1</v>
      </c>
      <c r="D748">
        <f>Master_Data!D748</f>
        <v>0</v>
      </c>
      <c r="E748">
        <f>Master_Data!E748</f>
        <v>2</v>
      </c>
      <c r="F748">
        <f>Master_Data!F748</f>
        <v>21</v>
      </c>
      <c r="G748" t="b">
        <f>Master_Data!G748</f>
        <v>0</v>
      </c>
      <c r="H748">
        <f>Master_Data!H748</f>
        <v>4</v>
      </c>
      <c r="I748">
        <f>Master_Data!I748</f>
        <v>1</v>
      </c>
      <c r="J748">
        <f>Master_Data!J748</f>
        <v>0.18</v>
      </c>
      <c r="K748">
        <f>Master_Data!K748</f>
        <v>0.21210000000000001</v>
      </c>
      <c r="L748">
        <f>Master_Data!L748</f>
        <v>0.55000000000000004</v>
      </c>
      <c r="M748">
        <f>Master_Data!M748</f>
        <v>0.1045</v>
      </c>
      <c r="N748">
        <f>Master_Data!N748</f>
        <v>1</v>
      </c>
      <c r="O748">
        <f>Master_Data!O748</f>
        <v>53</v>
      </c>
      <c r="P748">
        <f>Master_Data!P748</f>
        <v>54</v>
      </c>
      <c r="Q748" t="str">
        <f t="shared" si="66"/>
        <v>2011</v>
      </c>
      <c r="R748" t="str">
        <f t="shared" si="67"/>
        <v>February</v>
      </c>
      <c r="S748" t="str">
        <f t="shared" si="68"/>
        <v>Weekday</v>
      </c>
      <c r="T748" t="str">
        <f t="shared" si="69"/>
        <v>Night</v>
      </c>
      <c r="U748" t="str">
        <f t="shared" si="70"/>
        <v>Spring</v>
      </c>
      <c r="V748" t="str">
        <f t="shared" si="71"/>
        <v>Clear</v>
      </c>
    </row>
    <row r="749" spans="1:22">
      <c r="A749">
        <f>Master_Data!A749</f>
        <v>757</v>
      </c>
      <c r="B749">
        <f>Master_Data!B749</f>
        <v>40577</v>
      </c>
      <c r="C749">
        <f>Master_Data!C749</f>
        <v>1</v>
      </c>
      <c r="D749">
        <f>Master_Data!D749</f>
        <v>0</v>
      </c>
      <c r="E749">
        <f>Master_Data!E749</f>
        <v>2</v>
      </c>
      <c r="F749">
        <f>Master_Data!F749</f>
        <v>22</v>
      </c>
      <c r="G749" t="b">
        <f>Master_Data!G749</f>
        <v>0</v>
      </c>
      <c r="H749">
        <f>Master_Data!H749</f>
        <v>4</v>
      </c>
      <c r="I749">
        <f>Master_Data!I749</f>
        <v>1</v>
      </c>
      <c r="J749">
        <f>Master_Data!J749</f>
        <v>0.18</v>
      </c>
      <c r="K749">
        <f>Master_Data!K749</f>
        <v>0.21210000000000001</v>
      </c>
      <c r="L749">
        <f>Master_Data!L749</f>
        <v>0.51</v>
      </c>
      <c r="M749">
        <f>Master_Data!M749</f>
        <v>8.9599999999999999E-2</v>
      </c>
      <c r="N749">
        <f>Master_Data!N749</f>
        <v>2</v>
      </c>
      <c r="O749">
        <f>Master_Data!O749</f>
        <v>39</v>
      </c>
      <c r="P749">
        <f>Master_Data!P749</f>
        <v>41</v>
      </c>
      <c r="Q749" t="str">
        <f t="shared" si="66"/>
        <v>2011</v>
      </c>
      <c r="R749" t="str">
        <f t="shared" si="67"/>
        <v>February</v>
      </c>
      <c r="S749" t="str">
        <f t="shared" si="68"/>
        <v>Weekday</v>
      </c>
      <c r="T749" t="str">
        <f t="shared" si="69"/>
        <v>Night</v>
      </c>
      <c r="U749" t="str">
        <f t="shared" si="70"/>
        <v>Spring</v>
      </c>
      <c r="V749" t="str">
        <f t="shared" si="71"/>
        <v>Clear</v>
      </c>
    </row>
    <row r="750" spans="1:22">
      <c r="A750">
        <f>Master_Data!A750</f>
        <v>758</v>
      </c>
      <c r="B750">
        <f>Master_Data!B750</f>
        <v>40577</v>
      </c>
      <c r="C750">
        <f>Master_Data!C750</f>
        <v>1</v>
      </c>
      <c r="D750">
        <f>Master_Data!D750</f>
        <v>0</v>
      </c>
      <c r="E750">
        <f>Master_Data!E750</f>
        <v>2</v>
      </c>
      <c r="F750">
        <f>Master_Data!F750</f>
        <v>23</v>
      </c>
      <c r="G750" t="b">
        <f>Master_Data!G750</f>
        <v>0</v>
      </c>
      <c r="H750">
        <f>Master_Data!H750</f>
        <v>4</v>
      </c>
      <c r="I750">
        <f>Master_Data!I750</f>
        <v>1</v>
      </c>
      <c r="J750">
        <f>Master_Data!J750</f>
        <v>0.2</v>
      </c>
      <c r="K750">
        <f>Master_Data!K750</f>
        <v>0.2273</v>
      </c>
      <c r="L750">
        <f>Master_Data!L750</f>
        <v>0.47</v>
      </c>
      <c r="M750">
        <f>Master_Data!M750</f>
        <v>0.1045</v>
      </c>
      <c r="N750">
        <f>Master_Data!N750</f>
        <v>4</v>
      </c>
      <c r="O750">
        <f>Master_Data!O750</f>
        <v>34</v>
      </c>
      <c r="P750">
        <f>Master_Data!P750</f>
        <v>38</v>
      </c>
      <c r="Q750" t="str">
        <f t="shared" si="66"/>
        <v>2011</v>
      </c>
      <c r="R750" t="str">
        <f t="shared" si="67"/>
        <v>February</v>
      </c>
      <c r="S750" t="str">
        <f t="shared" si="68"/>
        <v>Weekday</v>
      </c>
      <c r="T750" t="str">
        <f t="shared" si="69"/>
        <v>Night</v>
      </c>
      <c r="U750" t="str">
        <f t="shared" si="70"/>
        <v>Spring</v>
      </c>
      <c r="V750" t="str">
        <f t="shared" si="71"/>
        <v>Clear</v>
      </c>
    </row>
    <row r="751" spans="1:22">
      <c r="A751">
        <f>Master_Data!A751</f>
        <v>759</v>
      </c>
      <c r="B751">
        <f>Master_Data!B751</f>
        <v>40578</v>
      </c>
      <c r="C751">
        <f>Master_Data!C751</f>
        <v>1</v>
      </c>
      <c r="D751">
        <f>Master_Data!D751</f>
        <v>0</v>
      </c>
      <c r="E751">
        <f>Master_Data!E751</f>
        <v>2</v>
      </c>
      <c r="F751">
        <f>Master_Data!F751</f>
        <v>0</v>
      </c>
      <c r="G751" t="b">
        <f>Master_Data!G751</f>
        <v>0</v>
      </c>
      <c r="H751">
        <f>Master_Data!H751</f>
        <v>5</v>
      </c>
      <c r="I751">
        <f>Master_Data!I751</f>
        <v>2</v>
      </c>
      <c r="J751">
        <f>Master_Data!J751</f>
        <v>0.2</v>
      </c>
      <c r="K751">
        <f>Master_Data!K751</f>
        <v>0.2576</v>
      </c>
      <c r="L751">
        <f>Master_Data!L751</f>
        <v>0.44</v>
      </c>
      <c r="M751">
        <f>Master_Data!M751</f>
        <v>0</v>
      </c>
      <c r="N751">
        <f>Master_Data!N751</f>
        <v>3</v>
      </c>
      <c r="O751">
        <f>Master_Data!O751</f>
        <v>10</v>
      </c>
      <c r="P751">
        <f>Master_Data!P751</f>
        <v>13</v>
      </c>
      <c r="Q751" t="str">
        <f t="shared" si="66"/>
        <v>2011</v>
      </c>
      <c r="R751" t="str">
        <f t="shared" si="67"/>
        <v>February</v>
      </c>
      <c r="S751" t="str">
        <f t="shared" si="68"/>
        <v>Weekday</v>
      </c>
      <c r="T751" t="str">
        <f t="shared" si="69"/>
        <v>Night</v>
      </c>
      <c r="U751" t="str">
        <f t="shared" si="70"/>
        <v>Spring</v>
      </c>
      <c r="V751" t="str">
        <f t="shared" si="71"/>
        <v>Mist/Cloudy</v>
      </c>
    </row>
    <row r="752" spans="1:22">
      <c r="A752">
        <f>Master_Data!A752</f>
        <v>760</v>
      </c>
      <c r="B752">
        <f>Master_Data!B752</f>
        <v>40578</v>
      </c>
      <c r="C752">
        <f>Master_Data!C752</f>
        <v>1</v>
      </c>
      <c r="D752">
        <f>Master_Data!D752</f>
        <v>0</v>
      </c>
      <c r="E752">
        <f>Master_Data!E752</f>
        <v>2</v>
      </c>
      <c r="F752">
        <f>Master_Data!F752</f>
        <v>1</v>
      </c>
      <c r="G752" t="b">
        <f>Master_Data!G752</f>
        <v>0</v>
      </c>
      <c r="H752">
        <f>Master_Data!H752</f>
        <v>5</v>
      </c>
      <c r="I752">
        <f>Master_Data!I752</f>
        <v>2</v>
      </c>
      <c r="J752">
        <f>Master_Data!J752</f>
        <v>0.16</v>
      </c>
      <c r="K752">
        <f>Master_Data!K752</f>
        <v>0.2273</v>
      </c>
      <c r="L752">
        <f>Master_Data!L752</f>
        <v>0.59</v>
      </c>
      <c r="M752">
        <f>Master_Data!M752</f>
        <v>0</v>
      </c>
      <c r="N752">
        <f>Master_Data!N752</f>
        <v>0</v>
      </c>
      <c r="O752">
        <f>Master_Data!O752</f>
        <v>7</v>
      </c>
      <c r="P752">
        <f>Master_Data!P752</f>
        <v>7</v>
      </c>
      <c r="Q752" t="str">
        <f t="shared" si="66"/>
        <v>2011</v>
      </c>
      <c r="R752" t="str">
        <f t="shared" si="67"/>
        <v>February</v>
      </c>
      <c r="S752" t="str">
        <f t="shared" si="68"/>
        <v>Weekday</v>
      </c>
      <c r="T752" t="str">
        <f t="shared" si="69"/>
        <v>Night</v>
      </c>
      <c r="U752" t="str">
        <f t="shared" si="70"/>
        <v>Spring</v>
      </c>
      <c r="V752" t="str">
        <f t="shared" si="71"/>
        <v>Mist/Cloudy</v>
      </c>
    </row>
    <row r="753" spans="1:22">
      <c r="A753">
        <f>Master_Data!A753</f>
        <v>761</v>
      </c>
      <c r="B753">
        <f>Master_Data!B753</f>
        <v>40578</v>
      </c>
      <c r="C753">
        <f>Master_Data!C753</f>
        <v>1</v>
      </c>
      <c r="D753">
        <f>Master_Data!D753</f>
        <v>0</v>
      </c>
      <c r="E753">
        <f>Master_Data!E753</f>
        <v>2</v>
      </c>
      <c r="F753">
        <f>Master_Data!F753</f>
        <v>2</v>
      </c>
      <c r="G753" t="b">
        <f>Master_Data!G753</f>
        <v>0</v>
      </c>
      <c r="H753">
        <f>Master_Data!H753</f>
        <v>5</v>
      </c>
      <c r="I753">
        <f>Master_Data!I753</f>
        <v>2</v>
      </c>
      <c r="J753">
        <f>Master_Data!J753</f>
        <v>0.14000000000000001</v>
      </c>
      <c r="K753">
        <f>Master_Data!K753</f>
        <v>0.16669999999999999</v>
      </c>
      <c r="L753">
        <f>Master_Data!L753</f>
        <v>0.63</v>
      </c>
      <c r="M753">
        <f>Master_Data!M753</f>
        <v>0.1045</v>
      </c>
      <c r="N753">
        <f>Master_Data!N753</f>
        <v>0</v>
      </c>
      <c r="O753">
        <f>Master_Data!O753</f>
        <v>1</v>
      </c>
      <c r="P753">
        <f>Master_Data!P753</f>
        <v>1</v>
      </c>
      <c r="Q753" t="str">
        <f t="shared" si="66"/>
        <v>2011</v>
      </c>
      <c r="R753" t="str">
        <f t="shared" si="67"/>
        <v>February</v>
      </c>
      <c r="S753" t="str">
        <f t="shared" si="68"/>
        <v>Weekday</v>
      </c>
      <c r="T753" t="str">
        <f t="shared" si="69"/>
        <v>Night</v>
      </c>
      <c r="U753" t="str">
        <f t="shared" si="70"/>
        <v>Spring</v>
      </c>
      <c r="V753" t="str">
        <f t="shared" si="71"/>
        <v>Mist/Cloudy</v>
      </c>
    </row>
    <row r="754" spans="1:22">
      <c r="A754">
        <f>Master_Data!A754</f>
        <v>762</v>
      </c>
      <c r="B754">
        <f>Master_Data!B754</f>
        <v>40578</v>
      </c>
      <c r="C754">
        <f>Master_Data!C754</f>
        <v>1</v>
      </c>
      <c r="D754">
        <f>Master_Data!D754</f>
        <v>0</v>
      </c>
      <c r="E754">
        <f>Master_Data!E754</f>
        <v>2</v>
      </c>
      <c r="F754">
        <f>Master_Data!F754</f>
        <v>3</v>
      </c>
      <c r="G754" t="b">
        <f>Master_Data!G754</f>
        <v>0</v>
      </c>
      <c r="H754">
        <f>Master_Data!H754</f>
        <v>5</v>
      </c>
      <c r="I754">
        <f>Master_Data!I754</f>
        <v>2</v>
      </c>
      <c r="J754">
        <f>Master_Data!J754</f>
        <v>0.14000000000000001</v>
      </c>
      <c r="K754">
        <f>Master_Data!K754</f>
        <v>0.16669999999999999</v>
      </c>
      <c r="L754">
        <f>Master_Data!L754</f>
        <v>0.63</v>
      </c>
      <c r="M754">
        <f>Master_Data!M754</f>
        <v>0.1045</v>
      </c>
      <c r="N754">
        <f>Master_Data!N754</f>
        <v>0</v>
      </c>
      <c r="O754">
        <f>Master_Data!O754</f>
        <v>1</v>
      </c>
      <c r="P754">
        <f>Master_Data!P754</f>
        <v>1</v>
      </c>
      <c r="Q754" t="str">
        <f t="shared" si="66"/>
        <v>2011</v>
      </c>
      <c r="R754" t="str">
        <f t="shared" si="67"/>
        <v>February</v>
      </c>
      <c r="S754" t="str">
        <f t="shared" si="68"/>
        <v>Weekday</v>
      </c>
      <c r="T754" t="str">
        <f t="shared" si="69"/>
        <v>Night</v>
      </c>
      <c r="U754" t="str">
        <f t="shared" si="70"/>
        <v>Spring</v>
      </c>
      <c r="V754" t="str">
        <f t="shared" si="71"/>
        <v>Mist/Cloudy</v>
      </c>
    </row>
    <row r="755" spans="1:22">
      <c r="A755">
        <f>Master_Data!A755</f>
        <v>763</v>
      </c>
      <c r="B755">
        <f>Master_Data!B755</f>
        <v>40578</v>
      </c>
      <c r="C755">
        <f>Master_Data!C755</f>
        <v>1</v>
      </c>
      <c r="D755">
        <f>Master_Data!D755</f>
        <v>0</v>
      </c>
      <c r="E755">
        <f>Master_Data!E755</f>
        <v>2</v>
      </c>
      <c r="F755">
        <f>Master_Data!F755</f>
        <v>5</v>
      </c>
      <c r="G755" t="b">
        <f>Master_Data!G755</f>
        <v>0</v>
      </c>
      <c r="H755">
        <f>Master_Data!H755</f>
        <v>5</v>
      </c>
      <c r="I755">
        <f>Master_Data!I755</f>
        <v>2</v>
      </c>
      <c r="J755">
        <f>Master_Data!J755</f>
        <v>0.14000000000000001</v>
      </c>
      <c r="K755">
        <f>Master_Data!K755</f>
        <v>0.1515</v>
      </c>
      <c r="L755">
        <f>Master_Data!L755</f>
        <v>0.63</v>
      </c>
      <c r="M755">
        <f>Master_Data!M755</f>
        <v>0.1343</v>
      </c>
      <c r="N755">
        <f>Master_Data!N755</f>
        <v>0</v>
      </c>
      <c r="O755">
        <f>Master_Data!O755</f>
        <v>7</v>
      </c>
      <c r="P755">
        <f>Master_Data!P755</f>
        <v>7</v>
      </c>
      <c r="Q755" t="str">
        <f t="shared" si="66"/>
        <v>2011</v>
      </c>
      <c r="R755" t="str">
        <f t="shared" si="67"/>
        <v>February</v>
      </c>
      <c r="S755" t="str">
        <f t="shared" si="68"/>
        <v>Weekday</v>
      </c>
      <c r="T755" t="str">
        <f t="shared" si="69"/>
        <v>Night</v>
      </c>
      <c r="U755" t="str">
        <f t="shared" si="70"/>
        <v>Spring</v>
      </c>
      <c r="V755" t="str">
        <f t="shared" si="71"/>
        <v>Mist/Cloudy</v>
      </c>
    </row>
    <row r="756" spans="1:22">
      <c r="A756">
        <f>Master_Data!A756</f>
        <v>764</v>
      </c>
      <c r="B756">
        <f>Master_Data!B756</f>
        <v>40578</v>
      </c>
      <c r="C756">
        <f>Master_Data!C756</f>
        <v>1</v>
      </c>
      <c r="D756">
        <f>Master_Data!D756</f>
        <v>0</v>
      </c>
      <c r="E756">
        <f>Master_Data!E756</f>
        <v>2</v>
      </c>
      <c r="F756">
        <f>Master_Data!F756</f>
        <v>6</v>
      </c>
      <c r="G756" t="b">
        <f>Master_Data!G756</f>
        <v>0</v>
      </c>
      <c r="H756">
        <f>Master_Data!H756</f>
        <v>5</v>
      </c>
      <c r="I756">
        <f>Master_Data!I756</f>
        <v>2</v>
      </c>
      <c r="J756">
        <f>Master_Data!J756</f>
        <v>0.16</v>
      </c>
      <c r="K756">
        <f>Master_Data!K756</f>
        <v>0.2273</v>
      </c>
      <c r="L756">
        <f>Master_Data!L756</f>
        <v>0.55000000000000004</v>
      </c>
      <c r="M756">
        <f>Master_Data!M756</f>
        <v>0</v>
      </c>
      <c r="N756">
        <f>Master_Data!N756</f>
        <v>2</v>
      </c>
      <c r="O756">
        <f>Master_Data!O756</f>
        <v>26</v>
      </c>
      <c r="P756">
        <f>Master_Data!P756</f>
        <v>28</v>
      </c>
      <c r="Q756" t="str">
        <f t="shared" si="66"/>
        <v>2011</v>
      </c>
      <c r="R756" t="str">
        <f t="shared" si="67"/>
        <v>February</v>
      </c>
      <c r="S756" t="str">
        <f t="shared" si="68"/>
        <v>Weekday</v>
      </c>
      <c r="T756" t="str">
        <f t="shared" si="69"/>
        <v>Morning</v>
      </c>
      <c r="U756" t="str">
        <f t="shared" si="70"/>
        <v>Spring</v>
      </c>
      <c r="V756" t="str">
        <f t="shared" si="71"/>
        <v>Mist/Cloudy</v>
      </c>
    </row>
    <row r="757" spans="1:22">
      <c r="A757">
        <f>Master_Data!A757</f>
        <v>765</v>
      </c>
      <c r="B757">
        <f>Master_Data!B757</f>
        <v>40578</v>
      </c>
      <c r="C757">
        <f>Master_Data!C757</f>
        <v>1</v>
      </c>
      <c r="D757">
        <f>Master_Data!D757</f>
        <v>0</v>
      </c>
      <c r="E757">
        <f>Master_Data!E757</f>
        <v>2</v>
      </c>
      <c r="F757">
        <f>Master_Data!F757</f>
        <v>7</v>
      </c>
      <c r="G757" t="b">
        <f>Master_Data!G757</f>
        <v>0</v>
      </c>
      <c r="H757">
        <f>Master_Data!H757</f>
        <v>5</v>
      </c>
      <c r="I757">
        <f>Master_Data!I757</f>
        <v>1</v>
      </c>
      <c r="J757">
        <f>Master_Data!J757</f>
        <v>0.14000000000000001</v>
      </c>
      <c r="K757">
        <f>Master_Data!K757</f>
        <v>0.21210000000000001</v>
      </c>
      <c r="L757">
        <f>Master_Data!L757</f>
        <v>0.59</v>
      </c>
      <c r="M757">
        <f>Master_Data!M757</f>
        <v>0</v>
      </c>
      <c r="N757">
        <f>Master_Data!N757</f>
        <v>0</v>
      </c>
      <c r="O757">
        <f>Master_Data!O757</f>
        <v>87</v>
      </c>
      <c r="P757">
        <f>Master_Data!P757</f>
        <v>87</v>
      </c>
      <c r="Q757" t="str">
        <f t="shared" si="66"/>
        <v>2011</v>
      </c>
      <c r="R757" t="str">
        <f t="shared" si="67"/>
        <v>February</v>
      </c>
      <c r="S757" t="str">
        <f t="shared" si="68"/>
        <v>Weekday</v>
      </c>
      <c r="T757" t="str">
        <f t="shared" si="69"/>
        <v>Morning</v>
      </c>
      <c r="U757" t="str">
        <f t="shared" si="70"/>
        <v>Spring</v>
      </c>
      <c r="V757" t="str">
        <f t="shared" si="71"/>
        <v>Clear</v>
      </c>
    </row>
    <row r="758" spans="1:22">
      <c r="A758">
        <f>Master_Data!A758</f>
        <v>766</v>
      </c>
      <c r="B758">
        <f>Master_Data!B758</f>
        <v>40578</v>
      </c>
      <c r="C758">
        <f>Master_Data!C758</f>
        <v>1</v>
      </c>
      <c r="D758">
        <f>Master_Data!D758</f>
        <v>0</v>
      </c>
      <c r="E758">
        <f>Master_Data!E758</f>
        <v>2</v>
      </c>
      <c r="F758">
        <f>Master_Data!F758</f>
        <v>8</v>
      </c>
      <c r="G758" t="b">
        <f>Master_Data!G758</f>
        <v>0</v>
      </c>
      <c r="H758">
        <f>Master_Data!H758</f>
        <v>5</v>
      </c>
      <c r="I758">
        <f>Master_Data!I758</f>
        <v>1</v>
      </c>
      <c r="J758">
        <f>Master_Data!J758</f>
        <v>0.14000000000000001</v>
      </c>
      <c r="K758">
        <f>Master_Data!K758</f>
        <v>0.1515</v>
      </c>
      <c r="L758">
        <f>Master_Data!L758</f>
        <v>0.74</v>
      </c>
      <c r="M758">
        <f>Master_Data!M758</f>
        <v>0.1343</v>
      </c>
      <c r="N758">
        <f>Master_Data!N758</f>
        <v>3</v>
      </c>
      <c r="O758">
        <f>Master_Data!O758</f>
        <v>217</v>
      </c>
      <c r="P758">
        <f>Master_Data!P758</f>
        <v>220</v>
      </c>
      <c r="Q758" t="str">
        <f t="shared" si="66"/>
        <v>2011</v>
      </c>
      <c r="R758" t="str">
        <f t="shared" si="67"/>
        <v>February</v>
      </c>
      <c r="S758" t="str">
        <f t="shared" si="68"/>
        <v>Weekday</v>
      </c>
      <c r="T758" t="str">
        <f t="shared" si="69"/>
        <v>Morning</v>
      </c>
      <c r="U758" t="str">
        <f t="shared" si="70"/>
        <v>Spring</v>
      </c>
      <c r="V758" t="str">
        <f t="shared" si="71"/>
        <v>Clear</v>
      </c>
    </row>
    <row r="759" spans="1:22">
      <c r="A759">
        <f>Master_Data!A759</f>
        <v>767</v>
      </c>
      <c r="B759">
        <f>Master_Data!B759</f>
        <v>40578</v>
      </c>
      <c r="C759">
        <f>Master_Data!C759</f>
        <v>1</v>
      </c>
      <c r="D759">
        <f>Master_Data!D759</f>
        <v>0</v>
      </c>
      <c r="E759">
        <f>Master_Data!E759</f>
        <v>2</v>
      </c>
      <c r="F759">
        <f>Master_Data!F759</f>
        <v>9</v>
      </c>
      <c r="G759" t="b">
        <f>Master_Data!G759</f>
        <v>0</v>
      </c>
      <c r="H759">
        <f>Master_Data!H759</f>
        <v>5</v>
      </c>
      <c r="I759">
        <f>Master_Data!I759</f>
        <v>2</v>
      </c>
      <c r="J759">
        <f>Master_Data!J759</f>
        <v>0.16</v>
      </c>
      <c r="K759">
        <f>Master_Data!K759</f>
        <v>0.18179999999999999</v>
      </c>
      <c r="L759">
        <f>Master_Data!L759</f>
        <v>0.8</v>
      </c>
      <c r="M759">
        <f>Master_Data!M759</f>
        <v>0.1343</v>
      </c>
      <c r="N759">
        <f>Master_Data!N759</f>
        <v>3</v>
      </c>
      <c r="O759">
        <f>Master_Data!O759</f>
        <v>124</v>
      </c>
      <c r="P759">
        <f>Master_Data!P759</f>
        <v>127</v>
      </c>
      <c r="Q759" t="str">
        <f t="shared" si="66"/>
        <v>2011</v>
      </c>
      <c r="R759" t="str">
        <f t="shared" si="67"/>
        <v>February</v>
      </c>
      <c r="S759" t="str">
        <f t="shared" si="68"/>
        <v>Weekday</v>
      </c>
      <c r="T759" t="str">
        <f t="shared" si="69"/>
        <v>Morning</v>
      </c>
      <c r="U759" t="str">
        <f t="shared" si="70"/>
        <v>Spring</v>
      </c>
      <c r="V759" t="str">
        <f t="shared" si="71"/>
        <v>Mist/Cloudy</v>
      </c>
    </row>
    <row r="760" spans="1:22">
      <c r="A760">
        <f>Master_Data!A760</f>
        <v>768</v>
      </c>
      <c r="B760">
        <f>Master_Data!B760</f>
        <v>40578</v>
      </c>
      <c r="C760">
        <f>Master_Data!C760</f>
        <v>1</v>
      </c>
      <c r="D760">
        <f>Master_Data!D760</f>
        <v>0</v>
      </c>
      <c r="E760">
        <f>Master_Data!E760</f>
        <v>2</v>
      </c>
      <c r="F760">
        <f>Master_Data!F760</f>
        <v>10</v>
      </c>
      <c r="G760" t="b">
        <f>Master_Data!G760</f>
        <v>0</v>
      </c>
      <c r="H760">
        <f>Master_Data!H760</f>
        <v>5</v>
      </c>
      <c r="I760">
        <f>Master_Data!I760</f>
        <v>2</v>
      </c>
      <c r="J760">
        <f>Master_Data!J760</f>
        <v>0.2</v>
      </c>
      <c r="K760">
        <f>Master_Data!K760</f>
        <v>0.21210000000000001</v>
      </c>
      <c r="L760">
        <f>Master_Data!L760</f>
        <v>0.51</v>
      </c>
      <c r="M760">
        <f>Master_Data!M760</f>
        <v>0.1343</v>
      </c>
      <c r="N760">
        <f>Master_Data!N760</f>
        <v>5</v>
      </c>
      <c r="O760">
        <f>Master_Data!O760</f>
        <v>46</v>
      </c>
      <c r="P760">
        <f>Master_Data!P760</f>
        <v>51</v>
      </c>
      <c r="Q760" t="str">
        <f t="shared" si="66"/>
        <v>2011</v>
      </c>
      <c r="R760" t="str">
        <f t="shared" si="67"/>
        <v>February</v>
      </c>
      <c r="S760" t="str">
        <f t="shared" si="68"/>
        <v>Weekday</v>
      </c>
      <c r="T760" t="str">
        <f t="shared" si="69"/>
        <v>Morning</v>
      </c>
      <c r="U760" t="str">
        <f t="shared" si="70"/>
        <v>Spring</v>
      </c>
      <c r="V760" t="str">
        <f t="shared" si="71"/>
        <v>Mist/Cloudy</v>
      </c>
    </row>
    <row r="761" spans="1:22">
      <c r="A761">
        <f>Master_Data!A761</f>
        <v>769</v>
      </c>
      <c r="B761">
        <f>Master_Data!B761</f>
        <v>40578</v>
      </c>
      <c r="C761">
        <f>Master_Data!C761</f>
        <v>1</v>
      </c>
      <c r="D761">
        <f>Master_Data!D761</f>
        <v>0</v>
      </c>
      <c r="E761">
        <f>Master_Data!E761</f>
        <v>2</v>
      </c>
      <c r="F761">
        <f>Master_Data!F761</f>
        <v>11</v>
      </c>
      <c r="G761" t="b">
        <f>Master_Data!G761</f>
        <v>0</v>
      </c>
      <c r="H761">
        <f>Master_Data!H761</f>
        <v>5</v>
      </c>
      <c r="I761">
        <f>Master_Data!I761</f>
        <v>1</v>
      </c>
      <c r="J761">
        <f>Master_Data!J761</f>
        <v>0.22</v>
      </c>
      <c r="K761">
        <f>Master_Data!K761</f>
        <v>0.2273</v>
      </c>
      <c r="L761">
        <f>Master_Data!L761</f>
        <v>0.51</v>
      </c>
      <c r="M761">
        <f>Master_Data!M761</f>
        <v>0.16420000000000001</v>
      </c>
      <c r="N761">
        <f>Master_Data!N761</f>
        <v>3</v>
      </c>
      <c r="O761">
        <f>Master_Data!O761</f>
        <v>61</v>
      </c>
      <c r="P761">
        <f>Master_Data!P761</f>
        <v>64</v>
      </c>
      <c r="Q761" t="str">
        <f t="shared" si="66"/>
        <v>2011</v>
      </c>
      <c r="R761" t="str">
        <f t="shared" si="67"/>
        <v>February</v>
      </c>
      <c r="S761" t="str">
        <f t="shared" si="68"/>
        <v>Weekday</v>
      </c>
      <c r="T761" t="str">
        <f t="shared" si="69"/>
        <v>Morning</v>
      </c>
      <c r="U761" t="str">
        <f t="shared" si="70"/>
        <v>Spring</v>
      </c>
      <c r="V761" t="str">
        <f t="shared" si="71"/>
        <v>Clear</v>
      </c>
    </row>
    <row r="762" spans="1:22">
      <c r="A762">
        <f>Master_Data!A762</f>
        <v>770</v>
      </c>
      <c r="B762">
        <f>Master_Data!B762</f>
        <v>40578</v>
      </c>
      <c r="C762">
        <f>Master_Data!C762</f>
        <v>1</v>
      </c>
      <c r="D762">
        <f>Master_Data!D762</f>
        <v>0</v>
      </c>
      <c r="E762">
        <f>Master_Data!E762</f>
        <v>2</v>
      </c>
      <c r="F762">
        <f>Master_Data!F762</f>
        <v>12</v>
      </c>
      <c r="G762" t="b">
        <f>Master_Data!G762</f>
        <v>0</v>
      </c>
      <c r="H762">
        <f>Master_Data!H762</f>
        <v>5</v>
      </c>
      <c r="I762">
        <f>Master_Data!I762</f>
        <v>2</v>
      </c>
      <c r="J762">
        <f>Master_Data!J762</f>
        <v>0.24</v>
      </c>
      <c r="K762">
        <f>Master_Data!K762</f>
        <v>0.2424</v>
      </c>
      <c r="L762">
        <f>Master_Data!L762</f>
        <v>0.48</v>
      </c>
      <c r="M762">
        <f>Master_Data!M762</f>
        <v>0.16420000000000001</v>
      </c>
      <c r="N762">
        <f>Master_Data!N762</f>
        <v>8</v>
      </c>
      <c r="O762">
        <f>Master_Data!O762</f>
        <v>78</v>
      </c>
      <c r="P762">
        <f>Master_Data!P762</f>
        <v>86</v>
      </c>
      <c r="Q762" t="str">
        <f t="shared" si="66"/>
        <v>2011</v>
      </c>
      <c r="R762" t="str">
        <f t="shared" si="67"/>
        <v>February</v>
      </c>
      <c r="S762" t="str">
        <f t="shared" si="68"/>
        <v>Weekday</v>
      </c>
      <c r="T762" t="str">
        <f t="shared" si="69"/>
        <v>Afternoon</v>
      </c>
      <c r="U762" t="str">
        <f t="shared" si="70"/>
        <v>Spring</v>
      </c>
      <c r="V762" t="str">
        <f t="shared" si="71"/>
        <v>Mist/Cloudy</v>
      </c>
    </row>
    <row r="763" spans="1:22">
      <c r="A763">
        <f>Master_Data!A763</f>
        <v>771</v>
      </c>
      <c r="B763">
        <f>Master_Data!B763</f>
        <v>40578</v>
      </c>
      <c r="C763">
        <f>Master_Data!C763</f>
        <v>1</v>
      </c>
      <c r="D763">
        <f>Master_Data!D763</f>
        <v>0</v>
      </c>
      <c r="E763">
        <f>Master_Data!E763</f>
        <v>2</v>
      </c>
      <c r="F763">
        <f>Master_Data!F763</f>
        <v>13</v>
      </c>
      <c r="G763" t="b">
        <f>Master_Data!G763</f>
        <v>0</v>
      </c>
      <c r="H763">
        <f>Master_Data!H763</f>
        <v>5</v>
      </c>
      <c r="I763">
        <f>Master_Data!I763</f>
        <v>2</v>
      </c>
      <c r="J763">
        <f>Master_Data!J763</f>
        <v>0.26</v>
      </c>
      <c r="K763">
        <f>Master_Data!K763</f>
        <v>0.2576</v>
      </c>
      <c r="L763">
        <f>Master_Data!L763</f>
        <v>0.5</v>
      </c>
      <c r="M763">
        <f>Master_Data!M763</f>
        <v>0.22389999999999999</v>
      </c>
      <c r="N763">
        <f>Master_Data!N763</f>
        <v>9</v>
      </c>
      <c r="O763">
        <f>Master_Data!O763</f>
        <v>73</v>
      </c>
      <c r="P763">
        <f>Master_Data!P763</f>
        <v>82</v>
      </c>
      <c r="Q763" t="str">
        <f t="shared" si="66"/>
        <v>2011</v>
      </c>
      <c r="R763" t="str">
        <f t="shared" si="67"/>
        <v>February</v>
      </c>
      <c r="S763" t="str">
        <f t="shared" si="68"/>
        <v>Weekday</v>
      </c>
      <c r="T763" t="str">
        <f t="shared" si="69"/>
        <v>Afternoon</v>
      </c>
      <c r="U763" t="str">
        <f t="shared" si="70"/>
        <v>Spring</v>
      </c>
      <c r="V763" t="str">
        <f t="shared" si="71"/>
        <v>Mist/Cloudy</v>
      </c>
    </row>
    <row r="764" spans="1:22">
      <c r="A764">
        <f>Master_Data!A764</f>
        <v>772</v>
      </c>
      <c r="B764">
        <f>Master_Data!B764</f>
        <v>40578</v>
      </c>
      <c r="C764">
        <f>Master_Data!C764</f>
        <v>1</v>
      </c>
      <c r="D764">
        <f>Master_Data!D764</f>
        <v>0</v>
      </c>
      <c r="E764">
        <f>Master_Data!E764</f>
        <v>2</v>
      </c>
      <c r="F764">
        <f>Master_Data!F764</f>
        <v>14</v>
      </c>
      <c r="G764" t="b">
        <f>Master_Data!G764</f>
        <v>0</v>
      </c>
      <c r="H764">
        <f>Master_Data!H764</f>
        <v>5</v>
      </c>
      <c r="I764">
        <f>Master_Data!I764</f>
        <v>2</v>
      </c>
      <c r="J764">
        <f>Master_Data!J764</f>
        <v>0.28000000000000003</v>
      </c>
      <c r="K764">
        <f>Master_Data!K764</f>
        <v>0.2727</v>
      </c>
      <c r="L764">
        <f>Master_Data!L764</f>
        <v>0.45</v>
      </c>
      <c r="M764">
        <f>Master_Data!M764</f>
        <v>0.16420000000000001</v>
      </c>
      <c r="N764">
        <f>Master_Data!N764</f>
        <v>15</v>
      </c>
      <c r="O764">
        <f>Master_Data!O764</f>
        <v>76</v>
      </c>
      <c r="P764">
        <f>Master_Data!P764</f>
        <v>91</v>
      </c>
      <c r="Q764" t="str">
        <f t="shared" si="66"/>
        <v>2011</v>
      </c>
      <c r="R764" t="str">
        <f t="shared" si="67"/>
        <v>February</v>
      </c>
      <c r="S764" t="str">
        <f t="shared" si="68"/>
        <v>Weekday</v>
      </c>
      <c r="T764" t="str">
        <f t="shared" si="69"/>
        <v>Afternoon</v>
      </c>
      <c r="U764" t="str">
        <f t="shared" si="70"/>
        <v>Spring</v>
      </c>
      <c r="V764" t="str">
        <f t="shared" si="71"/>
        <v>Mist/Cloudy</v>
      </c>
    </row>
    <row r="765" spans="1:22">
      <c r="A765">
        <f>Master_Data!A765</f>
        <v>773</v>
      </c>
      <c r="B765">
        <f>Master_Data!B765</f>
        <v>40578</v>
      </c>
      <c r="C765">
        <f>Master_Data!C765</f>
        <v>1</v>
      </c>
      <c r="D765">
        <f>Master_Data!D765</f>
        <v>0</v>
      </c>
      <c r="E765">
        <f>Master_Data!E765</f>
        <v>2</v>
      </c>
      <c r="F765">
        <f>Master_Data!F765</f>
        <v>15</v>
      </c>
      <c r="G765" t="b">
        <f>Master_Data!G765</f>
        <v>0</v>
      </c>
      <c r="H765">
        <f>Master_Data!H765</f>
        <v>5</v>
      </c>
      <c r="I765">
        <f>Master_Data!I765</f>
        <v>2</v>
      </c>
      <c r="J765">
        <f>Master_Data!J765</f>
        <v>0.28000000000000003</v>
      </c>
      <c r="K765">
        <f>Master_Data!K765</f>
        <v>0.2727</v>
      </c>
      <c r="L765">
        <f>Master_Data!L765</f>
        <v>0.48</v>
      </c>
      <c r="M765">
        <f>Master_Data!M765</f>
        <v>0.25369999999999998</v>
      </c>
      <c r="N765">
        <f>Master_Data!N765</f>
        <v>9</v>
      </c>
      <c r="O765">
        <f>Master_Data!O765</f>
        <v>81</v>
      </c>
      <c r="P765">
        <f>Master_Data!P765</f>
        <v>90</v>
      </c>
      <c r="Q765" t="str">
        <f t="shared" si="66"/>
        <v>2011</v>
      </c>
      <c r="R765" t="str">
        <f t="shared" si="67"/>
        <v>February</v>
      </c>
      <c r="S765" t="str">
        <f t="shared" si="68"/>
        <v>Weekday</v>
      </c>
      <c r="T765" t="str">
        <f t="shared" si="69"/>
        <v>Afternoon</v>
      </c>
      <c r="U765" t="str">
        <f t="shared" si="70"/>
        <v>Spring</v>
      </c>
      <c r="V765" t="str">
        <f t="shared" si="71"/>
        <v>Mist/Cloudy</v>
      </c>
    </row>
    <row r="766" spans="1:22">
      <c r="A766">
        <f>Master_Data!A766</f>
        <v>774</v>
      </c>
      <c r="B766">
        <f>Master_Data!B766</f>
        <v>40578</v>
      </c>
      <c r="C766">
        <f>Master_Data!C766</f>
        <v>1</v>
      </c>
      <c r="D766">
        <f>Master_Data!D766</f>
        <v>0</v>
      </c>
      <c r="E766">
        <f>Master_Data!E766</f>
        <v>2</v>
      </c>
      <c r="F766">
        <f>Master_Data!F766</f>
        <v>16</v>
      </c>
      <c r="G766" t="b">
        <f>Master_Data!G766</f>
        <v>0</v>
      </c>
      <c r="H766">
        <f>Master_Data!H766</f>
        <v>5</v>
      </c>
      <c r="I766">
        <f>Master_Data!I766</f>
        <v>2</v>
      </c>
      <c r="J766">
        <f>Master_Data!J766</f>
        <v>0.3</v>
      </c>
      <c r="K766">
        <f>Master_Data!K766</f>
        <v>0.28789999999999999</v>
      </c>
      <c r="L766">
        <f>Master_Data!L766</f>
        <v>0.42</v>
      </c>
      <c r="M766">
        <f>Master_Data!M766</f>
        <v>0.22389999999999999</v>
      </c>
      <c r="N766">
        <f>Master_Data!N766</f>
        <v>8</v>
      </c>
      <c r="O766">
        <f>Master_Data!O766</f>
        <v>91</v>
      </c>
      <c r="P766">
        <f>Master_Data!P766</f>
        <v>99</v>
      </c>
      <c r="Q766" t="str">
        <f t="shared" si="66"/>
        <v>2011</v>
      </c>
      <c r="R766" t="str">
        <f t="shared" si="67"/>
        <v>February</v>
      </c>
      <c r="S766" t="str">
        <f t="shared" si="68"/>
        <v>Weekday</v>
      </c>
      <c r="T766" t="str">
        <f t="shared" si="69"/>
        <v>Afternoon</v>
      </c>
      <c r="U766" t="str">
        <f t="shared" si="70"/>
        <v>Spring</v>
      </c>
      <c r="V766" t="str">
        <f t="shared" si="71"/>
        <v>Mist/Cloudy</v>
      </c>
    </row>
    <row r="767" spans="1:22">
      <c r="A767">
        <f>Master_Data!A767</f>
        <v>775</v>
      </c>
      <c r="B767">
        <f>Master_Data!B767</f>
        <v>40578</v>
      </c>
      <c r="C767">
        <f>Master_Data!C767</f>
        <v>1</v>
      </c>
      <c r="D767">
        <f>Master_Data!D767</f>
        <v>0</v>
      </c>
      <c r="E767">
        <f>Master_Data!E767</f>
        <v>2</v>
      </c>
      <c r="F767">
        <f>Master_Data!F767</f>
        <v>17</v>
      </c>
      <c r="G767" t="b">
        <f>Master_Data!G767</f>
        <v>0</v>
      </c>
      <c r="H767">
        <f>Master_Data!H767</f>
        <v>5</v>
      </c>
      <c r="I767">
        <f>Master_Data!I767</f>
        <v>2</v>
      </c>
      <c r="J767">
        <f>Master_Data!J767</f>
        <v>0.26</v>
      </c>
      <c r="K767">
        <f>Master_Data!K767</f>
        <v>0.2727</v>
      </c>
      <c r="L767">
        <f>Master_Data!L767</f>
        <v>0.56000000000000005</v>
      </c>
      <c r="M767">
        <f>Master_Data!M767</f>
        <v>0.1343</v>
      </c>
      <c r="N767">
        <f>Master_Data!N767</f>
        <v>10</v>
      </c>
      <c r="O767">
        <f>Master_Data!O767</f>
        <v>195</v>
      </c>
      <c r="P767">
        <f>Master_Data!P767</f>
        <v>205</v>
      </c>
      <c r="Q767" t="str">
        <f t="shared" si="66"/>
        <v>2011</v>
      </c>
      <c r="R767" t="str">
        <f t="shared" si="67"/>
        <v>February</v>
      </c>
      <c r="S767" t="str">
        <f t="shared" si="68"/>
        <v>Weekday</v>
      </c>
      <c r="T767" t="str">
        <f t="shared" si="69"/>
        <v>Evening</v>
      </c>
      <c r="U767" t="str">
        <f t="shared" si="70"/>
        <v>Spring</v>
      </c>
      <c r="V767" t="str">
        <f t="shared" si="71"/>
        <v>Mist/Cloudy</v>
      </c>
    </row>
    <row r="768" spans="1:22">
      <c r="A768">
        <f>Master_Data!A768</f>
        <v>776</v>
      </c>
      <c r="B768">
        <f>Master_Data!B768</f>
        <v>40578</v>
      </c>
      <c r="C768">
        <f>Master_Data!C768</f>
        <v>1</v>
      </c>
      <c r="D768">
        <f>Master_Data!D768</f>
        <v>0</v>
      </c>
      <c r="E768">
        <f>Master_Data!E768</f>
        <v>2</v>
      </c>
      <c r="F768">
        <f>Master_Data!F768</f>
        <v>18</v>
      </c>
      <c r="G768" t="b">
        <f>Master_Data!G768</f>
        <v>0</v>
      </c>
      <c r="H768">
        <f>Master_Data!H768</f>
        <v>5</v>
      </c>
      <c r="I768">
        <f>Master_Data!I768</f>
        <v>2</v>
      </c>
      <c r="J768">
        <f>Master_Data!J768</f>
        <v>0.24</v>
      </c>
      <c r="K768">
        <f>Master_Data!K768</f>
        <v>0.2576</v>
      </c>
      <c r="L768">
        <f>Master_Data!L768</f>
        <v>0.6</v>
      </c>
      <c r="M768">
        <f>Master_Data!M768</f>
        <v>0.1045</v>
      </c>
      <c r="N768">
        <f>Master_Data!N768</f>
        <v>3</v>
      </c>
      <c r="O768">
        <f>Master_Data!O768</f>
        <v>152</v>
      </c>
      <c r="P768">
        <f>Master_Data!P768</f>
        <v>155</v>
      </c>
      <c r="Q768" t="str">
        <f t="shared" si="66"/>
        <v>2011</v>
      </c>
      <c r="R768" t="str">
        <f t="shared" si="67"/>
        <v>February</v>
      </c>
      <c r="S768" t="str">
        <f t="shared" si="68"/>
        <v>Weekday</v>
      </c>
      <c r="T768" t="str">
        <f t="shared" si="69"/>
        <v>Evening</v>
      </c>
      <c r="U768" t="str">
        <f t="shared" si="70"/>
        <v>Spring</v>
      </c>
      <c r="V768" t="str">
        <f t="shared" si="71"/>
        <v>Mist/Cloudy</v>
      </c>
    </row>
    <row r="769" spans="1:22">
      <c r="A769">
        <f>Master_Data!A769</f>
        <v>777</v>
      </c>
      <c r="B769">
        <f>Master_Data!B769</f>
        <v>40578</v>
      </c>
      <c r="C769">
        <f>Master_Data!C769</f>
        <v>1</v>
      </c>
      <c r="D769">
        <f>Master_Data!D769</f>
        <v>0</v>
      </c>
      <c r="E769">
        <f>Master_Data!E769</f>
        <v>2</v>
      </c>
      <c r="F769">
        <f>Master_Data!F769</f>
        <v>19</v>
      </c>
      <c r="G769" t="b">
        <f>Master_Data!G769</f>
        <v>0</v>
      </c>
      <c r="H769">
        <f>Master_Data!H769</f>
        <v>5</v>
      </c>
      <c r="I769">
        <f>Master_Data!I769</f>
        <v>2</v>
      </c>
      <c r="J769">
        <f>Master_Data!J769</f>
        <v>0.24</v>
      </c>
      <c r="K769">
        <f>Master_Data!K769</f>
        <v>0.2424</v>
      </c>
      <c r="L769">
        <f>Master_Data!L769</f>
        <v>0.65</v>
      </c>
      <c r="M769">
        <f>Master_Data!M769</f>
        <v>0.1343</v>
      </c>
      <c r="N769">
        <f>Master_Data!N769</f>
        <v>1</v>
      </c>
      <c r="O769">
        <f>Master_Data!O769</f>
        <v>102</v>
      </c>
      <c r="P769">
        <f>Master_Data!P769</f>
        <v>103</v>
      </c>
      <c r="Q769" t="str">
        <f t="shared" si="66"/>
        <v>2011</v>
      </c>
      <c r="R769" t="str">
        <f t="shared" si="67"/>
        <v>February</v>
      </c>
      <c r="S769" t="str">
        <f t="shared" si="68"/>
        <v>Weekday</v>
      </c>
      <c r="T769" t="str">
        <f t="shared" si="69"/>
        <v>Evening</v>
      </c>
      <c r="U769" t="str">
        <f t="shared" si="70"/>
        <v>Spring</v>
      </c>
      <c r="V769" t="str">
        <f t="shared" si="71"/>
        <v>Mist/Cloudy</v>
      </c>
    </row>
    <row r="770" spans="1:22">
      <c r="A770">
        <f>Master_Data!A770</f>
        <v>778</v>
      </c>
      <c r="B770">
        <f>Master_Data!B770</f>
        <v>40578</v>
      </c>
      <c r="C770">
        <f>Master_Data!C770</f>
        <v>1</v>
      </c>
      <c r="D770">
        <f>Master_Data!D770</f>
        <v>0</v>
      </c>
      <c r="E770">
        <f>Master_Data!E770</f>
        <v>2</v>
      </c>
      <c r="F770">
        <f>Master_Data!F770</f>
        <v>20</v>
      </c>
      <c r="G770" t="b">
        <f>Master_Data!G770</f>
        <v>0</v>
      </c>
      <c r="H770">
        <f>Master_Data!H770</f>
        <v>5</v>
      </c>
      <c r="I770">
        <f>Master_Data!I770</f>
        <v>2</v>
      </c>
      <c r="J770">
        <f>Master_Data!J770</f>
        <v>0.24</v>
      </c>
      <c r="K770">
        <f>Master_Data!K770</f>
        <v>0.2424</v>
      </c>
      <c r="L770">
        <f>Master_Data!L770</f>
        <v>0.65</v>
      </c>
      <c r="M770">
        <f>Master_Data!M770</f>
        <v>0.16420000000000001</v>
      </c>
      <c r="N770">
        <f>Master_Data!N770</f>
        <v>2</v>
      </c>
      <c r="O770">
        <f>Master_Data!O770</f>
        <v>69</v>
      </c>
      <c r="P770">
        <f>Master_Data!P770</f>
        <v>71</v>
      </c>
      <c r="Q770" t="str">
        <f t="shared" ref="Q770:Q833" si="72">IF(D770=0,"2011","2012")</f>
        <v>2011</v>
      </c>
      <c r="R770" t="str">
        <f t="shared" ref="R770:R833" si="73">TEXT(B770,"mmmm")</f>
        <v>February</v>
      </c>
      <c r="S770" t="str">
        <f t="shared" ref="S770:S833" si="74">IF(G770=TRUE,"Holiday",IF(H770=0,"Sunday",IF(H770=6,"Saturday","Weekday")))</f>
        <v>Weekday</v>
      </c>
      <c r="T770" t="str">
        <f t="shared" ref="T770:T833" si="75">IF(F770&lt;6,"Night",IF(F770&lt;12,"Morning",IF(F770&lt;17,"Afternoon",IF(F770&lt;21,"Evening","Night"))))</f>
        <v>Evening</v>
      </c>
      <c r="U770" t="str">
        <f t="shared" ref="U770:U833" si="76">CHOOSE(C770,"Spring","Summer","Fall","Winter")</f>
        <v>Spring</v>
      </c>
      <c r="V770" t="str">
        <f t="shared" ref="V770:V833" si="77">CHOOSE(I770,"Clear","Mist/Cloudy","Light Rain/Snow","Heavy Rain/Snow")</f>
        <v>Mist/Cloudy</v>
      </c>
    </row>
    <row r="771" spans="1:22">
      <c r="A771">
        <f>Master_Data!A771</f>
        <v>779</v>
      </c>
      <c r="B771">
        <f>Master_Data!B771</f>
        <v>40578</v>
      </c>
      <c r="C771">
        <f>Master_Data!C771</f>
        <v>1</v>
      </c>
      <c r="D771">
        <f>Master_Data!D771</f>
        <v>0</v>
      </c>
      <c r="E771">
        <f>Master_Data!E771</f>
        <v>2</v>
      </c>
      <c r="F771">
        <f>Master_Data!F771</f>
        <v>21</v>
      </c>
      <c r="G771" t="b">
        <f>Master_Data!G771</f>
        <v>0</v>
      </c>
      <c r="H771">
        <f>Master_Data!H771</f>
        <v>5</v>
      </c>
      <c r="I771">
        <f>Master_Data!I771</f>
        <v>2</v>
      </c>
      <c r="J771">
        <f>Master_Data!J771</f>
        <v>0.24</v>
      </c>
      <c r="K771">
        <f>Master_Data!K771</f>
        <v>0.2424</v>
      </c>
      <c r="L771">
        <f>Master_Data!L771</f>
        <v>0.7</v>
      </c>
      <c r="M771">
        <f>Master_Data!M771</f>
        <v>0.16420000000000001</v>
      </c>
      <c r="N771">
        <f>Master_Data!N771</f>
        <v>2</v>
      </c>
      <c r="O771">
        <f>Master_Data!O771</f>
        <v>41</v>
      </c>
      <c r="P771">
        <f>Master_Data!P771</f>
        <v>43</v>
      </c>
      <c r="Q771" t="str">
        <f t="shared" si="72"/>
        <v>2011</v>
      </c>
      <c r="R771" t="str">
        <f t="shared" si="73"/>
        <v>February</v>
      </c>
      <c r="S771" t="str">
        <f t="shared" si="74"/>
        <v>Weekday</v>
      </c>
      <c r="T771" t="str">
        <f t="shared" si="75"/>
        <v>Night</v>
      </c>
      <c r="U771" t="str">
        <f t="shared" si="76"/>
        <v>Spring</v>
      </c>
      <c r="V771" t="str">
        <f t="shared" si="77"/>
        <v>Mist/Cloudy</v>
      </c>
    </row>
    <row r="772" spans="1:22">
      <c r="A772">
        <f>Master_Data!A772</f>
        <v>780</v>
      </c>
      <c r="B772">
        <f>Master_Data!B772</f>
        <v>40578</v>
      </c>
      <c r="C772">
        <f>Master_Data!C772</f>
        <v>1</v>
      </c>
      <c r="D772">
        <f>Master_Data!D772</f>
        <v>0</v>
      </c>
      <c r="E772">
        <f>Master_Data!E772</f>
        <v>2</v>
      </c>
      <c r="F772">
        <f>Master_Data!F772</f>
        <v>22</v>
      </c>
      <c r="G772" t="b">
        <f>Master_Data!G772</f>
        <v>0</v>
      </c>
      <c r="H772">
        <f>Master_Data!H772</f>
        <v>5</v>
      </c>
      <c r="I772">
        <f>Master_Data!I772</f>
        <v>2</v>
      </c>
      <c r="J772">
        <f>Master_Data!J772</f>
        <v>0.24</v>
      </c>
      <c r="K772">
        <f>Master_Data!K772</f>
        <v>0.2424</v>
      </c>
      <c r="L772">
        <f>Master_Data!L772</f>
        <v>0.65</v>
      </c>
      <c r="M772">
        <f>Master_Data!M772</f>
        <v>0.16420000000000001</v>
      </c>
      <c r="N772">
        <f>Master_Data!N772</f>
        <v>1</v>
      </c>
      <c r="O772">
        <f>Master_Data!O772</f>
        <v>45</v>
      </c>
      <c r="P772">
        <f>Master_Data!P772</f>
        <v>46</v>
      </c>
      <c r="Q772" t="str">
        <f t="shared" si="72"/>
        <v>2011</v>
      </c>
      <c r="R772" t="str">
        <f t="shared" si="73"/>
        <v>February</v>
      </c>
      <c r="S772" t="str">
        <f t="shared" si="74"/>
        <v>Weekday</v>
      </c>
      <c r="T772" t="str">
        <f t="shared" si="75"/>
        <v>Night</v>
      </c>
      <c r="U772" t="str">
        <f t="shared" si="76"/>
        <v>Spring</v>
      </c>
      <c r="V772" t="str">
        <f t="shared" si="77"/>
        <v>Mist/Cloudy</v>
      </c>
    </row>
    <row r="773" spans="1:22">
      <c r="A773">
        <f>Master_Data!A773</f>
        <v>781</v>
      </c>
      <c r="B773">
        <f>Master_Data!B773</f>
        <v>40578</v>
      </c>
      <c r="C773">
        <f>Master_Data!C773</f>
        <v>1</v>
      </c>
      <c r="D773">
        <f>Master_Data!D773</f>
        <v>0</v>
      </c>
      <c r="E773">
        <f>Master_Data!E773</f>
        <v>2</v>
      </c>
      <c r="F773">
        <f>Master_Data!F773</f>
        <v>23</v>
      </c>
      <c r="G773" t="b">
        <f>Master_Data!G773</f>
        <v>0</v>
      </c>
      <c r="H773">
        <f>Master_Data!H773</f>
        <v>5</v>
      </c>
      <c r="I773">
        <f>Master_Data!I773</f>
        <v>2</v>
      </c>
      <c r="J773">
        <f>Master_Data!J773</f>
        <v>0.24</v>
      </c>
      <c r="K773">
        <f>Master_Data!K773</f>
        <v>0.2424</v>
      </c>
      <c r="L773">
        <f>Master_Data!L773</f>
        <v>0.7</v>
      </c>
      <c r="M773">
        <f>Master_Data!M773</f>
        <v>0.1343</v>
      </c>
      <c r="N773">
        <f>Master_Data!N773</f>
        <v>1</v>
      </c>
      <c r="O773">
        <f>Master_Data!O773</f>
        <v>30</v>
      </c>
      <c r="P773">
        <f>Master_Data!P773</f>
        <v>31</v>
      </c>
      <c r="Q773" t="str">
        <f t="shared" si="72"/>
        <v>2011</v>
      </c>
      <c r="R773" t="str">
        <f t="shared" si="73"/>
        <v>February</v>
      </c>
      <c r="S773" t="str">
        <f t="shared" si="74"/>
        <v>Weekday</v>
      </c>
      <c r="T773" t="str">
        <f t="shared" si="75"/>
        <v>Night</v>
      </c>
      <c r="U773" t="str">
        <f t="shared" si="76"/>
        <v>Spring</v>
      </c>
      <c r="V773" t="str">
        <f t="shared" si="77"/>
        <v>Mist/Cloudy</v>
      </c>
    </row>
    <row r="774" spans="1:22">
      <c r="A774">
        <f>Master_Data!A774</f>
        <v>782</v>
      </c>
      <c r="B774">
        <f>Master_Data!B774</f>
        <v>40579</v>
      </c>
      <c r="C774">
        <f>Master_Data!C774</f>
        <v>1</v>
      </c>
      <c r="D774">
        <f>Master_Data!D774</f>
        <v>0</v>
      </c>
      <c r="E774">
        <f>Master_Data!E774</f>
        <v>2</v>
      </c>
      <c r="F774">
        <f>Master_Data!F774</f>
        <v>0</v>
      </c>
      <c r="G774" t="b">
        <f>Master_Data!G774</f>
        <v>0</v>
      </c>
      <c r="H774">
        <f>Master_Data!H774</f>
        <v>6</v>
      </c>
      <c r="I774">
        <f>Master_Data!I774</f>
        <v>2</v>
      </c>
      <c r="J774">
        <f>Master_Data!J774</f>
        <v>0.24</v>
      </c>
      <c r="K774">
        <f>Master_Data!K774</f>
        <v>0.2424</v>
      </c>
      <c r="L774">
        <f>Master_Data!L774</f>
        <v>0.7</v>
      </c>
      <c r="M774">
        <f>Master_Data!M774</f>
        <v>0.16420000000000001</v>
      </c>
      <c r="N774">
        <f>Master_Data!N774</f>
        <v>3</v>
      </c>
      <c r="O774">
        <f>Master_Data!O774</f>
        <v>36</v>
      </c>
      <c r="P774">
        <f>Master_Data!P774</f>
        <v>39</v>
      </c>
      <c r="Q774" t="str">
        <f t="shared" si="72"/>
        <v>2011</v>
      </c>
      <c r="R774" t="str">
        <f t="shared" si="73"/>
        <v>February</v>
      </c>
      <c r="S774" t="str">
        <f t="shared" si="74"/>
        <v>Saturday</v>
      </c>
      <c r="T774" t="str">
        <f t="shared" si="75"/>
        <v>Night</v>
      </c>
      <c r="U774" t="str">
        <f t="shared" si="76"/>
        <v>Spring</v>
      </c>
      <c r="V774" t="str">
        <f t="shared" si="77"/>
        <v>Mist/Cloudy</v>
      </c>
    </row>
    <row r="775" spans="1:22">
      <c r="A775">
        <f>Master_Data!A775</f>
        <v>783</v>
      </c>
      <c r="B775">
        <f>Master_Data!B775</f>
        <v>40579</v>
      </c>
      <c r="C775">
        <f>Master_Data!C775</f>
        <v>1</v>
      </c>
      <c r="D775">
        <f>Master_Data!D775</f>
        <v>0</v>
      </c>
      <c r="E775">
        <f>Master_Data!E775</f>
        <v>2</v>
      </c>
      <c r="F775">
        <f>Master_Data!F775</f>
        <v>1</v>
      </c>
      <c r="G775" t="b">
        <f>Master_Data!G775</f>
        <v>0</v>
      </c>
      <c r="H775">
        <f>Master_Data!H775</f>
        <v>6</v>
      </c>
      <c r="I775">
        <f>Master_Data!I775</f>
        <v>2</v>
      </c>
      <c r="J775">
        <f>Master_Data!J775</f>
        <v>0.24</v>
      </c>
      <c r="K775">
        <f>Master_Data!K775</f>
        <v>0.2424</v>
      </c>
      <c r="L775">
        <f>Master_Data!L775</f>
        <v>0.65</v>
      </c>
      <c r="M775">
        <f>Master_Data!M775</f>
        <v>0.16420000000000001</v>
      </c>
      <c r="N775">
        <f>Master_Data!N775</f>
        <v>1</v>
      </c>
      <c r="O775">
        <f>Master_Data!O775</f>
        <v>17</v>
      </c>
      <c r="P775">
        <f>Master_Data!P775</f>
        <v>18</v>
      </c>
      <c r="Q775" t="str">
        <f t="shared" si="72"/>
        <v>2011</v>
      </c>
      <c r="R775" t="str">
        <f t="shared" si="73"/>
        <v>February</v>
      </c>
      <c r="S775" t="str">
        <f t="shared" si="74"/>
        <v>Saturday</v>
      </c>
      <c r="T775" t="str">
        <f t="shared" si="75"/>
        <v>Night</v>
      </c>
      <c r="U775" t="str">
        <f t="shared" si="76"/>
        <v>Spring</v>
      </c>
      <c r="V775" t="str">
        <f t="shared" si="77"/>
        <v>Mist/Cloudy</v>
      </c>
    </row>
    <row r="776" spans="1:22">
      <c r="A776">
        <f>Master_Data!A776</f>
        <v>784</v>
      </c>
      <c r="B776">
        <f>Master_Data!B776</f>
        <v>40579</v>
      </c>
      <c r="C776">
        <f>Master_Data!C776</f>
        <v>1</v>
      </c>
      <c r="D776">
        <f>Master_Data!D776</f>
        <v>0</v>
      </c>
      <c r="E776">
        <f>Master_Data!E776</f>
        <v>2</v>
      </c>
      <c r="F776">
        <f>Master_Data!F776</f>
        <v>2</v>
      </c>
      <c r="G776" t="b">
        <f>Master_Data!G776</f>
        <v>0</v>
      </c>
      <c r="H776">
        <f>Master_Data!H776</f>
        <v>6</v>
      </c>
      <c r="I776">
        <f>Master_Data!I776</f>
        <v>2</v>
      </c>
      <c r="J776">
        <f>Master_Data!J776</f>
        <v>0.24</v>
      </c>
      <c r="K776">
        <f>Master_Data!K776</f>
        <v>0.2424</v>
      </c>
      <c r="L776">
        <f>Master_Data!L776</f>
        <v>0.75</v>
      </c>
      <c r="M776">
        <f>Master_Data!M776</f>
        <v>0.16420000000000001</v>
      </c>
      <c r="N776">
        <f>Master_Data!N776</f>
        <v>5</v>
      </c>
      <c r="O776">
        <f>Master_Data!O776</f>
        <v>12</v>
      </c>
      <c r="P776">
        <f>Master_Data!P776</f>
        <v>17</v>
      </c>
      <c r="Q776" t="str">
        <f t="shared" si="72"/>
        <v>2011</v>
      </c>
      <c r="R776" t="str">
        <f t="shared" si="73"/>
        <v>February</v>
      </c>
      <c r="S776" t="str">
        <f t="shared" si="74"/>
        <v>Saturday</v>
      </c>
      <c r="T776" t="str">
        <f t="shared" si="75"/>
        <v>Night</v>
      </c>
      <c r="U776" t="str">
        <f t="shared" si="76"/>
        <v>Spring</v>
      </c>
      <c r="V776" t="str">
        <f t="shared" si="77"/>
        <v>Mist/Cloudy</v>
      </c>
    </row>
    <row r="777" spans="1:22">
      <c r="A777">
        <f>Master_Data!A777</f>
        <v>785</v>
      </c>
      <c r="B777">
        <f>Master_Data!B777</f>
        <v>40579</v>
      </c>
      <c r="C777">
        <f>Master_Data!C777</f>
        <v>1</v>
      </c>
      <c r="D777">
        <f>Master_Data!D777</f>
        <v>0</v>
      </c>
      <c r="E777">
        <f>Master_Data!E777</f>
        <v>2</v>
      </c>
      <c r="F777">
        <f>Master_Data!F777</f>
        <v>3</v>
      </c>
      <c r="G777" t="b">
        <f>Master_Data!G777</f>
        <v>0</v>
      </c>
      <c r="H777">
        <f>Master_Data!H777</f>
        <v>6</v>
      </c>
      <c r="I777">
        <f>Master_Data!I777</f>
        <v>2</v>
      </c>
      <c r="J777">
        <f>Master_Data!J777</f>
        <v>0.24</v>
      </c>
      <c r="K777">
        <f>Master_Data!K777</f>
        <v>0.2424</v>
      </c>
      <c r="L777">
        <f>Master_Data!L777</f>
        <v>0.75</v>
      </c>
      <c r="M777">
        <f>Master_Data!M777</f>
        <v>0.16420000000000001</v>
      </c>
      <c r="N777">
        <f>Master_Data!N777</f>
        <v>1</v>
      </c>
      <c r="O777">
        <f>Master_Data!O777</f>
        <v>10</v>
      </c>
      <c r="P777">
        <f>Master_Data!P777</f>
        <v>11</v>
      </c>
      <c r="Q777" t="str">
        <f t="shared" si="72"/>
        <v>2011</v>
      </c>
      <c r="R777" t="str">
        <f t="shared" si="73"/>
        <v>February</v>
      </c>
      <c r="S777" t="str">
        <f t="shared" si="74"/>
        <v>Saturday</v>
      </c>
      <c r="T777" t="str">
        <f t="shared" si="75"/>
        <v>Night</v>
      </c>
      <c r="U777" t="str">
        <f t="shared" si="76"/>
        <v>Spring</v>
      </c>
      <c r="V777" t="str">
        <f t="shared" si="77"/>
        <v>Mist/Cloudy</v>
      </c>
    </row>
    <row r="778" spans="1:22">
      <c r="A778">
        <f>Master_Data!A778</f>
        <v>786</v>
      </c>
      <c r="B778">
        <f>Master_Data!B778</f>
        <v>40579</v>
      </c>
      <c r="C778">
        <f>Master_Data!C778</f>
        <v>1</v>
      </c>
      <c r="D778">
        <f>Master_Data!D778</f>
        <v>0</v>
      </c>
      <c r="E778">
        <f>Master_Data!E778</f>
        <v>2</v>
      </c>
      <c r="F778">
        <f>Master_Data!F778</f>
        <v>4</v>
      </c>
      <c r="G778" t="b">
        <f>Master_Data!G778</f>
        <v>0</v>
      </c>
      <c r="H778">
        <f>Master_Data!H778</f>
        <v>6</v>
      </c>
      <c r="I778">
        <f>Master_Data!I778</f>
        <v>3</v>
      </c>
      <c r="J778">
        <f>Master_Data!J778</f>
        <v>0.22</v>
      </c>
      <c r="K778">
        <f>Master_Data!K778</f>
        <v>0.2273</v>
      </c>
      <c r="L778">
        <f>Master_Data!L778</f>
        <v>0.93</v>
      </c>
      <c r="M778">
        <f>Master_Data!M778</f>
        <v>0.1343</v>
      </c>
      <c r="N778">
        <f>Master_Data!N778</f>
        <v>0</v>
      </c>
      <c r="O778">
        <f>Master_Data!O778</f>
        <v>8</v>
      </c>
      <c r="P778">
        <f>Master_Data!P778</f>
        <v>8</v>
      </c>
      <c r="Q778" t="str">
        <f t="shared" si="72"/>
        <v>2011</v>
      </c>
      <c r="R778" t="str">
        <f t="shared" si="73"/>
        <v>February</v>
      </c>
      <c r="S778" t="str">
        <f t="shared" si="74"/>
        <v>Saturday</v>
      </c>
      <c r="T778" t="str">
        <f t="shared" si="75"/>
        <v>Night</v>
      </c>
      <c r="U778" t="str">
        <f t="shared" si="76"/>
        <v>Spring</v>
      </c>
      <c r="V778" t="str">
        <f t="shared" si="77"/>
        <v>Light Rain/Snow</v>
      </c>
    </row>
    <row r="779" spans="1:22">
      <c r="A779">
        <f>Master_Data!A779</f>
        <v>787</v>
      </c>
      <c r="B779">
        <f>Master_Data!B779</f>
        <v>40579</v>
      </c>
      <c r="C779">
        <f>Master_Data!C779</f>
        <v>1</v>
      </c>
      <c r="D779">
        <f>Master_Data!D779</f>
        <v>0</v>
      </c>
      <c r="E779">
        <f>Master_Data!E779</f>
        <v>2</v>
      </c>
      <c r="F779">
        <f>Master_Data!F779</f>
        <v>5</v>
      </c>
      <c r="G779" t="b">
        <f>Master_Data!G779</f>
        <v>0</v>
      </c>
      <c r="H779">
        <f>Master_Data!H779</f>
        <v>6</v>
      </c>
      <c r="I779">
        <f>Master_Data!I779</f>
        <v>3</v>
      </c>
      <c r="J779">
        <f>Master_Data!J779</f>
        <v>0.2</v>
      </c>
      <c r="K779">
        <f>Master_Data!K779</f>
        <v>0.2273</v>
      </c>
      <c r="L779">
        <f>Master_Data!L779</f>
        <v>1</v>
      </c>
      <c r="M779">
        <f>Master_Data!M779</f>
        <v>8.9599999999999999E-2</v>
      </c>
      <c r="N779">
        <f>Master_Data!N779</f>
        <v>0</v>
      </c>
      <c r="O779">
        <f>Master_Data!O779</f>
        <v>9</v>
      </c>
      <c r="P779">
        <f>Master_Data!P779</f>
        <v>9</v>
      </c>
      <c r="Q779" t="str">
        <f t="shared" si="72"/>
        <v>2011</v>
      </c>
      <c r="R779" t="str">
        <f t="shared" si="73"/>
        <v>February</v>
      </c>
      <c r="S779" t="str">
        <f t="shared" si="74"/>
        <v>Saturday</v>
      </c>
      <c r="T779" t="str">
        <f t="shared" si="75"/>
        <v>Night</v>
      </c>
      <c r="U779" t="str">
        <f t="shared" si="76"/>
        <v>Spring</v>
      </c>
      <c r="V779" t="str">
        <f t="shared" si="77"/>
        <v>Light Rain/Snow</v>
      </c>
    </row>
    <row r="780" spans="1:22">
      <c r="A780">
        <f>Master_Data!A780</f>
        <v>788</v>
      </c>
      <c r="B780">
        <f>Master_Data!B780</f>
        <v>40579</v>
      </c>
      <c r="C780">
        <f>Master_Data!C780</f>
        <v>1</v>
      </c>
      <c r="D780">
        <f>Master_Data!D780</f>
        <v>0</v>
      </c>
      <c r="E780">
        <f>Master_Data!E780</f>
        <v>2</v>
      </c>
      <c r="F780">
        <f>Master_Data!F780</f>
        <v>6</v>
      </c>
      <c r="G780" t="b">
        <f>Master_Data!G780</f>
        <v>0</v>
      </c>
      <c r="H780">
        <f>Master_Data!H780</f>
        <v>6</v>
      </c>
      <c r="I780">
        <f>Master_Data!I780</f>
        <v>3</v>
      </c>
      <c r="J780">
        <f>Master_Data!J780</f>
        <v>0.2</v>
      </c>
      <c r="K780">
        <f>Master_Data!K780</f>
        <v>0.2576</v>
      </c>
      <c r="L780">
        <f>Master_Data!L780</f>
        <v>1</v>
      </c>
      <c r="M780">
        <f>Master_Data!M780</f>
        <v>0</v>
      </c>
      <c r="N780">
        <f>Master_Data!N780</f>
        <v>0</v>
      </c>
      <c r="O780">
        <f>Master_Data!O780</f>
        <v>4</v>
      </c>
      <c r="P780">
        <f>Master_Data!P780</f>
        <v>4</v>
      </c>
      <c r="Q780" t="str">
        <f t="shared" si="72"/>
        <v>2011</v>
      </c>
      <c r="R780" t="str">
        <f t="shared" si="73"/>
        <v>February</v>
      </c>
      <c r="S780" t="str">
        <f t="shared" si="74"/>
        <v>Saturday</v>
      </c>
      <c r="T780" t="str">
        <f t="shared" si="75"/>
        <v>Morning</v>
      </c>
      <c r="U780" t="str">
        <f t="shared" si="76"/>
        <v>Spring</v>
      </c>
      <c r="V780" t="str">
        <f t="shared" si="77"/>
        <v>Light Rain/Snow</v>
      </c>
    </row>
    <row r="781" spans="1:22">
      <c r="A781">
        <f>Master_Data!A781</f>
        <v>789</v>
      </c>
      <c r="B781">
        <f>Master_Data!B781</f>
        <v>40579</v>
      </c>
      <c r="C781">
        <f>Master_Data!C781</f>
        <v>1</v>
      </c>
      <c r="D781">
        <f>Master_Data!D781</f>
        <v>0</v>
      </c>
      <c r="E781">
        <f>Master_Data!E781</f>
        <v>2</v>
      </c>
      <c r="F781">
        <f>Master_Data!F781</f>
        <v>7</v>
      </c>
      <c r="G781" t="b">
        <f>Master_Data!G781</f>
        <v>0</v>
      </c>
      <c r="H781">
        <f>Master_Data!H781</f>
        <v>6</v>
      </c>
      <c r="I781">
        <f>Master_Data!I781</f>
        <v>3</v>
      </c>
      <c r="J781">
        <f>Master_Data!J781</f>
        <v>0.22</v>
      </c>
      <c r="K781">
        <f>Master_Data!K781</f>
        <v>0.2576</v>
      </c>
      <c r="L781">
        <f>Master_Data!L781</f>
        <v>0.93</v>
      </c>
      <c r="M781">
        <f>Master_Data!M781</f>
        <v>8.9599999999999999E-2</v>
      </c>
      <c r="N781">
        <f>Master_Data!N781</f>
        <v>0</v>
      </c>
      <c r="O781">
        <f>Master_Data!O781</f>
        <v>4</v>
      </c>
      <c r="P781">
        <f>Master_Data!P781</f>
        <v>4</v>
      </c>
      <c r="Q781" t="str">
        <f t="shared" si="72"/>
        <v>2011</v>
      </c>
      <c r="R781" t="str">
        <f t="shared" si="73"/>
        <v>February</v>
      </c>
      <c r="S781" t="str">
        <f t="shared" si="74"/>
        <v>Saturday</v>
      </c>
      <c r="T781" t="str">
        <f t="shared" si="75"/>
        <v>Morning</v>
      </c>
      <c r="U781" t="str">
        <f t="shared" si="76"/>
        <v>Spring</v>
      </c>
      <c r="V781" t="str">
        <f t="shared" si="77"/>
        <v>Light Rain/Snow</v>
      </c>
    </row>
    <row r="782" spans="1:22">
      <c r="A782">
        <f>Master_Data!A782</f>
        <v>790</v>
      </c>
      <c r="B782">
        <f>Master_Data!B782</f>
        <v>40579</v>
      </c>
      <c r="C782">
        <f>Master_Data!C782</f>
        <v>1</v>
      </c>
      <c r="D782">
        <f>Master_Data!D782</f>
        <v>0</v>
      </c>
      <c r="E782">
        <f>Master_Data!E782</f>
        <v>2</v>
      </c>
      <c r="F782">
        <f>Master_Data!F782</f>
        <v>8</v>
      </c>
      <c r="G782" t="b">
        <f>Master_Data!G782</f>
        <v>0</v>
      </c>
      <c r="H782">
        <f>Master_Data!H782</f>
        <v>6</v>
      </c>
      <c r="I782">
        <f>Master_Data!I782</f>
        <v>3</v>
      </c>
      <c r="J782">
        <f>Master_Data!J782</f>
        <v>0.2</v>
      </c>
      <c r="K782">
        <f>Master_Data!K782</f>
        <v>0.2273</v>
      </c>
      <c r="L782">
        <f>Master_Data!L782</f>
        <v>1</v>
      </c>
      <c r="M782">
        <f>Master_Data!M782</f>
        <v>8.9599999999999999E-2</v>
      </c>
      <c r="N782">
        <f>Master_Data!N782</f>
        <v>0</v>
      </c>
      <c r="O782">
        <f>Master_Data!O782</f>
        <v>10</v>
      </c>
      <c r="P782">
        <f>Master_Data!P782</f>
        <v>10</v>
      </c>
      <c r="Q782" t="str">
        <f t="shared" si="72"/>
        <v>2011</v>
      </c>
      <c r="R782" t="str">
        <f t="shared" si="73"/>
        <v>February</v>
      </c>
      <c r="S782" t="str">
        <f t="shared" si="74"/>
        <v>Saturday</v>
      </c>
      <c r="T782" t="str">
        <f t="shared" si="75"/>
        <v>Morning</v>
      </c>
      <c r="U782" t="str">
        <f t="shared" si="76"/>
        <v>Spring</v>
      </c>
      <c r="V782" t="str">
        <f t="shared" si="77"/>
        <v>Light Rain/Snow</v>
      </c>
    </row>
    <row r="783" spans="1:22">
      <c r="A783">
        <f>Master_Data!A783</f>
        <v>791</v>
      </c>
      <c r="B783">
        <f>Master_Data!B783</f>
        <v>40579</v>
      </c>
      <c r="C783">
        <f>Master_Data!C783</f>
        <v>1</v>
      </c>
      <c r="D783">
        <f>Master_Data!D783</f>
        <v>0</v>
      </c>
      <c r="E783">
        <f>Master_Data!E783</f>
        <v>2</v>
      </c>
      <c r="F783">
        <f>Master_Data!F783</f>
        <v>9</v>
      </c>
      <c r="G783" t="b">
        <f>Master_Data!G783</f>
        <v>0</v>
      </c>
      <c r="H783">
        <f>Master_Data!H783</f>
        <v>6</v>
      </c>
      <c r="I783">
        <f>Master_Data!I783</f>
        <v>3</v>
      </c>
      <c r="J783">
        <f>Master_Data!J783</f>
        <v>0.2</v>
      </c>
      <c r="K783">
        <f>Master_Data!K783</f>
        <v>0.2273</v>
      </c>
      <c r="L783">
        <f>Master_Data!L783</f>
        <v>1</v>
      </c>
      <c r="M783">
        <f>Master_Data!M783</f>
        <v>8.9599999999999999E-2</v>
      </c>
      <c r="N783">
        <f>Master_Data!N783</f>
        <v>3</v>
      </c>
      <c r="O783">
        <f>Master_Data!O783</f>
        <v>17</v>
      </c>
      <c r="P783">
        <f>Master_Data!P783</f>
        <v>20</v>
      </c>
      <c r="Q783" t="str">
        <f t="shared" si="72"/>
        <v>2011</v>
      </c>
      <c r="R783" t="str">
        <f t="shared" si="73"/>
        <v>February</v>
      </c>
      <c r="S783" t="str">
        <f t="shared" si="74"/>
        <v>Saturday</v>
      </c>
      <c r="T783" t="str">
        <f t="shared" si="75"/>
        <v>Morning</v>
      </c>
      <c r="U783" t="str">
        <f t="shared" si="76"/>
        <v>Spring</v>
      </c>
      <c r="V783" t="str">
        <f t="shared" si="77"/>
        <v>Light Rain/Snow</v>
      </c>
    </row>
    <row r="784" spans="1:22">
      <c r="A784">
        <f>Master_Data!A784</f>
        <v>792</v>
      </c>
      <c r="B784">
        <f>Master_Data!B784</f>
        <v>40579</v>
      </c>
      <c r="C784">
        <f>Master_Data!C784</f>
        <v>1</v>
      </c>
      <c r="D784">
        <f>Master_Data!D784</f>
        <v>0</v>
      </c>
      <c r="E784">
        <f>Master_Data!E784</f>
        <v>2</v>
      </c>
      <c r="F784">
        <f>Master_Data!F784</f>
        <v>10</v>
      </c>
      <c r="G784" t="b">
        <f>Master_Data!G784</f>
        <v>0</v>
      </c>
      <c r="H784">
        <f>Master_Data!H784</f>
        <v>6</v>
      </c>
      <c r="I784">
        <f>Master_Data!I784</f>
        <v>3</v>
      </c>
      <c r="J784">
        <f>Master_Data!J784</f>
        <v>0.2</v>
      </c>
      <c r="K784">
        <f>Master_Data!K784</f>
        <v>0.21210000000000001</v>
      </c>
      <c r="L784">
        <f>Master_Data!L784</f>
        <v>1</v>
      </c>
      <c r="M784">
        <f>Master_Data!M784</f>
        <v>0.1343</v>
      </c>
      <c r="N784">
        <f>Master_Data!N784</f>
        <v>3</v>
      </c>
      <c r="O784">
        <f>Master_Data!O784</f>
        <v>31</v>
      </c>
      <c r="P784">
        <f>Master_Data!P784</f>
        <v>34</v>
      </c>
      <c r="Q784" t="str">
        <f t="shared" si="72"/>
        <v>2011</v>
      </c>
      <c r="R784" t="str">
        <f t="shared" si="73"/>
        <v>February</v>
      </c>
      <c r="S784" t="str">
        <f t="shared" si="74"/>
        <v>Saturday</v>
      </c>
      <c r="T784" t="str">
        <f t="shared" si="75"/>
        <v>Morning</v>
      </c>
      <c r="U784" t="str">
        <f t="shared" si="76"/>
        <v>Spring</v>
      </c>
      <c r="V784" t="str">
        <f t="shared" si="77"/>
        <v>Light Rain/Snow</v>
      </c>
    </row>
    <row r="785" spans="1:22">
      <c r="A785">
        <f>Master_Data!A785</f>
        <v>793</v>
      </c>
      <c r="B785">
        <f>Master_Data!B785</f>
        <v>40579</v>
      </c>
      <c r="C785">
        <f>Master_Data!C785</f>
        <v>1</v>
      </c>
      <c r="D785">
        <f>Master_Data!D785</f>
        <v>0</v>
      </c>
      <c r="E785">
        <f>Master_Data!E785</f>
        <v>2</v>
      </c>
      <c r="F785">
        <f>Master_Data!F785</f>
        <v>11</v>
      </c>
      <c r="G785" t="b">
        <f>Master_Data!G785</f>
        <v>0</v>
      </c>
      <c r="H785">
        <f>Master_Data!H785</f>
        <v>6</v>
      </c>
      <c r="I785">
        <f>Master_Data!I785</f>
        <v>3</v>
      </c>
      <c r="J785">
        <f>Master_Data!J785</f>
        <v>0.22</v>
      </c>
      <c r="K785">
        <f>Master_Data!K785</f>
        <v>0.2273</v>
      </c>
      <c r="L785">
        <f>Master_Data!L785</f>
        <v>1</v>
      </c>
      <c r="M785">
        <f>Master_Data!M785</f>
        <v>0.1343</v>
      </c>
      <c r="N785">
        <f>Master_Data!N785</f>
        <v>1</v>
      </c>
      <c r="O785">
        <f>Master_Data!O785</f>
        <v>46</v>
      </c>
      <c r="P785">
        <f>Master_Data!P785</f>
        <v>47</v>
      </c>
      <c r="Q785" t="str">
        <f t="shared" si="72"/>
        <v>2011</v>
      </c>
      <c r="R785" t="str">
        <f t="shared" si="73"/>
        <v>February</v>
      </c>
      <c r="S785" t="str">
        <f t="shared" si="74"/>
        <v>Saturday</v>
      </c>
      <c r="T785" t="str">
        <f t="shared" si="75"/>
        <v>Morning</v>
      </c>
      <c r="U785" t="str">
        <f t="shared" si="76"/>
        <v>Spring</v>
      </c>
      <c r="V785" t="str">
        <f t="shared" si="77"/>
        <v>Light Rain/Snow</v>
      </c>
    </row>
    <row r="786" spans="1:22">
      <c r="A786">
        <f>Master_Data!A786</f>
        <v>794</v>
      </c>
      <c r="B786">
        <f>Master_Data!B786</f>
        <v>40579</v>
      </c>
      <c r="C786">
        <f>Master_Data!C786</f>
        <v>1</v>
      </c>
      <c r="D786">
        <f>Master_Data!D786</f>
        <v>0</v>
      </c>
      <c r="E786">
        <f>Master_Data!E786</f>
        <v>2</v>
      </c>
      <c r="F786">
        <f>Master_Data!F786</f>
        <v>12</v>
      </c>
      <c r="G786" t="b">
        <f>Master_Data!G786</f>
        <v>0</v>
      </c>
      <c r="H786">
        <f>Master_Data!H786</f>
        <v>6</v>
      </c>
      <c r="I786">
        <f>Master_Data!I786</f>
        <v>3</v>
      </c>
      <c r="J786">
        <f>Master_Data!J786</f>
        <v>0.22</v>
      </c>
      <c r="K786">
        <f>Master_Data!K786</f>
        <v>0.2273</v>
      </c>
      <c r="L786">
        <f>Master_Data!L786</f>
        <v>1</v>
      </c>
      <c r="M786">
        <f>Master_Data!M786</f>
        <v>0.16420000000000001</v>
      </c>
      <c r="N786">
        <f>Master_Data!N786</f>
        <v>10</v>
      </c>
      <c r="O786">
        <f>Master_Data!O786</f>
        <v>42</v>
      </c>
      <c r="P786">
        <f>Master_Data!P786</f>
        <v>52</v>
      </c>
      <c r="Q786" t="str">
        <f t="shared" si="72"/>
        <v>2011</v>
      </c>
      <c r="R786" t="str">
        <f t="shared" si="73"/>
        <v>February</v>
      </c>
      <c r="S786" t="str">
        <f t="shared" si="74"/>
        <v>Saturday</v>
      </c>
      <c r="T786" t="str">
        <f t="shared" si="75"/>
        <v>Afternoon</v>
      </c>
      <c r="U786" t="str">
        <f t="shared" si="76"/>
        <v>Spring</v>
      </c>
      <c r="V786" t="str">
        <f t="shared" si="77"/>
        <v>Light Rain/Snow</v>
      </c>
    </row>
    <row r="787" spans="1:22">
      <c r="A787">
        <f>Master_Data!A787</f>
        <v>795</v>
      </c>
      <c r="B787">
        <f>Master_Data!B787</f>
        <v>40579</v>
      </c>
      <c r="C787">
        <f>Master_Data!C787</f>
        <v>1</v>
      </c>
      <c r="D787">
        <f>Master_Data!D787</f>
        <v>0</v>
      </c>
      <c r="E787">
        <f>Master_Data!E787</f>
        <v>2</v>
      </c>
      <c r="F787">
        <f>Master_Data!F787</f>
        <v>13</v>
      </c>
      <c r="G787" t="b">
        <f>Master_Data!G787</f>
        <v>0</v>
      </c>
      <c r="H787">
        <f>Master_Data!H787</f>
        <v>6</v>
      </c>
      <c r="I787">
        <f>Master_Data!I787</f>
        <v>3</v>
      </c>
      <c r="J787">
        <f>Master_Data!J787</f>
        <v>0.22</v>
      </c>
      <c r="K787">
        <f>Master_Data!K787</f>
        <v>0.2273</v>
      </c>
      <c r="L787">
        <f>Master_Data!L787</f>
        <v>1</v>
      </c>
      <c r="M787">
        <f>Master_Data!M787</f>
        <v>0.16420000000000001</v>
      </c>
      <c r="N787">
        <f>Master_Data!N787</f>
        <v>10</v>
      </c>
      <c r="O787">
        <f>Master_Data!O787</f>
        <v>62</v>
      </c>
      <c r="P787">
        <f>Master_Data!P787</f>
        <v>72</v>
      </c>
      <c r="Q787" t="str">
        <f t="shared" si="72"/>
        <v>2011</v>
      </c>
      <c r="R787" t="str">
        <f t="shared" si="73"/>
        <v>February</v>
      </c>
      <c r="S787" t="str">
        <f t="shared" si="74"/>
        <v>Saturday</v>
      </c>
      <c r="T787" t="str">
        <f t="shared" si="75"/>
        <v>Afternoon</v>
      </c>
      <c r="U787" t="str">
        <f t="shared" si="76"/>
        <v>Spring</v>
      </c>
      <c r="V787" t="str">
        <f t="shared" si="77"/>
        <v>Light Rain/Snow</v>
      </c>
    </row>
    <row r="788" spans="1:22">
      <c r="A788">
        <f>Master_Data!A788</f>
        <v>796</v>
      </c>
      <c r="B788">
        <f>Master_Data!B788</f>
        <v>40579</v>
      </c>
      <c r="C788">
        <f>Master_Data!C788</f>
        <v>1</v>
      </c>
      <c r="D788">
        <f>Master_Data!D788</f>
        <v>0</v>
      </c>
      <c r="E788">
        <f>Master_Data!E788</f>
        <v>2</v>
      </c>
      <c r="F788">
        <f>Master_Data!F788</f>
        <v>14</v>
      </c>
      <c r="G788" t="b">
        <f>Master_Data!G788</f>
        <v>0</v>
      </c>
      <c r="H788">
        <f>Master_Data!H788</f>
        <v>6</v>
      </c>
      <c r="I788">
        <f>Master_Data!I788</f>
        <v>3</v>
      </c>
      <c r="J788">
        <f>Master_Data!J788</f>
        <v>0.22</v>
      </c>
      <c r="K788">
        <f>Master_Data!K788</f>
        <v>0.2727</v>
      </c>
      <c r="L788">
        <f>Master_Data!L788</f>
        <v>1</v>
      </c>
      <c r="M788">
        <f>Master_Data!M788</f>
        <v>0</v>
      </c>
      <c r="N788">
        <f>Master_Data!N788</f>
        <v>5</v>
      </c>
      <c r="O788">
        <f>Master_Data!O788</f>
        <v>50</v>
      </c>
      <c r="P788">
        <f>Master_Data!P788</f>
        <v>55</v>
      </c>
      <c r="Q788" t="str">
        <f t="shared" si="72"/>
        <v>2011</v>
      </c>
      <c r="R788" t="str">
        <f t="shared" si="73"/>
        <v>February</v>
      </c>
      <c r="S788" t="str">
        <f t="shared" si="74"/>
        <v>Saturday</v>
      </c>
      <c r="T788" t="str">
        <f t="shared" si="75"/>
        <v>Afternoon</v>
      </c>
      <c r="U788" t="str">
        <f t="shared" si="76"/>
        <v>Spring</v>
      </c>
      <c r="V788" t="str">
        <f t="shared" si="77"/>
        <v>Light Rain/Snow</v>
      </c>
    </row>
    <row r="789" spans="1:22">
      <c r="A789">
        <f>Master_Data!A789</f>
        <v>797</v>
      </c>
      <c r="B789">
        <f>Master_Data!B789</f>
        <v>40579</v>
      </c>
      <c r="C789">
        <f>Master_Data!C789</f>
        <v>1</v>
      </c>
      <c r="D789">
        <f>Master_Data!D789</f>
        <v>0</v>
      </c>
      <c r="E789">
        <f>Master_Data!E789</f>
        <v>2</v>
      </c>
      <c r="F789">
        <f>Master_Data!F789</f>
        <v>15</v>
      </c>
      <c r="G789" t="b">
        <f>Master_Data!G789</f>
        <v>0</v>
      </c>
      <c r="H789">
        <f>Master_Data!H789</f>
        <v>6</v>
      </c>
      <c r="I789">
        <f>Master_Data!I789</f>
        <v>3</v>
      </c>
      <c r="J789">
        <f>Master_Data!J789</f>
        <v>0.22</v>
      </c>
      <c r="K789">
        <f>Master_Data!K789</f>
        <v>0.2727</v>
      </c>
      <c r="L789">
        <f>Master_Data!L789</f>
        <v>1</v>
      </c>
      <c r="M789">
        <f>Master_Data!M789</f>
        <v>0</v>
      </c>
      <c r="N789">
        <f>Master_Data!N789</f>
        <v>11</v>
      </c>
      <c r="O789">
        <f>Master_Data!O789</f>
        <v>49</v>
      </c>
      <c r="P789">
        <f>Master_Data!P789</f>
        <v>60</v>
      </c>
      <c r="Q789" t="str">
        <f t="shared" si="72"/>
        <v>2011</v>
      </c>
      <c r="R789" t="str">
        <f t="shared" si="73"/>
        <v>February</v>
      </c>
      <c r="S789" t="str">
        <f t="shared" si="74"/>
        <v>Saturday</v>
      </c>
      <c r="T789" t="str">
        <f t="shared" si="75"/>
        <v>Afternoon</v>
      </c>
      <c r="U789" t="str">
        <f t="shared" si="76"/>
        <v>Spring</v>
      </c>
      <c r="V789" t="str">
        <f t="shared" si="77"/>
        <v>Light Rain/Snow</v>
      </c>
    </row>
    <row r="790" spans="1:22">
      <c r="A790">
        <f>Master_Data!A790</f>
        <v>798</v>
      </c>
      <c r="B790">
        <f>Master_Data!B790</f>
        <v>40579</v>
      </c>
      <c r="C790">
        <f>Master_Data!C790</f>
        <v>1</v>
      </c>
      <c r="D790">
        <f>Master_Data!D790</f>
        <v>0</v>
      </c>
      <c r="E790">
        <f>Master_Data!E790</f>
        <v>2</v>
      </c>
      <c r="F790">
        <f>Master_Data!F790</f>
        <v>16</v>
      </c>
      <c r="G790" t="b">
        <f>Master_Data!G790</f>
        <v>0</v>
      </c>
      <c r="H790">
        <f>Master_Data!H790</f>
        <v>6</v>
      </c>
      <c r="I790">
        <f>Master_Data!I790</f>
        <v>3</v>
      </c>
      <c r="J790">
        <f>Master_Data!J790</f>
        <v>0.22</v>
      </c>
      <c r="K790">
        <f>Master_Data!K790</f>
        <v>0.2273</v>
      </c>
      <c r="L790">
        <f>Master_Data!L790</f>
        <v>1</v>
      </c>
      <c r="M790">
        <f>Master_Data!M790</f>
        <v>0.1343</v>
      </c>
      <c r="N790">
        <f>Master_Data!N790</f>
        <v>8</v>
      </c>
      <c r="O790">
        <f>Master_Data!O790</f>
        <v>63</v>
      </c>
      <c r="P790">
        <f>Master_Data!P790</f>
        <v>71</v>
      </c>
      <c r="Q790" t="str">
        <f t="shared" si="72"/>
        <v>2011</v>
      </c>
      <c r="R790" t="str">
        <f t="shared" si="73"/>
        <v>February</v>
      </c>
      <c r="S790" t="str">
        <f t="shared" si="74"/>
        <v>Saturday</v>
      </c>
      <c r="T790" t="str">
        <f t="shared" si="75"/>
        <v>Afternoon</v>
      </c>
      <c r="U790" t="str">
        <f t="shared" si="76"/>
        <v>Spring</v>
      </c>
      <c r="V790" t="str">
        <f t="shared" si="77"/>
        <v>Light Rain/Snow</v>
      </c>
    </row>
    <row r="791" spans="1:22">
      <c r="A791">
        <f>Master_Data!A791</f>
        <v>799</v>
      </c>
      <c r="B791">
        <f>Master_Data!B791</f>
        <v>40579</v>
      </c>
      <c r="C791">
        <f>Master_Data!C791</f>
        <v>1</v>
      </c>
      <c r="D791">
        <f>Master_Data!D791</f>
        <v>0</v>
      </c>
      <c r="E791">
        <f>Master_Data!E791</f>
        <v>2</v>
      </c>
      <c r="F791">
        <f>Master_Data!F791</f>
        <v>17</v>
      </c>
      <c r="G791" t="b">
        <f>Master_Data!G791</f>
        <v>0</v>
      </c>
      <c r="H791">
        <f>Master_Data!H791</f>
        <v>6</v>
      </c>
      <c r="I791">
        <f>Master_Data!I791</f>
        <v>2</v>
      </c>
      <c r="J791">
        <f>Master_Data!J791</f>
        <v>0.24</v>
      </c>
      <c r="K791">
        <f>Master_Data!K791</f>
        <v>0.21210000000000001</v>
      </c>
      <c r="L791">
        <f>Master_Data!L791</f>
        <v>1</v>
      </c>
      <c r="M791">
        <f>Master_Data!M791</f>
        <v>0.28360000000000002</v>
      </c>
      <c r="N791">
        <f>Master_Data!N791</f>
        <v>14</v>
      </c>
      <c r="O791">
        <f>Master_Data!O791</f>
        <v>64</v>
      </c>
      <c r="P791">
        <f>Master_Data!P791</f>
        <v>78</v>
      </c>
      <c r="Q791" t="str">
        <f t="shared" si="72"/>
        <v>2011</v>
      </c>
      <c r="R791" t="str">
        <f t="shared" si="73"/>
        <v>February</v>
      </c>
      <c r="S791" t="str">
        <f t="shared" si="74"/>
        <v>Saturday</v>
      </c>
      <c r="T791" t="str">
        <f t="shared" si="75"/>
        <v>Evening</v>
      </c>
      <c r="U791" t="str">
        <f t="shared" si="76"/>
        <v>Spring</v>
      </c>
      <c r="V791" t="str">
        <f t="shared" si="77"/>
        <v>Mist/Cloudy</v>
      </c>
    </row>
    <row r="792" spans="1:22">
      <c r="A792">
        <f>Master_Data!A792</f>
        <v>800</v>
      </c>
      <c r="B792">
        <f>Master_Data!B792</f>
        <v>40579</v>
      </c>
      <c r="C792">
        <f>Master_Data!C792</f>
        <v>1</v>
      </c>
      <c r="D792">
        <f>Master_Data!D792</f>
        <v>0</v>
      </c>
      <c r="E792">
        <f>Master_Data!E792</f>
        <v>2</v>
      </c>
      <c r="F792">
        <f>Master_Data!F792</f>
        <v>18</v>
      </c>
      <c r="G792" t="b">
        <f>Master_Data!G792</f>
        <v>0</v>
      </c>
      <c r="H792">
        <f>Master_Data!H792</f>
        <v>6</v>
      </c>
      <c r="I792">
        <f>Master_Data!I792</f>
        <v>2</v>
      </c>
      <c r="J792">
        <f>Master_Data!J792</f>
        <v>0.28000000000000003</v>
      </c>
      <c r="K792">
        <f>Master_Data!K792</f>
        <v>0.2424</v>
      </c>
      <c r="L792">
        <f>Master_Data!L792</f>
        <v>0.93</v>
      </c>
      <c r="M792">
        <f>Master_Data!M792</f>
        <v>0.44779999999999998</v>
      </c>
      <c r="N792">
        <f>Master_Data!N792</f>
        <v>2</v>
      </c>
      <c r="O792">
        <f>Master_Data!O792</f>
        <v>81</v>
      </c>
      <c r="P792">
        <f>Master_Data!P792</f>
        <v>83</v>
      </c>
      <c r="Q792" t="str">
        <f t="shared" si="72"/>
        <v>2011</v>
      </c>
      <c r="R792" t="str">
        <f t="shared" si="73"/>
        <v>February</v>
      </c>
      <c r="S792" t="str">
        <f t="shared" si="74"/>
        <v>Saturday</v>
      </c>
      <c r="T792" t="str">
        <f t="shared" si="75"/>
        <v>Evening</v>
      </c>
      <c r="U792" t="str">
        <f t="shared" si="76"/>
        <v>Spring</v>
      </c>
      <c r="V792" t="str">
        <f t="shared" si="77"/>
        <v>Mist/Cloudy</v>
      </c>
    </row>
    <row r="793" spans="1:22">
      <c r="A793">
        <f>Master_Data!A793</f>
        <v>801</v>
      </c>
      <c r="B793">
        <f>Master_Data!B793</f>
        <v>40579</v>
      </c>
      <c r="C793">
        <f>Master_Data!C793</f>
        <v>1</v>
      </c>
      <c r="D793">
        <f>Master_Data!D793</f>
        <v>0</v>
      </c>
      <c r="E793">
        <f>Master_Data!E793</f>
        <v>2</v>
      </c>
      <c r="F793">
        <f>Master_Data!F793</f>
        <v>19</v>
      </c>
      <c r="G793" t="b">
        <f>Master_Data!G793</f>
        <v>0</v>
      </c>
      <c r="H793">
        <f>Master_Data!H793</f>
        <v>6</v>
      </c>
      <c r="I793">
        <f>Master_Data!I793</f>
        <v>2</v>
      </c>
      <c r="J793">
        <f>Master_Data!J793</f>
        <v>0.28000000000000003</v>
      </c>
      <c r="K793">
        <f>Master_Data!K793</f>
        <v>0.2424</v>
      </c>
      <c r="L793">
        <f>Master_Data!L793</f>
        <v>0.93</v>
      </c>
      <c r="M793">
        <f>Master_Data!M793</f>
        <v>0.44779999999999998</v>
      </c>
      <c r="N793">
        <f>Master_Data!N793</f>
        <v>6</v>
      </c>
      <c r="O793">
        <f>Master_Data!O793</f>
        <v>78</v>
      </c>
      <c r="P793">
        <f>Master_Data!P793</f>
        <v>84</v>
      </c>
      <c r="Q793" t="str">
        <f t="shared" si="72"/>
        <v>2011</v>
      </c>
      <c r="R793" t="str">
        <f t="shared" si="73"/>
        <v>February</v>
      </c>
      <c r="S793" t="str">
        <f t="shared" si="74"/>
        <v>Saturday</v>
      </c>
      <c r="T793" t="str">
        <f t="shared" si="75"/>
        <v>Evening</v>
      </c>
      <c r="U793" t="str">
        <f t="shared" si="76"/>
        <v>Spring</v>
      </c>
      <c r="V793" t="str">
        <f t="shared" si="77"/>
        <v>Mist/Cloudy</v>
      </c>
    </row>
    <row r="794" spans="1:22">
      <c r="A794">
        <f>Master_Data!A794</f>
        <v>802</v>
      </c>
      <c r="B794">
        <f>Master_Data!B794</f>
        <v>40579</v>
      </c>
      <c r="C794">
        <f>Master_Data!C794</f>
        <v>1</v>
      </c>
      <c r="D794">
        <f>Master_Data!D794</f>
        <v>0</v>
      </c>
      <c r="E794">
        <f>Master_Data!E794</f>
        <v>2</v>
      </c>
      <c r="F794">
        <f>Master_Data!F794</f>
        <v>20</v>
      </c>
      <c r="G794" t="b">
        <f>Master_Data!G794</f>
        <v>0</v>
      </c>
      <c r="H794">
        <f>Master_Data!H794</f>
        <v>6</v>
      </c>
      <c r="I794">
        <f>Master_Data!I794</f>
        <v>1</v>
      </c>
      <c r="J794">
        <f>Master_Data!J794</f>
        <v>0.3</v>
      </c>
      <c r="K794">
        <f>Master_Data!K794</f>
        <v>0.28789999999999999</v>
      </c>
      <c r="L794">
        <f>Master_Data!L794</f>
        <v>0.87</v>
      </c>
      <c r="M794">
        <f>Master_Data!M794</f>
        <v>0.25369999999999998</v>
      </c>
      <c r="N794">
        <f>Master_Data!N794</f>
        <v>5</v>
      </c>
      <c r="O794">
        <f>Master_Data!O794</f>
        <v>64</v>
      </c>
      <c r="P794">
        <f>Master_Data!P794</f>
        <v>69</v>
      </c>
      <c r="Q794" t="str">
        <f t="shared" si="72"/>
        <v>2011</v>
      </c>
      <c r="R794" t="str">
        <f t="shared" si="73"/>
        <v>February</v>
      </c>
      <c r="S794" t="str">
        <f t="shared" si="74"/>
        <v>Saturday</v>
      </c>
      <c r="T794" t="str">
        <f t="shared" si="75"/>
        <v>Evening</v>
      </c>
      <c r="U794" t="str">
        <f t="shared" si="76"/>
        <v>Spring</v>
      </c>
      <c r="V794" t="str">
        <f t="shared" si="77"/>
        <v>Clear</v>
      </c>
    </row>
    <row r="795" spans="1:22">
      <c r="A795">
        <f>Master_Data!A795</f>
        <v>803</v>
      </c>
      <c r="B795">
        <f>Master_Data!B795</f>
        <v>40579</v>
      </c>
      <c r="C795">
        <f>Master_Data!C795</f>
        <v>1</v>
      </c>
      <c r="D795">
        <f>Master_Data!D795</f>
        <v>0</v>
      </c>
      <c r="E795">
        <f>Master_Data!E795</f>
        <v>2</v>
      </c>
      <c r="F795">
        <f>Master_Data!F795</f>
        <v>21</v>
      </c>
      <c r="G795" t="b">
        <f>Master_Data!G795</f>
        <v>0</v>
      </c>
      <c r="H795">
        <f>Master_Data!H795</f>
        <v>6</v>
      </c>
      <c r="I795">
        <f>Master_Data!I795</f>
        <v>1</v>
      </c>
      <c r="J795">
        <f>Master_Data!J795</f>
        <v>0.26</v>
      </c>
      <c r="K795">
        <f>Master_Data!K795</f>
        <v>0.2576</v>
      </c>
      <c r="L795">
        <f>Master_Data!L795</f>
        <v>1</v>
      </c>
      <c r="M795">
        <f>Master_Data!M795</f>
        <v>0.19400000000000001</v>
      </c>
      <c r="N795">
        <f>Master_Data!N795</f>
        <v>3</v>
      </c>
      <c r="O795">
        <f>Master_Data!O795</f>
        <v>53</v>
      </c>
      <c r="P795">
        <f>Master_Data!P795</f>
        <v>56</v>
      </c>
      <c r="Q795" t="str">
        <f t="shared" si="72"/>
        <v>2011</v>
      </c>
      <c r="R795" t="str">
        <f t="shared" si="73"/>
        <v>February</v>
      </c>
      <c r="S795" t="str">
        <f t="shared" si="74"/>
        <v>Saturday</v>
      </c>
      <c r="T795" t="str">
        <f t="shared" si="75"/>
        <v>Night</v>
      </c>
      <c r="U795" t="str">
        <f t="shared" si="76"/>
        <v>Spring</v>
      </c>
      <c r="V795" t="str">
        <f t="shared" si="77"/>
        <v>Clear</v>
      </c>
    </row>
    <row r="796" spans="1:22">
      <c r="A796">
        <f>Master_Data!A796</f>
        <v>804</v>
      </c>
      <c r="B796">
        <f>Master_Data!B796</f>
        <v>40579</v>
      </c>
      <c r="C796">
        <f>Master_Data!C796</f>
        <v>1</v>
      </c>
      <c r="D796">
        <f>Master_Data!D796</f>
        <v>0</v>
      </c>
      <c r="E796">
        <f>Master_Data!E796</f>
        <v>2</v>
      </c>
      <c r="F796">
        <f>Master_Data!F796</f>
        <v>22</v>
      </c>
      <c r="G796" t="b">
        <f>Master_Data!G796</f>
        <v>0</v>
      </c>
      <c r="H796">
        <f>Master_Data!H796</f>
        <v>6</v>
      </c>
      <c r="I796">
        <f>Master_Data!I796</f>
        <v>1</v>
      </c>
      <c r="J796">
        <f>Master_Data!J796</f>
        <v>0.26</v>
      </c>
      <c r="K796">
        <f>Master_Data!K796</f>
        <v>0.2727</v>
      </c>
      <c r="L796">
        <f>Master_Data!L796</f>
        <v>0.93</v>
      </c>
      <c r="M796">
        <f>Master_Data!M796</f>
        <v>0.1343</v>
      </c>
      <c r="N796">
        <f>Master_Data!N796</f>
        <v>2</v>
      </c>
      <c r="O796">
        <f>Master_Data!O796</f>
        <v>43</v>
      </c>
      <c r="P796">
        <f>Master_Data!P796</f>
        <v>45</v>
      </c>
      <c r="Q796" t="str">
        <f t="shared" si="72"/>
        <v>2011</v>
      </c>
      <c r="R796" t="str">
        <f t="shared" si="73"/>
        <v>February</v>
      </c>
      <c r="S796" t="str">
        <f t="shared" si="74"/>
        <v>Saturday</v>
      </c>
      <c r="T796" t="str">
        <f t="shared" si="75"/>
        <v>Night</v>
      </c>
      <c r="U796" t="str">
        <f t="shared" si="76"/>
        <v>Spring</v>
      </c>
      <c r="V796" t="str">
        <f t="shared" si="77"/>
        <v>Clear</v>
      </c>
    </row>
    <row r="797" spans="1:22">
      <c r="A797">
        <f>Master_Data!A797</f>
        <v>805</v>
      </c>
      <c r="B797">
        <f>Master_Data!B797</f>
        <v>40579</v>
      </c>
      <c r="C797">
        <f>Master_Data!C797</f>
        <v>1</v>
      </c>
      <c r="D797">
        <f>Master_Data!D797</f>
        <v>0</v>
      </c>
      <c r="E797">
        <f>Master_Data!E797</f>
        <v>2</v>
      </c>
      <c r="F797">
        <f>Master_Data!F797</f>
        <v>23</v>
      </c>
      <c r="G797" t="b">
        <f>Master_Data!G797</f>
        <v>0</v>
      </c>
      <c r="H797">
        <f>Master_Data!H797</f>
        <v>6</v>
      </c>
      <c r="I797">
        <f>Master_Data!I797</f>
        <v>1</v>
      </c>
      <c r="J797">
        <f>Master_Data!J797</f>
        <v>0.26</v>
      </c>
      <c r="K797">
        <f>Master_Data!K797</f>
        <v>0.2576</v>
      </c>
      <c r="L797">
        <f>Master_Data!L797</f>
        <v>0.93</v>
      </c>
      <c r="M797">
        <f>Master_Data!M797</f>
        <v>0.22389999999999999</v>
      </c>
      <c r="N797">
        <f>Master_Data!N797</f>
        <v>7</v>
      </c>
      <c r="O797">
        <f>Master_Data!O797</f>
        <v>52</v>
      </c>
      <c r="P797">
        <f>Master_Data!P797</f>
        <v>59</v>
      </c>
      <c r="Q797" t="str">
        <f t="shared" si="72"/>
        <v>2011</v>
      </c>
      <c r="R797" t="str">
        <f t="shared" si="73"/>
        <v>February</v>
      </c>
      <c r="S797" t="str">
        <f t="shared" si="74"/>
        <v>Saturday</v>
      </c>
      <c r="T797" t="str">
        <f t="shared" si="75"/>
        <v>Night</v>
      </c>
      <c r="U797" t="str">
        <f t="shared" si="76"/>
        <v>Spring</v>
      </c>
      <c r="V797" t="str">
        <f t="shared" si="77"/>
        <v>Clear</v>
      </c>
    </row>
    <row r="798" spans="1:22">
      <c r="A798">
        <f>Master_Data!A798</f>
        <v>806</v>
      </c>
      <c r="B798">
        <f>Master_Data!B798</f>
        <v>40580</v>
      </c>
      <c r="C798">
        <f>Master_Data!C798</f>
        <v>1</v>
      </c>
      <c r="D798">
        <f>Master_Data!D798</f>
        <v>0</v>
      </c>
      <c r="E798">
        <f>Master_Data!E798</f>
        <v>2</v>
      </c>
      <c r="F798">
        <f>Master_Data!F798</f>
        <v>0</v>
      </c>
      <c r="G798" t="b">
        <f>Master_Data!G798</f>
        <v>0</v>
      </c>
      <c r="H798">
        <f>Master_Data!H798</f>
        <v>0</v>
      </c>
      <c r="I798">
        <f>Master_Data!I798</f>
        <v>1</v>
      </c>
      <c r="J798">
        <f>Master_Data!J798</f>
        <v>0.26</v>
      </c>
      <c r="K798">
        <f>Master_Data!K798</f>
        <v>0.2576</v>
      </c>
      <c r="L798">
        <f>Master_Data!L798</f>
        <v>0.7</v>
      </c>
      <c r="M798">
        <f>Master_Data!M798</f>
        <v>0.19400000000000001</v>
      </c>
      <c r="N798">
        <f>Master_Data!N798</f>
        <v>2</v>
      </c>
      <c r="O798">
        <f>Master_Data!O798</f>
        <v>37</v>
      </c>
      <c r="P798">
        <f>Master_Data!P798</f>
        <v>39</v>
      </c>
      <c r="Q798" t="str">
        <f t="shared" si="72"/>
        <v>2011</v>
      </c>
      <c r="R798" t="str">
        <f t="shared" si="73"/>
        <v>February</v>
      </c>
      <c r="S798" t="str">
        <f t="shared" si="74"/>
        <v>Sunday</v>
      </c>
      <c r="T798" t="str">
        <f t="shared" si="75"/>
        <v>Night</v>
      </c>
      <c r="U798" t="str">
        <f t="shared" si="76"/>
        <v>Spring</v>
      </c>
      <c r="V798" t="str">
        <f t="shared" si="77"/>
        <v>Clear</v>
      </c>
    </row>
    <row r="799" spans="1:22">
      <c r="A799">
        <f>Master_Data!A799</f>
        <v>807</v>
      </c>
      <c r="B799">
        <f>Master_Data!B799</f>
        <v>40580</v>
      </c>
      <c r="C799">
        <f>Master_Data!C799</f>
        <v>1</v>
      </c>
      <c r="D799">
        <f>Master_Data!D799</f>
        <v>0</v>
      </c>
      <c r="E799">
        <f>Master_Data!E799</f>
        <v>2</v>
      </c>
      <c r="F799">
        <f>Master_Data!F799</f>
        <v>1</v>
      </c>
      <c r="G799" t="b">
        <f>Master_Data!G799</f>
        <v>0</v>
      </c>
      <c r="H799">
        <f>Master_Data!H799</f>
        <v>0</v>
      </c>
      <c r="I799">
        <f>Master_Data!I799</f>
        <v>1</v>
      </c>
      <c r="J799">
        <f>Master_Data!J799</f>
        <v>0.26</v>
      </c>
      <c r="K799">
        <f>Master_Data!K799</f>
        <v>0.2273</v>
      </c>
      <c r="L799">
        <f>Master_Data!L799</f>
        <v>0.65</v>
      </c>
      <c r="M799">
        <f>Master_Data!M799</f>
        <v>0.41789999999999999</v>
      </c>
      <c r="N799">
        <f>Master_Data!N799</f>
        <v>4</v>
      </c>
      <c r="O799">
        <f>Master_Data!O799</f>
        <v>40</v>
      </c>
      <c r="P799">
        <f>Master_Data!P799</f>
        <v>44</v>
      </c>
      <c r="Q799" t="str">
        <f t="shared" si="72"/>
        <v>2011</v>
      </c>
      <c r="R799" t="str">
        <f t="shared" si="73"/>
        <v>February</v>
      </c>
      <c r="S799" t="str">
        <f t="shared" si="74"/>
        <v>Sunday</v>
      </c>
      <c r="T799" t="str">
        <f t="shared" si="75"/>
        <v>Night</v>
      </c>
      <c r="U799" t="str">
        <f t="shared" si="76"/>
        <v>Spring</v>
      </c>
      <c r="V799" t="str">
        <f t="shared" si="77"/>
        <v>Clear</v>
      </c>
    </row>
    <row r="800" spans="1:22">
      <c r="A800">
        <f>Master_Data!A800</f>
        <v>808</v>
      </c>
      <c r="B800">
        <f>Master_Data!B800</f>
        <v>40580</v>
      </c>
      <c r="C800">
        <f>Master_Data!C800</f>
        <v>1</v>
      </c>
      <c r="D800">
        <f>Master_Data!D800</f>
        <v>0</v>
      </c>
      <c r="E800">
        <f>Master_Data!E800</f>
        <v>2</v>
      </c>
      <c r="F800">
        <f>Master_Data!F800</f>
        <v>2</v>
      </c>
      <c r="G800" t="b">
        <f>Master_Data!G800</f>
        <v>0</v>
      </c>
      <c r="H800">
        <f>Master_Data!H800</f>
        <v>0</v>
      </c>
      <c r="I800">
        <f>Master_Data!I800</f>
        <v>1</v>
      </c>
      <c r="J800">
        <f>Master_Data!J800</f>
        <v>0.26</v>
      </c>
      <c r="K800">
        <f>Master_Data!K800</f>
        <v>0.2273</v>
      </c>
      <c r="L800">
        <f>Master_Data!L800</f>
        <v>0.6</v>
      </c>
      <c r="M800">
        <f>Master_Data!M800</f>
        <v>0.32840000000000003</v>
      </c>
      <c r="N800">
        <f>Master_Data!N800</f>
        <v>0</v>
      </c>
      <c r="O800">
        <f>Master_Data!O800</f>
        <v>20</v>
      </c>
      <c r="P800">
        <f>Master_Data!P800</f>
        <v>20</v>
      </c>
      <c r="Q800" t="str">
        <f t="shared" si="72"/>
        <v>2011</v>
      </c>
      <c r="R800" t="str">
        <f t="shared" si="73"/>
        <v>February</v>
      </c>
      <c r="S800" t="str">
        <f t="shared" si="74"/>
        <v>Sunday</v>
      </c>
      <c r="T800" t="str">
        <f t="shared" si="75"/>
        <v>Night</v>
      </c>
      <c r="U800" t="str">
        <f t="shared" si="76"/>
        <v>Spring</v>
      </c>
      <c r="V800" t="str">
        <f t="shared" si="77"/>
        <v>Clear</v>
      </c>
    </row>
    <row r="801" spans="1:22">
      <c r="A801">
        <f>Master_Data!A801</f>
        <v>809</v>
      </c>
      <c r="B801">
        <f>Master_Data!B801</f>
        <v>40580</v>
      </c>
      <c r="C801">
        <f>Master_Data!C801</f>
        <v>1</v>
      </c>
      <c r="D801">
        <f>Master_Data!D801</f>
        <v>0</v>
      </c>
      <c r="E801">
        <f>Master_Data!E801</f>
        <v>2</v>
      </c>
      <c r="F801">
        <f>Master_Data!F801</f>
        <v>3</v>
      </c>
      <c r="G801" t="b">
        <f>Master_Data!G801</f>
        <v>0</v>
      </c>
      <c r="H801">
        <f>Master_Data!H801</f>
        <v>0</v>
      </c>
      <c r="I801">
        <f>Master_Data!I801</f>
        <v>1</v>
      </c>
      <c r="J801">
        <f>Master_Data!J801</f>
        <v>0.26</v>
      </c>
      <c r="K801">
        <f>Master_Data!K801</f>
        <v>0.28789999999999999</v>
      </c>
      <c r="L801">
        <f>Master_Data!L801</f>
        <v>0.6</v>
      </c>
      <c r="M801">
        <f>Master_Data!M801</f>
        <v>8.9599999999999999E-2</v>
      </c>
      <c r="N801">
        <f>Master_Data!N801</f>
        <v>3</v>
      </c>
      <c r="O801">
        <f>Master_Data!O801</f>
        <v>10</v>
      </c>
      <c r="P801">
        <f>Master_Data!P801</f>
        <v>13</v>
      </c>
      <c r="Q801" t="str">
        <f t="shared" si="72"/>
        <v>2011</v>
      </c>
      <c r="R801" t="str">
        <f t="shared" si="73"/>
        <v>February</v>
      </c>
      <c r="S801" t="str">
        <f t="shared" si="74"/>
        <v>Sunday</v>
      </c>
      <c r="T801" t="str">
        <f t="shared" si="75"/>
        <v>Night</v>
      </c>
      <c r="U801" t="str">
        <f t="shared" si="76"/>
        <v>Spring</v>
      </c>
      <c r="V801" t="str">
        <f t="shared" si="77"/>
        <v>Clear</v>
      </c>
    </row>
    <row r="802" spans="1:22">
      <c r="A802">
        <f>Master_Data!A802</f>
        <v>810</v>
      </c>
      <c r="B802">
        <f>Master_Data!B802</f>
        <v>40580</v>
      </c>
      <c r="C802">
        <f>Master_Data!C802</f>
        <v>1</v>
      </c>
      <c r="D802">
        <f>Master_Data!D802</f>
        <v>0</v>
      </c>
      <c r="E802">
        <f>Master_Data!E802</f>
        <v>2</v>
      </c>
      <c r="F802">
        <f>Master_Data!F802</f>
        <v>4</v>
      </c>
      <c r="G802" t="b">
        <f>Master_Data!G802</f>
        <v>0</v>
      </c>
      <c r="H802">
        <f>Master_Data!H802</f>
        <v>0</v>
      </c>
      <c r="I802">
        <f>Master_Data!I802</f>
        <v>1</v>
      </c>
      <c r="J802">
        <f>Master_Data!J802</f>
        <v>0.26</v>
      </c>
      <c r="K802">
        <f>Master_Data!K802</f>
        <v>0.2273</v>
      </c>
      <c r="L802">
        <f>Master_Data!L802</f>
        <v>0.6</v>
      </c>
      <c r="M802">
        <f>Master_Data!M802</f>
        <v>0.35820000000000002</v>
      </c>
      <c r="N802">
        <f>Master_Data!N802</f>
        <v>0</v>
      </c>
      <c r="O802">
        <f>Master_Data!O802</f>
        <v>2</v>
      </c>
      <c r="P802">
        <f>Master_Data!P802</f>
        <v>2</v>
      </c>
      <c r="Q802" t="str">
        <f t="shared" si="72"/>
        <v>2011</v>
      </c>
      <c r="R802" t="str">
        <f t="shared" si="73"/>
        <v>February</v>
      </c>
      <c r="S802" t="str">
        <f t="shared" si="74"/>
        <v>Sunday</v>
      </c>
      <c r="T802" t="str">
        <f t="shared" si="75"/>
        <v>Night</v>
      </c>
      <c r="U802" t="str">
        <f t="shared" si="76"/>
        <v>Spring</v>
      </c>
      <c r="V802" t="str">
        <f t="shared" si="77"/>
        <v>Clear</v>
      </c>
    </row>
    <row r="803" spans="1:22">
      <c r="A803">
        <f>Master_Data!A803</f>
        <v>811</v>
      </c>
      <c r="B803">
        <f>Master_Data!B803</f>
        <v>40580</v>
      </c>
      <c r="C803">
        <f>Master_Data!C803</f>
        <v>1</v>
      </c>
      <c r="D803">
        <f>Master_Data!D803</f>
        <v>0</v>
      </c>
      <c r="E803">
        <f>Master_Data!E803</f>
        <v>2</v>
      </c>
      <c r="F803">
        <f>Master_Data!F803</f>
        <v>5</v>
      </c>
      <c r="G803" t="b">
        <f>Master_Data!G803</f>
        <v>0</v>
      </c>
      <c r="H803">
        <f>Master_Data!H803</f>
        <v>0</v>
      </c>
      <c r="I803">
        <f>Master_Data!I803</f>
        <v>1</v>
      </c>
      <c r="J803">
        <f>Master_Data!J803</f>
        <v>0.26</v>
      </c>
      <c r="K803">
        <f>Master_Data!K803</f>
        <v>0.2576</v>
      </c>
      <c r="L803">
        <f>Master_Data!L803</f>
        <v>0.6</v>
      </c>
      <c r="M803">
        <f>Master_Data!M803</f>
        <v>0.22389999999999999</v>
      </c>
      <c r="N803">
        <f>Master_Data!N803</f>
        <v>0</v>
      </c>
      <c r="O803">
        <f>Master_Data!O803</f>
        <v>1</v>
      </c>
      <c r="P803">
        <f>Master_Data!P803</f>
        <v>1</v>
      </c>
      <c r="Q803" t="str">
        <f t="shared" si="72"/>
        <v>2011</v>
      </c>
      <c r="R803" t="str">
        <f t="shared" si="73"/>
        <v>February</v>
      </c>
      <c r="S803" t="str">
        <f t="shared" si="74"/>
        <v>Sunday</v>
      </c>
      <c r="T803" t="str">
        <f t="shared" si="75"/>
        <v>Night</v>
      </c>
      <c r="U803" t="str">
        <f t="shared" si="76"/>
        <v>Spring</v>
      </c>
      <c r="V803" t="str">
        <f t="shared" si="77"/>
        <v>Clear</v>
      </c>
    </row>
    <row r="804" spans="1:22">
      <c r="A804">
        <f>Master_Data!A804</f>
        <v>812</v>
      </c>
      <c r="B804">
        <f>Master_Data!B804</f>
        <v>40580</v>
      </c>
      <c r="C804">
        <f>Master_Data!C804</f>
        <v>1</v>
      </c>
      <c r="D804">
        <f>Master_Data!D804</f>
        <v>0</v>
      </c>
      <c r="E804">
        <f>Master_Data!E804</f>
        <v>2</v>
      </c>
      <c r="F804">
        <f>Master_Data!F804</f>
        <v>6</v>
      </c>
      <c r="G804" t="b">
        <f>Master_Data!G804</f>
        <v>0</v>
      </c>
      <c r="H804">
        <f>Master_Data!H804</f>
        <v>0</v>
      </c>
      <c r="I804">
        <f>Master_Data!I804</f>
        <v>1</v>
      </c>
      <c r="J804">
        <f>Master_Data!J804</f>
        <v>0.26</v>
      </c>
      <c r="K804">
        <f>Master_Data!K804</f>
        <v>0.2576</v>
      </c>
      <c r="L804">
        <f>Master_Data!L804</f>
        <v>0.6</v>
      </c>
      <c r="M804">
        <f>Master_Data!M804</f>
        <v>0.22389999999999999</v>
      </c>
      <c r="N804">
        <f>Master_Data!N804</f>
        <v>0</v>
      </c>
      <c r="O804">
        <f>Master_Data!O804</f>
        <v>1</v>
      </c>
      <c r="P804">
        <f>Master_Data!P804</f>
        <v>1</v>
      </c>
      <c r="Q804" t="str">
        <f t="shared" si="72"/>
        <v>2011</v>
      </c>
      <c r="R804" t="str">
        <f t="shared" si="73"/>
        <v>February</v>
      </c>
      <c r="S804" t="str">
        <f t="shared" si="74"/>
        <v>Sunday</v>
      </c>
      <c r="T804" t="str">
        <f t="shared" si="75"/>
        <v>Morning</v>
      </c>
      <c r="U804" t="str">
        <f t="shared" si="76"/>
        <v>Spring</v>
      </c>
      <c r="V804" t="str">
        <f t="shared" si="77"/>
        <v>Clear</v>
      </c>
    </row>
    <row r="805" spans="1:22">
      <c r="A805">
        <f>Master_Data!A805</f>
        <v>813</v>
      </c>
      <c r="B805">
        <f>Master_Data!B805</f>
        <v>40580</v>
      </c>
      <c r="C805">
        <f>Master_Data!C805</f>
        <v>1</v>
      </c>
      <c r="D805">
        <f>Master_Data!D805</f>
        <v>0</v>
      </c>
      <c r="E805">
        <f>Master_Data!E805</f>
        <v>2</v>
      </c>
      <c r="F805">
        <f>Master_Data!F805</f>
        <v>7</v>
      </c>
      <c r="G805" t="b">
        <f>Master_Data!G805</f>
        <v>0</v>
      </c>
      <c r="H805">
        <f>Master_Data!H805</f>
        <v>0</v>
      </c>
      <c r="I805">
        <f>Master_Data!I805</f>
        <v>1</v>
      </c>
      <c r="J805">
        <f>Master_Data!J805</f>
        <v>0.24</v>
      </c>
      <c r="K805">
        <f>Master_Data!K805</f>
        <v>0.2424</v>
      </c>
      <c r="L805">
        <f>Master_Data!L805</f>
        <v>0.65</v>
      </c>
      <c r="M805">
        <f>Master_Data!M805</f>
        <v>0.16420000000000001</v>
      </c>
      <c r="N805">
        <f>Master_Data!N805</f>
        <v>0</v>
      </c>
      <c r="O805">
        <f>Master_Data!O805</f>
        <v>8</v>
      </c>
      <c r="P805">
        <f>Master_Data!P805</f>
        <v>8</v>
      </c>
      <c r="Q805" t="str">
        <f t="shared" si="72"/>
        <v>2011</v>
      </c>
      <c r="R805" t="str">
        <f t="shared" si="73"/>
        <v>February</v>
      </c>
      <c r="S805" t="str">
        <f t="shared" si="74"/>
        <v>Sunday</v>
      </c>
      <c r="T805" t="str">
        <f t="shared" si="75"/>
        <v>Morning</v>
      </c>
      <c r="U805" t="str">
        <f t="shared" si="76"/>
        <v>Spring</v>
      </c>
      <c r="V805" t="str">
        <f t="shared" si="77"/>
        <v>Clear</v>
      </c>
    </row>
    <row r="806" spans="1:22">
      <c r="A806">
        <f>Master_Data!A806</f>
        <v>814</v>
      </c>
      <c r="B806">
        <f>Master_Data!B806</f>
        <v>40580</v>
      </c>
      <c r="C806">
        <f>Master_Data!C806</f>
        <v>1</v>
      </c>
      <c r="D806">
        <f>Master_Data!D806</f>
        <v>0</v>
      </c>
      <c r="E806">
        <f>Master_Data!E806</f>
        <v>2</v>
      </c>
      <c r="F806">
        <f>Master_Data!F806</f>
        <v>8</v>
      </c>
      <c r="G806" t="b">
        <f>Master_Data!G806</f>
        <v>0</v>
      </c>
      <c r="H806">
        <f>Master_Data!H806</f>
        <v>0</v>
      </c>
      <c r="I806">
        <f>Master_Data!I806</f>
        <v>1</v>
      </c>
      <c r="J806">
        <f>Master_Data!J806</f>
        <v>0.24</v>
      </c>
      <c r="K806">
        <f>Master_Data!K806</f>
        <v>0.2576</v>
      </c>
      <c r="L806">
        <f>Master_Data!L806</f>
        <v>0.65</v>
      </c>
      <c r="M806">
        <f>Master_Data!M806</f>
        <v>0.1045</v>
      </c>
      <c r="N806">
        <f>Master_Data!N806</f>
        <v>2</v>
      </c>
      <c r="O806">
        <f>Master_Data!O806</f>
        <v>21</v>
      </c>
      <c r="P806">
        <f>Master_Data!P806</f>
        <v>23</v>
      </c>
      <c r="Q806" t="str">
        <f t="shared" si="72"/>
        <v>2011</v>
      </c>
      <c r="R806" t="str">
        <f t="shared" si="73"/>
        <v>February</v>
      </c>
      <c r="S806" t="str">
        <f t="shared" si="74"/>
        <v>Sunday</v>
      </c>
      <c r="T806" t="str">
        <f t="shared" si="75"/>
        <v>Morning</v>
      </c>
      <c r="U806" t="str">
        <f t="shared" si="76"/>
        <v>Spring</v>
      </c>
      <c r="V806" t="str">
        <f t="shared" si="77"/>
        <v>Clear</v>
      </c>
    </row>
    <row r="807" spans="1:22">
      <c r="A807">
        <f>Master_Data!A807</f>
        <v>815</v>
      </c>
      <c r="B807">
        <f>Master_Data!B807</f>
        <v>40580</v>
      </c>
      <c r="C807">
        <f>Master_Data!C807</f>
        <v>1</v>
      </c>
      <c r="D807">
        <f>Master_Data!D807</f>
        <v>0</v>
      </c>
      <c r="E807">
        <f>Master_Data!E807</f>
        <v>2</v>
      </c>
      <c r="F807">
        <f>Master_Data!F807</f>
        <v>9</v>
      </c>
      <c r="G807" t="b">
        <f>Master_Data!G807</f>
        <v>0</v>
      </c>
      <c r="H807">
        <f>Master_Data!H807</f>
        <v>0</v>
      </c>
      <c r="I807">
        <f>Master_Data!I807</f>
        <v>1</v>
      </c>
      <c r="J807">
        <f>Master_Data!J807</f>
        <v>0.28000000000000003</v>
      </c>
      <c r="K807">
        <f>Master_Data!K807</f>
        <v>0.28789999999999999</v>
      </c>
      <c r="L807">
        <f>Master_Data!L807</f>
        <v>0.56000000000000005</v>
      </c>
      <c r="M807">
        <f>Master_Data!M807</f>
        <v>0.1045</v>
      </c>
      <c r="N807">
        <f>Master_Data!N807</f>
        <v>7</v>
      </c>
      <c r="O807">
        <f>Master_Data!O807</f>
        <v>38</v>
      </c>
      <c r="P807">
        <f>Master_Data!P807</f>
        <v>45</v>
      </c>
      <c r="Q807" t="str">
        <f t="shared" si="72"/>
        <v>2011</v>
      </c>
      <c r="R807" t="str">
        <f t="shared" si="73"/>
        <v>February</v>
      </c>
      <c r="S807" t="str">
        <f t="shared" si="74"/>
        <v>Sunday</v>
      </c>
      <c r="T807" t="str">
        <f t="shared" si="75"/>
        <v>Morning</v>
      </c>
      <c r="U807" t="str">
        <f t="shared" si="76"/>
        <v>Spring</v>
      </c>
      <c r="V807" t="str">
        <f t="shared" si="77"/>
        <v>Clear</v>
      </c>
    </row>
    <row r="808" spans="1:22">
      <c r="A808">
        <f>Master_Data!A808</f>
        <v>816</v>
      </c>
      <c r="B808">
        <f>Master_Data!B808</f>
        <v>40580</v>
      </c>
      <c r="C808">
        <f>Master_Data!C808</f>
        <v>1</v>
      </c>
      <c r="D808">
        <f>Master_Data!D808</f>
        <v>0</v>
      </c>
      <c r="E808">
        <f>Master_Data!E808</f>
        <v>2</v>
      </c>
      <c r="F808">
        <f>Master_Data!F808</f>
        <v>10</v>
      </c>
      <c r="G808" t="b">
        <f>Master_Data!G808</f>
        <v>0</v>
      </c>
      <c r="H808">
        <f>Master_Data!H808</f>
        <v>0</v>
      </c>
      <c r="I808">
        <f>Master_Data!I808</f>
        <v>1</v>
      </c>
      <c r="J808">
        <f>Master_Data!J808</f>
        <v>0.3</v>
      </c>
      <c r="K808">
        <f>Master_Data!K808</f>
        <v>0.28789999999999999</v>
      </c>
      <c r="L808">
        <f>Master_Data!L808</f>
        <v>0.52</v>
      </c>
      <c r="M808">
        <f>Master_Data!M808</f>
        <v>0.25369999999999998</v>
      </c>
      <c r="N808">
        <f>Master_Data!N808</f>
        <v>15</v>
      </c>
      <c r="O808">
        <f>Master_Data!O808</f>
        <v>74</v>
      </c>
      <c r="P808">
        <f>Master_Data!P808</f>
        <v>89</v>
      </c>
      <c r="Q808" t="str">
        <f t="shared" si="72"/>
        <v>2011</v>
      </c>
      <c r="R808" t="str">
        <f t="shared" si="73"/>
        <v>February</v>
      </c>
      <c r="S808" t="str">
        <f t="shared" si="74"/>
        <v>Sunday</v>
      </c>
      <c r="T808" t="str">
        <f t="shared" si="75"/>
        <v>Morning</v>
      </c>
      <c r="U808" t="str">
        <f t="shared" si="76"/>
        <v>Spring</v>
      </c>
      <c r="V808" t="str">
        <f t="shared" si="77"/>
        <v>Clear</v>
      </c>
    </row>
    <row r="809" spans="1:22">
      <c r="A809">
        <f>Master_Data!A809</f>
        <v>817</v>
      </c>
      <c r="B809">
        <f>Master_Data!B809</f>
        <v>40580</v>
      </c>
      <c r="C809">
        <f>Master_Data!C809</f>
        <v>1</v>
      </c>
      <c r="D809">
        <f>Master_Data!D809</f>
        <v>0</v>
      </c>
      <c r="E809">
        <f>Master_Data!E809</f>
        <v>2</v>
      </c>
      <c r="F809">
        <f>Master_Data!F809</f>
        <v>11</v>
      </c>
      <c r="G809" t="b">
        <f>Master_Data!G809</f>
        <v>0</v>
      </c>
      <c r="H809">
        <f>Master_Data!H809</f>
        <v>0</v>
      </c>
      <c r="I809">
        <f>Master_Data!I809</f>
        <v>1</v>
      </c>
      <c r="J809">
        <f>Master_Data!J809</f>
        <v>0.32</v>
      </c>
      <c r="K809">
        <f>Master_Data!K809</f>
        <v>0.30299999999999999</v>
      </c>
      <c r="L809">
        <f>Master_Data!L809</f>
        <v>0.49</v>
      </c>
      <c r="M809">
        <f>Master_Data!M809</f>
        <v>0.25369999999999998</v>
      </c>
      <c r="N809">
        <f>Master_Data!N809</f>
        <v>28</v>
      </c>
      <c r="O809">
        <f>Master_Data!O809</f>
        <v>89</v>
      </c>
      <c r="P809">
        <f>Master_Data!P809</f>
        <v>117</v>
      </c>
      <c r="Q809" t="str">
        <f t="shared" si="72"/>
        <v>2011</v>
      </c>
      <c r="R809" t="str">
        <f t="shared" si="73"/>
        <v>February</v>
      </c>
      <c r="S809" t="str">
        <f t="shared" si="74"/>
        <v>Sunday</v>
      </c>
      <c r="T809" t="str">
        <f t="shared" si="75"/>
        <v>Morning</v>
      </c>
      <c r="U809" t="str">
        <f t="shared" si="76"/>
        <v>Spring</v>
      </c>
      <c r="V809" t="str">
        <f t="shared" si="77"/>
        <v>Clear</v>
      </c>
    </row>
    <row r="810" spans="1:22">
      <c r="A810">
        <f>Master_Data!A810</f>
        <v>818</v>
      </c>
      <c r="B810">
        <f>Master_Data!B810</f>
        <v>40580</v>
      </c>
      <c r="C810">
        <f>Master_Data!C810</f>
        <v>1</v>
      </c>
      <c r="D810">
        <f>Master_Data!D810</f>
        <v>0</v>
      </c>
      <c r="E810">
        <f>Master_Data!E810</f>
        <v>2</v>
      </c>
      <c r="F810">
        <f>Master_Data!F810</f>
        <v>12</v>
      </c>
      <c r="G810" t="b">
        <f>Master_Data!G810</f>
        <v>0</v>
      </c>
      <c r="H810">
        <f>Master_Data!H810</f>
        <v>0</v>
      </c>
      <c r="I810">
        <f>Master_Data!I810</f>
        <v>1</v>
      </c>
      <c r="J810">
        <f>Master_Data!J810</f>
        <v>0.34</v>
      </c>
      <c r="K810">
        <f>Master_Data!K810</f>
        <v>0.33329999999999999</v>
      </c>
      <c r="L810">
        <f>Master_Data!L810</f>
        <v>0.46</v>
      </c>
      <c r="M810">
        <f>Master_Data!M810</f>
        <v>0</v>
      </c>
      <c r="N810">
        <f>Master_Data!N810</f>
        <v>48</v>
      </c>
      <c r="O810">
        <f>Master_Data!O810</f>
        <v>126</v>
      </c>
      <c r="P810">
        <f>Master_Data!P810</f>
        <v>174</v>
      </c>
      <c r="Q810" t="str">
        <f t="shared" si="72"/>
        <v>2011</v>
      </c>
      <c r="R810" t="str">
        <f t="shared" si="73"/>
        <v>February</v>
      </c>
      <c r="S810" t="str">
        <f t="shared" si="74"/>
        <v>Sunday</v>
      </c>
      <c r="T810" t="str">
        <f t="shared" si="75"/>
        <v>Afternoon</v>
      </c>
      <c r="U810" t="str">
        <f t="shared" si="76"/>
        <v>Spring</v>
      </c>
      <c r="V810" t="str">
        <f t="shared" si="77"/>
        <v>Clear</v>
      </c>
    </row>
    <row r="811" spans="1:22">
      <c r="A811">
        <f>Master_Data!A811</f>
        <v>819</v>
      </c>
      <c r="B811">
        <f>Master_Data!B811</f>
        <v>40580</v>
      </c>
      <c r="C811">
        <f>Master_Data!C811</f>
        <v>1</v>
      </c>
      <c r="D811">
        <f>Master_Data!D811</f>
        <v>0</v>
      </c>
      <c r="E811">
        <f>Master_Data!E811</f>
        <v>2</v>
      </c>
      <c r="F811">
        <f>Master_Data!F811</f>
        <v>13</v>
      </c>
      <c r="G811" t="b">
        <f>Master_Data!G811</f>
        <v>0</v>
      </c>
      <c r="H811">
        <f>Master_Data!H811</f>
        <v>0</v>
      </c>
      <c r="I811">
        <f>Master_Data!I811</f>
        <v>1</v>
      </c>
      <c r="J811">
        <f>Master_Data!J811</f>
        <v>0.34</v>
      </c>
      <c r="K811">
        <f>Master_Data!K811</f>
        <v>0.36359999999999998</v>
      </c>
      <c r="L811">
        <f>Master_Data!L811</f>
        <v>0.46</v>
      </c>
      <c r="M811">
        <f>Master_Data!M811</f>
        <v>0</v>
      </c>
      <c r="N811">
        <f>Master_Data!N811</f>
        <v>47</v>
      </c>
      <c r="O811">
        <f>Master_Data!O811</f>
        <v>135</v>
      </c>
      <c r="P811">
        <f>Master_Data!P811</f>
        <v>182</v>
      </c>
      <c r="Q811" t="str">
        <f t="shared" si="72"/>
        <v>2011</v>
      </c>
      <c r="R811" t="str">
        <f t="shared" si="73"/>
        <v>February</v>
      </c>
      <c r="S811" t="str">
        <f t="shared" si="74"/>
        <v>Sunday</v>
      </c>
      <c r="T811" t="str">
        <f t="shared" si="75"/>
        <v>Afternoon</v>
      </c>
      <c r="U811" t="str">
        <f t="shared" si="76"/>
        <v>Spring</v>
      </c>
      <c r="V811" t="str">
        <f t="shared" si="77"/>
        <v>Clear</v>
      </c>
    </row>
    <row r="812" spans="1:22">
      <c r="A812">
        <f>Master_Data!A812</f>
        <v>820</v>
      </c>
      <c r="B812">
        <f>Master_Data!B812</f>
        <v>40580</v>
      </c>
      <c r="C812">
        <f>Master_Data!C812</f>
        <v>1</v>
      </c>
      <c r="D812">
        <f>Master_Data!D812</f>
        <v>0</v>
      </c>
      <c r="E812">
        <f>Master_Data!E812</f>
        <v>2</v>
      </c>
      <c r="F812">
        <f>Master_Data!F812</f>
        <v>14</v>
      </c>
      <c r="G812" t="b">
        <f>Master_Data!G812</f>
        <v>0</v>
      </c>
      <c r="H812">
        <f>Master_Data!H812</f>
        <v>0</v>
      </c>
      <c r="I812">
        <f>Master_Data!I812</f>
        <v>1</v>
      </c>
      <c r="J812">
        <f>Master_Data!J812</f>
        <v>0.34</v>
      </c>
      <c r="K812">
        <f>Master_Data!K812</f>
        <v>0.34849999999999998</v>
      </c>
      <c r="L812">
        <f>Master_Data!L812</f>
        <v>0.46</v>
      </c>
      <c r="M812">
        <f>Master_Data!M812</f>
        <v>8.9599999999999999E-2</v>
      </c>
      <c r="N812">
        <f>Master_Data!N812</f>
        <v>47</v>
      </c>
      <c r="O812">
        <f>Master_Data!O812</f>
        <v>114</v>
      </c>
      <c r="P812">
        <f>Master_Data!P812</f>
        <v>161</v>
      </c>
      <c r="Q812" t="str">
        <f t="shared" si="72"/>
        <v>2011</v>
      </c>
      <c r="R812" t="str">
        <f t="shared" si="73"/>
        <v>February</v>
      </c>
      <c r="S812" t="str">
        <f t="shared" si="74"/>
        <v>Sunday</v>
      </c>
      <c r="T812" t="str">
        <f t="shared" si="75"/>
        <v>Afternoon</v>
      </c>
      <c r="U812" t="str">
        <f t="shared" si="76"/>
        <v>Spring</v>
      </c>
      <c r="V812" t="str">
        <f t="shared" si="77"/>
        <v>Clear</v>
      </c>
    </row>
    <row r="813" spans="1:22">
      <c r="A813">
        <f>Master_Data!A813</f>
        <v>821</v>
      </c>
      <c r="B813">
        <f>Master_Data!B813</f>
        <v>40580</v>
      </c>
      <c r="C813">
        <f>Master_Data!C813</f>
        <v>1</v>
      </c>
      <c r="D813">
        <f>Master_Data!D813</f>
        <v>0</v>
      </c>
      <c r="E813">
        <f>Master_Data!E813</f>
        <v>2</v>
      </c>
      <c r="F813">
        <f>Master_Data!F813</f>
        <v>15</v>
      </c>
      <c r="G813" t="b">
        <f>Master_Data!G813</f>
        <v>0</v>
      </c>
      <c r="H813">
        <f>Master_Data!H813</f>
        <v>0</v>
      </c>
      <c r="I813">
        <f>Master_Data!I813</f>
        <v>1</v>
      </c>
      <c r="J813">
        <f>Master_Data!J813</f>
        <v>0.34</v>
      </c>
      <c r="K813">
        <f>Master_Data!K813</f>
        <v>0.34849999999999998</v>
      </c>
      <c r="L813">
        <f>Master_Data!L813</f>
        <v>0.46</v>
      </c>
      <c r="M813">
        <f>Master_Data!M813</f>
        <v>8.9599999999999999E-2</v>
      </c>
      <c r="N813">
        <f>Master_Data!N813</f>
        <v>52</v>
      </c>
      <c r="O813">
        <f>Master_Data!O813</f>
        <v>130</v>
      </c>
      <c r="P813">
        <f>Master_Data!P813</f>
        <v>182</v>
      </c>
      <c r="Q813" t="str">
        <f t="shared" si="72"/>
        <v>2011</v>
      </c>
      <c r="R813" t="str">
        <f t="shared" si="73"/>
        <v>February</v>
      </c>
      <c r="S813" t="str">
        <f t="shared" si="74"/>
        <v>Sunday</v>
      </c>
      <c r="T813" t="str">
        <f t="shared" si="75"/>
        <v>Afternoon</v>
      </c>
      <c r="U813" t="str">
        <f t="shared" si="76"/>
        <v>Spring</v>
      </c>
      <c r="V813" t="str">
        <f t="shared" si="77"/>
        <v>Clear</v>
      </c>
    </row>
    <row r="814" spans="1:22">
      <c r="A814">
        <f>Master_Data!A814</f>
        <v>822</v>
      </c>
      <c r="B814">
        <f>Master_Data!B814</f>
        <v>40580</v>
      </c>
      <c r="C814">
        <f>Master_Data!C814</f>
        <v>1</v>
      </c>
      <c r="D814">
        <f>Master_Data!D814</f>
        <v>0</v>
      </c>
      <c r="E814">
        <f>Master_Data!E814</f>
        <v>2</v>
      </c>
      <c r="F814">
        <f>Master_Data!F814</f>
        <v>16</v>
      </c>
      <c r="G814" t="b">
        <f>Master_Data!G814</f>
        <v>0</v>
      </c>
      <c r="H814">
        <f>Master_Data!H814</f>
        <v>0</v>
      </c>
      <c r="I814">
        <f>Master_Data!I814</f>
        <v>1</v>
      </c>
      <c r="J814">
        <f>Master_Data!J814</f>
        <v>0.34</v>
      </c>
      <c r="K814">
        <f>Master_Data!K814</f>
        <v>0.34849999999999998</v>
      </c>
      <c r="L814">
        <f>Master_Data!L814</f>
        <v>0.49</v>
      </c>
      <c r="M814">
        <f>Master_Data!M814</f>
        <v>0.1045</v>
      </c>
      <c r="N814">
        <f>Master_Data!N814</f>
        <v>42</v>
      </c>
      <c r="O814">
        <f>Master_Data!O814</f>
        <v>115</v>
      </c>
      <c r="P814">
        <f>Master_Data!P814</f>
        <v>157</v>
      </c>
      <c r="Q814" t="str">
        <f t="shared" si="72"/>
        <v>2011</v>
      </c>
      <c r="R814" t="str">
        <f t="shared" si="73"/>
        <v>February</v>
      </c>
      <c r="S814" t="str">
        <f t="shared" si="74"/>
        <v>Sunday</v>
      </c>
      <c r="T814" t="str">
        <f t="shared" si="75"/>
        <v>Afternoon</v>
      </c>
      <c r="U814" t="str">
        <f t="shared" si="76"/>
        <v>Spring</v>
      </c>
      <c r="V814" t="str">
        <f t="shared" si="77"/>
        <v>Clear</v>
      </c>
    </row>
    <row r="815" spans="1:22">
      <c r="A815">
        <f>Master_Data!A815</f>
        <v>823</v>
      </c>
      <c r="B815">
        <f>Master_Data!B815</f>
        <v>40580</v>
      </c>
      <c r="C815">
        <f>Master_Data!C815</f>
        <v>1</v>
      </c>
      <c r="D815">
        <f>Master_Data!D815</f>
        <v>0</v>
      </c>
      <c r="E815">
        <f>Master_Data!E815</f>
        <v>2</v>
      </c>
      <c r="F815">
        <f>Master_Data!F815</f>
        <v>17</v>
      </c>
      <c r="G815" t="b">
        <f>Master_Data!G815</f>
        <v>0</v>
      </c>
      <c r="H815">
        <f>Master_Data!H815</f>
        <v>0</v>
      </c>
      <c r="I815">
        <f>Master_Data!I815</f>
        <v>1</v>
      </c>
      <c r="J815">
        <f>Master_Data!J815</f>
        <v>0.34</v>
      </c>
      <c r="K815">
        <f>Master_Data!K815</f>
        <v>0.36359999999999998</v>
      </c>
      <c r="L815">
        <f>Master_Data!L815</f>
        <v>0.46</v>
      </c>
      <c r="M815">
        <f>Master_Data!M815</f>
        <v>0</v>
      </c>
      <c r="N815">
        <f>Master_Data!N815</f>
        <v>24</v>
      </c>
      <c r="O815">
        <f>Master_Data!O815</f>
        <v>97</v>
      </c>
      <c r="P815">
        <f>Master_Data!P815</f>
        <v>121</v>
      </c>
      <c r="Q815" t="str">
        <f t="shared" si="72"/>
        <v>2011</v>
      </c>
      <c r="R815" t="str">
        <f t="shared" si="73"/>
        <v>February</v>
      </c>
      <c r="S815" t="str">
        <f t="shared" si="74"/>
        <v>Sunday</v>
      </c>
      <c r="T815" t="str">
        <f t="shared" si="75"/>
        <v>Evening</v>
      </c>
      <c r="U815" t="str">
        <f t="shared" si="76"/>
        <v>Spring</v>
      </c>
      <c r="V815" t="str">
        <f t="shared" si="77"/>
        <v>Clear</v>
      </c>
    </row>
    <row r="816" spans="1:22">
      <c r="A816">
        <f>Master_Data!A816</f>
        <v>824</v>
      </c>
      <c r="B816">
        <f>Master_Data!B816</f>
        <v>40580</v>
      </c>
      <c r="C816">
        <f>Master_Data!C816</f>
        <v>1</v>
      </c>
      <c r="D816">
        <f>Master_Data!D816</f>
        <v>0</v>
      </c>
      <c r="E816">
        <f>Master_Data!E816</f>
        <v>2</v>
      </c>
      <c r="F816">
        <f>Master_Data!F816</f>
        <v>18</v>
      </c>
      <c r="G816" t="b">
        <f>Master_Data!G816</f>
        <v>0</v>
      </c>
      <c r="H816">
        <f>Master_Data!H816</f>
        <v>0</v>
      </c>
      <c r="I816">
        <f>Master_Data!I816</f>
        <v>1</v>
      </c>
      <c r="J816">
        <f>Master_Data!J816</f>
        <v>0.3</v>
      </c>
      <c r="K816">
        <f>Master_Data!K816</f>
        <v>0.30299999999999999</v>
      </c>
      <c r="L816">
        <f>Master_Data!L816</f>
        <v>0.56000000000000005</v>
      </c>
      <c r="M816">
        <f>Master_Data!M816</f>
        <v>0.16420000000000001</v>
      </c>
      <c r="N816">
        <f>Master_Data!N816</f>
        <v>13</v>
      </c>
      <c r="O816">
        <f>Master_Data!O816</f>
        <v>65</v>
      </c>
      <c r="P816">
        <f>Master_Data!P816</f>
        <v>78</v>
      </c>
      <c r="Q816" t="str">
        <f t="shared" si="72"/>
        <v>2011</v>
      </c>
      <c r="R816" t="str">
        <f t="shared" si="73"/>
        <v>February</v>
      </c>
      <c r="S816" t="str">
        <f t="shared" si="74"/>
        <v>Sunday</v>
      </c>
      <c r="T816" t="str">
        <f t="shared" si="75"/>
        <v>Evening</v>
      </c>
      <c r="U816" t="str">
        <f t="shared" si="76"/>
        <v>Spring</v>
      </c>
      <c r="V816" t="str">
        <f t="shared" si="77"/>
        <v>Clear</v>
      </c>
    </row>
    <row r="817" spans="1:22">
      <c r="A817">
        <f>Master_Data!A817</f>
        <v>825</v>
      </c>
      <c r="B817">
        <f>Master_Data!B817</f>
        <v>40580</v>
      </c>
      <c r="C817">
        <f>Master_Data!C817</f>
        <v>1</v>
      </c>
      <c r="D817">
        <f>Master_Data!D817</f>
        <v>0</v>
      </c>
      <c r="E817">
        <f>Master_Data!E817</f>
        <v>2</v>
      </c>
      <c r="F817">
        <f>Master_Data!F817</f>
        <v>19</v>
      </c>
      <c r="G817" t="b">
        <f>Master_Data!G817</f>
        <v>0</v>
      </c>
      <c r="H817">
        <f>Master_Data!H817</f>
        <v>0</v>
      </c>
      <c r="I817">
        <f>Master_Data!I817</f>
        <v>1</v>
      </c>
      <c r="J817">
        <f>Master_Data!J817</f>
        <v>0.28000000000000003</v>
      </c>
      <c r="K817">
        <f>Master_Data!K817</f>
        <v>0.28789999999999999</v>
      </c>
      <c r="L817">
        <f>Master_Data!L817</f>
        <v>0.61</v>
      </c>
      <c r="M817">
        <f>Master_Data!M817</f>
        <v>0.1343</v>
      </c>
      <c r="N817">
        <f>Master_Data!N817</f>
        <v>1</v>
      </c>
      <c r="O817">
        <f>Master_Data!O817</f>
        <v>20</v>
      </c>
      <c r="P817">
        <f>Master_Data!P817</f>
        <v>21</v>
      </c>
      <c r="Q817" t="str">
        <f t="shared" si="72"/>
        <v>2011</v>
      </c>
      <c r="R817" t="str">
        <f t="shared" si="73"/>
        <v>February</v>
      </c>
      <c r="S817" t="str">
        <f t="shared" si="74"/>
        <v>Sunday</v>
      </c>
      <c r="T817" t="str">
        <f t="shared" si="75"/>
        <v>Evening</v>
      </c>
      <c r="U817" t="str">
        <f t="shared" si="76"/>
        <v>Spring</v>
      </c>
      <c r="V817" t="str">
        <f t="shared" si="77"/>
        <v>Clear</v>
      </c>
    </row>
    <row r="818" spans="1:22">
      <c r="A818">
        <f>Master_Data!A818</f>
        <v>826</v>
      </c>
      <c r="B818">
        <f>Master_Data!B818</f>
        <v>40580</v>
      </c>
      <c r="C818">
        <f>Master_Data!C818</f>
        <v>1</v>
      </c>
      <c r="D818">
        <f>Master_Data!D818</f>
        <v>0</v>
      </c>
      <c r="E818">
        <f>Master_Data!E818</f>
        <v>2</v>
      </c>
      <c r="F818">
        <f>Master_Data!F818</f>
        <v>20</v>
      </c>
      <c r="G818" t="b">
        <f>Master_Data!G818</f>
        <v>0</v>
      </c>
      <c r="H818">
        <f>Master_Data!H818</f>
        <v>0</v>
      </c>
      <c r="I818">
        <f>Master_Data!I818</f>
        <v>1</v>
      </c>
      <c r="J818">
        <f>Master_Data!J818</f>
        <v>0.28000000000000003</v>
      </c>
      <c r="K818">
        <f>Master_Data!K818</f>
        <v>0.28789999999999999</v>
      </c>
      <c r="L818">
        <f>Master_Data!L818</f>
        <v>0.61</v>
      </c>
      <c r="M818">
        <f>Master_Data!M818</f>
        <v>0.1045</v>
      </c>
      <c r="N818">
        <f>Master_Data!N818</f>
        <v>5</v>
      </c>
      <c r="O818">
        <f>Master_Data!O818</f>
        <v>21</v>
      </c>
      <c r="P818">
        <f>Master_Data!P818</f>
        <v>26</v>
      </c>
      <c r="Q818" t="str">
        <f t="shared" si="72"/>
        <v>2011</v>
      </c>
      <c r="R818" t="str">
        <f t="shared" si="73"/>
        <v>February</v>
      </c>
      <c r="S818" t="str">
        <f t="shared" si="74"/>
        <v>Sunday</v>
      </c>
      <c r="T818" t="str">
        <f t="shared" si="75"/>
        <v>Evening</v>
      </c>
      <c r="U818" t="str">
        <f t="shared" si="76"/>
        <v>Spring</v>
      </c>
      <c r="V818" t="str">
        <f t="shared" si="77"/>
        <v>Clear</v>
      </c>
    </row>
    <row r="819" spans="1:22">
      <c r="A819">
        <f>Master_Data!A819</f>
        <v>827</v>
      </c>
      <c r="B819">
        <f>Master_Data!B819</f>
        <v>40580</v>
      </c>
      <c r="C819">
        <f>Master_Data!C819</f>
        <v>1</v>
      </c>
      <c r="D819">
        <f>Master_Data!D819</f>
        <v>0</v>
      </c>
      <c r="E819">
        <f>Master_Data!E819</f>
        <v>2</v>
      </c>
      <c r="F819">
        <f>Master_Data!F819</f>
        <v>21</v>
      </c>
      <c r="G819" t="b">
        <f>Master_Data!G819</f>
        <v>0</v>
      </c>
      <c r="H819">
        <f>Master_Data!H819</f>
        <v>0</v>
      </c>
      <c r="I819">
        <f>Master_Data!I819</f>
        <v>1</v>
      </c>
      <c r="J819">
        <f>Master_Data!J819</f>
        <v>0.26</v>
      </c>
      <c r="K819">
        <f>Master_Data!K819</f>
        <v>0.30299999999999999</v>
      </c>
      <c r="L819">
        <f>Master_Data!L819</f>
        <v>0.6</v>
      </c>
      <c r="M819">
        <f>Master_Data!M819</f>
        <v>0</v>
      </c>
      <c r="N819">
        <f>Master_Data!N819</f>
        <v>5</v>
      </c>
      <c r="O819">
        <f>Master_Data!O819</f>
        <v>22</v>
      </c>
      <c r="P819">
        <f>Master_Data!P819</f>
        <v>27</v>
      </c>
      <c r="Q819" t="str">
        <f t="shared" si="72"/>
        <v>2011</v>
      </c>
      <c r="R819" t="str">
        <f t="shared" si="73"/>
        <v>February</v>
      </c>
      <c r="S819" t="str">
        <f t="shared" si="74"/>
        <v>Sunday</v>
      </c>
      <c r="T819" t="str">
        <f t="shared" si="75"/>
        <v>Night</v>
      </c>
      <c r="U819" t="str">
        <f t="shared" si="76"/>
        <v>Spring</v>
      </c>
      <c r="V819" t="str">
        <f t="shared" si="77"/>
        <v>Clear</v>
      </c>
    </row>
    <row r="820" spans="1:22">
      <c r="A820">
        <f>Master_Data!A820</f>
        <v>828</v>
      </c>
      <c r="B820">
        <f>Master_Data!B820</f>
        <v>40580</v>
      </c>
      <c r="C820">
        <f>Master_Data!C820</f>
        <v>1</v>
      </c>
      <c r="D820">
        <f>Master_Data!D820</f>
        <v>0</v>
      </c>
      <c r="E820">
        <f>Master_Data!E820</f>
        <v>2</v>
      </c>
      <c r="F820">
        <f>Master_Data!F820</f>
        <v>22</v>
      </c>
      <c r="G820" t="b">
        <f>Master_Data!G820</f>
        <v>0</v>
      </c>
      <c r="H820">
        <f>Master_Data!H820</f>
        <v>0</v>
      </c>
      <c r="I820">
        <f>Master_Data!I820</f>
        <v>1</v>
      </c>
      <c r="J820">
        <f>Master_Data!J820</f>
        <v>0.26</v>
      </c>
      <c r="K820">
        <f>Master_Data!K820</f>
        <v>0.30299999999999999</v>
      </c>
      <c r="L820">
        <f>Master_Data!L820</f>
        <v>0.6</v>
      </c>
      <c r="M820">
        <f>Master_Data!M820</f>
        <v>0</v>
      </c>
      <c r="N820">
        <f>Master_Data!N820</f>
        <v>5</v>
      </c>
      <c r="O820">
        <f>Master_Data!O820</f>
        <v>57</v>
      </c>
      <c r="P820">
        <f>Master_Data!P820</f>
        <v>62</v>
      </c>
      <c r="Q820" t="str">
        <f t="shared" si="72"/>
        <v>2011</v>
      </c>
      <c r="R820" t="str">
        <f t="shared" si="73"/>
        <v>February</v>
      </c>
      <c r="S820" t="str">
        <f t="shared" si="74"/>
        <v>Sunday</v>
      </c>
      <c r="T820" t="str">
        <f t="shared" si="75"/>
        <v>Night</v>
      </c>
      <c r="U820" t="str">
        <f t="shared" si="76"/>
        <v>Spring</v>
      </c>
      <c r="V820" t="str">
        <f t="shared" si="77"/>
        <v>Clear</v>
      </c>
    </row>
    <row r="821" spans="1:22">
      <c r="A821">
        <f>Master_Data!A821</f>
        <v>829</v>
      </c>
      <c r="B821">
        <f>Master_Data!B821</f>
        <v>40580</v>
      </c>
      <c r="C821">
        <f>Master_Data!C821</f>
        <v>1</v>
      </c>
      <c r="D821">
        <f>Master_Data!D821</f>
        <v>0</v>
      </c>
      <c r="E821">
        <f>Master_Data!E821</f>
        <v>2</v>
      </c>
      <c r="F821">
        <f>Master_Data!F821</f>
        <v>23</v>
      </c>
      <c r="G821" t="b">
        <f>Master_Data!G821</f>
        <v>0</v>
      </c>
      <c r="H821">
        <f>Master_Data!H821</f>
        <v>0</v>
      </c>
      <c r="I821">
        <f>Master_Data!I821</f>
        <v>1</v>
      </c>
      <c r="J821">
        <f>Master_Data!J821</f>
        <v>0.24</v>
      </c>
      <c r="K821">
        <f>Master_Data!K821</f>
        <v>0.28789999999999999</v>
      </c>
      <c r="L821">
        <f>Master_Data!L821</f>
        <v>0.65</v>
      </c>
      <c r="M821">
        <f>Master_Data!M821</f>
        <v>0</v>
      </c>
      <c r="N821">
        <f>Master_Data!N821</f>
        <v>4</v>
      </c>
      <c r="O821">
        <f>Master_Data!O821</f>
        <v>26</v>
      </c>
      <c r="P821">
        <f>Master_Data!P821</f>
        <v>30</v>
      </c>
      <c r="Q821" t="str">
        <f t="shared" si="72"/>
        <v>2011</v>
      </c>
      <c r="R821" t="str">
        <f t="shared" si="73"/>
        <v>February</v>
      </c>
      <c r="S821" t="str">
        <f t="shared" si="74"/>
        <v>Sunday</v>
      </c>
      <c r="T821" t="str">
        <f t="shared" si="75"/>
        <v>Night</v>
      </c>
      <c r="U821" t="str">
        <f t="shared" si="76"/>
        <v>Spring</v>
      </c>
      <c r="V821" t="str">
        <f t="shared" si="77"/>
        <v>Clear</v>
      </c>
    </row>
    <row r="822" spans="1:22">
      <c r="A822">
        <f>Master_Data!A822</f>
        <v>830</v>
      </c>
      <c r="B822">
        <f>Master_Data!B822</f>
        <v>40581</v>
      </c>
      <c r="C822">
        <f>Master_Data!C822</f>
        <v>1</v>
      </c>
      <c r="D822">
        <f>Master_Data!D822</f>
        <v>0</v>
      </c>
      <c r="E822">
        <f>Master_Data!E822</f>
        <v>2</v>
      </c>
      <c r="F822">
        <f>Master_Data!F822</f>
        <v>0</v>
      </c>
      <c r="G822" t="b">
        <f>Master_Data!G822</f>
        <v>0</v>
      </c>
      <c r="H822">
        <f>Master_Data!H822</f>
        <v>1</v>
      </c>
      <c r="I822">
        <f>Master_Data!I822</f>
        <v>1</v>
      </c>
      <c r="J822">
        <f>Master_Data!J822</f>
        <v>0.24</v>
      </c>
      <c r="K822">
        <f>Master_Data!K822</f>
        <v>0.28789999999999999</v>
      </c>
      <c r="L822">
        <f>Master_Data!L822</f>
        <v>0.65</v>
      </c>
      <c r="M822">
        <f>Master_Data!M822</f>
        <v>0</v>
      </c>
      <c r="N822">
        <f>Master_Data!N822</f>
        <v>1</v>
      </c>
      <c r="O822">
        <f>Master_Data!O822</f>
        <v>14</v>
      </c>
      <c r="P822">
        <f>Master_Data!P822</f>
        <v>15</v>
      </c>
      <c r="Q822" t="str">
        <f t="shared" si="72"/>
        <v>2011</v>
      </c>
      <c r="R822" t="str">
        <f t="shared" si="73"/>
        <v>February</v>
      </c>
      <c r="S822" t="str">
        <f t="shared" si="74"/>
        <v>Weekday</v>
      </c>
      <c r="T822" t="str">
        <f t="shared" si="75"/>
        <v>Night</v>
      </c>
      <c r="U822" t="str">
        <f t="shared" si="76"/>
        <v>Spring</v>
      </c>
      <c r="V822" t="str">
        <f t="shared" si="77"/>
        <v>Clear</v>
      </c>
    </row>
    <row r="823" spans="1:22">
      <c r="A823">
        <f>Master_Data!A823</f>
        <v>831</v>
      </c>
      <c r="B823">
        <f>Master_Data!B823</f>
        <v>40581</v>
      </c>
      <c r="C823">
        <f>Master_Data!C823</f>
        <v>1</v>
      </c>
      <c r="D823">
        <f>Master_Data!D823</f>
        <v>0</v>
      </c>
      <c r="E823">
        <f>Master_Data!E823</f>
        <v>2</v>
      </c>
      <c r="F823">
        <f>Master_Data!F823</f>
        <v>1</v>
      </c>
      <c r="G823" t="b">
        <f>Master_Data!G823</f>
        <v>0</v>
      </c>
      <c r="H823">
        <f>Master_Data!H823</f>
        <v>1</v>
      </c>
      <c r="I823">
        <f>Master_Data!I823</f>
        <v>1</v>
      </c>
      <c r="J823">
        <f>Master_Data!J823</f>
        <v>0.22</v>
      </c>
      <c r="K823">
        <f>Master_Data!K823</f>
        <v>0.2727</v>
      </c>
      <c r="L823">
        <f>Master_Data!L823</f>
        <v>0.75</v>
      </c>
      <c r="M823">
        <f>Master_Data!M823</f>
        <v>0</v>
      </c>
      <c r="N823">
        <f>Master_Data!N823</f>
        <v>1</v>
      </c>
      <c r="O823">
        <f>Master_Data!O823</f>
        <v>4</v>
      </c>
      <c r="P823">
        <f>Master_Data!P823</f>
        <v>5</v>
      </c>
      <c r="Q823" t="str">
        <f t="shared" si="72"/>
        <v>2011</v>
      </c>
      <c r="R823" t="str">
        <f t="shared" si="73"/>
        <v>February</v>
      </c>
      <c r="S823" t="str">
        <f t="shared" si="74"/>
        <v>Weekday</v>
      </c>
      <c r="T823" t="str">
        <f t="shared" si="75"/>
        <v>Night</v>
      </c>
      <c r="U823" t="str">
        <f t="shared" si="76"/>
        <v>Spring</v>
      </c>
      <c r="V823" t="str">
        <f t="shared" si="77"/>
        <v>Clear</v>
      </c>
    </row>
    <row r="824" spans="1:22">
      <c r="A824">
        <f>Master_Data!A824</f>
        <v>832</v>
      </c>
      <c r="B824">
        <f>Master_Data!B824</f>
        <v>40581</v>
      </c>
      <c r="C824">
        <f>Master_Data!C824</f>
        <v>1</v>
      </c>
      <c r="D824">
        <f>Master_Data!D824</f>
        <v>0</v>
      </c>
      <c r="E824">
        <f>Master_Data!E824</f>
        <v>2</v>
      </c>
      <c r="F824">
        <f>Master_Data!F824</f>
        <v>2</v>
      </c>
      <c r="G824" t="b">
        <f>Master_Data!G824</f>
        <v>0</v>
      </c>
      <c r="H824">
        <f>Master_Data!H824</f>
        <v>1</v>
      </c>
      <c r="I824">
        <f>Master_Data!I824</f>
        <v>1</v>
      </c>
      <c r="J824">
        <f>Master_Data!J824</f>
        <v>0.2</v>
      </c>
      <c r="K824">
        <f>Master_Data!K824</f>
        <v>0.2576</v>
      </c>
      <c r="L824">
        <f>Master_Data!L824</f>
        <v>0.8</v>
      </c>
      <c r="M824">
        <f>Master_Data!M824</f>
        <v>0</v>
      </c>
      <c r="N824">
        <f>Master_Data!N824</f>
        <v>0</v>
      </c>
      <c r="O824">
        <f>Master_Data!O824</f>
        <v>3</v>
      </c>
      <c r="P824">
        <f>Master_Data!P824</f>
        <v>3</v>
      </c>
      <c r="Q824" t="str">
        <f t="shared" si="72"/>
        <v>2011</v>
      </c>
      <c r="R824" t="str">
        <f t="shared" si="73"/>
        <v>February</v>
      </c>
      <c r="S824" t="str">
        <f t="shared" si="74"/>
        <v>Weekday</v>
      </c>
      <c r="T824" t="str">
        <f t="shared" si="75"/>
        <v>Night</v>
      </c>
      <c r="U824" t="str">
        <f t="shared" si="76"/>
        <v>Spring</v>
      </c>
      <c r="V824" t="str">
        <f t="shared" si="77"/>
        <v>Clear</v>
      </c>
    </row>
    <row r="825" spans="1:22">
      <c r="A825">
        <f>Master_Data!A825</f>
        <v>833</v>
      </c>
      <c r="B825">
        <f>Master_Data!B825</f>
        <v>40581</v>
      </c>
      <c r="C825">
        <f>Master_Data!C825</f>
        <v>1</v>
      </c>
      <c r="D825">
        <f>Master_Data!D825</f>
        <v>0</v>
      </c>
      <c r="E825">
        <f>Master_Data!E825</f>
        <v>2</v>
      </c>
      <c r="F825">
        <f>Master_Data!F825</f>
        <v>3</v>
      </c>
      <c r="G825" t="b">
        <f>Master_Data!G825</f>
        <v>0</v>
      </c>
      <c r="H825">
        <f>Master_Data!H825</f>
        <v>1</v>
      </c>
      <c r="I825">
        <f>Master_Data!I825</f>
        <v>1</v>
      </c>
      <c r="J825">
        <f>Master_Data!J825</f>
        <v>0.2</v>
      </c>
      <c r="K825">
        <f>Master_Data!K825</f>
        <v>0.2576</v>
      </c>
      <c r="L825">
        <f>Master_Data!L825</f>
        <v>0.86</v>
      </c>
      <c r="M825">
        <f>Master_Data!M825</f>
        <v>0</v>
      </c>
      <c r="N825">
        <f>Master_Data!N825</f>
        <v>0</v>
      </c>
      <c r="O825">
        <f>Master_Data!O825</f>
        <v>1</v>
      </c>
      <c r="P825">
        <f>Master_Data!P825</f>
        <v>1</v>
      </c>
      <c r="Q825" t="str">
        <f t="shared" si="72"/>
        <v>2011</v>
      </c>
      <c r="R825" t="str">
        <f t="shared" si="73"/>
        <v>February</v>
      </c>
      <c r="S825" t="str">
        <f t="shared" si="74"/>
        <v>Weekday</v>
      </c>
      <c r="T825" t="str">
        <f t="shared" si="75"/>
        <v>Night</v>
      </c>
      <c r="U825" t="str">
        <f t="shared" si="76"/>
        <v>Spring</v>
      </c>
      <c r="V825" t="str">
        <f t="shared" si="77"/>
        <v>Clear</v>
      </c>
    </row>
    <row r="826" spans="1:22">
      <c r="A826">
        <f>Master_Data!A826</f>
        <v>834</v>
      </c>
      <c r="B826">
        <f>Master_Data!B826</f>
        <v>40581</v>
      </c>
      <c r="C826">
        <f>Master_Data!C826</f>
        <v>1</v>
      </c>
      <c r="D826">
        <f>Master_Data!D826</f>
        <v>0</v>
      </c>
      <c r="E826">
        <f>Master_Data!E826</f>
        <v>2</v>
      </c>
      <c r="F826">
        <f>Master_Data!F826</f>
        <v>4</v>
      </c>
      <c r="G826" t="b">
        <f>Master_Data!G826</f>
        <v>0</v>
      </c>
      <c r="H826">
        <f>Master_Data!H826</f>
        <v>1</v>
      </c>
      <c r="I826">
        <f>Master_Data!I826</f>
        <v>1</v>
      </c>
      <c r="J826">
        <f>Master_Data!J826</f>
        <v>0.2</v>
      </c>
      <c r="K826">
        <f>Master_Data!K826</f>
        <v>0.2576</v>
      </c>
      <c r="L826">
        <f>Master_Data!L826</f>
        <v>0.86</v>
      </c>
      <c r="M826">
        <f>Master_Data!M826</f>
        <v>0</v>
      </c>
      <c r="N826">
        <f>Master_Data!N826</f>
        <v>1</v>
      </c>
      <c r="O826">
        <f>Master_Data!O826</f>
        <v>1</v>
      </c>
      <c r="P826">
        <f>Master_Data!P826</f>
        <v>2</v>
      </c>
      <c r="Q826" t="str">
        <f t="shared" si="72"/>
        <v>2011</v>
      </c>
      <c r="R826" t="str">
        <f t="shared" si="73"/>
        <v>February</v>
      </c>
      <c r="S826" t="str">
        <f t="shared" si="74"/>
        <v>Weekday</v>
      </c>
      <c r="T826" t="str">
        <f t="shared" si="75"/>
        <v>Night</v>
      </c>
      <c r="U826" t="str">
        <f t="shared" si="76"/>
        <v>Spring</v>
      </c>
      <c r="V826" t="str">
        <f t="shared" si="77"/>
        <v>Clear</v>
      </c>
    </row>
    <row r="827" spans="1:22">
      <c r="A827">
        <f>Master_Data!A827</f>
        <v>835</v>
      </c>
      <c r="B827">
        <f>Master_Data!B827</f>
        <v>40581</v>
      </c>
      <c r="C827">
        <f>Master_Data!C827</f>
        <v>1</v>
      </c>
      <c r="D827">
        <f>Master_Data!D827</f>
        <v>0</v>
      </c>
      <c r="E827">
        <f>Master_Data!E827</f>
        <v>2</v>
      </c>
      <c r="F827">
        <f>Master_Data!F827</f>
        <v>5</v>
      </c>
      <c r="G827" t="b">
        <f>Master_Data!G827</f>
        <v>0</v>
      </c>
      <c r="H827">
        <f>Master_Data!H827</f>
        <v>1</v>
      </c>
      <c r="I827">
        <f>Master_Data!I827</f>
        <v>1</v>
      </c>
      <c r="J827">
        <f>Master_Data!J827</f>
        <v>0.2</v>
      </c>
      <c r="K827">
        <f>Master_Data!K827</f>
        <v>0.2576</v>
      </c>
      <c r="L827">
        <f>Master_Data!L827</f>
        <v>0.86</v>
      </c>
      <c r="M827">
        <f>Master_Data!M827</f>
        <v>0</v>
      </c>
      <c r="N827">
        <f>Master_Data!N827</f>
        <v>1</v>
      </c>
      <c r="O827">
        <f>Master_Data!O827</f>
        <v>9</v>
      </c>
      <c r="P827">
        <f>Master_Data!P827</f>
        <v>10</v>
      </c>
      <c r="Q827" t="str">
        <f t="shared" si="72"/>
        <v>2011</v>
      </c>
      <c r="R827" t="str">
        <f t="shared" si="73"/>
        <v>February</v>
      </c>
      <c r="S827" t="str">
        <f t="shared" si="74"/>
        <v>Weekday</v>
      </c>
      <c r="T827" t="str">
        <f t="shared" si="75"/>
        <v>Night</v>
      </c>
      <c r="U827" t="str">
        <f t="shared" si="76"/>
        <v>Spring</v>
      </c>
      <c r="V827" t="str">
        <f t="shared" si="77"/>
        <v>Clear</v>
      </c>
    </row>
    <row r="828" spans="1:22">
      <c r="A828">
        <f>Master_Data!A828</f>
        <v>836</v>
      </c>
      <c r="B828">
        <f>Master_Data!B828</f>
        <v>40581</v>
      </c>
      <c r="C828">
        <f>Master_Data!C828</f>
        <v>1</v>
      </c>
      <c r="D828">
        <f>Master_Data!D828</f>
        <v>0</v>
      </c>
      <c r="E828">
        <f>Master_Data!E828</f>
        <v>2</v>
      </c>
      <c r="F828">
        <f>Master_Data!F828</f>
        <v>6</v>
      </c>
      <c r="G828" t="b">
        <f>Master_Data!G828</f>
        <v>0</v>
      </c>
      <c r="H828">
        <f>Master_Data!H828</f>
        <v>1</v>
      </c>
      <c r="I828">
        <f>Master_Data!I828</f>
        <v>1</v>
      </c>
      <c r="J828">
        <f>Master_Data!J828</f>
        <v>0.18</v>
      </c>
      <c r="K828">
        <f>Master_Data!K828</f>
        <v>0.2424</v>
      </c>
      <c r="L828">
        <f>Master_Data!L828</f>
        <v>0.93</v>
      </c>
      <c r="M828">
        <f>Master_Data!M828</f>
        <v>0</v>
      </c>
      <c r="N828">
        <f>Master_Data!N828</f>
        <v>1</v>
      </c>
      <c r="O828">
        <f>Master_Data!O828</f>
        <v>29</v>
      </c>
      <c r="P828">
        <f>Master_Data!P828</f>
        <v>30</v>
      </c>
      <c r="Q828" t="str">
        <f t="shared" si="72"/>
        <v>2011</v>
      </c>
      <c r="R828" t="str">
        <f t="shared" si="73"/>
        <v>February</v>
      </c>
      <c r="S828" t="str">
        <f t="shared" si="74"/>
        <v>Weekday</v>
      </c>
      <c r="T828" t="str">
        <f t="shared" si="75"/>
        <v>Morning</v>
      </c>
      <c r="U828" t="str">
        <f t="shared" si="76"/>
        <v>Spring</v>
      </c>
      <c r="V828" t="str">
        <f t="shared" si="77"/>
        <v>Clear</v>
      </c>
    </row>
    <row r="829" spans="1:22">
      <c r="A829">
        <f>Master_Data!A829</f>
        <v>837</v>
      </c>
      <c r="B829">
        <f>Master_Data!B829</f>
        <v>40581</v>
      </c>
      <c r="C829">
        <f>Master_Data!C829</f>
        <v>1</v>
      </c>
      <c r="D829">
        <f>Master_Data!D829</f>
        <v>0</v>
      </c>
      <c r="E829">
        <f>Master_Data!E829</f>
        <v>2</v>
      </c>
      <c r="F829">
        <f>Master_Data!F829</f>
        <v>7</v>
      </c>
      <c r="G829" t="b">
        <f>Master_Data!G829</f>
        <v>0</v>
      </c>
      <c r="H829">
        <f>Master_Data!H829</f>
        <v>1</v>
      </c>
      <c r="I829">
        <f>Master_Data!I829</f>
        <v>1</v>
      </c>
      <c r="J829">
        <f>Master_Data!J829</f>
        <v>0.18</v>
      </c>
      <c r="K829">
        <f>Master_Data!K829</f>
        <v>0.2424</v>
      </c>
      <c r="L829">
        <f>Master_Data!L829</f>
        <v>0.86</v>
      </c>
      <c r="M829">
        <f>Master_Data!M829</f>
        <v>0</v>
      </c>
      <c r="N829">
        <f>Master_Data!N829</f>
        <v>6</v>
      </c>
      <c r="O829">
        <f>Master_Data!O829</f>
        <v>89</v>
      </c>
      <c r="P829">
        <f>Master_Data!P829</f>
        <v>95</v>
      </c>
      <c r="Q829" t="str">
        <f t="shared" si="72"/>
        <v>2011</v>
      </c>
      <c r="R829" t="str">
        <f t="shared" si="73"/>
        <v>February</v>
      </c>
      <c r="S829" t="str">
        <f t="shared" si="74"/>
        <v>Weekday</v>
      </c>
      <c r="T829" t="str">
        <f t="shared" si="75"/>
        <v>Morning</v>
      </c>
      <c r="U829" t="str">
        <f t="shared" si="76"/>
        <v>Spring</v>
      </c>
      <c r="V829" t="str">
        <f t="shared" si="77"/>
        <v>Clear</v>
      </c>
    </row>
    <row r="830" spans="1:22">
      <c r="A830">
        <f>Master_Data!A830</f>
        <v>838</v>
      </c>
      <c r="B830">
        <f>Master_Data!B830</f>
        <v>40581</v>
      </c>
      <c r="C830">
        <f>Master_Data!C830</f>
        <v>1</v>
      </c>
      <c r="D830">
        <f>Master_Data!D830</f>
        <v>0</v>
      </c>
      <c r="E830">
        <f>Master_Data!E830</f>
        <v>2</v>
      </c>
      <c r="F830">
        <f>Master_Data!F830</f>
        <v>8</v>
      </c>
      <c r="G830" t="b">
        <f>Master_Data!G830</f>
        <v>0</v>
      </c>
      <c r="H830">
        <f>Master_Data!H830</f>
        <v>1</v>
      </c>
      <c r="I830">
        <f>Master_Data!I830</f>
        <v>2</v>
      </c>
      <c r="J830">
        <f>Master_Data!J830</f>
        <v>0.16</v>
      </c>
      <c r="K830">
        <f>Master_Data!K830</f>
        <v>0.2273</v>
      </c>
      <c r="L830">
        <f>Master_Data!L830</f>
        <v>1</v>
      </c>
      <c r="M830">
        <f>Master_Data!M830</f>
        <v>0</v>
      </c>
      <c r="N830">
        <f>Master_Data!N830</f>
        <v>7</v>
      </c>
      <c r="O830">
        <f>Master_Data!O830</f>
        <v>223</v>
      </c>
      <c r="P830">
        <f>Master_Data!P830</f>
        <v>230</v>
      </c>
      <c r="Q830" t="str">
        <f t="shared" si="72"/>
        <v>2011</v>
      </c>
      <c r="R830" t="str">
        <f t="shared" si="73"/>
        <v>February</v>
      </c>
      <c r="S830" t="str">
        <f t="shared" si="74"/>
        <v>Weekday</v>
      </c>
      <c r="T830" t="str">
        <f t="shared" si="75"/>
        <v>Morning</v>
      </c>
      <c r="U830" t="str">
        <f t="shared" si="76"/>
        <v>Spring</v>
      </c>
      <c r="V830" t="str">
        <f t="shared" si="77"/>
        <v>Mist/Cloudy</v>
      </c>
    </row>
    <row r="831" spans="1:22">
      <c r="A831">
        <f>Master_Data!A831</f>
        <v>839</v>
      </c>
      <c r="B831">
        <f>Master_Data!B831</f>
        <v>40581</v>
      </c>
      <c r="C831">
        <f>Master_Data!C831</f>
        <v>1</v>
      </c>
      <c r="D831">
        <f>Master_Data!D831</f>
        <v>0</v>
      </c>
      <c r="E831">
        <f>Master_Data!E831</f>
        <v>2</v>
      </c>
      <c r="F831">
        <f>Master_Data!F831</f>
        <v>9</v>
      </c>
      <c r="G831" t="b">
        <f>Master_Data!G831</f>
        <v>0</v>
      </c>
      <c r="H831">
        <f>Master_Data!H831</f>
        <v>1</v>
      </c>
      <c r="I831">
        <f>Master_Data!I831</f>
        <v>1</v>
      </c>
      <c r="J831">
        <f>Master_Data!J831</f>
        <v>0.22</v>
      </c>
      <c r="K831">
        <f>Master_Data!K831</f>
        <v>0.2727</v>
      </c>
      <c r="L831">
        <f>Master_Data!L831</f>
        <v>0.8</v>
      </c>
      <c r="M831">
        <f>Master_Data!M831</f>
        <v>0</v>
      </c>
      <c r="N831">
        <f>Master_Data!N831</f>
        <v>3</v>
      </c>
      <c r="O831">
        <f>Master_Data!O831</f>
        <v>115</v>
      </c>
      <c r="P831">
        <f>Master_Data!P831</f>
        <v>118</v>
      </c>
      <c r="Q831" t="str">
        <f t="shared" si="72"/>
        <v>2011</v>
      </c>
      <c r="R831" t="str">
        <f t="shared" si="73"/>
        <v>February</v>
      </c>
      <c r="S831" t="str">
        <f t="shared" si="74"/>
        <v>Weekday</v>
      </c>
      <c r="T831" t="str">
        <f t="shared" si="75"/>
        <v>Morning</v>
      </c>
      <c r="U831" t="str">
        <f t="shared" si="76"/>
        <v>Spring</v>
      </c>
      <c r="V831" t="str">
        <f t="shared" si="77"/>
        <v>Clear</v>
      </c>
    </row>
    <row r="832" spans="1:22">
      <c r="A832">
        <f>Master_Data!A832</f>
        <v>840</v>
      </c>
      <c r="B832">
        <f>Master_Data!B832</f>
        <v>40581</v>
      </c>
      <c r="C832">
        <f>Master_Data!C832</f>
        <v>1</v>
      </c>
      <c r="D832">
        <f>Master_Data!D832</f>
        <v>0</v>
      </c>
      <c r="E832">
        <f>Master_Data!E832</f>
        <v>2</v>
      </c>
      <c r="F832">
        <f>Master_Data!F832</f>
        <v>10</v>
      </c>
      <c r="G832" t="b">
        <f>Master_Data!G832</f>
        <v>0</v>
      </c>
      <c r="H832">
        <f>Master_Data!H832</f>
        <v>1</v>
      </c>
      <c r="I832">
        <f>Master_Data!I832</f>
        <v>1</v>
      </c>
      <c r="J832">
        <f>Master_Data!J832</f>
        <v>0.24</v>
      </c>
      <c r="K832">
        <f>Master_Data!K832</f>
        <v>0.2576</v>
      </c>
      <c r="L832">
        <f>Master_Data!L832</f>
        <v>0.75</v>
      </c>
      <c r="M832">
        <f>Master_Data!M832</f>
        <v>0.1045</v>
      </c>
      <c r="N832">
        <f>Master_Data!N832</f>
        <v>6</v>
      </c>
      <c r="O832">
        <f>Master_Data!O832</f>
        <v>49</v>
      </c>
      <c r="P832">
        <f>Master_Data!P832</f>
        <v>55</v>
      </c>
      <c r="Q832" t="str">
        <f t="shared" si="72"/>
        <v>2011</v>
      </c>
      <c r="R832" t="str">
        <f t="shared" si="73"/>
        <v>February</v>
      </c>
      <c r="S832" t="str">
        <f t="shared" si="74"/>
        <v>Weekday</v>
      </c>
      <c r="T832" t="str">
        <f t="shared" si="75"/>
        <v>Morning</v>
      </c>
      <c r="U832" t="str">
        <f t="shared" si="76"/>
        <v>Spring</v>
      </c>
      <c r="V832" t="str">
        <f t="shared" si="77"/>
        <v>Clear</v>
      </c>
    </row>
    <row r="833" spans="1:22">
      <c r="A833">
        <f>Master_Data!A833</f>
        <v>841</v>
      </c>
      <c r="B833">
        <f>Master_Data!B833</f>
        <v>40581</v>
      </c>
      <c r="C833">
        <f>Master_Data!C833</f>
        <v>1</v>
      </c>
      <c r="D833">
        <f>Master_Data!D833</f>
        <v>0</v>
      </c>
      <c r="E833">
        <f>Master_Data!E833</f>
        <v>2</v>
      </c>
      <c r="F833">
        <f>Master_Data!F833</f>
        <v>11</v>
      </c>
      <c r="G833" t="b">
        <f>Master_Data!G833</f>
        <v>0</v>
      </c>
      <c r="H833">
        <f>Master_Data!H833</f>
        <v>1</v>
      </c>
      <c r="I833">
        <f>Master_Data!I833</f>
        <v>1</v>
      </c>
      <c r="J833">
        <f>Master_Data!J833</f>
        <v>0.3</v>
      </c>
      <c r="K833">
        <f>Master_Data!K833</f>
        <v>0.31819999999999998</v>
      </c>
      <c r="L833">
        <f>Master_Data!L833</f>
        <v>0.65</v>
      </c>
      <c r="M833">
        <f>Master_Data!M833</f>
        <v>8.9599999999999999E-2</v>
      </c>
      <c r="N833">
        <f>Master_Data!N833</f>
        <v>11</v>
      </c>
      <c r="O833">
        <f>Master_Data!O833</f>
        <v>36</v>
      </c>
      <c r="P833">
        <f>Master_Data!P833</f>
        <v>47</v>
      </c>
      <c r="Q833" t="str">
        <f t="shared" si="72"/>
        <v>2011</v>
      </c>
      <c r="R833" t="str">
        <f t="shared" si="73"/>
        <v>February</v>
      </c>
      <c r="S833" t="str">
        <f t="shared" si="74"/>
        <v>Weekday</v>
      </c>
      <c r="T833" t="str">
        <f t="shared" si="75"/>
        <v>Morning</v>
      </c>
      <c r="U833" t="str">
        <f t="shared" si="76"/>
        <v>Spring</v>
      </c>
      <c r="V833" t="str">
        <f t="shared" si="77"/>
        <v>Clear</v>
      </c>
    </row>
    <row r="834" spans="1:22">
      <c r="A834">
        <f>Master_Data!A834</f>
        <v>842</v>
      </c>
      <c r="B834">
        <f>Master_Data!B834</f>
        <v>40581</v>
      </c>
      <c r="C834">
        <f>Master_Data!C834</f>
        <v>1</v>
      </c>
      <c r="D834">
        <f>Master_Data!D834</f>
        <v>0</v>
      </c>
      <c r="E834">
        <f>Master_Data!E834</f>
        <v>2</v>
      </c>
      <c r="F834">
        <f>Master_Data!F834</f>
        <v>12</v>
      </c>
      <c r="G834" t="b">
        <f>Master_Data!G834</f>
        <v>0</v>
      </c>
      <c r="H834">
        <f>Master_Data!H834</f>
        <v>1</v>
      </c>
      <c r="I834">
        <f>Master_Data!I834</f>
        <v>2</v>
      </c>
      <c r="J834">
        <f>Master_Data!J834</f>
        <v>0.32</v>
      </c>
      <c r="K834">
        <f>Master_Data!K834</f>
        <v>0.34849999999999998</v>
      </c>
      <c r="L834">
        <f>Master_Data!L834</f>
        <v>0.62</v>
      </c>
      <c r="M834">
        <f>Master_Data!M834</f>
        <v>0</v>
      </c>
      <c r="N834">
        <f>Master_Data!N834</f>
        <v>7</v>
      </c>
      <c r="O834">
        <f>Master_Data!O834</f>
        <v>59</v>
      </c>
      <c r="P834">
        <f>Master_Data!P834</f>
        <v>66</v>
      </c>
      <c r="Q834" t="str">
        <f t="shared" ref="Q834:Q897" si="78">IF(D834=0,"2011","2012")</f>
        <v>2011</v>
      </c>
      <c r="R834" t="str">
        <f t="shared" ref="R834:R897" si="79">TEXT(B834,"mmmm")</f>
        <v>February</v>
      </c>
      <c r="S834" t="str">
        <f t="shared" ref="S834:S897" si="80">IF(G834=TRUE,"Holiday",IF(H834=0,"Sunday",IF(H834=6,"Saturday","Weekday")))</f>
        <v>Weekday</v>
      </c>
      <c r="T834" t="str">
        <f t="shared" ref="T834:T897" si="81">IF(F834&lt;6,"Night",IF(F834&lt;12,"Morning",IF(F834&lt;17,"Afternoon",IF(F834&lt;21,"Evening","Night"))))</f>
        <v>Afternoon</v>
      </c>
      <c r="U834" t="str">
        <f t="shared" ref="U834:U897" si="82">CHOOSE(C834,"Spring","Summer","Fall","Winter")</f>
        <v>Spring</v>
      </c>
      <c r="V834" t="str">
        <f t="shared" ref="V834:V897" si="83">CHOOSE(I834,"Clear","Mist/Cloudy","Light Rain/Snow","Heavy Rain/Snow")</f>
        <v>Mist/Cloudy</v>
      </c>
    </row>
    <row r="835" spans="1:22">
      <c r="A835">
        <f>Master_Data!A835</f>
        <v>843</v>
      </c>
      <c r="B835">
        <f>Master_Data!B835</f>
        <v>40581</v>
      </c>
      <c r="C835">
        <f>Master_Data!C835</f>
        <v>1</v>
      </c>
      <c r="D835">
        <f>Master_Data!D835</f>
        <v>0</v>
      </c>
      <c r="E835">
        <f>Master_Data!E835</f>
        <v>2</v>
      </c>
      <c r="F835">
        <f>Master_Data!F835</f>
        <v>13</v>
      </c>
      <c r="G835" t="b">
        <f>Master_Data!G835</f>
        <v>0</v>
      </c>
      <c r="H835">
        <f>Master_Data!H835</f>
        <v>1</v>
      </c>
      <c r="I835">
        <f>Master_Data!I835</f>
        <v>2</v>
      </c>
      <c r="J835">
        <f>Master_Data!J835</f>
        <v>0.36</v>
      </c>
      <c r="K835">
        <f>Master_Data!K835</f>
        <v>0.36359999999999998</v>
      </c>
      <c r="L835">
        <f>Master_Data!L835</f>
        <v>0.56999999999999995</v>
      </c>
      <c r="M835">
        <f>Master_Data!M835</f>
        <v>8.9599999999999999E-2</v>
      </c>
      <c r="N835">
        <f>Master_Data!N835</f>
        <v>10</v>
      </c>
      <c r="O835">
        <f>Master_Data!O835</f>
        <v>54</v>
      </c>
      <c r="P835">
        <f>Master_Data!P835</f>
        <v>64</v>
      </c>
      <c r="Q835" t="str">
        <f t="shared" si="78"/>
        <v>2011</v>
      </c>
      <c r="R835" t="str">
        <f t="shared" si="79"/>
        <v>February</v>
      </c>
      <c r="S835" t="str">
        <f t="shared" si="80"/>
        <v>Weekday</v>
      </c>
      <c r="T835" t="str">
        <f t="shared" si="81"/>
        <v>Afternoon</v>
      </c>
      <c r="U835" t="str">
        <f t="shared" si="82"/>
        <v>Spring</v>
      </c>
      <c r="V835" t="str">
        <f t="shared" si="83"/>
        <v>Mist/Cloudy</v>
      </c>
    </row>
    <row r="836" spans="1:22">
      <c r="A836">
        <f>Master_Data!A836</f>
        <v>844</v>
      </c>
      <c r="B836">
        <f>Master_Data!B836</f>
        <v>40581</v>
      </c>
      <c r="C836">
        <f>Master_Data!C836</f>
        <v>1</v>
      </c>
      <c r="D836">
        <f>Master_Data!D836</f>
        <v>0</v>
      </c>
      <c r="E836">
        <f>Master_Data!E836</f>
        <v>2</v>
      </c>
      <c r="F836">
        <f>Master_Data!F836</f>
        <v>14</v>
      </c>
      <c r="G836" t="b">
        <f>Master_Data!G836</f>
        <v>0</v>
      </c>
      <c r="H836">
        <f>Master_Data!H836</f>
        <v>1</v>
      </c>
      <c r="I836">
        <f>Master_Data!I836</f>
        <v>2</v>
      </c>
      <c r="J836">
        <f>Master_Data!J836</f>
        <v>0.36</v>
      </c>
      <c r="K836">
        <f>Master_Data!K836</f>
        <v>0.36359999999999998</v>
      </c>
      <c r="L836">
        <f>Master_Data!L836</f>
        <v>0.56999999999999995</v>
      </c>
      <c r="M836">
        <f>Master_Data!M836</f>
        <v>8.9599999999999999E-2</v>
      </c>
      <c r="N836">
        <f>Master_Data!N836</f>
        <v>8</v>
      </c>
      <c r="O836">
        <f>Master_Data!O836</f>
        <v>52</v>
      </c>
      <c r="P836">
        <f>Master_Data!P836</f>
        <v>60</v>
      </c>
      <c r="Q836" t="str">
        <f t="shared" si="78"/>
        <v>2011</v>
      </c>
      <c r="R836" t="str">
        <f t="shared" si="79"/>
        <v>February</v>
      </c>
      <c r="S836" t="str">
        <f t="shared" si="80"/>
        <v>Weekday</v>
      </c>
      <c r="T836" t="str">
        <f t="shared" si="81"/>
        <v>Afternoon</v>
      </c>
      <c r="U836" t="str">
        <f t="shared" si="82"/>
        <v>Spring</v>
      </c>
      <c r="V836" t="str">
        <f t="shared" si="83"/>
        <v>Mist/Cloudy</v>
      </c>
    </row>
    <row r="837" spans="1:22">
      <c r="A837">
        <f>Master_Data!A837</f>
        <v>845</v>
      </c>
      <c r="B837">
        <f>Master_Data!B837</f>
        <v>40581</v>
      </c>
      <c r="C837">
        <f>Master_Data!C837</f>
        <v>1</v>
      </c>
      <c r="D837">
        <f>Master_Data!D837</f>
        <v>0</v>
      </c>
      <c r="E837">
        <f>Master_Data!E837</f>
        <v>2</v>
      </c>
      <c r="F837">
        <f>Master_Data!F837</f>
        <v>15</v>
      </c>
      <c r="G837" t="b">
        <f>Master_Data!G837</f>
        <v>0</v>
      </c>
      <c r="H837">
        <f>Master_Data!H837</f>
        <v>1</v>
      </c>
      <c r="I837">
        <f>Master_Data!I837</f>
        <v>2</v>
      </c>
      <c r="J837">
        <f>Master_Data!J837</f>
        <v>0.38</v>
      </c>
      <c r="K837">
        <f>Master_Data!K837</f>
        <v>0.39389999999999997</v>
      </c>
      <c r="L837">
        <f>Master_Data!L837</f>
        <v>0.54</v>
      </c>
      <c r="M837">
        <f>Master_Data!M837</f>
        <v>8.9599999999999999E-2</v>
      </c>
      <c r="N837">
        <f>Master_Data!N837</f>
        <v>4</v>
      </c>
      <c r="O837">
        <f>Master_Data!O837</f>
        <v>46</v>
      </c>
      <c r="P837">
        <f>Master_Data!P837</f>
        <v>50</v>
      </c>
      <c r="Q837" t="str">
        <f t="shared" si="78"/>
        <v>2011</v>
      </c>
      <c r="R837" t="str">
        <f t="shared" si="79"/>
        <v>February</v>
      </c>
      <c r="S837" t="str">
        <f t="shared" si="80"/>
        <v>Weekday</v>
      </c>
      <c r="T837" t="str">
        <f t="shared" si="81"/>
        <v>Afternoon</v>
      </c>
      <c r="U837" t="str">
        <f t="shared" si="82"/>
        <v>Spring</v>
      </c>
      <c r="V837" t="str">
        <f t="shared" si="83"/>
        <v>Mist/Cloudy</v>
      </c>
    </row>
    <row r="838" spans="1:22">
      <c r="A838">
        <f>Master_Data!A838</f>
        <v>846</v>
      </c>
      <c r="B838">
        <f>Master_Data!B838</f>
        <v>40581</v>
      </c>
      <c r="C838">
        <f>Master_Data!C838</f>
        <v>1</v>
      </c>
      <c r="D838">
        <f>Master_Data!D838</f>
        <v>0</v>
      </c>
      <c r="E838">
        <f>Master_Data!E838</f>
        <v>2</v>
      </c>
      <c r="F838">
        <f>Master_Data!F838</f>
        <v>16</v>
      </c>
      <c r="G838" t="b">
        <f>Master_Data!G838</f>
        <v>0</v>
      </c>
      <c r="H838">
        <f>Master_Data!H838</f>
        <v>1</v>
      </c>
      <c r="I838">
        <f>Master_Data!I838</f>
        <v>2</v>
      </c>
      <c r="J838">
        <f>Master_Data!J838</f>
        <v>0.36</v>
      </c>
      <c r="K838">
        <f>Master_Data!K838</f>
        <v>0.34849999999999998</v>
      </c>
      <c r="L838">
        <f>Master_Data!L838</f>
        <v>0.56999999999999995</v>
      </c>
      <c r="M838">
        <f>Master_Data!M838</f>
        <v>0.1343</v>
      </c>
      <c r="N838">
        <f>Master_Data!N838</f>
        <v>16</v>
      </c>
      <c r="O838">
        <f>Master_Data!O838</f>
        <v>98</v>
      </c>
      <c r="P838">
        <f>Master_Data!P838</f>
        <v>114</v>
      </c>
      <c r="Q838" t="str">
        <f t="shared" si="78"/>
        <v>2011</v>
      </c>
      <c r="R838" t="str">
        <f t="shared" si="79"/>
        <v>February</v>
      </c>
      <c r="S838" t="str">
        <f t="shared" si="80"/>
        <v>Weekday</v>
      </c>
      <c r="T838" t="str">
        <f t="shared" si="81"/>
        <v>Afternoon</v>
      </c>
      <c r="U838" t="str">
        <f t="shared" si="82"/>
        <v>Spring</v>
      </c>
      <c r="V838" t="str">
        <f t="shared" si="83"/>
        <v>Mist/Cloudy</v>
      </c>
    </row>
    <row r="839" spans="1:22">
      <c r="A839">
        <f>Master_Data!A839</f>
        <v>847</v>
      </c>
      <c r="B839">
        <f>Master_Data!B839</f>
        <v>40581</v>
      </c>
      <c r="C839">
        <f>Master_Data!C839</f>
        <v>1</v>
      </c>
      <c r="D839">
        <f>Master_Data!D839</f>
        <v>0</v>
      </c>
      <c r="E839">
        <f>Master_Data!E839</f>
        <v>2</v>
      </c>
      <c r="F839">
        <f>Master_Data!F839</f>
        <v>17</v>
      </c>
      <c r="G839" t="b">
        <f>Master_Data!G839</f>
        <v>0</v>
      </c>
      <c r="H839">
        <f>Master_Data!H839</f>
        <v>1</v>
      </c>
      <c r="I839">
        <f>Master_Data!I839</f>
        <v>2</v>
      </c>
      <c r="J839">
        <f>Master_Data!J839</f>
        <v>0.32</v>
      </c>
      <c r="K839">
        <f>Master_Data!K839</f>
        <v>0.31819999999999998</v>
      </c>
      <c r="L839">
        <f>Master_Data!L839</f>
        <v>0.7</v>
      </c>
      <c r="M839">
        <f>Master_Data!M839</f>
        <v>0.16420000000000001</v>
      </c>
      <c r="N839">
        <f>Master_Data!N839</f>
        <v>9</v>
      </c>
      <c r="O839">
        <f>Master_Data!O839</f>
        <v>207</v>
      </c>
      <c r="P839">
        <f>Master_Data!P839</f>
        <v>216</v>
      </c>
      <c r="Q839" t="str">
        <f t="shared" si="78"/>
        <v>2011</v>
      </c>
      <c r="R839" t="str">
        <f t="shared" si="79"/>
        <v>February</v>
      </c>
      <c r="S839" t="str">
        <f t="shared" si="80"/>
        <v>Weekday</v>
      </c>
      <c r="T839" t="str">
        <f t="shared" si="81"/>
        <v>Evening</v>
      </c>
      <c r="U839" t="str">
        <f t="shared" si="82"/>
        <v>Spring</v>
      </c>
      <c r="V839" t="str">
        <f t="shared" si="83"/>
        <v>Mist/Cloudy</v>
      </c>
    </row>
    <row r="840" spans="1:22">
      <c r="A840">
        <f>Master_Data!A840</f>
        <v>848</v>
      </c>
      <c r="B840">
        <f>Master_Data!B840</f>
        <v>40581</v>
      </c>
      <c r="C840">
        <f>Master_Data!C840</f>
        <v>1</v>
      </c>
      <c r="D840">
        <f>Master_Data!D840</f>
        <v>0</v>
      </c>
      <c r="E840">
        <f>Master_Data!E840</f>
        <v>2</v>
      </c>
      <c r="F840">
        <f>Master_Data!F840</f>
        <v>18</v>
      </c>
      <c r="G840" t="b">
        <f>Master_Data!G840</f>
        <v>0</v>
      </c>
      <c r="H840">
        <f>Master_Data!H840</f>
        <v>1</v>
      </c>
      <c r="I840">
        <f>Master_Data!I840</f>
        <v>2</v>
      </c>
      <c r="J840">
        <f>Master_Data!J840</f>
        <v>0.34</v>
      </c>
      <c r="K840">
        <f>Master_Data!K840</f>
        <v>0.33329999999999999</v>
      </c>
      <c r="L840">
        <f>Master_Data!L840</f>
        <v>0.66</v>
      </c>
      <c r="M840">
        <f>Master_Data!M840</f>
        <v>0.1343</v>
      </c>
      <c r="N840">
        <f>Master_Data!N840</f>
        <v>5</v>
      </c>
      <c r="O840">
        <f>Master_Data!O840</f>
        <v>170</v>
      </c>
      <c r="P840">
        <f>Master_Data!P840</f>
        <v>175</v>
      </c>
      <c r="Q840" t="str">
        <f t="shared" si="78"/>
        <v>2011</v>
      </c>
      <c r="R840" t="str">
        <f t="shared" si="79"/>
        <v>February</v>
      </c>
      <c r="S840" t="str">
        <f t="shared" si="80"/>
        <v>Weekday</v>
      </c>
      <c r="T840" t="str">
        <f t="shared" si="81"/>
        <v>Evening</v>
      </c>
      <c r="U840" t="str">
        <f t="shared" si="82"/>
        <v>Spring</v>
      </c>
      <c r="V840" t="str">
        <f t="shared" si="83"/>
        <v>Mist/Cloudy</v>
      </c>
    </row>
    <row r="841" spans="1:22">
      <c r="A841">
        <f>Master_Data!A841</f>
        <v>849</v>
      </c>
      <c r="B841">
        <f>Master_Data!B841</f>
        <v>40581</v>
      </c>
      <c r="C841">
        <f>Master_Data!C841</f>
        <v>1</v>
      </c>
      <c r="D841">
        <f>Master_Data!D841</f>
        <v>0</v>
      </c>
      <c r="E841">
        <f>Master_Data!E841</f>
        <v>2</v>
      </c>
      <c r="F841">
        <f>Master_Data!F841</f>
        <v>19</v>
      </c>
      <c r="G841" t="b">
        <f>Master_Data!G841</f>
        <v>0</v>
      </c>
      <c r="H841">
        <f>Master_Data!H841</f>
        <v>1</v>
      </c>
      <c r="I841">
        <f>Master_Data!I841</f>
        <v>2</v>
      </c>
      <c r="J841">
        <f>Master_Data!J841</f>
        <v>0.32</v>
      </c>
      <c r="K841">
        <f>Master_Data!K841</f>
        <v>0.34849999999999998</v>
      </c>
      <c r="L841">
        <f>Master_Data!L841</f>
        <v>0.7</v>
      </c>
      <c r="M841">
        <f>Master_Data!M841</f>
        <v>0</v>
      </c>
      <c r="N841">
        <f>Master_Data!N841</f>
        <v>5</v>
      </c>
      <c r="O841">
        <f>Master_Data!O841</f>
        <v>123</v>
      </c>
      <c r="P841">
        <f>Master_Data!P841</f>
        <v>128</v>
      </c>
      <c r="Q841" t="str">
        <f t="shared" si="78"/>
        <v>2011</v>
      </c>
      <c r="R841" t="str">
        <f t="shared" si="79"/>
        <v>February</v>
      </c>
      <c r="S841" t="str">
        <f t="shared" si="80"/>
        <v>Weekday</v>
      </c>
      <c r="T841" t="str">
        <f t="shared" si="81"/>
        <v>Evening</v>
      </c>
      <c r="U841" t="str">
        <f t="shared" si="82"/>
        <v>Spring</v>
      </c>
      <c r="V841" t="str">
        <f t="shared" si="83"/>
        <v>Mist/Cloudy</v>
      </c>
    </row>
    <row r="842" spans="1:22">
      <c r="A842">
        <f>Master_Data!A842</f>
        <v>850</v>
      </c>
      <c r="B842">
        <f>Master_Data!B842</f>
        <v>40581</v>
      </c>
      <c r="C842">
        <f>Master_Data!C842</f>
        <v>1</v>
      </c>
      <c r="D842">
        <f>Master_Data!D842</f>
        <v>0</v>
      </c>
      <c r="E842">
        <f>Master_Data!E842</f>
        <v>2</v>
      </c>
      <c r="F842">
        <f>Master_Data!F842</f>
        <v>20</v>
      </c>
      <c r="G842" t="b">
        <f>Master_Data!G842</f>
        <v>0</v>
      </c>
      <c r="H842">
        <f>Master_Data!H842</f>
        <v>1</v>
      </c>
      <c r="I842">
        <f>Master_Data!I842</f>
        <v>2</v>
      </c>
      <c r="J842">
        <f>Master_Data!J842</f>
        <v>0.32</v>
      </c>
      <c r="K842">
        <f>Master_Data!K842</f>
        <v>0.33329999999999999</v>
      </c>
      <c r="L842">
        <f>Master_Data!L842</f>
        <v>0.7</v>
      </c>
      <c r="M842">
        <f>Master_Data!M842</f>
        <v>0.1045</v>
      </c>
      <c r="N842">
        <f>Master_Data!N842</f>
        <v>6</v>
      </c>
      <c r="O842">
        <f>Master_Data!O842</f>
        <v>82</v>
      </c>
      <c r="P842">
        <f>Master_Data!P842</f>
        <v>88</v>
      </c>
      <c r="Q842" t="str">
        <f t="shared" si="78"/>
        <v>2011</v>
      </c>
      <c r="R842" t="str">
        <f t="shared" si="79"/>
        <v>February</v>
      </c>
      <c r="S842" t="str">
        <f t="shared" si="80"/>
        <v>Weekday</v>
      </c>
      <c r="T842" t="str">
        <f t="shared" si="81"/>
        <v>Evening</v>
      </c>
      <c r="U842" t="str">
        <f t="shared" si="82"/>
        <v>Spring</v>
      </c>
      <c r="V842" t="str">
        <f t="shared" si="83"/>
        <v>Mist/Cloudy</v>
      </c>
    </row>
    <row r="843" spans="1:22">
      <c r="A843">
        <f>Master_Data!A843</f>
        <v>851</v>
      </c>
      <c r="B843">
        <f>Master_Data!B843</f>
        <v>40581</v>
      </c>
      <c r="C843">
        <f>Master_Data!C843</f>
        <v>1</v>
      </c>
      <c r="D843">
        <f>Master_Data!D843</f>
        <v>0</v>
      </c>
      <c r="E843">
        <f>Master_Data!E843</f>
        <v>2</v>
      </c>
      <c r="F843">
        <f>Master_Data!F843</f>
        <v>21</v>
      </c>
      <c r="G843" t="b">
        <f>Master_Data!G843</f>
        <v>0</v>
      </c>
      <c r="H843">
        <f>Master_Data!H843</f>
        <v>1</v>
      </c>
      <c r="I843">
        <f>Master_Data!I843</f>
        <v>1</v>
      </c>
      <c r="J843">
        <f>Master_Data!J843</f>
        <v>0.32</v>
      </c>
      <c r="K843">
        <f>Master_Data!K843</f>
        <v>0.34849999999999998</v>
      </c>
      <c r="L843">
        <f>Master_Data!L843</f>
        <v>0.7</v>
      </c>
      <c r="M843">
        <f>Master_Data!M843</f>
        <v>0</v>
      </c>
      <c r="N843">
        <f>Master_Data!N843</f>
        <v>3</v>
      </c>
      <c r="O843">
        <f>Master_Data!O843</f>
        <v>75</v>
      </c>
      <c r="P843">
        <f>Master_Data!P843</f>
        <v>78</v>
      </c>
      <c r="Q843" t="str">
        <f t="shared" si="78"/>
        <v>2011</v>
      </c>
      <c r="R843" t="str">
        <f t="shared" si="79"/>
        <v>February</v>
      </c>
      <c r="S843" t="str">
        <f t="shared" si="80"/>
        <v>Weekday</v>
      </c>
      <c r="T843" t="str">
        <f t="shared" si="81"/>
        <v>Night</v>
      </c>
      <c r="U843" t="str">
        <f t="shared" si="82"/>
        <v>Spring</v>
      </c>
      <c r="V843" t="str">
        <f t="shared" si="83"/>
        <v>Clear</v>
      </c>
    </row>
    <row r="844" spans="1:22">
      <c r="A844">
        <f>Master_Data!A844</f>
        <v>852</v>
      </c>
      <c r="B844">
        <f>Master_Data!B844</f>
        <v>40581</v>
      </c>
      <c r="C844">
        <f>Master_Data!C844</f>
        <v>1</v>
      </c>
      <c r="D844">
        <f>Master_Data!D844</f>
        <v>0</v>
      </c>
      <c r="E844">
        <f>Master_Data!E844</f>
        <v>2</v>
      </c>
      <c r="F844">
        <f>Master_Data!F844</f>
        <v>22</v>
      </c>
      <c r="G844" t="b">
        <f>Master_Data!G844</f>
        <v>0</v>
      </c>
      <c r="H844">
        <f>Master_Data!H844</f>
        <v>1</v>
      </c>
      <c r="I844">
        <f>Master_Data!I844</f>
        <v>1</v>
      </c>
      <c r="J844">
        <f>Master_Data!J844</f>
        <v>0.28000000000000003</v>
      </c>
      <c r="K844">
        <f>Master_Data!K844</f>
        <v>0.30299999999999999</v>
      </c>
      <c r="L844">
        <f>Master_Data!L844</f>
        <v>0.81</v>
      </c>
      <c r="M844">
        <f>Master_Data!M844</f>
        <v>8.9599999999999999E-2</v>
      </c>
      <c r="N844">
        <f>Master_Data!N844</f>
        <v>3</v>
      </c>
      <c r="O844">
        <f>Master_Data!O844</f>
        <v>34</v>
      </c>
      <c r="P844">
        <f>Master_Data!P844</f>
        <v>37</v>
      </c>
      <c r="Q844" t="str">
        <f t="shared" si="78"/>
        <v>2011</v>
      </c>
      <c r="R844" t="str">
        <f t="shared" si="79"/>
        <v>February</v>
      </c>
      <c r="S844" t="str">
        <f t="shared" si="80"/>
        <v>Weekday</v>
      </c>
      <c r="T844" t="str">
        <f t="shared" si="81"/>
        <v>Night</v>
      </c>
      <c r="U844" t="str">
        <f t="shared" si="82"/>
        <v>Spring</v>
      </c>
      <c r="V844" t="str">
        <f t="shared" si="83"/>
        <v>Clear</v>
      </c>
    </row>
    <row r="845" spans="1:22">
      <c r="A845">
        <f>Master_Data!A845</f>
        <v>853</v>
      </c>
      <c r="B845">
        <f>Master_Data!B845</f>
        <v>40581</v>
      </c>
      <c r="C845">
        <f>Master_Data!C845</f>
        <v>1</v>
      </c>
      <c r="D845">
        <f>Master_Data!D845</f>
        <v>0</v>
      </c>
      <c r="E845">
        <f>Master_Data!E845</f>
        <v>2</v>
      </c>
      <c r="F845">
        <f>Master_Data!F845</f>
        <v>23</v>
      </c>
      <c r="G845" t="b">
        <f>Master_Data!G845</f>
        <v>0</v>
      </c>
      <c r="H845">
        <f>Master_Data!H845</f>
        <v>1</v>
      </c>
      <c r="I845">
        <f>Master_Data!I845</f>
        <v>2</v>
      </c>
      <c r="J845">
        <f>Master_Data!J845</f>
        <v>0.3</v>
      </c>
      <c r="K845">
        <f>Master_Data!K845</f>
        <v>0.33329999999999999</v>
      </c>
      <c r="L845">
        <f>Master_Data!L845</f>
        <v>0.81</v>
      </c>
      <c r="M845">
        <f>Master_Data!M845</f>
        <v>0</v>
      </c>
      <c r="N845">
        <f>Master_Data!N845</f>
        <v>6</v>
      </c>
      <c r="O845">
        <f>Master_Data!O845</f>
        <v>19</v>
      </c>
      <c r="P845">
        <f>Master_Data!P845</f>
        <v>25</v>
      </c>
      <c r="Q845" t="str">
        <f t="shared" si="78"/>
        <v>2011</v>
      </c>
      <c r="R845" t="str">
        <f t="shared" si="79"/>
        <v>February</v>
      </c>
      <c r="S845" t="str">
        <f t="shared" si="80"/>
        <v>Weekday</v>
      </c>
      <c r="T845" t="str">
        <f t="shared" si="81"/>
        <v>Night</v>
      </c>
      <c r="U845" t="str">
        <f t="shared" si="82"/>
        <v>Spring</v>
      </c>
      <c r="V845" t="str">
        <f t="shared" si="83"/>
        <v>Mist/Cloudy</v>
      </c>
    </row>
    <row r="846" spans="1:22">
      <c r="A846">
        <f>Master_Data!A846</f>
        <v>854</v>
      </c>
      <c r="B846">
        <f>Master_Data!B846</f>
        <v>40582</v>
      </c>
      <c r="C846">
        <f>Master_Data!C846</f>
        <v>1</v>
      </c>
      <c r="D846">
        <f>Master_Data!D846</f>
        <v>0</v>
      </c>
      <c r="E846">
        <f>Master_Data!E846</f>
        <v>2</v>
      </c>
      <c r="F846">
        <f>Master_Data!F846</f>
        <v>0</v>
      </c>
      <c r="G846" t="b">
        <f>Master_Data!G846</f>
        <v>0</v>
      </c>
      <c r="H846">
        <f>Master_Data!H846</f>
        <v>2</v>
      </c>
      <c r="I846">
        <f>Master_Data!I846</f>
        <v>2</v>
      </c>
      <c r="J846">
        <f>Master_Data!J846</f>
        <v>0.28000000000000003</v>
      </c>
      <c r="K846">
        <f>Master_Data!K846</f>
        <v>0.31819999999999998</v>
      </c>
      <c r="L846">
        <f>Master_Data!L846</f>
        <v>0.87</v>
      </c>
      <c r="M846">
        <f>Master_Data!M846</f>
        <v>0</v>
      </c>
      <c r="N846">
        <f>Master_Data!N846</f>
        <v>4</v>
      </c>
      <c r="O846">
        <f>Master_Data!O846</f>
        <v>6</v>
      </c>
      <c r="P846">
        <f>Master_Data!P846</f>
        <v>10</v>
      </c>
      <c r="Q846" t="str">
        <f t="shared" si="78"/>
        <v>2011</v>
      </c>
      <c r="R846" t="str">
        <f t="shared" si="79"/>
        <v>February</v>
      </c>
      <c r="S846" t="str">
        <f t="shared" si="80"/>
        <v>Weekday</v>
      </c>
      <c r="T846" t="str">
        <f t="shared" si="81"/>
        <v>Night</v>
      </c>
      <c r="U846" t="str">
        <f t="shared" si="82"/>
        <v>Spring</v>
      </c>
      <c r="V846" t="str">
        <f t="shared" si="83"/>
        <v>Mist/Cloudy</v>
      </c>
    </row>
    <row r="847" spans="1:22">
      <c r="A847">
        <f>Master_Data!A847</f>
        <v>855</v>
      </c>
      <c r="B847">
        <f>Master_Data!B847</f>
        <v>40582</v>
      </c>
      <c r="C847">
        <f>Master_Data!C847</f>
        <v>1</v>
      </c>
      <c r="D847">
        <f>Master_Data!D847</f>
        <v>0</v>
      </c>
      <c r="E847">
        <f>Master_Data!E847</f>
        <v>2</v>
      </c>
      <c r="F847">
        <f>Master_Data!F847</f>
        <v>1</v>
      </c>
      <c r="G847" t="b">
        <f>Master_Data!G847</f>
        <v>0</v>
      </c>
      <c r="H847">
        <f>Master_Data!H847</f>
        <v>2</v>
      </c>
      <c r="I847">
        <f>Master_Data!I847</f>
        <v>2</v>
      </c>
      <c r="J847">
        <f>Master_Data!J847</f>
        <v>0.28000000000000003</v>
      </c>
      <c r="K847">
        <f>Master_Data!K847</f>
        <v>0.31819999999999998</v>
      </c>
      <c r="L847">
        <f>Master_Data!L847</f>
        <v>0.87</v>
      </c>
      <c r="M847">
        <f>Master_Data!M847</f>
        <v>0</v>
      </c>
      <c r="N847">
        <f>Master_Data!N847</f>
        <v>0</v>
      </c>
      <c r="O847">
        <f>Master_Data!O847</f>
        <v>4</v>
      </c>
      <c r="P847">
        <f>Master_Data!P847</f>
        <v>4</v>
      </c>
      <c r="Q847" t="str">
        <f t="shared" si="78"/>
        <v>2011</v>
      </c>
      <c r="R847" t="str">
        <f t="shared" si="79"/>
        <v>February</v>
      </c>
      <c r="S847" t="str">
        <f t="shared" si="80"/>
        <v>Weekday</v>
      </c>
      <c r="T847" t="str">
        <f t="shared" si="81"/>
        <v>Night</v>
      </c>
      <c r="U847" t="str">
        <f t="shared" si="82"/>
        <v>Spring</v>
      </c>
      <c r="V847" t="str">
        <f t="shared" si="83"/>
        <v>Mist/Cloudy</v>
      </c>
    </row>
    <row r="848" spans="1:22">
      <c r="A848">
        <f>Master_Data!A848</f>
        <v>856</v>
      </c>
      <c r="B848">
        <f>Master_Data!B848</f>
        <v>40582</v>
      </c>
      <c r="C848">
        <f>Master_Data!C848</f>
        <v>1</v>
      </c>
      <c r="D848">
        <f>Master_Data!D848</f>
        <v>0</v>
      </c>
      <c r="E848">
        <f>Master_Data!E848</f>
        <v>2</v>
      </c>
      <c r="F848">
        <f>Master_Data!F848</f>
        <v>2</v>
      </c>
      <c r="G848" t="b">
        <f>Master_Data!G848</f>
        <v>0</v>
      </c>
      <c r="H848">
        <f>Master_Data!H848</f>
        <v>2</v>
      </c>
      <c r="I848">
        <f>Master_Data!I848</f>
        <v>2</v>
      </c>
      <c r="J848">
        <f>Master_Data!J848</f>
        <v>0.26</v>
      </c>
      <c r="K848">
        <f>Master_Data!K848</f>
        <v>0.2727</v>
      </c>
      <c r="L848">
        <f>Master_Data!L848</f>
        <v>0.93</v>
      </c>
      <c r="M848">
        <f>Master_Data!M848</f>
        <v>0.1045</v>
      </c>
      <c r="N848">
        <f>Master_Data!N848</f>
        <v>1</v>
      </c>
      <c r="O848">
        <f>Master_Data!O848</f>
        <v>1</v>
      </c>
      <c r="P848">
        <f>Master_Data!P848</f>
        <v>2</v>
      </c>
      <c r="Q848" t="str">
        <f t="shared" si="78"/>
        <v>2011</v>
      </c>
      <c r="R848" t="str">
        <f t="shared" si="79"/>
        <v>February</v>
      </c>
      <c r="S848" t="str">
        <f t="shared" si="80"/>
        <v>Weekday</v>
      </c>
      <c r="T848" t="str">
        <f t="shared" si="81"/>
        <v>Night</v>
      </c>
      <c r="U848" t="str">
        <f t="shared" si="82"/>
        <v>Spring</v>
      </c>
      <c r="V848" t="str">
        <f t="shared" si="83"/>
        <v>Mist/Cloudy</v>
      </c>
    </row>
    <row r="849" spans="1:22">
      <c r="A849">
        <f>Master_Data!A849</f>
        <v>857</v>
      </c>
      <c r="B849">
        <f>Master_Data!B849</f>
        <v>40582</v>
      </c>
      <c r="C849">
        <f>Master_Data!C849</f>
        <v>1</v>
      </c>
      <c r="D849">
        <f>Master_Data!D849</f>
        <v>0</v>
      </c>
      <c r="E849">
        <f>Master_Data!E849</f>
        <v>2</v>
      </c>
      <c r="F849">
        <f>Master_Data!F849</f>
        <v>3</v>
      </c>
      <c r="G849" t="b">
        <f>Master_Data!G849</f>
        <v>0</v>
      </c>
      <c r="H849">
        <f>Master_Data!H849</f>
        <v>2</v>
      </c>
      <c r="I849">
        <f>Master_Data!I849</f>
        <v>3</v>
      </c>
      <c r="J849">
        <f>Master_Data!J849</f>
        <v>0.28000000000000003</v>
      </c>
      <c r="K849">
        <f>Master_Data!K849</f>
        <v>0.2727</v>
      </c>
      <c r="L849">
        <f>Master_Data!L849</f>
        <v>0.93</v>
      </c>
      <c r="M849">
        <f>Master_Data!M849</f>
        <v>0.16420000000000001</v>
      </c>
      <c r="N849">
        <f>Master_Data!N849</f>
        <v>0</v>
      </c>
      <c r="O849">
        <f>Master_Data!O849</f>
        <v>1</v>
      </c>
      <c r="P849">
        <f>Master_Data!P849</f>
        <v>1</v>
      </c>
      <c r="Q849" t="str">
        <f t="shared" si="78"/>
        <v>2011</v>
      </c>
      <c r="R849" t="str">
        <f t="shared" si="79"/>
        <v>February</v>
      </c>
      <c r="S849" t="str">
        <f t="shared" si="80"/>
        <v>Weekday</v>
      </c>
      <c r="T849" t="str">
        <f t="shared" si="81"/>
        <v>Night</v>
      </c>
      <c r="U849" t="str">
        <f t="shared" si="82"/>
        <v>Spring</v>
      </c>
      <c r="V849" t="str">
        <f t="shared" si="83"/>
        <v>Light Rain/Snow</v>
      </c>
    </row>
    <row r="850" spans="1:22">
      <c r="A850">
        <f>Master_Data!A850</f>
        <v>858</v>
      </c>
      <c r="B850">
        <f>Master_Data!B850</f>
        <v>40582</v>
      </c>
      <c r="C850">
        <f>Master_Data!C850</f>
        <v>1</v>
      </c>
      <c r="D850">
        <f>Master_Data!D850</f>
        <v>0</v>
      </c>
      <c r="E850">
        <f>Master_Data!E850</f>
        <v>2</v>
      </c>
      <c r="F850">
        <f>Master_Data!F850</f>
        <v>4</v>
      </c>
      <c r="G850" t="b">
        <f>Master_Data!G850</f>
        <v>0</v>
      </c>
      <c r="H850">
        <f>Master_Data!H850</f>
        <v>2</v>
      </c>
      <c r="I850">
        <f>Master_Data!I850</f>
        <v>1</v>
      </c>
      <c r="J850">
        <f>Master_Data!J850</f>
        <v>0.26</v>
      </c>
      <c r="K850">
        <f>Master_Data!K850</f>
        <v>0.2576</v>
      </c>
      <c r="L850">
        <f>Master_Data!L850</f>
        <v>0.93</v>
      </c>
      <c r="M850">
        <f>Master_Data!M850</f>
        <v>0.16420000000000001</v>
      </c>
      <c r="N850">
        <f>Master_Data!N850</f>
        <v>0</v>
      </c>
      <c r="O850">
        <f>Master_Data!O850</f>
        <v>3</v>
      </c>
      <c r="P850">
        <f>Master_Data!P850</f>
        <v>3</v>
      </c>
      <c r="Q850" t="str">
        <f t="shared" si="78"/>
        <v>2011</v>
      </c>
      <c r="R850" t="str">
        <f t="shared" si="79"/>
        <v>February</v>
      </c>
      <c r="S850" t="str">
        <f t="shared" si="80"/>
        <v>Weekday</v>
      </c>
      <c r="T850" t="str">
        <f t="shared" si="81"/>
        <v>Night</v>
      </c>
      <c r="U850" t="str">
        <f t="shared" si="82"/>
        <v>Spring</v>
      </c>
      <c r="V850" t="str">
        <f t="shared" si="83"/>
        <v>Clear</v>
      </c>
    </row>
    <row r="851" spans="1:22">
      <c r="A851">
        <f>Master_Data!A851</f>
        <v>859</v>
      </c>
      <c r="B851">
        <f>Master_Data!B851</f>
        <v>40582</v>
      </c>
      <c r="C851">
        <f>Master_Data!C851</f>
        <v>1</v>
      </c>
      <c r="D851">
        <f>Master_Data!D851</f>
        <v>0</v>
      </c>
      <c r="E851">
        <f>Master_Data!E851</f>
        <v>2</v>
      </c>
      <c r="F851">
        <f>Master_Data!F851</f>
        <v>5</v>
      </c>
      <c r="G851" t="b">
        <f>Master_Data!G851</f>
        <v>0</v>
      </c>
      <c r="H851">
        <f>Master_Data!H851</f>
        <v>2</v>
      </c>
      <c r="I851">
        <f>Master_Data!I851</f>
        <v>1</v>
      </c>
      <c r="J851">
        <f>Master_Data!J851</f>
        <v>0.26</v>
      </c>
      <c r="K851">
        <f>Master_Data!K851</f>
        <v>0.2273</v>
      </c>
      <c r="L851">
        <f>Master_Data!L851</f>
        <v>0.81</v>
      </c>
      <c r="M851">
        <f>Master_Data!M851</f>
        <v>0.32840000000000003</v>
      </c>
      <c r="N851">
        <f>Master_Data!N851</f>
        <v>0</v>
      </c>
      <c r="O851">
        <f>Master_Data!O851</f>
        <v>2</v>
      </c>
      <c r="P851">
        <f>Master_Data!P851</f>
        <v>2</v>
      </c>
      <c r="Q851" t="str">
        <f t="shared" si="78"/>
        <v>2011</v>
      </c>
      <c r="R851" t="str">
        <f t="shared" si="79"/>
        <v>February</v>
      </c>
      <c r="S851" t="str">
        <f t="shared" si="80"/>
        <v>Weekday</v>
      </c>
      <c r="T851" t="str">
        <f t="shared" si="81"/>
        <v>Night</v>
      </c>
      <c r="U851" t="str">
        <f t="shared" si="82"/>
        <v>Spring</v>
      </c>
      <c r="V851" t="str">
        <f t="shared" si="83"/>
        <v>Clear</v>
      </c>
    </row>
    <row r="852" spans="1:22">
      <c r="A852">
        <f>Master_Data!A852</f>
        <v>860</v>
      </c>
      <c r="B852">
        <f>Master_Data!B852</f>
        <v>40582</v>
      </c>
      <c r="C852">
        <f>Master_Data!C852</f>
        <v>1</v>
      </c>
      <c r="D852">
        <f>Master_Data!D852</f>
        <v>0</v>
      </c>
      <c r="E852">
        <f>Master_Data!E852</f>
        <v>2</v>
      </c>
      <c r="F852">
        <f>Master_Data!F852</f>
        <v>6</v>
      </c>
      <c r="G852" t="b">
        <f>Master_Data!G852</f>
        <v>0</v>
      </c>
      <c r="H852">
        <f>Master_Data!H852</f>
        <v>2</v>
      </c>
      <c r="I852">
        <f>Master_Data!I852</f>
        <v>1</v>
      </c>
      <c r="J852">
        <f>Master_Data!J852</f>
        <v>0.26</v>
      </c>
      <c r="K852">
        <f>Master_Data!K852</f>
        <v>0.2273</v>
      </c>
      <c r="L852">
        <f>Master_Data!L852</f>
        <v>0.7</v>
      </c>
      <c r="M852">
        <f>Master_Data!M852</f>
        <v>0.32840000000000003</v>
      </c>
      <c r="N852">
        <f>Master_Data!N852</f>
        <v>0</v>
      </c>
      <c r="O852">
        <f>Master_Data!O852</f>
        <v>39</v>
      </c>
      <c r="P852">
        <f>Master_Data!P852</f>
        <v>39</v>
      </c>
      <c r="Q852" t="str">
        <f t="shared" si="78"/>
        <v>2011</v>
      </c>
      <c r="R852" t="str">
        <f t="shared" si="79"/>
        <v>February</v>
      </c>
      <c r="S852" t="str">
        <f t="shared" si="80"/>
        <v>Weekday</v>
      </c>
      <c r="T852" t="str">
        <f t="shared" si="81"/>
        <v>Morning</v>
      </c>
      <c r="U852" t="str">
        <f t="shared" si="82"/>
        <v>Spring</v>
      </c>
      <c r="V852" t="str">
        <f t="shared" si="83"/>
        <v>Clear</v>
      </c>
    </row>
    <row r="853" spans="1:22">
      <c r="A853">
        <f>Master_Data!A853</f>
        <v>861</v>
      </c>
      <c r="B853">
        <f>Master_Data!B853</f>
        <v>40582</v>
      </c>
      <c r="C853">
        <f>Master_Data!C853</f>
        <v>1</v>
      </c>
      <c r="D853">
        <f>Master_Data!D853</f>
        <v>0</v>
      </c>
      <c r="E853">
        <f>Master_Data!E853</f>
        <v>2</v>
      </c>
      <c r="F853">
        <f>Master_Data!F853</f>
        <v>7</v>
      </c>
      <c r="G853" t="b">
        <f>Master_Data!G853</f>
        <v>0</v>
      </c>
      <c r="H853">
        <f>Master_Data!H853</f>
        <v>2</v>
      </c>
      <c r="I853">
        <f>Master_Data!I853</f>
        <v>1</v>
      </c>
      <c r="J853">
        <f>Master_Data!J853</f>
        <v>0.24</v>
      </c>
      <c r="K853">
        <f>Master_Data!K853</f>
        <v>0.19700000000000001</v>
      </c>
      <c r="L853">
        <f>Master_Data!L853</f>
        <v>0.65</v>
      </c>
      <c r="M853">
        <f>Master_Data!M853</f>
        <v>0.41789999999999999</v>
      </c>
      <c r="N853">
        <f>Master_Data!N853</f>
        <v>3</v>
      </c>
      <c r="O853">
        <f>Master_Data!O853</f>
        <v>97</v>
      </c>
      <c r="P853">
        <f>Master_Data!P853</f>
        <v>100</v>
      </c>
      <c r="Q853" t="str">
        <f t="shared" si="78"/>
        <v>2011</v>
      </c>
      <c r="R853" t="str">
        <f t="shared" si="79"/>
        <v>February</v>
      </c>
      <c r="S853" t="str">
        <f t="shared" si="80"/>
        <v>Weekday</v>
      </c>
      <c r="T853" t="str">
        <f t="shared" si="81"/>
        <v>Morning</v>
      </c>
      <c r="U853" t="str">
        <f t="shared" si="82"/>
        <v>Spring</v>
      </c>
      <c r="V853" t="str">
        <f t="shared" si="83"/>
        <v>Clear</v>
      </c>
    </row>
    <row r="854" spans="1:22">
      <c r="A854">
        <f>Master_Data!A854</f>
        <v>862</v>
      </c>
      <c r="B854">
        <f>Master_Data!B854</f>
        <v>40582</v>
      </c>
      <c r="C854">
        <f>Master_Data!C854</f>
        <v>1</v>
      </c>
      <c r="D854">
        <f>Master_Data!D854</f>
        <v>0</v>
      </c>
      <c r="E854">
        <f>Master_Data!E854</f>
        <v>2</v>
      </c>
      <c r="F854">
        <f>Master_Data!F854</f>
        <v>8</v>
      </c>
      <c r="G854" t="b">
        <f>Master_Data!G854</f>
        <v>0</v>
      </c>
      <c r="H854">
        <f>Master_Data!H854</f>
        <v>2</v>
      </c>
      <c r="I854">
        <f>Master_Data!I854</f>
        <v>1</v>
      </c>
      <c r="J854">
        <f>Master_Data!J854</f>
        <v>0.24</v>
      </c>
      <c r="K854">
        <f>Master_Data!K854</f>
        <v>0.19700000000000001</v>
      </c>
      <c r="L854">
        <f>Master_Data!L854</f>
        <v>0.56000000000000005</v>
      </c>
      <c r="M854">
        <f>Master_Data!M854</f>
        <v>0.49249999999999999</v>
      </c>
      <c r="N854">
        <f>Master_Data!N854</f>
        <v>7</v>
      </c>
      <c r="O854">
        <f>Master_Data!O854</f>
        <v>236</v>
      </c>
      <c r="P854">
        <f>Master_Data!P854</f>
        <v>243</v>
      </c>
      <c r="Q854" t="str">
        <f t="shared" si="78"/>
        <v>2011</v>
      </c>
      <c r="R854" t="str">
        <f t="shared" si="79"/>
        <v>February</v>
      </c>
      <c r="S854" t="str">
        <f t="shared" si="80"/>
        <v>Weekday</v>
      </c>
      <c r="T854" t="str">
        <f t="shared" si="81"/>
        <v>Morning</v>
      </c>
      <c r="U854" t="str">
        <f t="shared" si="82"/>
        <v>Spring</v>
      </c>
      <c r="V854" t="str">
        <f t="shared" si="83"/>
        <v>Clear</v>
      </c>
    </row>
    <row r="855" spans="1:22">
      <c r="A855">
        <f>Master_Data!A855</f>
        <v>863</v>
      </c>
      <c r="B855">
        <f>Master_Data!B855</f>
        <v>40582</v>
      </c>
      <c r="C855">
        <f>Master_Data!C855</f>
        <v>1</v>
      </c>
      <c r="D855">
        <f>Master_Data!D855</f>
        <v>0</v>
      </c>
      <c r="E855">
        <f>Master_Data!E855</f>
        <v>2</v>
      </c>
      <c r="F855">
        <f>Master_Data!F855</f>
        <v>9</v>
      </c>
      <c r="G855" t="b">
        <f>Master_Data!G855</f>
        <v>0</v>
      </c>
      <c r="H855">
        <f>Master_Data!H855</f>
        <v>2</v>
      </c>
      <c r="I855">
        <f>Master_Data!I855</f>
        <v>1</v>
      </c>
      <c r="J855">
        <f>Master_Data!J855</f>
        <v>0.24</v>
      </c>
      <c r="K855">
        <f>Master_Data!K855</f>
        <v>0.19700000000000001</v>
      </c>
      <c r="L855">
        <f>Master_Data!L855</f>
        <v>0.52</v>
      </c>
      <c r="M855">
        <f>Master_Data!M855</f>
        <v>0.49249999999999999</v>
      </c>
      <c r="N855">
        <f>Master_Data!N855</f>
        <v>7</v>
      </c>
      <c r="O855">
        <f>Master_Data!O855</f>
        <v>128</v>
      </c>
      <c r="P855">
        <f>Master_Data!P855</f>
        <v>135</v>
      </c>
      <c r="Q855" t="str">
        <f t="shared" si="78"/>
        <v>2011</v>
      </c>
      <c r="R855" t="str">
        <f t="shared" si="79"/>
        <v>February</v>
      </c>
      <c r="S855" t="str">
        <f t="shared" si="80"/>
        <v>Weekday</v>
      </c>
      <c r="T855" t="str">
        <f t="shared" si="81"/>
        <v>Morning</v>
      </c>
      <c r="U855" t="str">
        <f t="shared" si="82"/>
        <v>Spring</v>
      </c>
      <c r="V855" t="str">
        <f t="shared" si="83"/>
        <v>Clear</v>
      </c>
    </row>
    <row r="856" spans="1:22">
      <c r="A856">
        <f>Master_Data!A856</f>
        <v>864</v>
      </c>
      <c r="B856">
        <f>Master_Data!B856</f>
        <v>40582</v>
      </c>
      <c r="C856">
        <f>Master_Data!C856</f>
        <v>1</v>
      </c>
      <c r="D856">
        <f>Master_Data!D856</f>
        <v>0</v>
      </c>
      <c r="E856">
        <f>Master_Data!E856</f>
        <v>2</v>
      </c>
      <c r="F856">
        <f>Master_Data!F856</f>
        <v>10</v>
      </c>
      <c r="G856" t="b">
        <f>Master_Data!G856</f>
        <v>0</v>
      </c>
      <c r="H856">
        <f>Master_Data!H856</f>
        <v>2</v>
      </c>
      <c r="I856">
        <f>Master_Data!I856</f>
        <v>1</v>
      </c>
      <c r="J856">
        <f>Master_Data!J856</f>
        <v>0.22</v>
      </c>
      <c r="K856">
        <f>Master_Data!K856</f>
        <v>0.18179999999999999</v>
      </c>
      <c r="L856">
        <f>Master_Data!L856</f>
        <v>0.47</v>
      </c>
      <c r="M856">
        <f>Master_Data!M856</f>
        <v>0.55220000000000002</v>
      </c>
      <c r="N856">
        <f>Master_Data!N856</f>
        <v>4</v>
      </c>
      <c r="O856">
        <f>Master_Data!O856</f>
        <v>44</v>
      </c>
      <c r="P856">
        <f>Master_Data!P856</f>
        <v>48</v>
      </c>
      <c r="Q856" t="str">
        <f t="shared" si="78"/>
        <v>2011</v>
      </c>
      <c r="R856" t="str">
        <f t="shared" si="79"/>
        <v>February</v>
      </c>
      <c r="S856" t="str">
        <f t="shared" si="80"/>
        <v>Weekday</v>
      </c>
      <c r="T856" t="str">
        <f t="shared" si="81"/>
        <v>Morning</v>
      </c>
      <c r="U856" t="str">
        <f t="shared" si="82"/>
        <v>Spring</v>
      </c>
      <c r="V856" t="str">
        <f t="shared" si="83"/>
        <v>Clear</v>
      </c>
    </row>
    <row r="857" spans="1:22">
      <c r="A857">
        <f>Master_Data!A857</f>
        <v>865</v>
      </c>
      <c r="B857">
        <f>Master_Data!B857</f>
        <v>40582</v>
      </c>
      <c r="C857">
        <f>Master_Data!C857</f>
        <v>1</v>
      </c>
      <c r="D857">
        <f>Master_Data!D857</f>
        <v>0</v>
      </c>
      <c r="E857">
        <f>Master_Data!E857</f>
        <v>2</v>
      </c>
      <c r="F857">
        <f>Master_Data!F857</f>
        <v>11</v>
      </c>
      <c r="G857" t="b">
        <f>Master_Data!G857</f>
        <v>0</v>
      </c>
      <c r="H857">
        <f>Master_Data!H857</f>
        <v>2</v>
      </c>
      <c r="I857">
        <f>Master_Data!I857</f>
        <v>1</v>
      </c>
      <c r="J857">
        <f>Master_Data!J857</f>
        <v>0.22</v>
      </c>
      <c r="K857">
        <f>Master_Data!K857</f>
        <v>0.18179999999999999</v>
      </c>
      <c r="L857">
        <f>Master_Data!L857</f>
        <v>0.47</v>
      </c>
      <c r="M857">
        <f>Master_Data!M857</f>
        <v>0.4627</v>
      </c>
      <c r="N857">
        <f>Master_Data!N857</f>
        <v>1</v>
      </c>
      <c r="O857">
        <f>Master_Data!O857</f>
        <v>49</v>
      </c>
      <c r="P857">
        <f>Master_Data!P857</f>
        <v>50</v>
      </c>
      <c r="Q857" t="str">
        <f t="shared" si="78"/>
        <v>2011</v>
      </c>
      <c r="R857" t="str">
        <f t="shared" si="79"/>
        <v>February</v>
      </c>
      <c r="S857" t="str">
        <f t="shared" si="80"/>
        <v>Weekday</v>
      </c>
      <c r="T857" t="str">
        <f t="shared" si="81"/>
        <v>Morning</v>
      </c>
      <c r="U857" t="str">
        <f t="shared" si="82"/>
        <v>Spring</v>
      </c>
      <c r="V857" t="str">
        <f t="shared" si="83"/>
        <v>Clear</v>
      </c>
    </row>
    <row r="858" spans="1:22">
      <c r="A858">
        <f>Master_Data!A858</f>
        <v>866</v>
      </c>
      <c r="B858">
        <f>Master_Data!B858</f>
        <v>40582</v>
      </c>
      <c r="C858">
        <f>Master_Data!C858</f>
        <v>1</v>
      </c>
      <c r="D858">
        <f>Master_Data!D858</f>
        <v>0</v>
      </c>
      <c r="E858">
        <f>Master_Data!E858</f>
        <v>2</v>
      </c>
      <c r="F858">
        <f>Master_Data!F858</f>
        <v>12</v>
      </c>
      <c r="G858" t="b">
        <f>Master_Data!G858</f>
        <v>0</v>
      </c>
      <c r="H858">
        <f>Master_Data!H858</f>
        <v>2</v>
      </c>
      <c r="I858">
        <f>Master_Data!I858</f>
        <v>1</v>
      </c>
      <c r="J858">
        <f>Master_Data!J858</f>
        <v>0.24</v>
      </c>
      <c r="K858">
        <f>Master_Data!K858</f>
        <v>0.19700000000000001</v>
      </c>
      <c r="L858">
        <f>Master_Data!L858</f>
        <v>0.38</v>
      </c>
      <c r="M858">
        <f>Master_Data!M858</f>
        <v>0.49249999999999999</v>
      </c>
      <c r="N858">
        <f>Master_Data!N858</f>
        <v>2</v>
      </c>
      <c r="O858">
        <f>Master_Data!O858</f>
        <v>63</v>
      </c>
      <c r="P858">
        <f>Master_Data!P858</f>
        <v>65</v>
      </c>
      <c r="Q858" t="str">
        <f t="shared" si="78"/>
        <v>2011</v>
      </c>
      <c r="R858" t="str">
        <f t="shared" si="79"/>
        <v>February</v>
      </c>
      <c r="S858" t="str">
        <f t="shared" si="80"/>
        <v>Weekday</v>
      </c>
      <c r="T858" t="str">
        <f t="shared" si="81"/>
        <v>Afternoon</v>
      </c>
      <c r="U858" t="str">
        <f t="shared" si="82"/>
        <v>Spring</v>
      </c>
      <c r="V858" t="str">
        <f t="shared" si="83"/>
        <v>Clear</v>
      </c>
    </row>
    <row r="859" spans="1:22">
      <c r="A859">
        <f>Master_Data!A859</f>
        <v>867</v>
      </c>
      <c r="B859">
        <f>Master_Data!B859</f>
        <v>40582</v>
      </c>
      <c r="C859">
        <f>Master_Data!C859</f>
        <v>1</v>
      </c>
      <c r="D859">
        <f>Master_Data!D859</f>
        <v>0</v>
      </c>
      <c r="E859">
        <f>Master_Data!E859</f>
        <v>2</v>
      </c>
      <c r="F859">
        <f>Master_Data!F859</f>
        <v>13</v>
      </c>
      <c r="G859" t="b">
        <f>Master_Data!G859</f>
        <v>0</v>
      </c>
      <c r="H859">
        <f>Master_Data!H859</f>
        <v>2</v>
      </c>
      <c r="I859">
        <f>Master_Data!I859</f>
        <v>2</v>
      </c>
      <c r="J859">
        <f>Master_Data!J859</f>
        <v>0.24</v>
      </c>
      <c r="K859">
        <f>Master_Data!K859</f>
        <v>0.19700000000000001</v>
      </c>
      <c r="L859">
        <f>Master_Data!L859</f>
        <v>0.32</v>
      </c>
      <c r="M859">
        <f>Master_Data!M859</f>
        <v>0.44779999999999998</v>
      </c>
      <c r="N859">
        <f>Master_Data!N859</f>
        <v>2</v>
      </c>
      <c r="O859">
        <f>Master_Data!O859</f>
        <v>48</v>
      </c>
      <c r="P859">
        <f>Master_Data!P859</f>
        <v>50</v>
      </c>
      <c r="Q859" t="str">
        <f t="shared" si="78"/>
        <v>2011</v>
      </c>
      <c r="R859" t="str">
        <f t="shared" si="79"/>
        <v>February</v>
      </c>
      <c r="S859" t="str">
        <f t="shared" si="80"/>
        <v>Weekday</v>
      </c>
      <c r="T859" t="str">
        <f t="shared" si="81"/>
        <v>Afternoon</v>
      </c>
      <c r="U859" t="str">
        <f t="shared" si="82"/>
        <v>Spring</v>
      </c>
      <c r="V859" t="str">
        <f t="shared" si="83"/>
        <v>Mist/Cloudy</v>
      </c>
    </row>
    <row r="860" spans="1:22">
      <c r="A860">
        <f>Master_Data!A860</f>
        <v>868</v>
      </c>
      <c r="B860">
        <f>Master_Data!B860</f>
        <v>40582</v>
      </c>
      <c r="C860">
        <f>Master_Data!C860</f>
        <v>1</v>
      </c>
      <c r="D860">
        <f>Master_Data!D860</f>
        <v>0</v>
      </c>
      <c r="E860">
        <f>Master_Data!E860</f>
        <v>2</v>
      </c>
      <c r="F860">
        <f>Master_Data!F860</f>
        <v>14</v>
      </c>
      <c r="G860" t="b">
        <f>Master_Data!G860</f>
        <v>0</v>
      </c>
      <c r="H860">
        <f>Master_Data!H860</f>
        <v>2</v>
      </c>
      <c r="I860">
        <f>Master_Data!I860</f>
        <v>1</v>
      </c>
      <c r="J860">
        <f>Master_Data!J860</f>
        <v>0.22</v>
      </c>
      <c r="K860">
        <f>Master_Data!K860</f>
        <v>0.19700000000000001</v>
      </c>
      <c r="L860">
        <f>Master_Data!L860</f>
        <v>0.37</v>
      </c>
      <c r="M860">
        <f>Master_Data!M860</f>
        <v>0.41789999999999999</v>
      </c>
      <c r="N860">
        <f>Master_Data!N860</f>
        <v>3</v>
      </c>
      <c r="O860">
        <f>Master_Data!O860</f>
        <v>61</v>
      </c>
      <c r="P860">
        <f>Master_Data!P860</f>
        <v>64</v>
      </c>
      <c r="Q860" t="str">
        <f t="shared" si="78"/>
        <v>2011</v>
      </c>
      <c r="R860" t="str">
        <f t="shared" si="79"/>
        <v>February</v>
      </c>
      <c r="S860" t="str">
        <f t="shared" si="80"/>
        <v>Weekday</v>
      </c>
      <c r="T860" t="str">
        <f t="shared" si="81"/>
        <v>Afternoon</v>
      </c>
      <c r="U860" t="str">
        <f t="shared" si="82"/>
        <v>Spring</v>
      </c>
      <c r="V860" t="str">
        <f t="shared" si="83"/>
        <v>Clear</v>
      </c>
    </row>
    <row r="861" spans="1:22">
      <c r="A861">
        <f>Master_Data!A861</f>
        <v>869</v>
      </c>
      <c r="B861">
        <f>Master_Data!B861</f>
        <v>40582</v>
      </c>
      <c r="C861">
        <f>Master_Data!C861</f>
        <v>1</v>
      </c>
      <c r="D861">
        <f>Master_Data!D861</f>
        <v>0</v>
      </c>
      <c r="E861">
        <f>Master_Data!E861</f>
        <v>2</v>
      </c>
      <c r="F861">
        <f>Master_Data!F861</f>
        <v>15</v>
      </c>
      <c r="G861" t="b">
        <f>Master_Data!G861</f>
        <v>0</v>
      </c>
      <c r="H861">
        <f>Master_Data!H861</f>
        <v>2</v>
      </c>
      <c r="I861">
        <f>Master_Data!I861</f>
        <v>1</v>
      </c>
      <c r="J861">
        <f>Master_Data!J861</f>
        <v>0.22</v>
      </c>
      <c r="K861">
        <f>Master_Data!K861</f>
        <v>0.19700000000000001</v>
      </c>
      <c r="L861">
        <f>Master_Data!L861</f>
        <v>0.35</v>
      </c>
      <c r="M861">
        <f>Master_Data!M861</f>
        <v>0.3881</v>
      </c>
      <c r="N861">
        <f>Master_Data!N861</f>
        <v>6</v>
      </c>
      <c r="O861">
        <f>Master_Data!O861</f>
        <v>45</v>
      </c>
      <c r="P861">
        <f>Master_Data!P861</f>
        <v>51</v>
      </c>
      <c r="Q861" t="str">
        <f t="shared" si="78"/>
        <v>2011</v>
      </c>
      <c r="R861" t="str">
        <f t="shared" si="79"/>
        <v>February</v>
      </c>
      <c r="S861" t="str">
        <f t="shared" si="80"/>
        <v>Weekday</v>
      </c>
      <c r="T861" t="str">
        <f t="shared" si="81"/>
        <v>Afternoon</v>
      </c>
      <c r="U861" t="str">
        <f t="shared" si="82"/>
        <v>Spring</v>
      </c>
      <c r="V861" t="str">
        <f t="shared" si="83"/>
        <v>Clear</v>
      </c>
    </row>
    <row r="862" spans="1:22">
      <c r="A862">
        <f>Master_Data!A862</f>
        <v>870</v>
      </c>
      <c r="B862">
        <f>Master_Data!B862</f>
        <v>40582</v>
      </c>
      <c r="C862">
        <f>Master_Data!C862</f>
        <v>1</v>
      </c>
      <c r="D862">
        <f>Master_Data!D862</f>
        <v>0</v>
      </c>
      <c r="E862">
        <f>Master_Data!E862</f>
        <v>2</v>
      </c>
      <c r="F862">
        <f>Master_Data!F862</f>
        <v>16</v>
      </c>
      <c r="G862" t="b">
        <f>Master_Data!G862</f>
        <v>0</v>
      </c>
      <c r="H862">
        <f>Master_Data!H862</f>
        <v>2</v>
      </c>
      <c r="I862">
        <f>Master_Data!I862</f>
        <v>1</v>
      </c>
      <c r="J862">
        <f>Master_Data!J862</f>
        <v>0.22</v>
      </c>
      <c r="K862">
        <f>Master_Data!K862</f>
        <v>0.18179999999999999</v>
      </c>
      <c r="L862">
        <f>Master_Data!L862</f>
        <v>0.35</v>
      </c>
      <c r="M862">
        <f>Master_Data!M862</f>
        <v>0.52239999999999998</v>
      </c>
      <c r="N862">
        <f>Master_Data!N862</f>
        <v>4</v>
      </c>
      <c r="O862">
        <f>Master_Data!O862</f>
        <v>79</v>
      </c>
      <c r="P862">
        <f>Master_Data!P862</f>
        <v>83</v>
      </c>
      <c r="Q862" t="str">
        <f t="shared" si="78"/>
        <v>2011</v>
      </c>
      <c r="R862" t="str">
        <f t="shared" si="79"/>
        <v>February</v>
      </c>
      <c r="S862" t="str">
        <f t="shared" si="80"/>
        <v>Weekday</v>
      </c>
      <c r="T862" t="str">
        <f t="shared" si="81"/>
        <v>Afternoon</v>
      </c>
      <c r="U862" t="str">
        <f t="shared" si="82"/>
        <v>Spring</v>
      </c>
      <c r="V862" t="str">
        <f t="shared" si="83"/>
        <v>Clear</v>
      </c>
    </row>
    <row r="863" spans="1:22">
      <c r="A863">
        <f>Master_Data!A863</f>
        <v>871</v>
      </c>
      <c r="B863">
        <f>Master_Data!B863</f>
        <v>40582</v>
      </c>
      <c r="C863">
        <f>Master_Data!C863</f>
        <v>1</v>
      </c>
      <c r="D863">
        <f>Master_Data!D863</f>
        <v>0</v>
      </c>
      <c r="E863">
        <f>Master_Data!E863</f>
        <v>2</v>
      </c>
      <c r="F863">
        <f>Master_Data!F863</f>
        <v>17</v>
      </c>
      <c r="G863" t="b">
        <f>Master_Data!G863</f>
        <v>0</v>
      </c>
      <c r="H863">
        <f>Master_Data!H863</f>
        <v>2</v>
      </c>
      <c r="I863">
        <f>Master_Data!I863</f>
        <v>1</v>
      </c>
      <c r="J863">
        <f>Master_Data!J863</f>
        <v>0.22</v>
      </c>
      <c r="K863">
        <f>Master_Data!K863</f>
        <v>0.18179999999999999</v>
      </c>
      <c r="L863">
        <f>Master_Data!L863</f>
        <v>0.32</v>
      </c>
      <c r="M863">
        <f>Master_Data!M863</f>
        <v>0.58209999999999995</v>
      </c>
      <c r="N863">
        <f>Master_Data!N863</f>
        <v>4</v>
      </c>
      <c r="O863">
        <f>Master_Data!O863</f>
        <v>172</v>
      </c>
      <c r="P863">
        <f>Master_Data!P863</f>
        <v>176</v>
      </c>
      <c r="Q863" t="str">
        <f t="shared" si="78"/>
        <v>2011</v>
      </c>
      <c r="R863" t="str">
        <f t="shared" si="79"/>
        <v>February</v>
      </c>
      <c r="S863" t="str">
        <f t="shared" si="80"/>
        <v>Weekday</v>
      </c>
      <c r="T863" t="str">
        <f t="shared" si="81"/>
        <v>Evening</v>
      </c>
      <c r="U863" t="str">
        <f t="shared" si="82"/>
        <v>Spring</v>
      </c>
      <c r="V863" t="str">
        <f t="shared" si="83"/>
        <v>Clear</v>
      </c>
    </row>
    <row r="864" spans="1:22">
      <c r="A864">
        <f>Master_Data!A864</f>
        <v>872</v>
      </c>
      <c r="B864">
        <f>Master_Data!B864</f>
        <v>40582</v>
      </c>
      <c r="C864">
        <f>Master_Data!C864</f>
        <v>1</v>
      </c>
      <c r="D864">
        <f>Master_Data!D864</f>
        <v>0</v>
      </c>
      <c r="E864">
        <f>Master_Data!E864</f>
        <v>2</v>
      </c>
      <c r="F864">
        <f>Master_Data!F864</f>
        <v>18</v>
      </c>
      <c r="G864" t="b">
        <f>Master_Data!G864</f>
        <v>0</v>
      </c>
      <c r="H864">
        <f>Master_Data!H864</f>
        <v>2</v>
      </c>
      <c r="I864">
        <f>Master_Data!I864</f>
        <v>1</v>
      </c>
      <c r="J864">
        <f>Master_Data!J864</f>
        <v>0.2</v>
      </c>
      <c r="K864">
        <f>Master_Data!K864</f>
        <v>0.18179999999999999</v>
      </c>
      <c r="L864">
        <f>Master_Data!L864</f>
        <v>0.32</v>
      </c>
      <c r="M864">
        <f>Master_Data!M864</f>
        <v>0.3881</v>
      </c>
      <c r="N864">
        <f>Master_Data!N864</f>
        <v>1</v>
      </c>
      <c r="O864">
        <f>Master_Data!O864</f>
        <v>151</v>
      </c>
      <c r="P864">
        <f>Master_Data!P864</f>
        <v>152</v>
      </c>
      <c r="Q864" t="str">
        <f t="shared" si="78"/>
        <v>2011</v>
      </c>
      <c r="R864" t="str">
        <f t="shared" si="79"/>
        <v>February</v>
      </c>
      <c r="S864" t="str">
        <f t="shared" si="80"/>
        <v>Weekday</v>
      </c>
      <c r="T864" t="str">
        <f t="shared" si="81"/>
        <v>Evening</v>
      </c>
      <c r="U864" t="str">
        <f t="shared" si="82"/>
        <v>Spring</v>
      </c>
      <c r="V864" t="str">
        <f t="shared" si="83"/>
        <v>Clear</v>
      </c>
    </row>
    <row r="865" spans="1:22">
      <c r="A865">
        <f>Master_Data!A865</f>
        <v>873</v>
      </c>
      <c r="B865">
        <f>Master_Data!B865</f>
        <v>40582</v>
      </c>
      <c r="C865">
        <f>Master_Data!C865</f>
        <v>1</v>
      </c>
      <c r="D865">
        <f>Master_Data!D865</f>
        <v>0</v>
      </c>
      <c r="E865">
        <f>Master_Data!E865</f>
        <v>2</v>
      </c>
      <c r="F865">
        <f>Master_Data!F865</f>
        <v>19</v>
      </c>
      <c r="G865" t="b">
        <f>Master_Data!G865</f>
        <v>0</v>
      </c>
      <c r="H865">
        <f>Master_Data!H865</f>
        <v>2</v>
      </c>
      <c r="I865">
        <f>Master_Data!I865</f>
        <v>1</v>
      </c>
      <c r="J865">
        <f>Master_Data!J865</f>
        <v>0.16</v>
      </c>
      <c r="K865">
        <f>Master_Data!K865</f>
        <v>0.1212</v>
      </c>
      <c r="L865">
        <f>Master_Data!L865</f>
        <v>0.4</v>
      </c>
      <c r="M865">
        <f>Master_Data!M865</f>
        <v>0.4627</v>
      </c>
      <c r="N865">
        <f>Master_Data!N865</f>
        <v>1</v>
      </c>
      <c r="O865">
        <f>Master_Data!O865</f>
        <v>100</v>
      </c>
      <c r="P865">
        <f>Master_Data!P865</f>
        <v>101</v>
      </c>
      <c r="Q865" t="str">
        <f t="shared" si="78"/>
        <v>2011</v>
      </c>
      <c r="R865" t="str">
        <f t="shared" si="79"/>
        <v>February</v>
      </c>
      <c r="S865" t="str">
        <f t="shared" si="80"/>
        <v>Weekday</v>
      </c>
      <c r="T865" t="str">
        <f t="shared" si="81"/>
        <v>Evening</v>
      </c>
      <c r="U865" t="str">
        <f t="shared" si="82"/>
        <v>Spring</v>
      </c>
      <c r="V865" t="str">
        <f t="shared" si="83"/>
        <v>Clear</v>
      </c>
    </row>
    <row r="866" spans="1:22">
      <c r="A866">
        <f>Master_Data!A866</f>
        <v>874</v>
      </c>
      <c r="B866">
        <f>Master_Data!B866</f>
        <v>40582</v>
      </c>
      <c r="C866">
        <f>Master_Data!C866</f>
        <v>1</v>
      </c>
      <c r="D866">
        <f>Master_Data!D866</f>
        <v>0</v>
      </c>
      <c r="E866">
        <f>Master_Data!E866</f>
        <v>2</v>
      </c>
      <c r="F866">
        <f>Master_Data!F866</f>
        <v>20</v>
      </c>
      <c r="G866" t="b">
        <f>Master_Data!G866</f>
        <v>0</v>
      </c>
      <c r="H866">
        <f>Master_Data!H866</f>
        <v>2</v>
      </c>
      <c r="I866">
        <f>Master_Data!I866</f>
        <v>1</v>
      </c>
      <c r="J866">
        <f>Master_Data!J866</f>
        <v>0.16</v>
      </c>
      <c r="K866">
        <f>Master_Data!K866</f>
        <v>0.13639999999999999</v>
      </c>
      <c r="L866">
        <f>Master_Data!L866</f>
        <v>0.4</v>
      </c>
      <c r="M866">
        <f>Master_Data!M866</f>
        <v>0.32840000000000003</v>
      </c>
      <c r="N866">
        <f>Master_Data!N866</f>
        <v>3</v>
      </c>
      <c r="O866">
        <f>Master_Data!O866</f>
        <v>53</v>
      </c>
      <c r="P866">
        <f>Master_Data!P866</f>
        <v>56</v>
      </c>
      <c r="Q866" t="str">
        <f t="shared" si="78"/>
        <v>2011</v>
      </c>
      <c r="R866" t="str">
        <f t="shared" si="79"/>
        <v>February</v>
      </c>
      <c r="S866" t="str">
        <f t="shared" si="80"/>
        <v>Weekday</v>
      </c>
      <c r="T866" t="str">
        <f t="shared" si="81"/>
        <v>Evening</v>
      </c>
      <c r="U866" t="str">
        <f t="shared" si="82"/>
        <v>Spring</v>
      </c>
      <c r="V866" t="str">
        <f t="shared" si="83"/>
        <v>Clear</v>
      </c>
    </row>
    <row r="867" spans="1:22">
      <c r="A867">
        <f>Master_Data!A867</f>
        <v>875</v>
      </c>
      <c r="B867">
        <f>Master_Data!B867</f>
        <v>40582</v>
      </c>
      <c r="C867">
        <f>Master_Data!C867</f>
        <v>1</v>
      </c>
      <c r="D867">
        <f>Master_Data!D867</f>
        <v>0</v>
      </c>
      <c r="E867">
        <f>Master_Data!E867</f>
        <v>2</v>
      </c>
      <c r="F867">
        <f>Master_Data!F867</f>
        <v>21</v>
      </c>
      <c r="G867" t="b">
        <f>Master_Data!G867</f>
        <v>0</v>
      </c>
      <c r="H867">
        <f>Master_Data!H867</f>
        <v>2</v>
      </c>
      <c r="I867">
        <f>Master_Data!I867</f>
        <v>1</v>
      </c>
      <c r="J867">
        <f>Master_Data!J867</f>
        <v>0.14000000000000001</v>
      </c>
      <c r="K867">
        <f>Master_Data!K867</f>
        <v>0.1061</v>
      </c>
      <c r="L867">
        <f>Master_Data!L867</f>
        <v>0.33</v>
      </c>
      <c r="M867">
        <f>Master_Data!M867</f>
        <v>0.4627</v>
      </c>
      <c r="N867">
        <f>Master_Data!N867</f>
        <v>8</v>
      </c>
      <c r="O867">
        <f>Master_Data!O867</f>
        <v>46</v>
      </c>
      <c r="P867">
        <f>Master_Data!P867</f>
        <v>54</v>
      </c>
      <c r="Q867" t="str">
        <f t="shared" si="78"/>
        <v>2011</v>
      </c>
      <c r="R867" t="str">
        <f t="shared" si="79"/>
        <v>February</v>
      </c>
      <c r="S867" t="str">
        <f t="shared" si="80"/>
        <v>Weekday</v>
      </c>
      <c r="T867" t="str">
        <f t="shared" si="81"/>
        <v>Night</v>
      </c>
      <c r="U867" t="str">
        <f t="shared" si="82"/>
        <v>Spring</v>
      </c>
      <c r="V867" t="str">
        <f t="shared" si="83"/>
        <v>Clear</v>
      </c>
    </row>
    <row r="868" spans="1:22">
      <c r="A868">
        <f>Master_Data!A868</f>
        <v>876</v>
      </c>
      <c r="B868">
        <f>Master_Data!B868</f>
        <v>40582</v>
      </c>
      <c r="C868">
        <f>Master_Data!C868</f>
        <v>1</v>
      </c>
      <c r="D868">
        <f>Master_Data!D868</f>
        <v>0</v>
      </c>
      <c r="E868">
        <f>Master_Data!E868</f>
        <v>2</v>
      </c>
      <c r="F868">
        <f>Master_Data!F868</f>
        <v>22</v>
      </c>
      <c r="G868" t="b">
        <f>Master_Data!G868</f>
        <v>0</v>
      </c>
      <c r="H868">
        <f>Master_Data!H868</f>
        <v>2</v>
      </c>
      <c r="I868">
        <f>Master_Data!I868</f>
        <v>1</v>
      </c>
      <c r="J868">
        <f>Master_Data!J868</f>
        <v>0.12</v>
      </c>
      <c r="K868">
        <f>Master_Data!K868</f>
        <v>0.1061</v>
      </c>
      <c r="L868">
        <f>Master_Data!L868</f>
        <v>0.33</v>
      </c>
      <c r="M868">
        <f>Master_Data!M868</f>
        <v>0.35820000000000002</v>
      </c>
      <c r="N868">
        <f>Master_Data!N868</f>
        <v>0</v>
      </c>
      <c r="O868">
        <f>Master_Data!O868</f>
        <v>29</v>
      </c>
      <c r="P868">
        <f>Master_Data!P868</f>
        <v>29</v>
      </c>
      <c r="Q868" t="str">
        <f t="shared" si="78"/>
        <v>2011</v>
      </c>
      <c r="R868" t="str">
        <f t="shared" si="79"/>
        <v>February</v>
      </c>
      <c r="S868" t="str">
        <f t="shared" si="80"/>
        <v>Weekday</v>
      </c>
      <c r="T868" t="str">
        <f t="shared" si="81"/>
        <v>Night</v>
      </c>
      <c r="U868" t="str">
        <f t="shared" si="82"/>
        <v>Spring</v>
      </c>
      <c r="V868" t="str">
        <f t="shared" si="83"/>
        <v>Clear</v>
      </c>
    </row>
    <row r="869" spans="1:22">
      <c r="A869">
        <f>Master_Data!A869</f>
        <v>877</v>
      </c>
      <c r="B869">
        <f>Master_Data!B869</f>
        <v>40582</v>
      </c>
      <c r="C869">
        <f>Master_Data!C869</f>
        <v>1</v>
      </c>
      <c r="D869">
        <f>Master_Data!D869</f>
        <v>0</v>
      </c>
      <c r="E869">
        <f>Master_Data!E869</f>
        <v>2</v>
      </c>
      <c r="F869">
        <f>Master_Data!F869</f>
        <v>23</v>
      </c>
      <c r="G869" t="b">
        <f>Master_Data!G869</f>
        <v>0</v>
      </c>
      <c r="H869">
        <f>Master_Data!H869</f>
        <v>2</v>
      </c>
      <c r="I869">
        <f>Master_Data!I869</f>
        <v>1</v>
      </c>
      <c r="J869">
        <f>Master_Data!J869</f>
        <v>0.12</v>
      </c>
      <c r="K869">
        <f>Master_Data!K869</f>
        <v>0.1061</v>
      </c>
      <c r="L869">
        <f>Master_Data!L869</f>
        <v>0.33</v>
      </c>
      <c r="M869">
        <f>Master_Data!M869</f>
        <v>0.32840000000000003</v>
      </c>
      <c r="N869">
        <f>Master_Data!N869</f>
        <v>3</v>
      </c>
      <c r="O869">
        <f>Master_Data!O869</f>
        <v>9</v>
      </c>
      <c r="P869">
        <f>Master_Data!P869</f>
        <v>12</v>
      </c>
      <c r="Q869" t="str">
        <f t="shared" si="78"/>
        <v>2011</v>
      </c>
      <c r="R869" t="str">
        <f t="shared" si="79"/>
        <v>February</v>
      </c>
      <c r="S869" t="str">
        <f t="shared" si="80"/>
        <v>Weekday</v>
      </c>
      <c r="T869" t="str">
        <f t="shared" si="81"/>
        <v>Night</v>
      </c>
      <c r="U869" t="str">
        <f t="shared" si="82"/>
        <v>Spring</v>
      </c>
      <c r="V869" t="str">
        <f t="shared" si="83"/>
        <v>Clear</v>
      </c>
    </row>
    <row r="870" spans="1:22">
      <c r="A870">
        <f>Master_Data!A870</f>
        <v>878</v>
      </c>
      <c r="B870">
        <f>Master_Data!B870</f>
        <v>40583</v>
      </c>
      <c r="C870">
        <f>Master_Data!C870</f>
        <v>1</v>
      </c>
      <c r="D870">
        <f>Master_Data!D870</f>
        <v>0</v>
      </c>
      <c r="E870">
        <f>Master_Data!E870</f>
        <v>2</v>
      </c>
      <c r="F870">
        <f>Master_Data!F870</f>
        <v>0</v>
      </c>
      <c r="G870" t="b">
        <f>Master_Data!G870</f>
        <v>0</v>
      </c>
      <c r="H870">
        <f>Master_Data!H870</f>
        <v>3</v>
      </c>
      <c r="I870">
        <f>Master_Data!I870</f>
        <v>1</v>
      </c>
      <c r="J870">
        <f>Master_Data!J870</f>
        <v>0.1</v>
      </c>
      <c r="K870">
        <f>Master_Data!K870</f>
        <v>7.5800000000000006E-2</v>
      </c>
      <c r="L870">
        <f>Master_Data!L870</f>
        <v>0.36</v>
      </c>
      <c r="M870">
        <f>Master_Data!M870</f>
        <v>0.35820000000000002</v>
      </c>
      <c r="N870">
        <f>Master_Data!N870</f>
        <v>0</v>
      </c>
      <c r="O870">
        <f>Master_Data!O870</f>
        <v>17</v>
      </c>
      <c r="P870">
        <f>Master_Data!P870</f>
        <v>17</v>
      </c>
      <c r="Q870" t="str">
        <f t="shared" si="78"/>
        <v>2011</v>
      </c>
      <c r="R870" t="str">
        <f t="shared" si="79"/>
        <v>February</v>
      </c>
      <c r="S870" t="str">
        <f t="shared" si="80"/>
        <v>Weekday</v>
      </c>
      <c r="T870" t="str">
        <f t="shared" si="81"/>
        <v>Night</v>
      </c>
      <c r="U870" t="str">
        <f t="shared" si="82"/>
        <v>Spring</v>
      </c>
      <c r="V870" t="str">
        <f t="shared" si="83"/>
        <v>Clear</v>
      </c>
    </row>
    <row r="871" spans="1:22">
      <c r="A871">
        <f>Master_Data!A871</f>
        <v>879</v>
      </c>
      <c r="B871">
        <f>Master_Data!B871</f>
        <v>40583</v>
      </c>
      <c r="C871">
        <f>Master_Data!C871</f>
        <v>1</v>
      </c>
      <c r="D871">
        <f>Master_Data!D871</f>
        <v>0</v>
      </c>
      <c r="E871">
        <f>Master_Data!E871</f>
        <v>2</v>
      </c>
      <c r="F871">
        <f>Master_Data!F871</f>
        <v>1</v>
      </c>
      <c r="G871" t="b">
        <f>Master_Data!G871</f>
        <v>0</v>
      </c>
      <c r="H871">
        <f>Master_Data!H871</f>
        <v>3</v>
      </c>
      <c r="I871">
        <f>Master_Data!I871</f>
        <v>1</v>
      </c>
      <c r="J871">
        <f>Master_Data!J871</f>
        <v>0.1</v>
      </c>
      <c r="K871">
        <f>Master_Data!K871</f>
        <v>0.1061</v>
      </c>
      <c r="L871">
        <f>Master_Data!L871</f>
        <v>0.36</v>
      </c>
      <c r="M871">
        <f>Master_Data!M871</f>
        <v>0.22389999999999999</v>
      </c>
      <c r="N871">
        <f>Master_Data!N871</f>
        <v>0</v>
      </c>
      <c r="O871">
        <f>Master_Data!O871</f>
        <v>7</v>
      </c>
      <c r="P871">
        <f>Master_Data!P871</f>
        <v>7</v>
      </c>
      <c r="Q871" t="str">
        <f t="shared" si="78"/>
        <v>2011</v>
      </c>
      <c r="R871" t="str">
        <f t="shared" si="79"/>
        <v>February</v>
      </c>
      <c r="S871" t="str">
        <f t="shared" si="80"/>
        <v>Weekday</v>
      </c>
      <c r="T871" t="str">
        <f t="shared" si="81"/>
        <v>Night</v>
      </c>
      <c r="U871" t="str">
        <f t="shared" si="82"/>
        <v>Spring</v>
      </c>
      <c r="V871" t="str">
        <f t="shared" si="83"/>
        <v>Clear</v>
      </c>
    </row>
    <row r="872" spans="1:22">
      <c r="A872">
        <f>Master_Data!A872</f>
        <v>880</v>
      </c>
      <c r="B872">
        <f>Master_Data!B872</f>
        <v>40583</v>
      </c>
      <c r="C872">
        <f>Master_Data!C872</f>
        <v>1</v>
      </c>
      <c r="D872">
        <f>Master_Data!D872</f>
        <v>0</v>
      </c>
      <c r="E872">
        <f>Master_Data!E872</f>
        <v>2</v>
      </c>
      <c r="F872">
        <f>Master_Data!F872</f>
        <v>2</v>
      </c>
      <c r="G872" t="b">
        <f>Master_Data!G872</f>
        <v>0</v>
      </c>
      <c r="H872">
        <f>Master_Data!H872</f>
        <v>3</v>
      </c>
      <c r="I872">
        <f>Master_Data!I872</f>
        <v>1</v>
      </c>
      <c r="J872">
        <f>Master_Data!J872</f>
        <v>0.08</v>
      </c>
      <c r="K872">
        <f>Master_Data!K872</f>
        <v>7.5800000000000006E-2</v>
      </c>
      <c r="L872">
        <f>Master_Data!L872</f>
        <v>0.38</v>
      </c>
      <c r="M872">
        <f>Master_Data!M872</f>
        <v>0.28360000000000002</v>
      </c>
      <c r="N872">
        <f>Master_Data!N872</f>
        <v>1</v>
      </c>
      <c r="O872">
        <f>Master_Data!O872</f>
        <v>2</v>
      </c>
      <c r="P872">
        <f>Master_Data!P872</f>
        <v>3</v>
      </c>
      <c r="Q872" t="str">
        <f t="shared" si="78"/>
        <v>2011</v>
      </c>
      <c r="R872" t="str">
        <f t="shared" si="79"/>
        <v>February</v>
      </c>
      <c r="S872" t="str">
        <f t="shared" si="80"/>
        <v>Weekday</v>
      </c>
      <c r="T872" t="str">
        <f t="shared" si="81"/>
        <v>Night</v>
      </c>
      <c r="U872" t="str">
        <f t="shared" si="82"/>
        <v>Spring</v>
      </c>
      <c r="V872" t="str">
        <f t="shared" si="83"/>
        <v>Clear</v>
      </c>
    </row>
    <row r="873" spans="1:22">
      <c r="A873">
        <f>Master_Data!A873</f>
        <v>881</v>
      </c>
      <c r="B873">
        <f>Master_Data!B873</f>
        <v>40583</v>
      </c>
      <c r="C873">
        <f>Master_Data!C873</f>
        <v>1</v>
      </c>
      <c r="D873">
        <f>Master_Data!D873</f>
        <v>0</v>
      </c>
      <c r="E873">
        <f>Master_Data!E873</f>
        <v>2</v>
      </c>
      <c r="F873">
        <f>Master_Data!F873</f>
        <v>3</v>
      </c>
      <c r="G873" t="b">
        <f>Master_Data!G873</f>
        <v>0</v>
      </c>
      <c r="H873">
        <f>Master_Data!H873</f>
        <v>3</v>
      </c>
      <c r="I873">
        <f>Master_Data!I873</f>
        <v>1</v>
      </c>
      <c r="J873">
        <f>Master_Data!J873</f>
        <v>0.06</v>
      </c>
      <c r="K873">
        <f>Master_Data!K873</f>
        <v>7.5800000000000006E-2</v>
      </c>
      <c r="L873">
        <f>Master_Data!L873</f>
        <v>0.45</v>
      </c>
      <c r="M873">
        <f>Master_Data!M873</f>
        <v>0.1343</v>
      </c>
      <c r="N873">
        <f>Master_Data!N873</f>
        <v>0</v>
      </c>
      <c r="O873">
        <f>Master_Data!O873</f>
        <v>2</v>
      </c>
      <c r="P873">
        <f>Master_Data!P873</f>
        <v>2</v>
      </c>
      <c r="Q873" t="str">
        <f t="shared" si="78"/>
        <v>2011</v>
      </c>
      <c r="R873" t="str">
        <f t="shared" si="79"/>
        <v>February</v>
      </c>
      <c r="S873" t="str">
        <f t="shared" si="80"/>
        <v>Weekday</v>
      </c>
      <c r="T873" t="str">
        <f t="shared" si="81"/>
        <v>Night</v>
      </c>
      <c r="U873" t="str">
        <f t="shared" si="82"/>
        <v>Spring</v>
      </c>
      <c r="V873" t="str">
        <f t="shared" si="83"/>
        <v>Clear</v>
      </c>
    </row>
    <row r="874" spans="1:22">
      <c r="A874">
        <f>Master_Data!A874</f>
        <v>882</v>
      </c>
      <c r="B874">
        <f>Master_Data!B874</f>
        <v>40583</v>
      </c>
      <c r="C874">
        <f>Master_Data!C874</f>
        <v>1</v>
      </c>
      <c r="D874">
        <f>Master_Data!D874</f>
        <v>0</v>
      </c>
      <c r="E874">
        <f>Master_Data!E874</f>
        <v>2</v>
      </c>
      <c r="F874">
        <f>Master_Data!F874</f>
        <v>5</v>
      </c>
      <c r="G874" t="b">
        <f>Master_Data!G874</f>
        <v>0</v>
      </c>
      <c r="H874">
        <f>Master_Data!H874</f>
        <v>3</v>
      </c>
      <c r="I874">
        <f>Master_Data!I874</f>
        <v>1</v>
      </c>
      <c r="J874">
        <f>Master_Data!J874</f>
        <v>0.06</v>
      </c>
      <c r="K874">
        <f>Master_Data!K874</f>
        <v>0.1061</v>
      </c>
      <c r="L874">
        <f>Master_Data!L874</f>
        <v>0.45</v>
      </c>
      <c r="M874">
        <f>Master_Data!M874</f>
        <v>0.1045</v>
      </c>
      <c r="N874">
        <f>Master_Data!N874</f>
        <v>0</v>
      </c>
      <c r="O874">
        <f>Master_Data!O874</f>
        <v>7</v>
      </c>
      <c r="P874">
        <f>Master_Data!P874</f>
        <v>7</v>
      </c>
      <c r="Q874" t="str">
        <f t="shared" si="78"/>
        <v>2011</v>
      </c>
      <c r="R874" t="str">
        <f t="shared" si="79"/>
        <v>February</v>
      </c>
      <c r="S874" t="str">
        <f t="shared" si="80"/>
        <v>Weekday</v>
      </c>
      <c r="T874" t="str">
        <f t="shared" si="81"/>
        <v>Night</v>
      </c>
      <c r="U874" t="str">
        <f t="shared" si="82"/>
        <v>Spring</v>
      </c>
      <c r="V874" t="str">
        <f t="shared" si="83"/>
        <v>Clear</v>
      </c>
    </row>
    <row r="875" spans="1:22">
      <c r="A875">
        <f>Master_Data!A875</f>
        <v>883</v>
      </c>
      <c r="B875">
        <f>Master_Data!B875</f>
        <v>40583</v>
      </c>
      <c r="C875">
        <f>Master_Data!C875</f>
        <v>1</v>
      </c>
      <c r="D875">
        <f>Master_Data!D875</f>
        <v>0</v>
      </c>
      <c r="E875">
        <f>Master_Data!E875</f>
        <v>2</v>
      </c>
      <c r="F875">
        <f>Master_Data!F875</f>
        <v>6</v>
      </c>
      <c r="G875" t="b">
        <f>Master_Data!G875</f>
        <v>0</v>
      </c>
      <c r="H875">
        <f>Master_Data!H875</f>
        <v>3</v>
      </c>
      <c r="I875">
        <f>Master_Data!I875</f>
        <v>1</v>
      </c>
      <c r="J875">
        <f>Master_Data!J875</f>
        <v>0.06</v>
      </c>
      <c r="K875">
        <f>Master_Data!K875</f>
        <v>0.1515</v>
      </c>
      <c r="L875">
        <f>Master_Data!L875</f>
        <v>0.45</v>
      </c>
      <c r="M875">
        <f>Master_Data!M875</f>
        <v>0</v>
      </c>
      <c r="N875">
        <f>Master_Data!N875</f>
        <v>0</v>
      </c>
      <c r="O875">
        <f>Master_Data!O875</f>
        <v>43</v>
      </c>
      <c r="P875">
        <f>Master_Data!P875</f>
        <v>43</v>
      </c>
      <c r="Q875" t="str">
        <f t="shared" si="78"/>
        <v>2011</v>
      </c>
      <c r="R875" t="str">
        <f t="shared" si="79"/>
        <v>February</v>
      </c>
      <c r="S875" t="str">
        <f t="shared" si="80"/>
        <v>Weekday</v>
      </c>
      <c r="T875" t="str">
        <f t="shared" si="81"/>
        <v>Morning</v>
      </c>
      <c r="U875" t="str">
        <f t="shared" si="82"/>
        <v>Spring</v>
      </c>
      <c r="V875" t="str">
        <f t="shared" si="83"/>
        <v>Clear</v>
      </c>
    </row>
    <row r="876" spans="1:22">
      <c r="A876">
        <f>Master_Data!A876</f>
        <v>884</v>
      </c>
      <c r="B876">
        <f>Master_Data!B876</f>
        <v>40583</v>
      </c>
      <c r="C876">
        <f>Master_Data!C876</f>
        <v>1</v>
      </c>
      <c r="D876">
        <f>Master_Data!D876</f>
        <v>0</v>
      </c>
      <c r="E876">
        <f>Master_Data!E876</f>
        <v>2</v>
      </c>
      <c r="F876">
        <f>Master_Data!F876</f>
        <v>7</v>
      </c>
      <c r="G876" t="b">
        <f>Master_Data!G876</f>
        <v>0</v>
      </c>
      <c r="H876">
        <f>Master_Data!H876</f>
        <v>3</v>
      </c>
      <c r="I876">
        <f>Master_Data!I876</f>
        <v>1</v>
      </c>
      <c r="J876">
        <f>Master_Data!J876</f>
        <v>0.06</v>
      </c>
      <c r="K876">
        <f>Master_Data!K876</f>
        <v>0.1061</v>
      </c>
      <c r="L876">
        <f>Master_Data!L876</f>
        <v>0.49</v>
      </c>
      <c r="M876">
        <f>Master_Data!M876</f>
        <v>0.1045</v>
      </c>
      <c r="N876">
        <f>Master_Data!N876</f>
        <v>4</v>
      </c>
      <c r="O876">
        <f>Master_Data!O876</f>
        <v>95</v>
      </c>
      <c r="P876">
        <f>Master_Data!P876</f>
        <v>99</v>
      </c>
      <c r="Q876" t="str">
        <f t="shared" si="78"/>
        <v>2011</v>
      </c>
      <c r="R876" t="str">
        <f t="shared" si="79"/>
        <v>February</v>
      </c>
      <c r="S876" t="str">
        <f t="shared" si="80"/>
        <v>Weekday</v>
      </c>
      <c r="T876" t="str">
        <f t="shared" si="81"/>
        <v>Morning</v>
      </c>
      <c r="U876" t="str">
        <f t="shared" si="82"/>
        <v>Spring</v>
      </c>
      <c r="V876" t="str">
        <f t="shared" si="83"/>
        <v>Clear</v>
      </c>
    </row>
    <row r="877" spans="1:22">
      <c r="A877">
        <f>Master_Data!A877</f>
        <v>885</v>
      </c>
      <c r="B877">
        <f>Master_Data!B877</f>
        <v>40583</v>
      </c>
      <c r="C877">
        <f>Master_Data!C877</f>
        <v>1</v>
      </c>
      <c r="D877">
        <f>Master_Data!D877</f>
        <v>0</v>
      </c>
      <c r="E877">
        <f>Master_Data!E877</f>
        <v>2</v>
      </c>
      <c r="F877">
        <f>Master_Data!F877</f>
        <v>8</v>
      </c>
      <c r="G877" t="b">
        <f>Master_Data!G877</f>
        <v>0</v>
      </c>
      <c r="H877">
        <f>Master_Data!H877</f>
        <v>3</v>
      </c>
      <c r="I877">
        <f>Master_Data!I877</f>
        <v>1</v>
      </c>
      <c r="J877">
        <f>Master_Data!J877</f>
        <v>0.1</v>
      </c>
      <c r="K877">
        <f>Master_Data!K877</f>
        <v>0.13639999999999999</v>
      </c>
      <c r="L877">
        <f>Master_Data!L877</f>
        <v>0.42</v>
      </c>
      <c r="M877">
        <f>Master_Data!M877</f>
        <v>0</v>
      </c>
      <c r="N877">
        <f>Master_Data!N877</f>
        <v>1</v>
      </c>
      <c r="O877">
        <f>Master_Data!O877</f>
        <v>198</v>
      </c>
      <c r="P877">
        <f>Master_Data!P877</f>
        <v>199</v>
      </c>
      <c r="Q877" t="str">
        <f t="shared" si="78"/>
        <v>2011</v>
      </c>
      <c r="R877" t="str">
        <f t="shared" si="79"/>
        <v>February</v>
      </c>
      <c r="S877" t="str">
        <f t="shared" si="80"/>
        <v>Weekday</v>
      </c>
      <c r="T877" t="str">
        <f t="shared" si="81"/>
        <v>Morning</v>
      </c>
      <c r="U877" t="str">
        <f t="shared" si="82"/>
        <v>Spring</v>
      </c>
      <c r="V877" t="str">
        <f t="shared" si="83"/>
        <v>Clear</v>
      </c>
    </row>
    <row r="878" spans="1:22">
      <c r="A878">
        <f>Master_Data!A878</f>
        <v>886</v>
      </c>
      <c r="B878">
        <f>Master_Data!B878</f>
        <v>40583</v>
      </c>
      <c r="C878">
        <f>Master_Data!C878</f>
        <v>1</v>
      </c>
      <c r="D878">
        <f>Master_Data!D878</f>
        <v>0</v>
      </c>
      <c r="E878">
        <f>Master_Data!E878</f>
        <v>2</v>
      </c>
      <c r="F878">
        <f>Master_Data!F878</f>
        <v>9</v>
      </c>
      <c r="G878" t="b">
        <f>Master_Data!G878</f>
        <v>0</v>
      </c>
      <c r="H878">
        <f>Master_Data!H878</f>
        <v>3</v>
      </c>
      <c r="I878">
        <f>Master_Data!I878</f>
        <v>1</v>
      </c>
      <c r="J878">
        <f>Master_Data!J878</f>
        <v>0.12</v>
      </c>
      <c r="K878">
        <f>Master_Data!K878</f>
        <v>0.13639999999999999</v>
      </c>
      <c r="L878">
        <f>Master_Data!L878</f>
        <v>0.39</v>
      </c>
      <c r="M878">
        <f>Master_Data!M878</f>
        <v>0.16420000000000001</v>
      </c>
      <c r="N878">
        <f>Master_Data!N878</f>
        <v>4</v>
      </c>
      <c r="O878">
        <f>Master_Data!O878</f>
        <v>119</v>
      </c>
      <c r="P878">
        <f>Master_Data!P878</f>
        <v>123</v>
      </c>
      <c r="Q878" t="str">
        <f t="shared" si="78"/>
        <v>2011</v>
      </c>
      <c r="R878" t="str">
        <f t="shared" si="79"/>
        <v>February</v>
      </c>
      <c r="S878" t="str">
        <f t="shared" si="80"/>
        <v>Weekday</v>
      </c>
      <c r="T878" t="str">
        <f t="shared" si="81"/>
        <v>Morning</v>
      </c>
      <c r="U878" t="str">
        <f t="shared" si="82"/>
        <v>Spring</v>
      </c>
      <c r="V878" t="str">
        <f t="shared" si="83"/>
        <v>Clear</v>
      </c>
    </row>
    <row r="879" spans="1:22">
      <c r="A879">
        <f>Master_Data!A879</f>
        <v>887</v>
      </c>
      <c r="B879">
        <f>Master_Data!B879</f>
        <v>40583</v>
      </c>
      <c r="C879">
        <f>Master_Data!C879</f>
        <v>1</v>
      </c>
      <c r="D879">
        <f>Master_Data!D879</f>
        <v>0</v>
      </c>
      <c r="E879">
        <f>Master_Data!E879</f>
        <v>2</v>
      </c>
      <c r="F879">
        <f>Master_Data!F879</f>
        <v>10</v>
      </c>
      <c r="G879" t="b">
        <f>Master_Data!G879</f>
        <v>0</v>
      </c>
      <c r="H879">
        <f>Master_Data!H879</f>
        <v>3</v>
      </c>
      <c r="I879">
        <f>Master_Data!I879</f>
        <v>1</v>
      </c>
      <c r="J879">
        <f>Master_Data!J879</f>
        <v>0.14000000000000001</v>
      </c>
      <c r="K879">
        <f>Master_Data!K879</f>
        <v>0.18179999999999999</v>
      </c>
      <c r="L879">
        <f>Master_Data!L879</f>
        <v>0.36</v>
      </c>
      <c r="M879">
        <f>Master_Data!M879</f>
        <v>0</v>
      </c>
      <c r="N879">
        <f>Master_Data!N879</f>
        <v>8</v>
      </c>
      <c r="O879">
        <f>Master_Data!O879</f>
        <v>51</v>
      </c>
      <c r="P879">
        <f>Master_Data!P879</f>
        <v>59</v>
      </c>
      <c r="Q879" t="str">
        <f t="shared" si="78"/>
        <v>2011</v>
      </c>
      <c r="R879" t="str">
        <f t="shared" si="79"/>
        <v>February</v>
      </c>
      <c r="S879" t="str">
        <f t="shared" si="80"/>
        <v>Weekday</v>
      </c>
      <c r="T879" t="str">
        <f t="shared" si="81"/>
        <v>Morning</v>
      </c>
      <c r="U879" t="str">
        <f t="shared" si="82"/>
        <v>Spring</v>
      </c>
      <c r="V879" t="str">
        <f t="shared" si="83"/>
        <v>Clear</v>
      </c>
    </row>
    <row r="880" spans="1:22">
      <c r="A880">
        <f>Master_Data!A880</f>
        <v>888</v>
      </c>
      <c r="B880">
        <f>Master_Data!B880</f>
        <v>40583</v>
      </c>
      <c r="C880">
        <f>Master_Data!C880</f>
        <v>1</v>
      </c>
      <c r="D880">
        <f>Master_Data!D880</f>
        <v>0</v>
      </c>
      <c r="E880">
        <f>Master_Data!E880</f>
        <v>2</v>
      </c>
      <c r="F880">
        <f>Master_Data!F880</f>
        <v>11</v>
      </c>
      <c r="G880" t="b">
        <f>Master_Data!G880</f>
        <v>0</v>
      </c>
      <c r="H880">
        <f>Master_Data!H880</f>
        <v>3</v>
      </c>
      <c r="I880">
        <f>Master_Data!I880</f>
        <v>2</v>
      </c>
      <c r="J880">
        <f>Master_Data!J880</f>
        <v>0.14000000000000001</v>
      </c>
      <c r="K880">
        <f>Master_Data!K880</f>
        <v>0.1515</v>
      </c>
      <c r="L880">
        <f>Master_Data!L880</f>
        <v>0.43</v>
      </c>
      <c r="M880">
        <f>Master_Data!M880</f>
        <v>0.16420000000000001</v>
      </c>
      <c r="N880">
        <f>Master_Data!N880</f>
        <v>1</v>
      </c>
      <c r="O880">
        <f>Master_Data!O880</f>
        <v>40</v>
      </c>
      <c r="P880">
        <f>Master_Data!P880</f>
        <v>41</v>
      </c>
      <c r="Q880" t="str">
        <f t="shared" si="78"/>
        <v>2011</v>
      </c>
      <c r="R880" t="str">
        <f t="shared" si="79"/>
        <v>February</v>
      </c>
      <c r="S880" t="str">
        <f t="shared" si="80"/>
        <v>Weekday</v>
      </c>
      <c r="T880" t="str">
        <f t="shared" si="81"/>
        <v>Morning</v>
      </c>
      <c r="U880" t="str">
        <f t="shared" si="82"/>
        <v>Spring</v>
      </c>
      <c r="V880" t="str">
        <f t="shared" si="83"/>
        <v>Mist/Cloudy</v>
      </c>
    </row>
    <row r="881" spans="1:22">
      <c r="A881">
        <f>Master_Data!A881</f>
        <v>889</v>
      </c>
      <c r="B881">
        <f>Master_Data!B881</f>
        <v>40583</v>
      </c>
      <c r="C881">
        <f>Master_Data!C881</f>
        <v>1</v>
      </c>
      <c r="D881">
        <f>Master_Data!D881</f>
        <v>0</v>
      </c>
      <c r="E881">
        <f>Master_Data!E881</f>
        <v>2</v>
      </c>
      <c r="F881">
        <f>Master_Data!F881</f>
        <v>12</v>
      </c>
      <c r="G881" t="b">
        <f>Master_Data!G881</f>
        <v>0</v>
      </c>
      <c r="H881">
        <f>Master_Data!H881</f>
        <v>3</v>
      </c>
      <c r="I881">
        <f>Master_Data!I881</f>
        <v>2</v>
      </c>
      <c r="J881">
        <f>Master_Data!J881</f>
        <v>0.18</v>
      </c>
      <c r="K881">
        <f>Master_Data!K881</f>
        <v>0.18179999999999999</v>
      </c>
      <c r="L881">
        <f>Master_Data!L881</f>
        <v>0.4</v>
      </c>
      <c r="M881">
        <f>Master_Data!M881</f>
        <v>0.22389999999999999</v>
      </c>
      <c r="N881">
        <f>Master_Data!N881</f>
        <v>4</v>
      </c>
      <c r="O881">
        <f>Master_Data!O881</f>
        <v>57</v>
      </c>
      <c r="P881">
        <f>Master_Data!P881</f>
        <v>61</v>
      </c>
      <c r="Q881" t="str">
        <f t="shared" si="78"/>
        <v>2011</v>
      </c>
      <c r="R881" t="str">
        <f t="shared" si="79"/>
        <v>February</v>
      </c>
      <c r="S881" t="str">
        <f t="shared" si="80"/>
        <v>Weekday</v>
      </c>
      <c r="T881" t="str">
        <f t="shared" si="81"/>
        <v>Afternoon</v>
      </c>
      <c r="U881" t="str">
        <f t="shared" si="82"/>
        <v>Spring</v>
      </c>
      <c r="V881" t="str">
        <f t="shared" si="83"/>
        <v>Mist/Cloudy</v>
      </c>
    </row>
    <row r="882" spans="1:22">
      <c r="A882">
        <f>Master_Data!A882</f>
        <v>890</v>
      </c>
      <c r="B882">
        <f>Master_Data!B882</f>
        <v>40583</v>
      </c>
      <c r="C882">
        <f>Master_Data!C882</f>
        <v>1</v>
      </c>
      <c r="D882">
        <f>Master_Data!D882</f>
        <v>0</v>
      </c>
      <c r="E882">
        <f>Master_Data!E882</f>
        <v>2</v>
      </c>
      <c r="F882">
        <f>Master_Data!F882</f>
        <v>13</v>
      </c>
      <c r="G882" t="b">
        <f>Master_Data!G882</f>
        <v>0</v>
      </c>
      <c r="H882">
        <f>Master_Data!H882</f>
        <v>3</v>
      </c>
      <c r="I882">
        <f>Master_Data!I882</f>
        <v>1</v>
      </c>
      <c r="J882">
        <f>Master_Data!J882</f>
        <v>0.18</v>
      </c>
      <c r="K882">
        <f>Master_Data!K882</f>
        <v>0.16669999999999999</v>
      </c>
      <c r="L882">
        <f>Master_Data!L882</f>
        <v>0.4</v>
      </c>
      <c r="M882">
        <f>Master_Data!M882</f>
        <v>0.25369999999999998</v>
      </c>
      <c r="N882">
        <f>Master_Data!N882</f>
        <v>2</v>
      </c>
      <c r="O882">
        <f>Master_Data!O882</f>
        <v>67</v>
      </c>
      <c r="P882">
        <f>Master_Data!P882</f>
        <v>69</v>
      </c>
      <c r="Q882" t="str">
        <f t="shared" si="78"/>
        <v>2011</v>
      </c>
      <c r="R882" t="str">
        <f t="shared" si="79"/>
        <v>February</v>
      </c>
      <c r="S882" t="str">
        <f t="shared" si="80"/>
        <v>Weekday</v>
      </c>
      <c r="T882" t="str">
        <f t="shared" si="81"/>
        <v>Afternoon</v>
      </c>
      <c r="U882" t="str">
        <f t="shared" si="82"/>
        <v>Spring</v>
      </c>
      <c r="V882" t="str">
        <f t="shared" si="83"/>
        <v>Clear</v>
      </c>
    </row>
    <row r="883" spans="1:22">
      <c r="A883">
        <f>Master_Data!A883</f>
        <v>891</v>
      </c>
      <c r="B883">
        <f>Master_Data!B883</f>
        <v>40583</v>
      </c>
      <c r="C883">
        <f>Master_Data!C883</f>
        <v>1</v>
      </c>
      <c r="D883">
        <f>Master_Data!D883</f>
        <v>0</v>
      </c>
      <c r="E883">
        <f>Master_Data!E883</f>
        <v>2</v>
      </c>
      <c r="F883">
        <f>Master_Data!F883</f>
        <v>14</v>
      </c>
      <c r="G883" t="b">
        <f>Master_Data!G883</f>
        <v>0</v>
      </c>
      <c r="H883">
        <f>Master_Data!H883</f>
        <v>3</v>
      </c>
      <c r="I883">
        <f>Master_Data!I883</f>
        <v>1</v>
      </c>
      <c r="J883">
        <f>Master_Data!J883</f>
        <v>0.2</v>
      </c>
      <c r="K883">
        <f>Master_Data!K883</f>
        <v>0.18179999999999999</v>
      </c>
      <c r="L883">
        <f>Master_Data!L883</f>
        <v>0.34</v>
      </c>
      <c r="M883">
        <f>Master_Data!M883</f>
        <v>0.29849999999999999</v>
      </c>
      <c r="N883">
        <f>Master_Data!N883</f>
        <v>2</v>
      </c>
      <c r="O883">
        <f>Master_Data!O883</f>
        <v>56</v>
      </c>
      <c r="P883">
        <f>Master_Data!P883</f>
        <v>58</v>
      </c>
      <c r="Q883" t="str">
        <f t="shared" si="78"/>
        <v>2011</v>
      </c>
      <c r="R883" t="str">
        <f t="shared" si="79"/>
        <v>February</v>
      </c>
      <c r="S883" t="str">
        <f t="shared" si="80"/>
        <v>Weekday</v>
      </c>
      <c r="T883" t="str">
        <f t="shared" si="81"/>
        <v>Afternoon</v>
      </c>
      <c r="U883" t="str">
        <f t="shared" si="82"/>
        <v>Spring</v>
      </c>
      <c r="V883" t="str">
        <f t="shared" si="83"/>
        <v>Clear</v>
      </c>
    </row>
    <row r="884" spans="1:22">
      <c r="A884">
        <f>Master_Data!A884</f>
        <v>892</v>
      </c>
      <c r="B884">
        <f>Master_Data!B884</f>
        <v>40583</v>
      </c>
      <c r="C884">
        <f>Master_Data!C884</f>
        <v>1</v>
      </c>
      <c r="D884">
        <f>Master_Data!D884</f>
        <v>0</v>
      </c>
      <c r="E884">
        <f>Master_Data!E884</f>
        <v>2</v>
      </c>
      <c r="F884">
        <f>Master_Data!F884</f>
        <v>15</v>
      </c>
      <c r="G884" t="b">
        <f>Master_Data!G884</f>
        <v>0</v>
      </c>
      <c r="H884">
        <f>Master_Data!H884</f>
        <v>3</v>
      </c>
      <c r="I884">
        <f>Master_Data!I884</f>
        <v>2</v>
      </c>
      <c r="J884">
        <f>Master_Data!J884</f>
        <v>0.2</v>
      </c>
      <c r="K884">
        <f>Master_Data!K884</f>
        <v>0.18179999999999999</v>
      </c>
      <c r="L884">
        <f>Master_Data!L884</f>
        <v>0.34</v>
      </c>
      <c r="M884">
        <f>Master_Data!M884</f>
        <v>0.28360000000000002</v>
      </c>
      <c r="N884">
        <f>Master_Data!N884</f>
        <v>3</v>
      </c>
      <c r="O884">
        <f>Master_Data!O884</f>
        <v>61</v>
      </c>
      <c r="P884">
        <f>Master_Data!P884</f>
        <v>64</v>
      </c>
      <c r="Q884" t="str">
        <f t="shared" si="78"/>
        <v>2011</v>
      </c>
      <c r="R884" t="str">
        <f t="shared" si="79"/>
        <v>February</v>
      </c>
      <c r="S884" t="str">
        <f t="shared" si="80"/>
        <v>Weekday</v>
      </c>
      <c r="T884" t="str">
        <f t="shared" si="81"/>
        <v>Afternoon</v>
      </c>
      <c r="U884" t="str">
        <f t="shared" si="82"/>
        <v>Spring</v>
      </c>
      <c r="V884" t="str">
        <f t="shared" si="83"/>
        <v>Mist/Cloudy</v>
      </c>
    </row>
    <row r="885" spans="1:22">
      <c r="A885">
        <f>Master_Data!A885</f>
        <v>893</v>
      </c>
      <c r="B885">
        <f>Master_Data!B885</f>
        <v>40583</v>
      </c>
      <c r="C885">
        <f>Master_Data!C885</f>
        <v>1</v>
      </c>
      <c r="D885">
        <f>Master_Data!D885</f>
        <v>0</v>
      </c>
      <c r="E885">
        <f>Master_Data!E885</f>
        <v>2</v>
      </c>
      <c r="F885">
        <f>Master_Data!F885</f>
        <v>16</v>
      </c>
      <c r="G885" t="b">
        <f>Master_Data!G885</f>
        <v>0</v>
      </c>
      <c r="H885">
        <f>Master_Data!H885</f>
        <v>3</v>
      </c>
      <c r="I885">
        <f>Master_Data!I885</f>
        <v>2</v>
      </c>
      <c r="J885">
        <f>Master_Data!J885</f>
        <v>0.2</v>
      </c>
      <c r="K885">
        <f>Master_Data!K885</f>
        <v>0.19700000000000001</v>
      </c>
      <c r="L885">
        <f>Master_Data!L885</f>
        <v>0.37</v>
      </c>
      <c r="M885">
        <f>Master_Data!M885</f>
        <v>0.25369999999999998</v>
      </c>
      <c r="N885">
        <f>Master_Data!N885</f>
        <v>7</v>
      </c>
      <c r="O885">
        <f>Master_Data!O885</f>
        <v>72</v>
      </c>
      <c r="P885">
        <f>Master_Data!P885</f>
        <v>79</v>
      </c>
      <c r="Q885" t="str">
        <f t="shared" si="78"/>
        <v>2011</v>
      </c>
      <c r="R885" t="str">
        <f t="shared" si="79"/>
        <v>February</v>
      </c>
      <c r="S885" t="str">
        <f t="shared" si="80"/>
        <v>Weekday</v>
      </c>
      <c r="T885" t="str">
        <f t="shared" si="81"/>
        <v>Afternoon</v>
      </c>
      <c r="U885" t="str">
        <f t="shared" si="82"/>
        <v>Spring</v>
      </c>
      <c r="V885" t="str">
        <f t="shared" si="83"/>
        <v>Mist/Cloudy</v>
      </c>
    </row>
    <row r="886" spans="1:22">
      <c r="A886">
        <f>Master_Data!A886</f>
        <v>894</v>
      </c>
      <c r="B886">
        <f>Master_Data!B886</f>
        <v>40583</v>
      </c>
      <c r="C886">
        <f>Master_Data!C886</f>
        <v>1</v>
      </c>
      <c r="D886">
        <f>Master_Data!D886</f>
        <v>0</v>
      </c>
      <c r="E886">
        <f>Master_Data!E886</f>
        <v>2</v>
      </c>
      <c r="F886">
        <f>Master_Data!F886</f>
        <v>17</v>
      </c>
      <c r="G886" t="b">
        <f>Master_Data!G886</f>
        <v>0</v>
      </c>
      <c r="H886">
        <f>Master_Data!H886</f>
        <v>3</v>
      </c>
      <c r="I886">
        <f>Master_Data!I886</f>
        <v>2</v>
      </c>
      <c r="J886">
        <f>Master_Data!J886</f>
        <v>0.2</v>
      </c>
      <c r="K886">
        <f>Master_Data!K886</f>
        <v>0.19700000000000001</v>
      </c>
      <c r="L886">
        <f>Master_Data!L886</f>
        <v>0.34</v>
      </c>
      <c r="M886">
        <f>Master_Data!M886</f>
        <v>0.25369999999999998</v>
      </c>
      <c r="N886">
        <f>Master_Data!N886</f>
        <v>9</v>
      </c>
      <c r="O886">
        <f>Master_Data!O886</f>
        <v>157</v>
      </c>
      <c r="P886">
        <f>Master_Data!P886</f>
        <v>166</v>
      </c>
      <c r="Q886" t="str">
        <f t="shared" si="78"/>
        <v>2011</v>
      </c>
      <c r="R886" t="str">
        <f t="shared" si="79"/>
        <v>February</v>
      </c>
      <c r="S886" t="str">
        <f t="shared" si="80"/>
        <v>Weekday</v>
      </c>
      <c r="T886" t="str">
        <f t="shared" si="81"/>
        <v>Evening</v>
      </c>
      <c r="U886" t="str">
        <f t="shared" si="82"/>
        <v>Spring</v>
      </c>
      <c r="V886" t="str">
        <f t="shared" si="83"/>
        <v>Mist/Cloudy</v>
      </c>
    </row>
    <row r="887" spans="1:22">
      <c r="A887">
        <f>Master_Data!A887</f>
        <v>895</v>
      </c>
      <c r="B887">
        <f>Master_Data!B887</f>
        <v>40583</v>
      </c>
      <c r="C887">
        <f>Master_Data!C887</f>
        <v>1</v>
      </c>
      <c r="D887">
        <f>Master_Data!D887</f>
        <v>0</v>
      </c>
      <c r="E887">
        <f>Master_Data!E887</f>
        <v>2</v>
      </c>
      <c r="F887">
        <f>Master_Data!F887</f>
        <v>18</v>
      </c>
      <c r="G887" t="b">
        <f>Master_Data!G887</f>
        <v>0</v>
      </c>
      <c r="H887">
        <f>Master_Data!H887</f>
        <v>3</v>
      </c>
      <c r="I887">
        <f>Master_Data!I887</f>
        <v>2</v>
      </c>
      <c r="J887">
        <f>Master_Data!J887</f>
        <v>0.18</v>
      </c>
      <c r="K887">
        <f>Master_Data!K887</f>
        <v>0.16669999999999999</v>
      </c>
      <c r="L887">
        <f>Master_Data!L887</f>
        <v>0.47</v>
      </c>
      <c r="M887">
        <f>Master_Data!M887</f>
        <v>0.29849999999999999</v>
      </c>
      <c r="N887">
        <f>Master_Data!N887</f>
        <v>2</v>
      </c>
      <c r="O887">
        <f>Master_Data!O887</f>
        <v>168</v>
      </c>
      <c r="P887">
        <f>Master_Data!P887</f>
        <v>170</v>
      </c>
      <c r="Q887" t="str">
        <f t="shared" si="78"/>
        <v>2011</v>
      </c>
      <c r="R887" t="str">
        <f t="shared" si="79"/>
        <v>February</v>
      </c>
      <c r="S887" t="str">
        <f t="shared" si="80"/>
        <v>Weekday</v>
      </c>
      <c r="T887" t="str">
        <f t="shared" si="81"/>
        <v>Evening</v>
      </c>
      <c r="U887" t="str">
        <f t="shared" si="82"/>
        <v>Spring</v>
      </c>
      <c r="V887" t="str">
        <f t="shared" si="83"/>
        <v>Mist/Cloudy</v>
      </c>
    </row>
    <row r="888" spans="1:22">
      <c r="A888">
        <f>Master_Data!A888</f>
        <v>896</v>
      </c>
      <c r="B888">
        <f>Master_Data!B888</f>
        <v>40583</v>
      </c>
      <c r="C888">
        <f>Master_Data!C888</f>
        <v>1</v>
      </c>
      <c r="D888">
        <f>Master_Data!D888</f>
        <v>0</v>
      </c>
      <c r="E888">
        <f>Master_Data!E888</f>
        <v>2</v>
      </c>
      <c r="F888">
        <f>Master_Data!F888</f>
        <v>19</v>
      </c>
      <c r="G888" t="b">
        <f>Master_Data!G888</f>
        <v>0</v>
      </c>
      <c r="H888">
        <f>Master_Data!H888</f>
        <v>3</v>
      </c>
      <c r="I888">
        <f>Master_Data!I888</f>
        <v>3</v>
      </c>
      <c r="J888">
        <f>Master_Data!J888</f>
        <v>0.14000000000000001</v>
      </c>
      <c r="K888">
        <f>Master_Data!K888</f>
        <v>0.1212</v>
      </c>
      <c r="L888">
        <f>Master_Data!L888</f>
        <v>0.86</v>
      </c>
      <c r="M888">
        <f>Master_Data!M888</f>
        <v>0.25369999999999998</v>
      </c>
      <c r="N888">
        <f>Master_Data!N888</f>
        <v>1</v>
      </c>
      <c r="O888">
        <f>Master_Data!O888</f>
        <v>87</v>
      </c>
      <c r="P888">
        <f>Master_Data!P888</f>
        <v>88</v>
      </c>
      <c r="Q888" t="str">
        <f t="shared" si="78"/>
        <v>2011</v>
      </c>
      <c r="R888" t="str">
        <f t="shared" si="79"/>
        <v>February</v>
      </c>
      <c r="S888" t="str">
        <f t="shared" si="80"/>
        <v>Weekday</v>
      </c>
      <c r="T888" t="str">
        <f t="shared" si="81"/>
        <v>Evening</v>
      </c>
      <c r="U888" t="str">
        <f t="shared" si="82"/>
        <v>Spring</v>
      </c>
      <c r="V888" t="str">
        <f t="shared" si="83"/>
        <v>Light Rain/Snow</v>
      </c>
    </row>
    <row r="889" spans="1:22">
      <c r="A889">
        <f>Master_Data!A889</f>
        <v>897</v>
      </c>
      <c r="B889">
        <f>Master_Data!B889</f>
        <v>40583</v>
      </c>
      <c r="C889">
        <f>Master_Data!C889</f>
        <v>1</v>
      </c>
      <c r="D889">
        <f>Master_Data!D889</f>
        <v>0</v>
      </c>
      <c r="E889">
        <f>Master_Data!E889</f>
        <v>2</v>
      </c>
      <c r="F889">
        <f>Master_Data!F889</f>
        <v>20</v>
      </c>
      <c r="G889" t="b">
        <f>Master_Data!G889</f>
        <v>0</v>
      </c>
      <c r="H889">
        <f>Master_Data!H889</f>
        <v>3</v>
      </c>
      <c r="I889">
        <f>Master_Data!I889</f>
        <v>3</v>
      </c>
      <c r="J889">
        <f>Master_Data!J889</f>
        <v>0.14000000000000001</v>
      </c>
      <c r="K889">
        <f>Master_Data!K889</f>
        <v>0.1515</v>
      </c>
      <c r="L889">
        <f>Master_Data!L889</f>
        <v>0.86</v>
      </c>
      <c r="M889">
        <f>Master_Data!M889</f>
        <v>0.16420000000000001</v>
      </c>
      <c r="N889">
        <f>Master_Data!N889</f>
        <v>0</v>
      </c>
      <c r="O889">
        <f>Master_Data!O889</f>
        <v>84</v>
      </c>
      <c r="P889">
        <f>Master_Data!P889</f>
        <v>84</v>
      </c>
      <c r="Q889" t="str">
        <f t="shared" si="78"/>
        <v>2011</v>
      </c>
      <c r="R889" t="str">
        <f t="shared" si="79"/>
        <v>February</v>
      </c>
      <c r="S889" t="str">
        <f t="shared" si="80"/>
        <v>Weekday</v>
      </c>
      <c r="T889" t="str">
        <f t="shared" si="81"/>
        <v>Evening</v>
      </c>
      <c r="U889" t="str">
        <f t="shared" si="82"/>
        <v>Spring</v>
      </c>
      <c r="V889" t="str">
        <f t="shared" si="83"/>
        <v>Light Rain/Snow</v>
      </c>
    </row>
    <row r="890" spans="1:22">
      <c r="A890">
        <f>Master_Data!A890</f>
        <v>898</v>
      </c>
      <c r="B890">
        <f>Master_Data!B890</f>
        <v>40583</v>
      </c>
      <c r="C890">
        <f>Master_Data!C890</f>
        <v>1</v>
      </c>
      <c r="D890">
        <f>Master_Data!D890</f>
        <v>0</v>
      </c>
      <c r="E890">
        <f>Master_Data!E890</f>
        <v>2</v>
      </c>
      <c r="F890">
        <f>Master_Data!F890</f>
        <v>21</v>
      </c>
      <c r="G890" t="b">
        <f>Master_Data!G890</f>
        <v>0</v>
      </c>
      <c r="H890">
        <f>Master_Data!H890</f>
        <v>3</v>
      </c>
      <c r="I890">
        <f>Master_Data!I890</f>
        <v>2</v>
      </c>
      <c r="J890">
        <f>Master_Data!J890</f>
        <v>0.14000000000000001</v>
      </c>
      <c r="K890">
        <f>Master_Data!K890</f>
        <v>0.1515</v>
      </c>
      <c r="L890">
        <f>Master_Data!L890</f>
        <v>0.86</v>
      </c>
      <c r="M890">
        <f>Master_Data!M890</f>
        <v>0.16420000000000001</v>
      </c>
      <c r="N890">
        <f>Master_Data!N890</f>
        <v>0</v>
      </c>
      <c r="O890">
        <f>Master_Data!O890</f>
        <v>83</v>
      </c>
      <c r="P890">
        <f>Master_Data!P890</f>
        <v>83</v>
      </c>
      <c r="Q890" t="str">
        <f t="shared" si="78"/>
        <v>2011</v>
      </c>
      <c r="R890" t="str">
        <f t="shared" si="79"/>
        <v>February</v>
      </c>
      <c r="S890" t="str">
        <f t="shared" si="80"/>
        <v>Weekday</v>
      </c>
      <c r="T890" t="str">
        <f t="shared" si="81"/>
        <v>Night</v>
      </c>
      <c r="U890" t="str">
        <f t="shared" si="82"/>
        <v>Spring</v>
      </c>
      <c r="V890" t="str">
        <f t="shared" si="83"/>
        <v>Mist/Cloudy</v>
      </c>
    </row>
    <row r="891" spans="1:22">
      <c r="A891">
        <f>Master_Data!A891</f>
        <v>899</v>
      </c>
      <c r="B891">
        <f>Master_Data!B891</f>
        <v>40583</v>
      </c>
      <c r="C891">
        <f>Master_Data!C891</f>
        <v>1</v>
      </c>
      <c r="D891">
        <f>Master_Data!D891</f>
        <v>0</v>
      </c>
      <c r="E891">
        <f>Master_Data!E891</f>
        <v>2</v>
      </c>
      <c r="F891">
        <f>Master_Data!F891</f>
        <v>22</v>
      </c>
      <c r="G891" t="b">
        <f>Master_Data!G891</f>
        <v>0</v>
      </c>
      <c r="H891">
        <f>Master_Data!H891</f>
        <v>3</v>
      </c>
      <c r="I891">
        <f>Master_Data!I891</f>
        <v>3</v>
      </c>
      <c r="J891">
        <f>Master_Data!J891</f>
        <v>0.16</v>
      </c>
      <c r="K891">
        <f>Master_Data!K891</f>
        <v>0.16669999999999999</v>
      </c>
      <c r="L891">
        <f>Master_Data!L891</f>
        <v>0.8</v>
      </c>
      <c r="M891">
        <f>Master_Data!M891</f>
        <v>0.16420000000000001</v>
      </c>
      <c r="N891">
        <f>Master_Data!N891</f>
        <v>4</v>
      </c>
      <c r="O891">
        <f>Master_Data!O891</f>
        <v>42</v>
      </c>
      <c r="P891">
        <f>Master_Data!P891</f>
        <v>46</v>
      </c>
      <c r="Q891" t="str">
        <f t="shared" si="78"/>
        <v>2011</v>
      </c>
      <c r="R891" t="str">
        <f t="shared" si="79"/>
        <v>February</v>
      </c>
      <c r="S891" t="str">
        <f t="shared" si="80"/>
        <v>Weekday</v>
      </c>
      <c r="T891" t="str">
        <f t="shared" si="81"/>
        <v>Night</v>
      </c>
      <c r="U891" t="str">
        <f t="shared" si="82"/>
        <v>Spring</v>
      </c>
      <c r="V891" t="str">
        <f t="shared" si="83"/>
        <v>Light Rain/Snow</v>
      </c>
    </row>
    <row r="892" spans="1:22">
      <c r="A892">
        <f>Master_Data!A892</f>
        <v>900</v>
      </c>
      <c r="B892">
        <f>Master_Data!B892</f>
        <v>40583</v>
      </c>
      <c r="C892">
        <f>Master_Data!C892</f>
        <v>1</v>
      </c>
      <c r="D892">
        <f>Master_Data!D892</f>
        <v>0</v>
      </c>
      <c r="E892">
        <f>Master_Data!E892</f>
        <v>2</v>
      </c>
      <c r="F892">
        <f>Master_Data!F892</f>
        <v>23</v>
      </c>
      <c r="G892" t="b">
        <f>Master_Data!G892</f>
        <v>0</v>
      </c>
      <c r="H892">
        <f>Master_Data!H892</f>
        <v>3</v>
      </c>
      <c r="I892">
        <f>Master_Data!I892</f>
        <v>3</v>
      </c>
      <c r="J892">
        <f>Master_Data!J892</f>
        <v>0.16</v>
      </c>
      <c r="K892">
        <f>Master_Data!K892</f>
        <v>0.1515</v>
      </c>
      <c r="L892">
        <f>Master_Data!L892</f>
        <v>0.8</v>
      </c>
      <c r="M892">
        <f>Master_Data!M892</f>
        <v>0.19400000000000001</v>
      </c>
      <c r="N892">
        <f>Master_Data!N892</f>
        <v>0</v>
      </c>
      <c r="O892">
        <f>Master_Data!O892</f>
        <v>37</v>
      </c>
      <c r="P892">
        <f>Master_Data!P892</f>
        <v>37</v>
      </c>
      <c r="Q892" t="str">
        <f t="shared" si="78"/>
        <v>2011</v>
      </c>
      <c r="R892" t="str">
        <f t="shared" si="79"/>
        <v>February</v>
      </c>
      <c r="S892" t="str">
        <f t="shared" si="80"/>
        <v>Weekday</v>
      </c>
      <c r="T892" t="str">
        <f t="shared" si="81"/>
        <v>Night</v>
      </c>
      <c r="U892" t="str">
        <f t="shared" si="82"/>
        <v>Spring</v>
      </c>
      <c r="V892" t="str">
        <f t="shared" si="83"/>
        <v>Light Rain/Snow</v>
      </c>
    </row>
    <row r="893" spans="1:22">
      <c r="A893">
        <f>Master_Data!A893</f>
        <v>901</v>
      </c>
      <c r="B893">
        <f>Master_Data!B893</f>
        <v>40584</v>
      </c>
      <c r="C893">
        <f>Master_Data!C893</f>
        <v>1</v>
      </c>
      <c r="D893">
        <f>Master_Data!D893</f>
        <v>0</v>
      </c>
      <c r="E893">
        <f>Master_Data!E893</f>
        <v>2</v>
      </c>
      <c r="F893">
        <f>Master_Data!F893</f>
        <v>0</v>
      </c>
      <c r="G893" t="b">
        <f>Master_Data!G893</f>
        <v>0</v>
      </c>
      <c r="H893">
        <f>Master_Data!H893</f>
        <v>4</v>
      </c>
      <c r="I893">
        <f>Master_Data!I893</f>
        <v>3</v>
      </c>
      <c r="J893">
        <f>Master_Data!J893</f>
        <v>0.14000000000000001</v>
      </c>
      <c r="K893">
        <f>Master_Data!K893</f>
        <v>0.13639999999999999</v>
      </c>
      <c r="L893">
        <f>Master_Data!L893</f>
        <v>0.86</v>
      </c>
      <c r="M893">
        <f>Master_Data!M893</f>
        <v>0.19400000000000001</v>
      </c>
      <c r="N893">
        <f>Master_Data!N893</f>
        <v>0</v>
      </c>
      <c r="O893">
        <f>Master_Data!O893</f>
        <v>16</v>
      </c>
      <c r="P893">
        <f>Master_Data!P893</f>
        <v>16</v>
      </c>
      <c r="Q893" t="str">
        <f t="shared" si="78"/>
        <v>2011</v>
      </c>
      <c r="R893" t="str">
        <f t="shared" si="79"/>
        <v>February</v>
      </c>
      <c r="S893" t="str">
        <f t="shared" si="80"/>
        <v>Weekday</v>
      </c>
      <c r="T893" t="str">
        <f t="shared" si="81"/>
        <v>Night</v>
      </c>
      <c r="U893" t="str">
        <f t="shared" si="82"/>
        <v>Spring</v>
      </c>
      <c r="V893" t="str">
        <f t="shared" si="83"/>
        <v>Light Rain/Snow</v>
      </c>
    </row>
    <row r="894" spans="1:22">
      <c r="A894">
        <f>Master_Data!A894</f>
        <v>902</v>
      </c>
      <c r="B894">
        <f>Master_Data!B894</f>
        <v>40584</v>
      </c>
      <c r="C894">
        <f>Master_Data!C894</f>
        <v>1</v>
      </c>
      <c r="D894">
        <f>Master_Data!D894</f>
        <v>0</v>
      </c>
      <c r="E894">
        <f>Master_Data!E894</f>
        <v>2</v>
      </c>
      <c r="F894">
        <f>Master_Data!F894</f>
        <v>1</v>
      </c>
      <c r="G894" t="b">
        <f>Master_Data!G894</f>
        <v>0</v>
      </c>
      <c r="H894">
        <f>Master_Data!H894</f>
        <v>4</v>
      </c>
      <c r="I894">
        <f>Master_Data!I894</f>
        <v>3</v>
      </c>
      <c r="J894">
        <f>Master_Data!J894</f>
        <v>0.14000000000000001</v>
      </c>
      <c r="K894">
        <f>Master_Data!K894</f>
        <v>0.1515</v>
      </c>
      <c r="L894">
        <f>Master_Data!L894</f>
        <v>0.8</v>
      </c>
      <c r="M894">
        <f>Master_Data!M894</f>
        <v>0.1343</v>
      </c>
      <c r="N894">
        <f>Master_Data!N894</f>
        <v>0</v>
      </c>
      <c r="O894">
        <f>Master_Data!O894</f>
        <v>7</v>
      </c>
      <c r="P894">
        <f>Master_Data!P894</f>
        <v>7</v>
      </c>
      <c r="Q894" t="str">
        <f t="shared" si="78"/>
        <v>2011</v>
      </c>
      <c r="R894" t="str">
        <f t="shared" si="79"/>
        <v>February</v>
      </c>
      <c r="S894" t="str">
        <f t="shared" si="80"/>
        <v>Weekday</v>
      </c>
      <c r="T894" t="str">
        <f t="shared" si="81"/>
        <v>Night</v>
      </c>
      <c r="U894" t="str">
        <f t="shared" si="82"/>
        <v>Spring</v>
      </c>
      <c r="V894" t="str">
        <f t="shared" si="83"/>
        <v>Light Rain/Snow</v>
      </c>
    </row>
    <row r="895" spans="1:22">
      <c r="A895">
        <f>Master_Data!A895</f>
        <v>903</v>
      </c>
      <c r="B895">
        <f>Master_Data!B895</f>
        <v>40584</v>
      </c>
      <c r="C895">
        <f>Master_Data!C895</f>
        <v>1</v>
      </c>
      <c r="D895">
        <f>Master_Data!D895</f>
        <v>0</v>
      </c>
      <c r="E895">
        <f>Master_Data!E895</f>
        <v>2</v>
      </c>
      <c r="F895">
        <f>Master_Data!F895</f>
        <v>2</v>
      </c>
      <c r="G895" t="b">
        <f>Master_Data!G895</f>
        <v>0</v>
      </c>
      <c r="H895">
        <f>Master_Data!H895</f>
        <v>4</v>
      </c>
      <c r="I895">
        <f>Master_Data!I895</f>
        <v>3</v>
      </c>
      <c r="J895">
        <f>Master_Data!J895</f>
        <v>0.14000000000000001</v>
      </c>
      <c r="K895">
        <f>Master_Data!K895</f>
        <v>0.1515</v>
      </c>
      <c r="L895">
        <f>Master_Data!L895</f>
        <v>0.8</v>
      </c>
      <c r="M895">
        <f>Master_Data!M895</f>
        <v>0.1343</v>
      </c>
      <c r="N895">
        <f>Master_Data!N895</f>
        <v>0</v>
      </c>
      <c r="O895">
        <f>Master_Data!O895</f>
        <v>3</v>
      </c>
      <c r="P895">
        <f>Master_Data!P895</f>
        <v>3</v>
      </c>
      <c r="Q895" t="str">
        <f t="shared" si="78"/>
        <v>2011</v>
      </c>
      <c r="R895" t="str">
        <f t="shared" si="79"/>
        <v>February</v>
      </c>
      <c r="S895" t="str">
        <f t="shared" si="80"/>
        <v>Weekday</v>
      </c>
      <c r="T895" t="str">
        <f t="shared" si="81"/>
        <v>Night</v>
      </c>
      <c r="U895" t="str">
        <f t="shared" si="82"/>
        <v>Spring</v>
      </c>
      <c r="V895" t="str">
        <f t="shared" si="83"/>
        <v>Light Rain/Snow</v>
      </c>
    </row>
    <row r="896" spans="1:22">
      <c r="A896">
        <f>Master_Data!A896</f>
        <v>904</v>
      </c>
      <c r="B896">
        <f>Master_Data!B896</f>
        <v>40584</v>
      </c>
      <c r="C896">
        <f>Master_Data!C896</f>
        <v>1</v>
      </c>
      <c r="D896">
        <f>Master_Data!D896</f>
        <v>0</v>
      </c>
      <c r="E896">
        <f>Master_Data!E896</f>
        <v>2</v>
      </c>
      <c r="F896">
        <f>Master_Data!F896</f>
        <v>4</v>
      </c>
      <c r="G896" t="b">
        <f>Master_Data!G896</f>
        <v>0</v>
      </c>
      <c r="H896">
        <f>Master_Data!H896</f>
        <v>4</v>
      </c>
      <c r="I896">
        <f>Master_Data!I896</f>
        <v>2</v>
      </c>
      <c r="J896">
        <f>Master_Data!J896</f>
        <v>0.14000000000000001</v>
      </c>
      <c r="K896">
        <f>Master_Data!K896</f>
        <v>0.13639999999999999</v>
      </c>
      <c r="L896">
        <f>Master_Data!L896</f>
        <v>0.59</v>
      </c>
      <c r="M896">
        <f>Master_Data!M896</f>
        <v>0.22389999999999999</v>
      </c>
      <c r="N896">
        <f>Master_Data!N896</f>
        <v>0</v>
      </c>
      <c r="O896">
        <f>Master_Data!O896</f>
        <v>1</v>
      </c>
      <c r="P896">
        <f>Master_Data!P896</f>
        <v>1</v>
      </c>
      <c r="Q896" t="str">
        <f t="shared" si="78"/>
        <v>2011</v>
      </c>
      <c r="R896" t="str">
        <f t="shared" si="79"/>
        <v>February</v>
      </c>
      <c r="S896" t="str">
        <f t="shared" si="80"/>
        <v>Weekday</v>
      </c>
      <c r="T896" t="str">
        <f t="shared" si="81"/>
        <v>Night</v>
      </c>
      <c r="U896" t="str">
        <f t="shared" si="82"/>
        <v>Spring</v>
      </c>
      <c r="V896" t="str">
        <f t="shared" si="83"/>
        <v>Mist/Cloudy</v>
      </c>
    </row>
    <row r="897" spans="1:22">
      <c r="A897">
        <f>Master_Data!A897</f>
        <v>905</v>
      </c>
      <c r="B897">
        <f>Master_Data!B897</f>
        <v>40584</v>
      </c>
      <c r="C897">
        <f>Master_Data!C897</f>
        <v>1</v>
      </c>
      <c r="D897">
        <f>Master_Data!D897</f>
        <v>0</v>
      </c>
      <c r="E897">
        <f>Master_Data!E897</f>
        <v>2</v>
      </c>
      <c r="F897">
        <f>Master_Data!F897</f>
        <v>5</v>
      </c>
      <c r="G897" t="b">
        <f>Master_Data!G897</f>
        <v>0</v>
      </c>
      <c r="H897">
        <f>Master_Data!H897</f>
        <v>4</v>
      </c>
      <c r="I897">
        <f>Master_Data!I897</f>
        <v>2</v>
      </c>
      <c r="J897">
        <f>Master_Data!J897</f>
        <v>0.12</v>
      </c>
      <c r="K897">
        <f>Master_Data!K897</f>
        <v>0.1212</v>
      </c>
      <c r="L897">
        <f>Master_Data!L897</f>
        <v>0.5</v>
      </c>
      <c r="M897">
        <f>Master_Data!M897</f>
        <v>0.22389999999999999</v>
      </c>
      <c r="N897">
        <f>Master_Data!N897</f>
        <v>0</v>
      </c>
      <c r="O897">
        <f>Master_Data!O897</f>
        <v>6</v>
      </c>
      <c r="P897">
        <f>Master_Data!P897</f>
        <v>6</v>
      </c>
      <c r="Q897" t="str">
        <f t="shared" si="78"/>
        <v>2011</v>
      </c>
      <c r="R897" t="str">
        <f t="shared" si="79"/>
        <v>February</v>
      </c>
      <c r="S897" t="str">
        <f t="shared" si="80"/>
        <v>Weekday</v>
      </c>
      <c r="T897" t="str">
        <f t="shared" si="81"/>
        <v>Night</v>
      </c>
      <c r="U897" t="str">
        <f t="shared" si="82"/>
        <v>Spring</v>
      </c>
      <c r="V897" t="str">
        <f t="shared" si="83"/>
        <v>Mist/Cloudy</v>
      </c>
    </row>
    <row r="898" spans="1:22">
      <c r="A898">
        <f>Master_Data!A898</f>
        <v>906</v>
      </c>
      <c r="B898">
        <f>Master_Data!B898</f>
        <v>40584</v>
      </c>
      <c r="C898">
        <f>Master_Data!C898</f>
        <v>1</v>
      </c>
      <c r="D898">
        <f>Master_Data!D898</f>
        <v>0</v>
      </c>
      <c r="E898">
        <f>Master_Data!E898</f>
        <v>2</v>
      </c>
      <c r="F898">
        <f>Master_Data!F898</f>
        <v>6</v>
      </c>
      <c r="G898" t="b">
        <f>Master_Data!G898</f>
        <v>0</v>
      </c>
      <c r="H898">
        <f>Master_Data!H898</f>
        <v>4</v>
      </c>
      <c r="I898">
        <f>Master_Data!I898</f>
        <v>2</v>
      </c>
      <c r="J898">
        <f>Master_Data!J898</f>
        <v>0.12</v>
      </c>
      <c r="K898">
        <f>Master_Data!K898</f>
        <v>0.1212</v>
      </c>
      <c r="L898">
        <f>Master_Data!L898</f>
        <v>0.54</v>
      </c>
      <c r="M898">
        <f>Master_Data!M898</f>
        <v>0.28360000000000002</v>
      </c>
      <c r="N898">
        <f>Master_Data!N898</f>
        <v>0</v>
      </c>
      <c r="O898">
        <f>Master_Data!O898</f>
        <v>26</v>
      </c>
      <c r="P898">
        <f>Master_Data!P898</f>
        <v>26</v>
      </c>
      <c r="Q898" t="str">
        <f t="shared" ref="Q898:Q961" si="84">IF(D898=0,"2011","2012")</f>
        <v>2011</v>
      </c>
      <c r="R898" t="str">
        <f t="shared" ref="R898:R961" si="85">TEXT(B898,"mmmm")</f>
        <v>February</v>
      </c>
      <c r="S898" t="str">
        <f t="shared" ref="S898:S961" si="86">IF(G898=TRUE,"Holiday",IF(H898=0,"Sunday",IF(H898=6,"Saturday","Weekday")))</f>
        <v>Weekday</v>
      </c>
      <c r="T898" t="str">
        <f t="shared" ref="T898:T961" si="87">IF(F898&lt;6,"Night",IF(F898&lt;12,"Morning",IF(F898&lt;17,"Afternoon",IF(F898&lt;21,"Evening","Night"))))</f>
        <v>Morning</v>
      </c>
      <c r="U898" t="str">
        <f t="shared" ref="U898:U961" si="88">CHOOSE(C898,"Spring","Summer","Fall","Winter")</f>
        <v>Spring</v>
      </c>
      <c r="V898" t="str">
        <f t="shared" ref="V898:V961" si="89">CHOOSE(I898,"Clear","Mist/Cloudy","Light Rain/Snow","Heavy Rain/Snow")</f>
        <v>Mist/Cloudy</v>
      </c>
    </row>
    <row r="899" spans="1:22">
      <c r="A899">
        <f>Master_Data!A899</f>
        <v>907</v>
      </c>
      <c r="B899">
        <f>Master_Data!B899</f>
        <v>40584</v>
      </c>
      <c r="C899">
        <f>Master_Data!C899</f>
        <v>1</v>
      </c>
      <c r="D899">
        <f>Master_Data!D899</f>
        <v>0</v>
      </c>
      <c r="E899">
        <f>Master_Data!E899</f>
        <v>2</v>
      </c>
      <c r="F899">
        <f>Master_Data!F899</f>
        <v>7</v>
      </c>
      <c r="G899" t="b">
        <f>Master_Data!G899</f>
        <v>0</v>
      </c>
      <c r="H899">
        <f>Master_Data!H899</f>
        <v>4</v>
      </c>
      <c r="I899">
        <f>Master_Data!I899</f>
        <v>1</v>
      </c>
      <c r="J899">
        <f>Master_Data!J899</f>
        <v>0.1</v>
      </c>
      <c r="K899">
        <f>Master_Data!K899</f>
        <v>7.5800000000000006E-2</v>
      </c>
      <c r="L899">
        <f>Master_Data!L899</f>
        <v>0.5</v>
      </c>
      <c r="M899">
        <f>Master_Data!M899</f>
        <v>0.41789999999999999</v>
      </c>
      <c r="N899">
        <f>Master_Data!N899</f>
        <v>0</v>
      </c>
      <c r="O899">
        <f>Master_Data!O899</f>
        <v>99</v>
      </c>
      <c r="P899">
        <f>Master_Data!P899</f>
        <v>99</v>
      </c>
      <c r="Q899" t="str">
        <f t="shared" si="84"/>
        <v>2011</v>
      </c>
      <c r="R899" t="str">
        <f t="shared" si="85"/>
        <v>February</v>
      </c>
      <c r="S899" t="str">
        <f t="shared" si="86"/>
        <v>Weekday</v>
      </c>
      <c r="T899" t="str">
        <f t="shared" si="87"/>
        <v>Morning</v>
      </c>
      <c r="U899" t="str">
        <f t="shared" si="88"/>
        <v>Spring</v>
      </c>
      <c r="V899" t="str">
        <f t="shared" si="89"/>
        <v>Clear</v>
      </c>
    </row>
    <row r="900" spans="1:22">
      <c r="A900">
        <f>Master_Data!A900</f>
        <v>908</v>
      </c>
      <c r="B900">
        <f>Master_Data!B900</f>
        <v>40584</v>
      </c>
      <c r="C900">
        <f>Master_Data!C900</f>
        <v>1</v>
      </c>
      <c r="D900">
        <f>Master_Data!D900</f>
        <v>0</v>
      </c>
      <c r="E900">
        <f>Master_Data!E900</f>
        <v>2</v>
      </c>
      <c r="F900">
        <f>Master_Data!F900</f>
        <v>8</v>
      </c>
      <c r="G900" t="b">
        <f>Master_Data!G900</f>
        <v>0</v>
      </c>
      <c r="H900">
        <f>Master_Data!H900</f>
        <v>4</v>
      </c>
      <c r="I900">
        <f>Master_Data!I900</f>
        <v>1</v>
      </c>
      <c r="J900">
        <f>Master_Data!J900</f>
        <v>0.1</v>
      </c>
      <c r="K900">
        <f>Master_Data!K900</f>
        <v>7.5800000000000006E-2</v>
      </c>
      <c r="L900">
        <f>Master_Data!L900</f>
        <v>0.49</v>
      </c>
      <c r="M900">
        <f>Master_Data!M900</f>
        <v>0.32840000000000003</v>
      </c>
      <c r="N900">
        <f>Master_Data!N900</f>
        <v>5</v>
      </c>
      <c r="O900">
        <f>Master_Data!O900</f>
        <v>173</v>
      </c>
      <c r="P900">
        <f>Master_Data!P900</f>
        <v>178</v>
      </c>
      <c r="Q900" t="str">
        <f t="shared" si="84"/>
        <v>2011</v>
      </c>
      <c r="R900" t="str">
        <f t="shared" si="85"/>
        <v>February</v>
      </c>
      <c r="S900" t="str">
        <f t="shared" si="86"/>
        <v>Weekday</v>
      </c>
      <c r="T900" t="str">
        <f t="shared" si="87"/>
        <v>Morning</v>
      </c>
      <c r="U900" t="str">
        <f t="shared" si="88"/>
        <v>Spring</v>
      </c>
      <c r="V900" t="str">
        <f t="shared" si="89"/>
        <v>Clear</v>
      </c>
    </row>
    <row r="901" spans="1:22">
      <c r="A901">
        <f>Master_Data!A901</f>
        <v>909</v>
      </c>
      <c r="B901">
        <f>Master_Data!B901</f>
        <v>40584</v>
      </c>
      <c r="C901">
        <f>Master_Data!C901</f>
        <v>1</v>
      </c>
      <c r="D901">
        <f>Master_Data!D901</f>
        <v>0</v>
      </c>
      <c r="E901">
        <f>Master_Data!E901</f>
        <v>2</v>
      </c>
      <c r="F901">
        <f>Master_Data!F901</f>
        <v>9</v>
      </c>
      <c r="G901" t="b">
        <f>Master_Data!G901</f>
        <v>0</v>
      </c>
      <c r="H901">
        <f>Master_Data!H901</f>
        <v>4</v>
      </c>
      <c r="I901">
        <f>Master_Data!I901</f>
        <v>1</v>
      </c>
      <c r="J901">
        <f>Master_Data!J901</f>
        <v>0.12</v>
      </c>
      <c r="K901">
        <f>Master_Data!K901</f>
        <v>0.1061</v>
      </c>
      <c r="L901">
        <f>Master_Data!L901</f>
        <v>0.42</v>
      </c>
      <c r="M901">
        <f>Master_Data!M901</f>
        <v>0.35820000000000002</v>
      </c>
      <c r="N901">
        <f>Master_Data!N901</f>
        <v>1</v>
      </c>
      <c r="O901">
        <f>Master_Data!O901</f>
        <v>121</v>
      </c>
      <c r="P901">
        <f>Master_Data!P901</f>
        <v>122</v>
      </c>
      <c r="Q901" t="str">
        <f t="shared" si="84"/>
        <v>2011</v>
      </c>
      <c r="R901" t="str">
        <f t="shared" si="85"/>
        <v>February</v>
      </c>
      <c r="S901" t="str">
        <f t="shared" si="86"/>
        <v>Weekday</v>
      </c>
      <c r="T901" t="str">
        <f t="shared" si="87"/>
        <v>Morning</v>
      </c>
      <c r="U901" t="str">
        <f t="shared" si="88"/>
        <v>Spring</v>
      </c>
      <c r="V901" t="str">
        <f t="shared" si="89"/>
        <v>Clear</v>
      </c>
    </row>
    <row r="902" spans="1:22">
      <c r="A902">
        <f>Master_Data!A902</f>
        <v>910</v>
      </c>
      <c r="B902">
        <f>Master_Data!B902</f>
        <v>40584</v>
      </c>
      <c r="C902">
        <f>Master_Data!C902</f>
        <v>1</v>
      </c>
      <c r="D902">
        <f>Master_Data!D902</f>
        <v>0</v>
      </c>
      <c r="E902">
        <f>Master_Data!E902</f>
        <v>2</v>
      </c>
      <c r="F902">
        <f>Master_Data!F902</f>
        <v>10</v>
      </c>
      <c r="G902" t="b">
        <f>Master_Data!G902</f>
        <v>0</v>
      </c>
      <c r="H902">
        <f>Master_Data!H902</f>
        <v>4</v>
      </c>
      <c r="I902">
        <f>Master_Data!I902</f>
        <v>1</v>
      </c>
      <c r="J902">
        <f>Master_Data!J902</f>
        <v>0.12</v>
      </c>
      <c r="K902">
        <f>Master_Data!K902</f>
        <v>0.1061</v>
      </c>
      <c r="L902">
        <f>Master_Data!L902</f>
        <v>0.42</v>
      </c>
      <c r="M902">
        <f>Master_Data!M902</f>
        <v>0.29849999999999999</v>
      </c>
      <c r="N902">
        <f>Master_Data!N902</f>
        <v>1</v>
      </c>
      <c r="O902">
        <f>Master_Data!O902</f>
        <v>34</v>
      </c>
      <c r="P902">
        <f>Master_Data!P902</f>
        <v>35</v>
      </c>
      <c r="Q902" t="str">
        <f t="shared" si="84"/>
        <v>2011</v>
      </c>
      <c r="R902" t="str">
        <f t="shared" si="85"/>
        <v>February</v>
      </c>
      <c r="S902" t="str">
        <f t="shared" si="86"/>
        <v>Weekday</v>
      </c>
      <c r="T902" t="str">
        <f t="shared" si="87"/>
        <v>Morning</v>
      </c>
      <c r="U902" t="str">
        <f t="shared" si="88"/>
        <v>Spring</v>
      </c>
      <c r="V902" t="str">
        <f t="shared" si="89"/>
        <v>Clear</v>
      </c>
    </row>
    <row r="903" spans="1:22">
      <c r="A903">
        <f>Master_Data!A903</f>
        <v>911</v>
      </c>
      <c r="B903">
        <f>Master_Data!B903</f>
        <v>40584</v>
      </c>
      <c r="C903">
        <f>Master_Data!C903</f>
        <v>1</v>
      </c>
      <c r="D903">
        <f>Master_Data!D903</f>
        <v>0</v>
      </c>
      <c r="E903">
        <f>Master_Data!E903</f>
        <v>2</v>
      </c>
      <c r="F903">
        <f>Master_Data!F903</f>
        <v>11</v>
      </c>
      <c r="G903" t="b">
        <f>Master_Data!G903</f>
        <v>0</v>
      </c>
      <c r="H903">
        <f>Master_Data!H903</f>
        <v>4</v>
      </c>
      <c r="I903">
        <f>Master_Data!I903</f>
        <v>1</v>
      </c>
      <c r="J903">
        <f>Master_Data!J903</f>
        <v>0.14000000000000001</v>
      </c>
      <c r="K903">
        <f>Master_Data!K903</f>
        <v>0.1212</v>
      </c>
      <c r="L903">
        <f>Master_Data!L903</f>
        <v>0.39</v>
      </c>
      <c r="M903">
        <f>Master_Data!M903</f>
        <v>0.35820000000000002</v>
      </c>
      <c r="N903">
        <f>Master_Data!N903</f>
        <v>1</v>
      </c>
      <c r="O903">
        <f>Master_Data!O903</f>
        <v>44</v>
      </c>
      <c r="P903">
        <f>Master_Data!P903</f>
        <v>45</v>
      </c>
      <c r="Q903" t="str">
        <f t="shared" si="84"/>
        <v>2011</v>
      </c>
      <c r="R903" t="str">
        <f t="shared" si="85"/>
        <v>February</v>
      </c>
      <c r="S903" t="str">
        <f t="shared" si="86"/>
        <v>Weekday</v>
      </c>
      <c r="T903" t="str">
        <f t="shared" si="87"/>
        <v>Morning</v>
      </c>
      <c r="U903" t="str">
        <f t="shared" si="88"/>
        <v>Spring</v>
      </c>
      <c r="V903" t="str">
        <f t="shared" si="89"/>
        <v>Clear</v>
      </c>
    </row>
    <row r="904" spans="1:22">
      <c r="A904">
        <f>Master_Data!A904</f>
        <v>912</v>
      </c>
      <c r="B904">
        <f>Master_Data!B904</f>
        <v>40584</v>
      </c>
      <c r="C904">
        <f>Master_Data!C904</f>
        <v>1</v>
      </c>
      <c r="D904">
        <f>Master_Data!D904</f>
        <v>0</v>
      </c>
      <c r="E904">
        <f>Master_Data!E904</f>
        <v>2</v>
      </c>
      <c r="F904">
        <f>Master_Data!F904</f>
        <v>12</v>
      </c>
      <c r="G904" t="b">
        <f>Master_Data!G904</f>
        <v>0</v>
      </c>
      <c r="H904">
        <f>Master_Data!H904</f>
        <v>4</v>
      </c>
      <c r="I904">
        <f>Master_Data!I904</f>
        <v>1</v>
      </c>
      <c r="J904">
        <f>Master_Data!J904</f>
        <v>0.16</v>
      </c>
      <c r="K904">
        <f>Master_Data!K904</f>
        <v>0.13639999999999999</v>
      </c>
      <c r="L904">
        <f>Master_Data!L904</f>
        <v>0.34</v>
      </c>
      <c r="M904">
        <f>Master_Data!M904</f>
        <v>0.3881</v>
      </c>
      <c r="N904">
        <f>Master_Data!N904</f>
        <v>4</v>
      </c>
      <c r="O904">
        <f>Master_Data!O904</f>
        <v>65</v>
      </c>
      <c r="P904">
        <f>Master_Data!P904</f>
        <v>69</v>
      </c>
      <c r="Q904" t="str">
        <f t="shared" si="84"/>
        <v>2011</v>
      </c>
      <c r="R904" t="str">
        <f t="shared" si="85"/>
        <v>February</v>
      </c>
      <c r="S904" t="str">
        <f t="shared" si="86"/>
        <v>Weekday</v>
      </c>
      <c r="T904" t="str">
        <f t="shared" si="87"/>
        <v>Afternoon</v>
      </c>
      <c r="U904" t="str">
        <f t="shared" si="88"/>
        <v>Spring</v>
      </c>
      <c r="V904" t="str">
        <f t="shared" si="89"/>
        <v>Clear</v>
      </c>
    </row>
    <row r="905" spans="1:22">
      <c r="A905">
        <f>Master_Data!A905</f>
        <v>913</v>
      </c>
      <c r="B905">
        <f>Master_Data!B905</f>
        <v>40584</v>
      </c>
      <c r="C905">
        <f>Master_Data!C905</f>
        <v>1</v>
      </c>
      <c r="D905">
        <f>Master_Data!D905</f>
        <v>0</v>
      </c>
      <c r="E905">
        <f>Master_Data!E905</f>
        <v>2</v>
      </c>
      <c r="F905">
        <f>Master_Data!F905</f>
        <v>13</v>
      </c>
      <c r="G905" t="b">
        <f>Master_Data!G905</f>
        <v>0</v>
      </c>
      <c r="H905">
        <f>Master_Data!H905</f>
        <v>4</v>
      </c>
      <c r="I905">
        <f>Master_Data!I905</f>
        <v>1</v>
      </c>
      <c r="J905">
        <f>Master_Data!J905</f>
        <v>0.18</v>
      </c>
      <c r="K905">
        <f>Master_Data!K905</f>
        <v>0.16669999999999999</v>
      </c>
      <c r="L905">
        <f>Master_Data!L905</f>
        <v>0.28999999999999998</v>
      </c>
      <c r="M905">
        <f>Master_Data!M905</f>
        <v>0.29849999999999999</v>
      </c>
      <c r="N905">
        <f>Master_Data!N905</f>
        <v>3</v>
      </c>
      <c r="O905">
        <f>Master_Data!O905</f>
        <v>59</v>
      </c>
      <c r="P905">
        <f>Master_Data!P905</f>
        <v>62</v>
      </c>
      <c r="Q905" t="str">
        <f t="shared" si="84"/>
        <v>2011</v>
      </c>
      <c r="R905" t="str">
        <f t="shared" si="85"/>
        <v>February</v>
      </c>
      <c r="S905" t="str">
        <f t="shared" si="86"/>
        <v>Weekday</v>
      </c>
      <c r="T905" t="str">
        <f t="shared" si="87"/>
        <v>Afternoon</v>
      </c>
      <c r="U905" t="str">
        <f t="shared" si="88"/>
        <v>Spring</v>
      </c>
      <c r="V905" t="str">
        <f t="shared" si="89"/>
        <v>Clear</v>
      </c>
    </row>
    <row r="906" spans="1:22">
      <c r="A906">
        <f>Master_Data!A906</f>
        <v>914</v>
      </c>
      <c r="B906">
        <f>Master_Data!B906</f>
        <v>40584</v>
      </c>
      <c r="C906">
        <f>Master_Data!C906</f>
        <v>1</v>
      </c>
      <c r="D906">
        <f>Master_Data!D906</f>
        <v>0</v>
      </c>
      <c r="E906">
        <f>Master_Data!E906</f>
        <v>2</v>
      </c>
      <c r="F906">
        <f>Master_Data!F906</f>
        <v>14</v>
      </c>
      <c r="G906" t="b">
        <f>Master_Data!G906</f>
        <v>0</v>
      </c>
      <c r="H906">
        <f>Master_Data!H906</f>
        <v>4</v>
      </c>
      <c r="I906">
        <f>Master_Data!I906</f>
        <v>1</v>
      </c>
      <c r="J906">
        <f>Master_Data!J906</f>
        <v>0.2</v>
      </c>
      <c r="K906">
        <f>Master_Data!K906</f>
        <v>0.18179999999999999</v>
      </c>
      <c r="L906">
        <f>Master_Data!L906</f>
        <v>0.27</v>
      </c>
      <c r="M906">
        <f>Master_Data!M906</f>
        <v>0.28360000000000002</v>
      </c>
      <c r="N906">
        <f>Master_Data!N906</f>
        <v>6</v>
      </c>
      <c r="O906">
        <f>Master_Data!O906</f>
        <v>42</v>
      </c>
      <c r="P906">
        <f>Master_Data!P906</f>
        <v>48</v>
      </c>
      <c r="Q906" t="str">
        <f t="shared" si="84"/>
        <v>2011</v>
      </c>
      <c r="R906" t="str">
        <f t="shared" si="85"/>
        <v>February</v>
      </c>
      <c r="S906" t="str">
        <f t="shared" si="86"/>
        <v>Weekday</v>
      </c>
      <c r="T906" t="str">
        <f t="shared" si="87"/>
        <v>Afternoon</v>
      </c>
      <c r="U906" t="str">
        <f t="shared" si="88"/>
        <v>Spring</v>
      </c>
      <c r="V906" t="str">
        <f t="shared" si="89"/>
        <v>Clear</v>
      </c>
    </row>
    <row r="907" spans="1:22">
      <c r="A907">
        <f>Master_Data!A907</f>
        <v>915</v>
      </c>
      <c r="B907">
        <f>Master_Data!B907</f>
        <v>40584</v>
      </c>
      <c r="C907">
        <f>Master_Data!C907</f>
        <v>1</v>
      </c>
      <c r="D907">
        <f>Master_Data!D907</f>
        <v>0</v>
      </c>
      <c r="E907">
        <f>Master_Data!E907</f>
        <v>2</v>
      </c>
      <c r="F907">
        <f>Master_Data!F907</f>
        <v>15</v>
      </c>
      <c r="G907" t="b">
        <f>Master_Data!G907</f>
        <v>0</v>
      </c>
      <c r="H907">
        <f>Master_Data!H907</f>
        <v>4</v>
      </c>
      <c r="I907">
        <f>Master_Data!I907</f>
        <v>1</v>
      </c>
      <c r="J907">
        <f>Master_Data!J907</f>
        <v>0.2</v>
      </c>
      <c r="K907">
        <f>Master_Data!K907</f>
        <v>0.19700000000000001</v>
      </c>
      <c r="L907">
        <f>Master_Data!L907</f>
        <v>0.25</v>
      </c>
      <c r="M907">
        <f>Master_Data!M907</f>
        <v>0.25369999999999998</v>
      </c>
      <c r="N907">
        <f>Master_Data!N907</f>
        <v>0</v>
      </c>
      <c r="O907">
        <f>Master_Data!O907</f>
        <v>50</v>
      </c>
      <c r="P907">
        <f>Master_Data!P907</f>
        <v>50</v>
      </c>
      <c r="Q907" t="str">
        <f t="shared" si="84"/>
        <v>2011</v>
      </c>
      <c r="R907" t="str">
        <f t="shared" si="85"/>
        <v>February</v>
      </c>
      <c r="S907" t="str">
        <f t="shared" si="86"/>
        <v>Weekday</v>
      </c>
      <c r="T907" t="str">
        <f t="shared" si="87"/>
        <v>Afternoon</v>
      </c>
      <c r="U907" t="str">
        <f t="shared" si="88"/>
        <v>Spring</v>
      </c>
      <c r="V907" t="str">
        <f t="shared" si="89"/>
        <v>Clear</v>
      </c>
    </row>
    <row r="908" spans="1:22">
      <c r="A908">
        <f>Master_Data!A908</f>
        <v>916</v>
      </c>
      <c r="B908">
        <f>Master_Data!B908</f>
        <v>40584</v>
      </c>
      <c r="C908">
        <f>Master_Data!C908</f>
        <v>1</v>
      </c>
      <c r="D908">
        <f>Master_Data!D908</f>
        <v>0</v>
      </c>
      <c r="E908">
        <f>Master_Data!E908</f>
        <v>2</v>
      </c>
      <c r="F908">
        <f>Master_Data!F908</f>
        <v>16</v>
      </c>
      <c r="G908" t="b">
        <f>Master_Data!G908</f>
        <v>0</v>
      </c>
      <c r="H908">
        <f>Master_Data!H908</f>
        <v>4</v>
      </c>
      <c r="I908">
        <f>Master_Data!I908</f>
        <v>1</v>
      </c>
      <c r="J908">
        <f>Master_Data!J908</f>
        <v>0.2</v>
      </c>
      <c r="K908">
        <f>Master_Data!K908</f>
        <v>0.18179999999999999</v>
      </c>
      <c r="L908">
        <f>Master_Data!L908</f>
        <v>0.27</v>
      </c>
      <c r="M908">
        <f>Master_Data!M908</f>
        <v>0.29849999999999999</v>
      </c>
      <c r="N908">
        <f>Master_Data!N908</f>
        <v>4</v>
      </c>
      <c r="O908">
        <f>Master_Data!O908</f>
        <v>76</v>
      </c>
      <c r="P908">
        <f>Master_Data!P908</f>
        <v>80</v>
      </c>
      <c r="Q908" t="str">
        <f t="shared" si="84"/>
        <v>2011</v>
      </c>
      <c r="R908" t="str">
        <f t="shared" si="85"/>
        <v>February</v>
      </c>
      <c r="S908" t="str">
        <f t="shared" si="86"/>
        <v>Weekday</v>
      </c>
      <c r="T908" t="str">
        <f t="shared" si="87"/>
        <v>Afternoon</v>
      </c>
      <c r="U908" t="str">
        <f t="shared" si="88"/>
        <v>Spring</v>
      </c>
      <c r="V908" t="str">
        <f t="shared" si="89"/>
        <v>Clear</v>
      </c>
    </row>
    <row r="909" spans="1:22">
      <c r="A909">
        <f>Master_Data!A909</f>
        <v>917</v>
      </c>
      <c r="B909">
        <f>Master_Data!B909</f>
        <v>40584</v>
      </c>
      <c r="C909">
        <f>Master_Data!C909</f>
        <v>1</v>
      </c>
      <c r="D909">
        <f>Master_Data!D909</f>
        <v>0</v>
      </c>
      <c r="E909">
        <f>Master_Data!E909</f>
        <v>2</v>
      </c>
      <c r="F909">
        <f>Master_Data!F909</f>
        <v>17</v>
      </c>
      <c r="G909" t="b">
        <f>Master_Data!G909</f>
        <v>0</v>
      </c>
      <c r="H909">
        <f>Master_Data!H909</f>
        <v>4</v>
      </c>
      <c r="I909">
        <f>Master_Data!I909</f>
        <v>1</v>
      </c>
      <c r="J909">
        <f>Master_Data!J909</f>
        <v>0.18</v>
      </c>
      <c r="K909">
        <f>Master_Data!K909</f>
        <v>0.18179999999999999</v>
      </c>
      <c r="L909">
        <f>Master_Data!L909</f>
        <v>0.26</v>
      </c>
      <c r="M909">
        <f>Master_Data!M909</f>
        <v>0.19400000000000001</v>
      </c>
      <c r="N909">
        <f>Master_Data!N909</f>
        <v>6</v>
      </c>
      <c r="O909">
        <f>Master_Data!O909</f>
        <v>159</v>
      </c>
      <c r="P909">
        <f>Master_Data!P909</f>
        <v>165</v>
      </c>
      <c r="Q909" t="str">
        <f t="shared" si="84"/>
        <v>2011</v>
      </c>
      <c r="R909" t="str">
        <f t="shared" si="85"/>
        <v>February</v>
      </c>
      <c r="S909" t="str">
        <f t="shared" si="86"/>
        <v>Weekday</v>
      </c>
      <c r="T909" t="str">
        <f t="shared" si="87"/>
        <v>Evening</v>
      </c>
      <c r="U909" t="str">
        <f t="shared" si="88"/>
        <v>Spring</v>
      </c>
      <c r="V909" t="str">
        <f t="shared" si="89"/>
        <v>Clear</v>
      </c>
    </row>
    <row r="910" spans="1:22">
      <c r="A910">
        <f>Master_Data!A910</f>
        <v>918</v>
      </c>
      <c r="B910">
        <f>Master_Data!B910</f>
        <v>40584</v>
      </c>
      <c r="C910">
        <f>Master_Data!C910</f>
        <v>1</v>
      </c>
      <c r="D910">
        <f>Master_Data!D910</f>
        <v>0</v>
      </c>
      <c r="E910">
        <f>Master_Data!E910</f>
        <v>2</v>
      </c>
      <c r="F910">
        <f>Master_Data!F910</f>
        <v>18</v>
      </c>
      <c r="G910" t="b">
        <f>Master_Data!G910</f>
        <v>0</v>
      </c>
      <c r="H910">
        <f>Master_Data!H910</f>
        <v>4</v>
      </c>
      <c r="I910">
        <f>Master_Data!I910</f>
        <v>1</v>
      </c>
      <c r="J910">
        <f>Master_Data!J910</f>
        <v>0.16</v>
      </c>
      <c r="K910">
        <f>Master_Data!K910</f>
        <v>0.18179999999999999</v>
      </c>
      <c r="L910">
        <f>Master_Data!L910</f>
        <v>0.28000000000000003</v>
      </c>
      <c r="M910">
        <f>Master_Data!M910</f>
        <v>0.1343</v>
      </c>
      <c r="N910">
        <f>Master_Data!N910</f>
        <v>3</v>
      </c>
      <c r="O910">
        <f>Master_Data!O910</f>
        <v>157</v>
      </c>
      <c r="P910">
        <f>Master_Data!P910</f>
        <v>160</v>
      </c>
      <c r="Q910" t="str">
        <f t="shared" si="84"/>
        <v>2011</v>
      </c>
      <c r="R910" t="str">
        <f t="shared" si="85"/>
        <v>February</v>
      </c>
      <c r="S910" t="str">
        <f t="shared" si="86"/>
        <v>Weekday</v>
      </c>
      <c r="T910" t="str">
        <f t="shared" si="87"/>
        <v>Evening</v>
      </c>
      <c r="U910" t="str">
        <f t="shared" si="88"/>
        <v>Spring</v>
      </c>
      <c r="V910" t="str">
        <f t="shared" si="89"/>
        <v>Clear</v>
      </c>
    </row>
    <row r="911" spans="1:22">
      <c r="A911">
        <f>Master_Data!A911</f>
        <v>919</v>
      </c>
      <c r="B911">
        <f>Master_Data!B911</f>
        <v>40584</v>
      </c>
      <c r="C911">
        <f>Master_Data!C911</f>
        <v>1</v>
      </c>
      <c r="D911">
        <f>Master_Data!D911</f>
        <v>0</v>
      </c>
      <c r="E911">
        <f>Master_Data!E911</f>
        <v>2</v>
      </c>
      <c r="F911">
        <f>Master_Data!F911</f>
        <v>19</v>
      </c>
      <c r="G911" t="b">
        <f>Master_Data!G911</f>
        <v>0</v>
      </c>
      <c r="H911">
        <f>Master_Data!H911</f>
        <v>4</v>
      </c>
      <c r="I911">
        <f>Master_Data!I911</f>
        <v>1</v>
      </c>
      <c r="J911">
        <f>Master_Data!J911</f>
        <v>0.14000000000000001</v>
      </c>
      <c r="K911">
        <f>Master_Data!K911</f>
        <v>0.16669999999999999</v>
      </c>
      <c r="L911">
        <f>Master_Data!L911</f>
        <v>0.28000000000000003</v>
      </c>
      <c r="M911">
        <f>Master_Data!M911</f>
        <v>0.1045</v>
      </c>
      <c r="N911">
        <f>Master_Data!N911</f>
        <v>2</v>
      </c>
      <c r="O911">
        <f>Master_Data!O911</f>
        <v>110</v>
      </c>
      <c r="P911">
        <f>Master_Data!P911</f>
        <v>112</v>
      </c>
      <c r="Q911" t="str">
        <f t="shared" si="84"/>
        <v>2011</v>
      </c>
      <c r="R911" t="str">
        <f t="shared" si="85"/>
        <v>February</v>
      </c>
      <c r="S911" t="str">
        <f t="shared" si="86"/>
        <v>Weekday</v>
      </c>
      <c r="T911" t="str">
        <f t="shared" si="87"/>
        <v>Evening</v>
      </c>
      <c r="U911" t="str">
        <f t="shared" si="88"/>
        <v>Spring</v>
      </c>
      <c r="V911" t="str">
        <f t="shared" si="89"/>
        <v>Clear</v>
      </c>
    </row>
    <row r="912" spans="1:22">
      <c r="A912">
        <f>Master_Data!A912</f>
        <v>920</v>
      </c>
      <c r="B912">
        <f>Master_Data!B912</f>
        <v>40584</v>
      </c>
      <c r="C912">
        <f>Master_Data!C912</f>
        <v>1</v>
      </c>
      <c r="D912">
        <f>Master_Data!D912</f>
        <v>0</v>
      </c>
      <c r="E912">
        <f>Master_Data!E912</f>
        <v>2</v>
      </c>
      <c r="F912">
        <f>Master_Data!F912</f>
        <v>20</v>
      </c>
      <c r="G912" t="b">
        <f>Master_Data!G912</f>
        <v>0</v>
      </c>
      <c r="H912">
        <f>Master_Data!H912</f>
        <v>4</v>
      </c>
      <c r="I912">
        <f>Master_Data!I912</f>
        <v>1</v>
      </c>
      <c r="J912">
        <f>Master_Data!J912</f>
        <v>0.14000000000000001</v>
      </c>
      <c r="K912">
        <f>Master_Data!K912</f>
        <v>0.18179999999999999</v>
      </c>
      <c r="L912">
        <f>Master_Data!L912</f>
        <v>0.31</v>
      </c>
      <c r="M912">
        <f>Master_Data!M912</f>
        <v>8.9599999999999999E-2</v>
      </c>
      <c r="N912">
        <f>Master_Data!N912</f>
        <v>4</v>
      </c>
      <c r="O912">
        <f>Master_Data!O912</f>
        <v>93</v>
      </c>
      <c r="P912">
        <f>Master_Data!P912</f>
        <v>97</v>
      </c>
      <c r="Q912" t="str">
        <f t="shared" si="84"/>
        <v>2011</v>
      </c>
      <c r="R912" t="str">
        <f t="shared" si="85"/>
        <v>February</v>
      </c>
      <c r="S912" t="str">
        <f t="shared" si="86"/>
        <v>Weekday</v>
      </c>
      <c r="T912" t="str">
        <f t="shared" si="87"/>
        <v>Evening</v>
      </c>
      <c r="U912" t="str">
        <f t="shared" si="88"/>
        <v>Spring</v>
      </c>
      <c r="V912" t="str">
        <f t="shared" si="89"/>
        <v>Clear</v>
      </c>
    </row>
    <row r="913" spans="1:22">
      <c r="A913">
        <f>Master_Data!A913</f>
        <v>921</v>
      </c>
      <c r="B913">
        <f>Master_Data!B913</f>
        <v>40584</v>
      </c>
      <c r="C913">
        <f>Master_Data!C913</f>
        <v>1</v>
      </c>
      <c r="D913">
        <f>Master_Data!D913</f>
        <v>0</v>
      </c>
      <c r="E913">
        <f>Master_Data!E913</f>
        <v>2</v>
      </c>
      <c r="F913">
        <f>Master_Data!F913</f>
        <v>21</v>
      </c>
      <c r="G913" t="b">
        <f>Master_Data!G913</f>
        <v>0</v>
      </c>
      <c r="H913">
        <f>Master_Data!H913</f>
        <v>4</v>
      </c>
      <c r="I913">
        <f>Master_Data!I913</f>
        <v>1</v>
      </c>
      <c r="J913">
        <f>Master_Data!J913</f>
        <v>0.14000000000000001</v>
      </c>
      <c r="K913">
        <f>Master_Data!K913</f>
        <v>0.21210000000000001</v>
      </c>
      <c r="L913">
        <f>Master_Data!L913</f>
        <v>0.39</v>
      </c>
      <c r="M913">
        <f>Master_Data!M913</f>
        <v>0</v>
      </c>
      <c r="N913">
        <f>Master_Data!N913</f>
        <v>2</v>
      </c>
      <c r="O913">
        <f>Master_Data!O913</f>
        <v>70</v>
      </c>
      <c r="P913">
        <f>Master_Data!P913</f>
        <v>72</v>
      </c>
      <c r="Q913" t="str">
        <f t="shared" si="84"/>
        <v>2011</v>
      </c>
      <c r="R913" t="str">
        <f t="shared" si="85"/>
        <v>February</v>
      </c>
      <c r="S913" t="str">
        <f t="shared" si="86"/>
        <v>Weekday</v>
      </c>
      <c r="T913" t="str">
        <f t="shared" si="87"/>
        <v>Night</v>
      </c>
      <c r="U913" t="str">
        <f t="shared" si="88"/>
        <v>Spring</v>
      </c>
      <c r="V913" t="str">
        <f t="shared" si="89"/>
        <v>Clear</v>
      </c>
    </row>
    <row r="914" spans="1:22">
      <c r="A914">
        <f>Master_Data!A914</f>
        <v>922</v>
      </c>
      <c r="B914">
        <f>Master_Data!B914</f>
        <v>40584</v>
      </c>
      <c r="C914">
        <f>Master_Data!C914</f>
        <v>1</v>
      </c>
      <c r="D914">
        <f>Master_Data!D914</f>
        <v>0</v>
      </c>
      <c r="E914">
        <f>Master_Data!E914</f>
        <v>2</v>
      </c>
      <c r="F914">
        <f>Master_Data!F914</f>
        <v>22</v>
      </c>
      <c r="G914" t="b">
        <f>Master_Data!G914</f>
        <v>0</v>
      </c>
      <c r="H914">
        <f>Master_Data!H914</f>
        <v>4</v>
      </c>
      <c r="I914">
        <f>Master_Data!I914</f>
        <v>1</v>
      </c>
      <c r="J914">
        <f>Master_Data!J914</f>
        <v>0.12</v>
      </c>
      <c r="K914">
        <f>Master_Data!K914</f>
        <v>0.19700000000000001</v>
      </c>
      <c r="L914">
        <f>Master_Data!L914</f>
        <v>0.39</v>
      </c>
      <c r="M914">
        <f>Master_Data!M914</f>
        <v>0</v>
      </c>
      <c r="N914">
        <f>Master_Data!N914</f>
        <v>4</v>
      </c>
      <c r="O914">
        <f>Master_Data!O914</f>
        <v>47</v>
      </c>
      <c r="P914">
        <f>Master_Data!P914</f>
        <v>51</v>
      </c>
      <c r="Q914" t="str">
        <f t="shared" si="84"/>
        <v>2011</v>
      </c>
      <c r="R914" t="str">
        <f t="shared" si="85"/>
        <v>February</v>
      </c>
      <c r="S914" t="str">
        <f t="shared" si="86"/>
        <v>Weekday</v>
      </c>
      <c r="T914" t="str">
        <f t="shared" si="87"/>
        <v>Night</v>
      </c>
      <c r="U914" t="str">
        <f t="shared" si="88"/>
        <v>Spring</v>
      </c>
      <c r="V914" t="str">
        <f t="shared" si="89"/>
        <v>Clear</v>
      </c>
    </row>
    <row r="915" spans="1:22">
      <c r="A915">
        <f>Master_Data!A915</f>
        <v>923</v>
      </c>
      <c r="B915">
        <f>Master_Data!B915</f>
        <v>40584</v>
      </c>
      <c r="C915">
        <f>Master_Data!C915</f>
        <v>1</v>
      </c>
      <c r="D915">
        <f>Master_Data!D915</f>
        <v>0</v>
      </c>
      <c r="E915">
        <f>Master_Data!E915</f>
        <v>2</v>
      </c>
      <c r="F915">
        <f>Master_Data!F915</f>
        <v>23</v>
      </c>
      <c r="G915" t="b">
        <f>Master_Data!G915</f>
        <v>0</v>
      </c>
      <c r="H915">
        <f>Master_Data!H915</f>
        <v>4</v>
      </c>
      <c r="I915">
        <f>Master_Data!I915</f>
        <v>1</v>
      </c>
      <c r="J915">
        <f>Master_Data!J915</f>
        <v>0.12</v>
      </c>
      <c r="K915">
        <f>Master_Data!K915</f>
        <v>0.1515</v>
      </c>
      <c r="L915">
        <f>Master_Data!L915</f>
        <v>0.42</v>
      </c>
      <c r="M915">
        <f>Master_Data!M915</f>
        <v>0.1045</v>
      </c>
      <c r="N915">
        <f>Master_Data!N915</f>
        <v>1</v>
      </c>
      <c r="O915">
        <f>Master_Data!O915</f>
        <v>33</v>
      </c>
      <c r="P915">
        <f>Master_Data!P915</f>
        <v>34</v>
      </c>
      <c r="Q915" t="str">
        <f t="shared" si="84"/>
        <v>2011</v>
      </c>
      <c r="R915" t="str">
        <f t="shared" si="85"/>
        <v>February</v>
      </c>
      <c r="S915" t="str">
        <f t="shared" si="86"/>
        <v>Weekday</v>
      </c>
      <c r="T915" t="str">
        <f t="shared" si="87"/>
        <v>Night</v>
      </c>
      <c r="U915" t="str">
        <f t="shared" si="88"/>
        <v>Spring</v>
      </c>
      <c r="V915" t="str">
        <f t="shared" si="89"/>
        <v>Clear</v>
      </c>
    </row>
    <row r="916" spans="1:22">
      <c r="A916">
        <f>Master_Data!A916</f>
        <v>924</v>
      </c>
      <c r="B916">
        <f>Master_Data!B916</f>
        <v>40585</v>
      </c>
      <c r="C916">
        <f>Master_Data!C916</f>
        <v>1</v>
      </c>
      <c r="D916">
        <f>Master_Data!D916</f>
        <v>0</v>
      </c>
      <c r="E916">
        <f>Master_Data!E916</f>
        <v>2</v>
      </c>
      <c r="F916">
        <f>Master_Data!F916</f>
        <v>0</v>
      </c>
      <c r="G916" t="b">
        <f>Master_Data!G916</f>
        <v>0</v>
      </c>
      <c r="H916">
        <f>Master_Data!H916</f>
        <v>5</v>
      </c>
      <c r="I916">
        <f>Master_Data!I916</f>
        <v>1</v>
      </c>
      <c r="J916">
        <f>Master_Data!J916</f>
        <v>0.1</v>
      </c>
      <c r="K916">
        <f>Master_Data!K916</f>
        <v>0.13639999999999999</v>
      </c>
      <c r="L916">
        <f>Master_Data!L916</f>
        <v>0.49</v>
      </c>
      <c r="M916">
        <f>Master_Data!M916</f>
        <v>0.1045</v>
      </c>
      <c r="N916">
        <f>Master_Data!N916</f>
        <v>2</v>
      </c>
      <c r="O916">
        <f>Master_Data!O916</f>
        <v>12</v>
      </c>
      <c r="P916">
        <f>Master_Data!P916</f>
        <v>14</v>
      </c>
      <c r="Q916" t="str">
        <f t="shared" si="84"/>
        <v>2011</v>
      </c>
      <c r="R916" t="str">
        <f t="shared" si="85"/>
        <v>February</v>
      </c>
      <c r="S916" t="str">
        <f t="shared" si="86"/>
        <v>Weekday</v>
      </c>
      <c r="T916" t="str">
        <f t="shared" si="87"/>
        <v>Night</v>
      </c>
      <c r="U916" t="str">
        <f t="shared" si="88"/>
        <v>Spring</v>
      </c>
      <c r="V916" t="str">
        <f t="shared" si="89"/>
        <v>Clear</v>
      </c>
    </row>
    <row r="917" spans="1:22">
      <c r="A917">
        <f>Master_Data!A917</f>
        <v>925</v>
      </c>
      <c r="B917">
        <f>Master_Data!B917</f>
        <v>40585</v>
      </c>
      <c r="C917">
        <f>Master_Data!C917</f>
        <v>1</v>
      </c>
      <c r="D917">
        <f>Master_Data!D917</f>
        <v>0</v>
      </c>
      <c r="E917">
        <f>Master_Data!E917</f>
        <v>2</v>
      </c>
      <c r="F917">
        <f>Master_Data!F917</f>
        <v>1</v>
      </c>
      <c r="G917" t="b">
        <f>Master_Data!G917</f>
        <v>0</v>
      </c>
      <c r="H917">
        <f>Master_Data!H917</f>
        <v>5</v>
      </c>
      <c r="I917">
        <f>Master_Data!I917</f>
        <v>1</v>
      </c>
      <c r="J917">
        <f>Master_Data!J917</f>
        <v>0.1</v>
      </c>
      <c r="K917">
        <f>Master_Data!K917</f>
        <v>0.13639999999999999</v>
      </c>
      <c r="L917">
        <f>Master_Data!L917</f>
        <v>0.54</v>
      </c>
      <c r="M917">
        <f>Master_Data!M917</f>
        <v>8.9599999999999999E-2</v>
      </c>
      <c r="N917">
        <f>Master_Data!N917</f>
        <v>1</v>
      </c>
      <c r="O917">
        <f>Master_Data!O917</f>
        <v>6</v>
      </c>
      <c r="P917">
        <f>Master_Data!P917</f>
        <v>7</v>
      </c>
      <c r="Q917" t="str">
        <f t="shared" si="84"/>
        <v>2011</v>
      </c>
      <c r="R917" t="str">
        <f t="shared" si="85"/>
        <v>February</v>
      </c>
      <c r="S917" t="str">
        <f t="shared" si="86"/>
        <v>Weekday</v>
      </c>
      <c r="T917" t="str">
        <f t="shared" si="87"/>
        <v>Night</v>
      </c>
      <c r="U917" t="str">
        <f t="shared" si="88"/>
        <v>Spring</v>
      </c>
      <c r="V917" t="str">
        <f t="shared" si="89"/>
        <v>Clear</v>
      </c>
    </row>
    <row r="918" spans="1:22">
      <c r="A918">
        <f>Master_Data!A918</f>
        <v>926</v>
      </c>
      <c r="B918">
        <f>Master_Data!B918</f>
        <v>40585</v>
      </c>
      <c r="C918">
        <f>Master_Data!C918</f>
        <v>1</v>
      </c>
      <c r="D918">
        <f>Master_Data!D918</f>
        <v>0</v>
      </c>
      <c r="E918">
        <f>Master_Data!E918</f>
        <v>2</v>
      </c>
      <c r="F918">
        <f>Master_Data!F918</f>
        <v>2</v>
      </c>
      <c r="G918" t="b">
        <f>Master_Data!G918</f>
        <v>0</v>
      </c>
      <c r="H918">
        <f>Master_Data!H918</f>
        <v>5</v>
      </c>
      <c r="I918">
        <f>Master_Data!I918</f>
        <v>1</v>
      </c>
      <c r="J918">
        <f>Master_Data!J918</f>
        <v>0.1</v>
      </c>
      <c r="K918">
        <f>Master_Data!K918</f>
        <v>0.13639999999999999</v>
      </c>
      <c r="L918">
        <f>Master_Data!L918</f>
        <v>0.54</v>
      </c>
      <c r="M918">
        <f>Master_Data!M918</f>
        <v>8.9599999999999999E-2</v>
      </c>
      <c r="N918">
        <f>Master_Data!N918</f>
        <v>0</v>
      </c>
      <c r="O918">
        <f>Master_Data!O918</f>
        <v>3</v>
      </c>
      <c r="P918">
        <f>Master_Data!P918</f>
        <v>3</v>
      </c>
      <c r="Q918" t="str">
        <f t="shared" si="84"/>
        <v>2011</v>
      </c>
      <c r="R918" t="str">
        <f t="shared" si="85"/>
        <v>February</v>
      </c>
      <c r="S918" t="str">
        <f t="shared" si="86"/>
        <v>Weekday</v>
      </c>
      <c r="T918" t="str">
        <f t="shared" si="87"/>
        <v>Night</v>
      </c>
      <c r="U918" t="str">
        <f t="shared" si="88"/>
        <v>Spring</v>
      </c>
      <c r="V918" t="str">
        <f t="shared" si="89"/>
        <v>Clear</v>
      </c>
    </row>
    <row r="919" spans="1:22">
      <c r="A919">
        <f>Master_Data!A919</f>
        <v>927</v>
      </c>
      <c r="B919">
        <f>Master_Data!B919</f>
        <v>40585</v>
      </c>
      <c r="C919">
        <f>Master_Data!C919</f>
        <v>1</v>
      </c>
      <c r="D919">
        <f>Master_Data!D919</f>
        <v>0</v>
      </c>
      <c r="E919">
        <f>Master_Data!E919</f>
        <v>2</v>
      </c>
      <c r="F919">
        <f>Master_Data!F919</f>
        <v>5</v>
      </c>
      <c r="G919" t="b">
        <f>Master_Data!G919</f>
        <v>0</v>
      </c>
      <c r="H919">
        <f>Master_Data!H919</f>
        <v>5</v>
      </c>
      <c r="I919">
        <f>Master_Data!I919</f>
        <v>1</v>
      </c>
      <c r="J919">
        <f>Master_Data!J919</f>
        <v>0.08</v>
      </c>
      <c r="K919">
        <f>Master_Data!K919</f>
        <v>0.1212</v>
      </c>
      <c r="L919">
        <f>Master_Data!L919</f>
        <v>0.63</v>
      </c>
      <c r="M919">
        <f>Master_Data!M919</f>
        <v>8.9599999999999999E-2</v>
      </c>
      <c r="N919">
        <f>Master_Data!N919</f>
        <v>0</v>
      </c>
      <c r="O919">
        <f>Master_Data!O919</f>
        <v>4</v>
      </c>
      <c r="P919">
        <f>Master_Data!P919</f>
        <v>4</v>
      </c>
      <c r="Q919" t="str">
        <f t="shared" si="84"/>
        <v>2011</v>
      </c>
      <c r="R919" t="str">
        <f t="shared" si="85"/>
        <v>February</v>
      </c>
      <c r="S919" t="str">
        <f t="shared" si="86"/>
        <v>Weekday</v>
      </c>
      <c r="T919" t="str">
        <f t="shared" si="87"/>
        <v>Night</v>
      </c>
      <c r="U919" t="str">
        <f t="shared" si="88"/>
        <v>Spring</v>
      </c>
      <c r="V919" t="str">
        <f t="shared" si="89"/>
        <v>Clear</v>
      </c>
    </row>
    <row r="920" spans="1:22">
      <c r="A920">
        <f>Master_Data!A920</f>
        <v>928</v>
      </c>
      <c r="B920">
        <f>Master_Data!B920</f>
        <v>40585</v>
      </c>
      <c r="C920">
        <f>Master_Data!C920</f>
        <v>1</v>
      </c>
      <c r="D920">
        <f>Master_Data!D920</f>
        <v>0</v>
      </c>
      <c r="E920">
        <f>Master_Data!E920</f>
        <v>2</v>
      </c>
      <c r="F920">
        <f>Master_Data!F920</f>
        <v>6</v>
      </c>
      <c r="G920" t="b">
        <f>Master_Data!G920</f>
        <v>0</v>
      </c>
      <c r="H920">
        <f>Master_Data!H920</f>
        <v>5</v>
      </c>
      <c r="I920">
        <f>Master_Data!I920</f>
        <v>1</v>
      </c>
      <c r="J920">
        <f>Master_Data!J920</f>
        <v>0.1</v>
      </c>
      <c r="K920">
        <f>Master_Data!K920</f>
        <v>0.18179999999999999</v>
      </c>
      <c r="L920">
        <f>Master_Data!L920</f>
        <v>0.68</v>
      </c>
      <c r="M920">
        <f>Master_Data!M920</f>
        <v>0</v>
      </c>
      <c r="N920">
        <f>Master_Data!N920</f>
        <v>1</v>
      </c>
      <c r="O920">
        <f>Master_Data!O920</f>
        <v>23</v>
      </c>
      <c r="P920">
        <f>Master_Data!P920</f>
        <v>24</v>
      </c>
      <c r="Q920" t="str">
        <f t="shared" si="84"/>
        <v>2011</v>
      </c>
      <c r="R920" t="str">
        <f t="shared" si="85"/>
        <v>February</v>
      </c>
      <c r="S920" t="str">
        <f t="shared" si="86"/>
        <v>Weekday</v>
      </c>
      <c r="T920" t="str">
        <f t="shared" si="87"/>
        <v>Morning</v>
      </c>
      <c r="U920" t="str">
        <f t="shared" si="88"/>
        <v>Spring</v>
      </c>
      <c r="V920" t="str">
        <f t="shared" si="89"/>
        <v>Clear</v>
      </c>
    </row>
    <row r="921" spans="1:22">
      <c r="A921">
        <f>Master_Data!A921</f>
        <v>929</v>
      </c>
      <c r="B921">
        <f>Master_Data!B921</f>
        <v>40585</v>
      </c>
      <c r="C921">
        <f>Master_Data!C921</f>
        <v>1</v>
      </c>
      <c r="D921">
        <f>Master_Data!D921</f>
        <v>0</v>
      </c>
      <c r="E921">
        <f>Master_Data!E921</f>
        <v>2</v>
      </c>
      <c r="F921">
        <f>Master_Data!F921</f>
        <v>7</v>
      </c>
      <c r="G921" t="b">
        <f>Master_Data!G921</f>
        <v>0</v>
      </c>
      <c r="H921">
        <f>Master_Data!H921</f>
        <v>5</v>
      </c>
      <c r="I921">
        <f>Master_Data!I921</f>
        <v>1</v>
      </c>
      <c r="J921">
        <f>Master_Data!J921</f>
        <v>0.08</v>
      </c>
      <c r="K921">
        <f>Master_Data!K921</f>
        <v>0.16669999999999999</v>
      </c>
      <c r="L921">
        <f>Master_Data!L921</f>
        <v>0.73</v>
      </c>
      <c r="M921">
        <f>Master_Data!M921</f>
        <v>0</v>
      </c>
      <c r="N921">
        <f>Master_Data!N921</f>
        <v>1</v>
      </c>
      <c r="O921">
        <f>Master_Data!O921</f>
        <v>73</v>
      </c>
      <c r="P921">
        <f>Master_Data!P921</f>
        <v>74</v>
      </c>
      <c r="Q921" t="str">
        <f t="shared" si="84"/>
        <v>2011</v>
      </c>
      <c r="R921" t="str">
        <f t="shared" si="85"/>
        <v>February</v>
      </c>
      <c r="S921" t="str">
        <f t="shared" si="86"/>
        <v>Weekday</v>
      </c>
      <c r="T921" t="str">
        <f t="shared" si="87"/>
        <v>Morning</v>
      </c>
      <c r="U921" t="str">
        <f t="shared" si="88"/>
        <v>Spring</v>
      </c>
      <c r="V921" t="str">
        <f t="shared" si="89"/>
        <v>Clear</v>
      </c>
    </row>
    <row r="922" spans="1:22">
      <c r="A922">
        <f>Master_Data!A922</f>
        <v>930</v>
      </c>
      <c r="B922">
        <f>Master_Data!B922</f>
        <v>40585</v>
      </c>
      <c r="C922">
        <f>Master_Data!C922</f>
        <v>1</v>
      </c>
      <c r="D922">
        <f>Master_Data!D922</f>
        <v>0</v>
      </c>
      <c r="E922">
        <f>Master_Data!E922</f>
        <v>2</v>
      </c>
      <c r="F922">
        <f>Master_Data!F922</f>
        <v>8</v>
      </c>
      <c r="G922" t="b">
        <f>Master_Data!G922</f>
        <v>0</v>
      </c>
      <c r="H922">
        <f>Master_Data!H922</f>
        <v>5</v>
      </c>
      <c r="I922">
        <f>Master_Data!I922</f>
        <v>1</v>
      </c>
      <c r="J922">
        <f>Master_Data!J922</f>
        <v>0.1</v>
      </c>
      <c r="K922">
        <f>Master_Data!K922</f>
        <v>0.1212</v>
      </c>
      <c r="L922">
        <f>Master_Data!L922</f>
        <v>0.74</v>
      </c>
      <c r="M922">
        <f>Master_Data!M922</f>
        <v>0.16420000000000001</v>
      </c>
      <c r="N922">
        <f>Master_Data!N922</f>
        <v>4</v>
      </c>
      <c r="O922">
        <f>Master_Data!O922</f>
        <v>212</v>
      </c>
      <c r="P922">
        <f>Master_Data!P922</f>
        <v>216</v>
      </c>
      <c r="Q922" t="str">
        <f t="shared" si="84"/>
        <v>2011</v>
      </c>
      <c r="R922" t="str">
        <f t="shared" si="85"/>
        <v>February</v>
      </c>
      <c r="S922" t="str">
        <f t="shared" si="86"/>
        <v>Weekday</v>
      </c>
      <c r="T922" t="str">
        <f t="shared" si="87"/>
        <v>Morning</v>
      </c>
      <c r="U922" t="str">
        <f t="shared" si="88"/>
        <v>Spring</v>
      </c>
      <c r="V922" t="str">
        <f t="shared" si="89"/>
        <v>Clear</v>
      </c>
    </row>
    <row r="923" spans="1:22">
      <c r="A923">
        <f>Master_Data!A923</f>
        <v>931</v>
      </c>
      <c r="B923">
        <f>Master_Data!B923</f>
        <v>40585</v>
      </c>
      <c r="C923">
        <f>Master_Data!C923</f>
        <v>1</v>
      </c>
      <c r="D923">
        <f>Master_Data!D923</f>
        <v>0</v>
      </c>
      <c r="E923">
        <f>Master_Data!E923</f>
        <v>2</v>
      </c>
      <c r="F923">
        <f>Master_Data!F923</f>
        <v>9</v>
      </c>
      <c r="G923" t="b">
        <f>Master_Data!G923</f>
        <v>0</v>
      </c>
      <c r="H923">
        <f>Master_Data!H923</f>
        <v>5</v>
      </c>
      <c r="I923">
        <f>Master_Data!I923</f>
        <v>1</v>
      </c>
      <c r="J923">
        <f>Master_Data!J923</f>
        <v>0.12</v>
      </c>
      <c r="K923">
        <f>Master_Data!K923</f>
        <v>0.1212</v>
      </c>
      <c r="L923">
        <f>Master_Data!L923</f>
        <v>0.74</v>
      </c>
      <c r="M923">
        <f>Master_Data!M923</f>
        <v>0.22389999999999999</v>
      </c>
      <c r="N923">
        <f>Master_Data!N923</f>
        <v>8</v>
      </c>
      <c r="O923">
        <f>Master_Data!O923</f>
        <v>132</v>
      </c>
      <c r="P923">
        <f>Master_Data!P923</f>
        <v>140</v>
      </c>
      <c r="Q923" t="str">
        <f t="shared" si="84"/>
        <v>2011</v>
      </c>
      <c r="R923" t="str">
        <f t="shared" si="85"/>
        <v>February</v>
      </c>
      <c r="S923" t="str">
        <f t="shared" si="86"/>
        <v>Weekday</v>
      </c>
      <c r="T923" t="str">
        <f t="shared" si="87"/>
        <v>Morning</v>
      </c>
      <c r="U923" t="str">
        <f t="shared" si="88"/>
        <v>Spring</v>
      </c>
      <c r="V923" t="str">
        <f t="shared" si="89"/>
        <v>Clear</v>
      </c>
    </row>
    <row r="924" spans="1:22">
      <c r="A924">
        <f>Master_Data!A924</f>
        <v>932</v>
      </c>
      <c r="B924">
        <f>Master_Data!B924</f>
        <v>40585</v>
      </c>
      <c r="C924">
        <f>Master_Data!C924</f>
        <v>1</v>
      </c>
      <c r="D924">
        <f>Master_Data!D924</f>
        <v>0</v>
      </c>
      <c r="E924">
        <f>Master_Data!E924</f>
        <v>2</v>
      </c>
      <c r="F924">
        <f>Master_Data!F924</f>
        <v>10</v>
      </c>
      <c r="G924" t="b">
        <f>Master_Data!G924</f>
        <v>0</v>
      </c>
      <c r="H924">
        <f>Master_Data!H924</f>
        <v>5</v>
      </c>
      <c r="I924">
        <f>Master_Data!I924</f>
        <v>1</v>
      </c>
      <c r="J924">
        <f>Master_Data!J924</f>
        <v>0.14000000000000001</v>
      </c>
      <c r="K924">
        <f>Master_Data!K924</f>
        <v>0.13639999999999999</v>
      </c>
      <c r="L924">
        <f>Master_Data!L924</f>
        <v>0.69</v>
      </c>
      <c r="M924">
        <f>Master_Data!M924</f>
        <v>0.19400000000000001</v>
      </c>
      <c r="N924">
        <f>Master_Data!N924</f>
        <v>5</v>
      </c>
      <c r="O924">
        <f>Master_Data!O924</f>
        <v>39</v>
      </c>
      <c r="P924">
        <f>Master_Data!P924</f>
        <v>44</v>
      </c>
      <c r="Q924" t="str">
        <f t="shared" si="84"/>
        <v>2011</v>
      </c>
      <c r="R924" t="str">
        <f t="shared" si="85"/>
        <v>February</v>
      </c>
      <c r="S924" t="str">
        <f t="shared" si="86"/>
        <v>Weekday</v>
      </c>
      <c r="T924" t="str">
        <f t="shared" si="87"/>
        <v>Morning</v>
      </c>
      <c r="U924" t="str">
        <f t="shared" si="88"/>
        <v>Spring</v>
      </c>
      <c r="V924" t="str">
        <f t="shared" si="89"/>
        <v>Clear</v>
      </c>
    </row>
    <row r="925" spans="1:22">
      <c r="A925">
        <f>Master_Data!A925</f>
        <v>933</v>
      </c>
      <c r="B925">
        <f>Master_Data!B925</f>
        <v>40585</v>
      </c>
      <c r="C925">
        <f>Master_Data!C925</f>
        <v>1</v>
      </c>
      <c r="D925">
        <f>Master_Data!D925</f>
        <v>0</v>
      </c>
      <c r="E925">
        <f>Master_Data!E925</f>
        <v>2</v>
      </c>
      <c r="F925">
        <f>Master_Data!F925</f>
        <v>11</v>
      </c>
      <c r="G925" t="b">
        <f>Master_Data!G925</f>
        <v>0</v>
      </c>
      <c r="H925">
        <f>Master_Data!H925</f>
        <v>5</v>
      </c>
      <c r="I925">
        <f>Master_Data!I925</f>
        <v>1</v>
      </c>
      <c r="J925">
        <f>Master_Data!J925</f>
        <v>0.22</v>
      </c>
      <c r="K925">
        <f>Master_Data!K925</f>
        <v>0.2273</v>
      </c>
      <c r="L925">
        <f>Master_Data!L925</f>
        <v>0.47</v>
      </c>
      <c r="M925">
        <f>Master_Data!M925</f>
        <v>0.1343</v>
      </c>
      <c r="N925">
        <f>Master_Data!N925</f>
        <v>12</v>
      </c>
      <c r="O925">
        <f>Master_Data!O925</f>
        <v>52</v>
      </c>
      <c r="P925">
        <f>Master_Data!P925</f>
        <v>64</v>
      </c>
      <c r="Q925" t="str">
        <f t="shared" si="84"/>
        <v>2011</v>
      </c>
      <c r="R925" t="str">
        <f t="shared" si="85"/>
        <v>February</v>
      </c>
      <c r="S925" t="str">
        <f t="shared" si="86"/>
        <v>Weekday</v>
      </c>
      <c r="T925" t="str">
        <f t="shared" si="87"/>
        <v>Morning</v>
      </c>
      <c r="U925" t="str">
        <f t="shared" si="88"/>
        <v>Spring</v>
      </c>
      <c r="V925" t="str">
        <f t="shared" si="89"/>
        <v>Clear</v>
      </c>
    </row>
    <row r="926" spans="1:22">
      <c r="A926">
        <f>Master_Data!A926</f>
        <v>934</v>
      </c>
      <c r="B926">
        <f>Master_Data!B926</f>
        <v>40585</v>
      </c>
      <c r="C926">
        <f>Master_Data!C926</f>
        <v>1</v>
      </c>
      <c r="D926">
        <f>Master_Data!D926</f>
        <v>0</v>
      </c>
      <c r="E926">
        <f>Master_Data!E926</f>
        <v>2</v>
      </c>
      <c r="F926">
        <f>Master_Data!F926</f>
        <v>12</v>
      </c>
      <c r="G926" t="b">
        <f>Master_Data!G926</f>
        <v>0</v>
      </c>
      <c r="H926">
        <f>Master_Data!H926</f>
        <v>5</v>
      </c>
      <c r="I926">
        <f>Master_Data!I926</f>
        <v>1</v>
      </c>
      <c r="J926">
        <f>Master_Data!J926</f>
        <v>0.22</v>
      </c>
      <c r="K926">
        <f>Master_Data!K926</f>
        <v>0.2273</v>
      </c>
      <c r="L926">
        <f>Master_Data!L926</f>
        <v>0.47</v>
      </c>
      <c r="M926">
        <f>Master_Data!M926</f>
        <v>0.1343</v>
      </c>
      <c r="N926">
        <f>Master_Data!N926</f>
        <v>7</v>
      </c>
      <c r="O926">
        <f>Master_Data!O926</f>
        <v>64</v>
      </c>
      <c r="P926">
        <f>Master_Data!P926</f>
        <v>71</v>
      </c>
      <c r="Q926" t="str">
        <f t="shared" si="84"/>
        <v>2011</v>
      </c>
      <c r="R926" t="str">
        <f t="shared" si="85"/>
        <v>February</v>
      </c>
      <c r="S926" t="str">
        <f t="shared" si="86"/>
        <v>Weekday</v>
      </c>
      <c r="T926" t="str">
        <f t="shared" si="87"/>
        <v>Afternoon</v>
      </c>
      <c r="U926" t="str">
        <f t="shared" si="88"/>
        <v>Spring</v>
      </c>
      <c r="V926" t="str">
        <f t="shared" si="89"/>
        <v>Clear</v>
      </c>
    </row>
    <row r="927" spans="1:22">
      <c r="A927">
        <f>Master_Data!A927</f>
        <v>935</v>
      </c>
      <c r="B927">
        <f>Master_Data!B927</f>
        <v>40585</v>
      </c>
      <c r="C927">
        <f>Master_Data!C927</f>
        <v>1</v>
      </c>
      <c r="D927">
        <f>Master_Data!D927</f>
        <v>0</v>
      </c>
      <c r="E927">
        <f>Master_Data!E927</f>
        <v>2</v>
      </c>
      <c r="F927">
        <f>Master_Data!F927</f>
        <v>13</v>
      </c>
      <c r="G927" t="b">
        <f>Master_Data!G927</f>
        <v>0</v>
      </c>
      <c r="H927">
        <f>Master_Data!H927</f>
        <v>5</v>
      </c>
      <c r="I927">
        <f>Master_Data!I927</f>
        <v>1</v>
      </c>
      <c r="J927">
        <f>Master_Data!J927</f>
        <v>0.24</v>
      </c>
      <c r="K927">
        <f>Master_Data!K927</f>
        <v>0.2273</v>
      </c>
      <c r="L927">
        <f>Master_Data!L927</f>
        <v>0.35</v>
      </c>
      <c r="M927">
        <f>Master_Data!M927</f>
        <v>0.19400000000000001</v>
      </c>
      <c r="N927">
        <f>Master_Data!N927</f>
        <v>21</v>
      </c>
      <c r="O927">
        <f>Master_Data!O927</f>
        <v>89</v>
      </c>
      <c r="P927">
        <f>Master_Data!P927</f>
        <v>110</v>
      </c>
      <c r="Q927" t="str">
        <f t="shared" si="84"/>
        <v>2011</v>
      </c>
      <c r="R927" t="str">
        <f t="shared" si="85"/>
        <v>February</v>
      </c>
      <c r="S927" t="str">
        <f t="shared" si="86"/>
        <v>Weekday</v>
      </c>
      <c r="T927" t="str">
        <f t="shared" si="87"/>
        <v>Afternoon</v>
      </c>
      <c r="U927" t="str">
        <f t="shared" si="88"/>
        <v>Spring</v>
      </c>
      <c r="V927" t="str">
        <f t="shared" si="89"/>
        <v>Clear</v>
      </c>
    </row>
    <row r="928" spans="1:22">
      <c r="A928">
        <f>Master_Data!A928</f>
        <v>936</v>
      </c>
      <c r="B928">
        <f>Master_Data!B928</f>
        <v>40585</v>
      </c>
      <c r="C928">
        <f>Master_Data!C928</f>
        <v>1</v>
      </c>
      <c r="D928">
        <f>Master_Data!D928</f>
        <v>0</v>
      </c>
      <c r="E928">
        <f>Master_Data!E928</f>
        <v>2</v>
      </c>
      <c r="F928">
        <f>Master_Data!F928</f>
        <v>14</v>
      </c>
      <c r="G928" t="b">
        <f>Master_Data!G928</f>
        <v>0</v>
      </c>
      <c r="H928">
        <f>Master_Data!H928</f>
        <v>5</v>
      </c>
      <c r="I928">
        <f>Master_Data!I928</f>
        <v>1</v>
      </c>
      <c r="J928">
        <f>Master_Data!J928</f>
        <v>0.3</v>
      </c>
      <c r="K928">
        <f>Master_Data!K928</f>
        <v>0.28789999999999999</v>
      </c>
      <c r="L928">
        <f>Master_Data!L928</f>
        <v>0.26</v>
      </c>
      <c r="M928">
        <f>Master_Data!M928</f>
        <v>0.25369999999999998</v>
      </c>
      <c r="N928">
        <f>Master_Data!N928</f>
        <v>17</v>
      </c>
      <c r="O928">
        <f>Master_Data!O928</f>
        <v>67</v>
      </c>
      <c r="P928">
        <f>Master_Data!P928</f>
        <v>84</v>
      </c>
      <c r="Q928" t="str">
        <f t="shared" si="84"/>
        <v>2011</v>
      </c>
      <c r="R928" t="str">
        <f t="shared" si="85"/>
        <v>February</v>
      </c>
      <c r="S928" t="str">
        <f t="shared" si="86"/>
        <v>Weekday</v>
      </c>
      <c r="T928" t="str">
        <f t="shared" si="87"/>
        <v>Afternoon</v>
      </c>
      <c r="U928" t="str">
        <f t="shared" si="88"/>
        <v>Spring</v>
      </c>
      <c r="V928" t="str">
        <f t="shared" si="89"/>
        <v>Clear</v>
      </c>
    </row>
    <row r="929" spans="1:22">
      <c r="A929">
        <f>Master_Data!A929</f>
        <v>937</v>
      </c>
      <c r="B929">
        <f>Master_Data!B929</f>
        <v>40585</v>
      </c>
      <c r="C929">
        <f>Master_Data!C929</f>
        <v>1</v>
      </c>
      <c r="D929">
        <f>Master_Data!D929</f>
        <v>0</v>
      </c>
      <c r="E929">
        <f>Master_Data!E929</f>
        <v>2</v>
      </c>
      <c r="F929">
        <f>Master_Data!F929</f>
        <v>15</v>
      </c>
      <c r="G929" t="b">
        <f>Master_Data!G929</f>
        <v>0</v>
      </c>
      <c r="H929">
        <f>Master_Data!H929</f>
        <v>5</v>
      </c>
      <c r="I929">
        <f>Master_Data!I929</f>
        <v>1</v>
      </c>
      <c r="J929">
        <f>Master_Data!J929</f>
        <v>0.32</v>
      </c>
      <c r="K929">
        <f>Master_Data!K929</f>
        <v>0.31819999999999998</v>
      </c>
      <c r="L929">
        <f>Master_Data!L929</f>
        <v>0.21</v>
      </c>
      <c r="M929">
        <f>Master_Data!M929</f>
        <v>0.16420000000000001</v>
      </c>
      <c r="N929">
        <f>Master_Data!N929</f>
        <v>12</v>
      </c>
      <c r="O929">
        <f>Master_Data!O929</f>
        <v>62</v>
      </c>
      <c r="P929">
        <f>Master_Data!P929</f>
        <v>74</v>
      </c>
      <c r="Q929" t="str">
        <f t="shared" si="84"/>
        <v>2011</v>
      </c>
      <c r="R929" t="str">
        <f t="shared" si="85"/>
        <v>February</v>
      </c>
      <c r="S929" t="str">
        <f t="shared" si="86"/>
        <v>Weekday</v>
      </c>
      <c r="T929" t="str">
        <f t="shared" si="87"/>
        <v>Afternoon</v>
      </c>
      <c r="U929" t="str">
        <f t="shared" si="88"/>
        <v>Spring</v>
      </c>
      <c r="V929" t="str">
        <f t="shared" si="89"/>
        <v>Clear</v>
      </c>
    </row>
    <row r="930" spans="1:22">
      <c r="A930">
        <f>Master_Data!A930</f>
        <v>938</v>
      </c>
      <c r="B930">
        <f>Master_Data!B930</f>
        <v>40585</v>
      </c>
      <c r="C930">
        <f>Master_Data!C930</f>
        <v>1</v>
      </c>
      <c r="D930">
        <f>Master_Data!D930</f>
        <v>0</v>
      </c>
      <c r="E930">
        <f>Master_Data!E930</f>
        <v>2</v>
      </c>
      <c r="F930">
        <f>Master_Data!F930</f>
        <v>16</v>
      </c>
      <c r="G930" t="b">
        <f>Master_Data!G930</f>
        <v>0</v>
      </c>
      <c r="H930">
        <f>Master_Data!H930</f>
        <v>5</v>
      </c>
      <c r="I930">
        <f>Master_Data!I930</f>
        <v>1</v>
      </c>
      <c r="J930">
        <f>Master_Data!J930</f>
        <v>0.3</v>
      </c>
      <c r="K930">
        <f>Master_Data!K930</f>
        <v>0.28789999999999999</v>
      </c>
      <c r="L930">
        <f>Master_Data!L930</f>
        <v>0.28000000000000003</v>
      </c>
      <c r="M930">
        <f>Master_Data!M930</f>
        <v>0.19400000000000001</v>
      </c>
      <c r="N930">
        <f>Master_Data!N930</f>
        <v>14</v>
      </c>
      <c r="O930">
        <f>Master_Data!O930</f>
        <v>111</v>
      </c>
      <c r="P930">
        <f>Master_Data!P930</f>
        <v>125</v>
      </c>
      <c r="Q930" t="str">
        <f t="shared" si="84"/>
        <v>2011</v>
      </c>
      <c r="R930" t="str">
        <f t="shared" si="85"/>
        <v>February</v>
      </c>
      <c r="S930" t="str">
        <f t="shared" si="86"/>
        <v>Weekday</v>
      </c>
      <c r="T930" t="str">
        <f t="shared" si="87"/>
        <v>Afternoon</v>
      </c>
      <c r="U930" t="str">
        <f t="shared" si="88"/>
        <v>Spring</v>
      </c>
      <c r="V930" t="str">
        <f t="shared" si="89"/>
        <v>Clear</v>
      </c>
    </row>
    <row r="931" spans="1:22">
      <c r="A931">
        <f>Master_Data!A931</f>
        <v>939</v>
      </c>
      <c r="B931">
        <f>Master_Data!B931</f>
        <v>40585</v>
      </c>
      <c r="C931">
        <f>Master_Data!C931</f>
        <v>1</v>
      </c>
      <c r="D931">
        <f>Master_Data!D931</f>
        <v>0</v>
      </c>
      <c r="E931">
        <f>Master_Data!E931</f>
        <v>2</v>
      </c>
      <c r="F931">
        <f>Master_Data!F931</f>
        <v>17</v>
      </c>
      <c r="G931" t="b">
        <f>Master_Data!G931</f>
        <v>0</v>
      </c>
      <c r="H931">
        <f>Master_Data!H931</f>
        <v>5</v>
      </c>
      <c r="I931">
        <f>Master_Data!I931</f>
        <v>1</v>
      </c>
      <c r="J931">
        <f>Master_Data!J931</f>
        <v>0.3</v>
      </c>
      <c r="K931">
        <f>Master_Data!K931</f>
        <v>0.33329999999999999</v>
      </c>
      <c r="L931">
        <f>Master_Data!L931</f>
        <v>0.24</v>
      </c>
      <c r="M931">
        <f>Master_Data!M931</f>
        <v>0</v>
      </c>
      <c r="N931">
        <f>Master_Data!N931</f>
        <v>18</v>
      </c>
      <c r="O931">
        <f>Master_Data!O931</f>
        <v>193</v>
      </c>
      <c r="P931">
        <f>Master_Data!P931</f>
        <v>211</v>
      </c>
      <c r="Q931" t="str">
        <f t="shared" si="84"/>
        <v>2011</v>
      </c>
      <c r="R931" t="str">
        <f t="shared" si="85"/>
        <v>February</v>
      </c>
      <c r="S931" t="str">
        <f t="shared" si="86"/>
        <v>Weekday</v>
      </c>
      <c r="T931" t="str">
        <f t="shared" si="87"/>
        <v>Evening</v>
      </c>
      <c r="U931" t="str">
        <f t="shared" si="88"/>
        <v>Spring</v>
      </c>
      <c r="V931" t="str">
        <f t="shared" si="89"/>
        <v>Clear</v>
      </c>
    </row>
    <row r="932" spans="1:22">
      <c r="A932">
        <f>Master_Data!A932</f>
        <v>940</v>
      </c>
      <c r="B932">
        <f>Master_Data!B932</f>
        <v>40585</v>
      </c>
      <c r="C932">
        <f>Master_Data!C932</f>
        <v>1</v>
      </c>
      <c r="D932">
        <f>Master_Data!D932</f>
        <v>0</v>
      </c>
      <c r="E932">
        <f>Master_Data!E932</f>
        <v>2</v>
      </c>
      <c r="F932">
        <f>Master_Data!F932</f>
        <v>18</v>
      </c>
      <c r="G932" t="b">
        <f>Master_Data!G932</f>
        <v>0</v>
      </c>
      <c r="H932">
        <f>Master_Data!H932</f>
        <v>5</v>
      </c>
      <c r="I932">
        <f>Master_Data!I932</f>
        <v>1</v>
      </c>
      <c r="J932">
        <f>Master_Data!J932</f>
        <v>0.28000000000000003</v>
      </c>
      <c r="K932">
        <f>Master_Data!K932</f>
        <v>0.31819999999999998</v>
      </c>
      <c r="L932">
        <f>Master_Data!L932</f>
        <v>0.28000000000000003</v>
      </c>
      <c r="M932">
        <f>Master_Data!M932</f>
        <v>0</v>
      </c>
      <c r="N932">
        <f>Master_Data!N932</f>
        <v>9</v>
      </c>
      <c r="O932">
        <f>Master_Data!O932</f>
        <v>165</v>
      </c>
      <c r="P932">
        <f>Master_Data!P932</f>
        <v>174</v>
      </c>
      <c r="Q932" t="str">
        <f t="shared" si="84"/>
        <v>2011</v>
      </c>
      <c r="R932" t="str">
        <f t="shared" si="85"/>
        <v>February</v>
      </c>
      <c r="S932" t="str">
        <f t="shared" si="86"/>
        <v>Weekday</v>
      </c>
      <c r="T932" t="str">
        <f t="shared" si="87"/>
        <v>Evening</v>
      </c>
      <c r="U932" t="str">
        <f t="shared" si="88"/>
        <v>Spring</v>
      </c>
      <c r="V932" t="str">
        <f t="shared" si="89"/>
        <v>Clear</v>
      </c>
    </row>
    <row r="933" spans="1:22">
      <c r="A933">
        <f>Master_Data!A933</f>
        <v>941</v>
      </c>
      <c r="B933">
        <f>Master_Data!B933</f>
        <v>40585</v>
      </c>
      <c r="C933">
        <f>Master_Data!C933</f>
        <v>1</v>
      </c>
      <c r="D933">
        <f>Master_Data!D933</f>
        <v>0</v>
      </c>
      <c r="E933">
        <f>Master_Data!E933</f>
        <v>2</v>
      </c>
      <c r="F933">
        <f>Master_Data!F933</f>
        <v>19</v>
      </c>
      <c r="G933" t="b">
        <f>Master_Data!G933</f>
        <v>0</v>
      </c>
      <c r="H933">
        <f>Master_Data!H933</f>
        <v>5</v>
      </c>
      <c r="I933">
        <f>Master_Data!I933</f>
        <v>1</v>
      </c>
      <c r="J933">
        <f>Master_Data!J933</f>
        <v>0.26</v>
      </c>
      <c r="K933">
        <f>Master_Data!K933</f>
        <v>0.30299999999999999</v>
      </c>
      <c r="L933">
        <f>Master_Data!L933</f>
        <v>0.33</v>
      </c>
      <c r="M933">
        <f>Master_Data!M933</f>
        <v>0</v>
      </c>
      <c r="N933">
        <f>Master_Data!N933</f>
        <v>7</v>
      </c>
      <c r="O933">
        <f>Master_Data!O933</f>
        <v>94</v>
      </c>
      <c r="P933">
        <f>Master_Data!P933</f>
        <v>101</v>
      </c>
      <c r="Q933" t="str">
        <f t="shared" si="84"/>
        <v>2011</v>
      </c>
      <c r="R933" t="str">
        <f t="shared" si="85"/>
        <v>February</v>
      </c>
      <c r="S933" t="str">
        <f t="shared" si="86"/>
        <v>Weekday</v>
      </c>
      <c r="T933" t="str">
        <f t="shared" si="87"/>
        <v>Evening</v>
      </c>
      <c r="U933" t="str">
        <f t="shared" si="88"/>
        <v>Spring</v>
      </c>
      <c r="V933" t="str">
        <f t="shared" si="89"/>
        <v>Clear</v>
      </c>
    </row>
    <row r="934" spans="1:22">
      <c r="A934">
        <f>Master_Data!A934</f>
        <v>942</v>
      </c>
      <c r="B934">
        <f>Master_Data!B934</f>
        <v>40585</v>
      </c>
      <c r="C934">
        <f>Master_Data!C934</f>
        <v>1</v>
      </c>
      <c r="D934">
        <f>Master_Data!D934</f>
        <v>0</v>
      </c>
      <c r="E934">
        <f>Master_Data!E934</f>
        <v>2</v>
      </c>
      <c r="F934">
        <f>Master_Data!F934</f>
        <v>20</v>
      </c>
      <c r="G934" t="b">
        <f>Master_Data!G934</f>
        <v>0</v>
      </c>
      <c r="H934">
        <f>Master_Data!H934</f>
        <v>5</v>
      </c>
      <c r="I934">
        <f>Master_Data!I934</f>
        <v>1</v>
      </c>
      <c r="J934">
        <f>Master_Data!J934</f>
        <v>0.22</v>
      </c>
      <c r="K934">
        <f>Master_Data!K934</f>
        <v>0.2273</v>
      </c>
      <c r="L934">
        <f>Master_Data!L934</f>
        <v>0.55000000000000004</v>
      </c>
      <c r="M934">
        <f>Master_Data!M934</f>
        <v>0.1343</v>
      </c>
      <c r="N934">
        <f>Master_Data!N934</f>
        <v>2</v>
      </c>
      <c r="O934">
        <f>Master_Data!O934</f>
        <v>61</v>
      </c>
      <c r="P934">
        <f>Master_Data!P934</f>
        <v>63</v>
      </c>
      <c r="Q934" t="str">
        <f t="shared" si="84"/>
        <v>2011</v>
      </c>
      <c r="R934" t="str">
        <f t="shared" si="85"/>
        <v>February</v>
      </c>
      <c r="S934" t="str">
        <f t="shared" si="86"/>
        <v>Weekday</v>
      </c>
      <c r="T934" t="str">
        <f t="shared" si="87"/>
        <v>Evening</v>
      </c>
      <c r="U934" t="str">
        <f t="shared" si="88"/>
        <v>Spring</v>
      </c>
      <c r="V934" t="str">
        <f t="shared" si="89"/>
        <v>Clear</v>
      </c>
    </row>
    <row r="935" spans="1:22">
      <c r="A935">
        <f>Master_Data!A935</f>
        <v>943</v>
      </c>
      <c r="B935">
        <f>Master_Data!B935</f>
        <v>40585</v>
      </c>
      <c r="C935">
        <f>Master_Data!C935</f>
        <v>1</v>
      </c>
      <c r="D935">
        <f>Master_Data!D935</f>
        <v>0</v>
      </c>
      <c r="E935">
        <f>Master_Data!E935</f>
        <v>2</v>
      </c>
      <c r="F935">
        <f>Master_Data!F935</f>
        <v>21</v>
      </c>
      <c r="G935" t="b">
        <f>Master_Data!G935</f>
        <v>0</v>
      </c>
      <c r="H935">
        <f>Master_Data!H935</f>
        <v>5</v>
      </c>
      <c r="I935">
        <f>Master_Data!I935</f>
        <v>1</v>
      </c>
      <c r="J935">
        <f>Master_Data!J935</f>
        <v>0.2</v>
      </c>
      <c r="K935">
        <f>Master_Data!K935</f>
        <v>0.21210000000000001</v>
      </c>
      <c r="L935">
        <f>Master_Data!L935</f>
        <v>0.59</v>
      </c>
      <c r="M935">
        <f>Master_Data!M935</f>
        <v>0.1343</v>
      </c>
      <c r="N935">
        <f>Master_Data!N935</f>
        <v>1</v>
      </c>
      <c r="O935">
        <f>Master_Data!O935</f>
        <v>46</v>
      </c>
      <c r="P935">
        <f>Master_Data!P935</f>
        <v>47</v>
      </c>
      <c r="Q935" t="str">
        <f t="shared" si="84"/>
        <v>2011</v>
      </c>
      <c r="R935" t="str">
        <f t="shared" si="85"/>
        <v>February</v>
      </c>
      <c r="S935" t="str">
        <f t="shared" si="86"/>
        <v>Weekday</v>
      </c>
      <c r="T935" t="str">
        <f t="shared" si="87"/>
        <v>Night</v>
      </c>
      <c r="U935" t="str">
        <f t="shared" si="88"/>
        <v>Spring</v>
      </c>
      <c r="V935" t="str">
        <f t="shared" si="89"/>
        <v>Clear</v>
      </c>
    </row>
    <row r="936" spans="1:22">
      <c r="A936">
        <f>Master_Data!A936</f>
        <v>944</v>
      </c>
      <c r="B936">
        <f>Master_Data!B936</f>
        <v>40585</v>
      </c>
      <c r="C936">
        <f>Master_Data!C936</f>
        <v>1</v>
      </c>
      <c r="D936">
        <f>Master_Data!D936</f>
        <v>0</v>
      </c>
      <c r="E936">
        <f>Master_Data!E936</f>
        <v>2</v>
      </c>
      <c r="F936">
        <f>Master_Data!F936</f>
        <v>22</v>
      </c>
      <c r="G936" t="b">
        <f>Master_Data!G936</f>
        <v>0</v>
      </c>
      <c r="H936">
        <f>Master_Data!H936</f>
        <v>5</v>
      </c>
      <c r="I936">
        <f>Master_Data!I936</f>
        <v>1</v>
      </c>
      <c r="J936">
        <f>Master_Data!J936</f>
        <v>0.2</v>
      </c>
      <c r="K936">
        <f>Master_Data!K936</f>
        <v>0.2273</v>
      </c>
      <c r="L936">
        <f>Master_Data!L936</f>
        <v>0.64</v>
      </c>
      <c r="M936">
        <f>Master_Data!M936</f>
        <v>8.9599999999999999E-2</v>
      </c>
      <c r="N936">
        <f>Master_Data!N936</f>
        <v>2</v>
      </c>
      <c r="O936">
        <f>Master_Data!O936</f>
        <v>41</v>
      </c>
      <c r="P936">
        <f>Master_Data!P936</f>
        <v>43</v>
      </c>
      <c r="Q936" t="str">
        <f t="shared" si="84"/>
        <v>2011</v>
      </c>
      <c r="R936" t="str">
        <f t="shared" si="85"/>
        <v>February</v>
      </c>
      <c r="S936" t="str">
        <f t="shared" si="86"/>
        <v>Weekday</v>
      </c>
      <c r="T936" t="str">
        <f t="shared" si="87"/>
        <v>Night</v>
      </c>
      <c r="U936" t="str">
        <f t="shared" si="88"/>
        <v>Spring</v>
      </c>
      <c r="V936" t="str">
        <f t="shared" si="89"/>
        <v>Clear</v>
      </c>
    </row>
    <row r="937" spans="1:22">
      <c r="A937">
        <f>Master_Data!A937</f>
        <v>945</v>
      </c>
      <c r="B937">
        <f>Master_Data!B937</f>
        <v>40585</v>
      </c>
      <c r="C937">
        <f>Master_Data!C937</f>
        <v>1</v>
      </c>
      <c r="D937">
        <f>Master_Data!D937</f>
        <v>0</v>
      </c>
      <c r="E937">
        <f>Master_Data!E937</f>
        <v>2</v>
      </c>
      <c r="F937">
        <f>Master_Data!F937</f>
        <v>23</v>
      </c>
      <c r="G937" t="b">
        <f>Master_Data!G937</f>
        <v>0</v>
      </c>
      <c r="H937">
        <f>Master_Data!H937</f>
        <v>5</v>
      </c>
      <c r="I937">
        <f>Master_Data!I937</f>
        <v>1</v>
      </c>
      <c r="J937">
        <f>Master_Data!J937</f>
        <v>0.18</v>
      </c>
      <c r="K937">
        <f>Master_Data!K937</f>
        <v>0.2424</v>
      </c>
      <c r="L937">
        <f>Master_Data!L937</f>
        <v>0.69</v>
      </c>
      <c r="M937">
        <f>Master_Data!M937</f>
        <v>0</v>
      </c>
      <c r="N937">
        <f>Master_Data!N937</f>
        <v>5</v>
      </c>
      <c r="O937">
        <f>Master_Data!O937</f>
        <v>48</v>
      </c>
      <c r="P937">
        <f>Master_Data!P937</f>
        <v>53</v>
      </c>
      <c r="Q937" t="str">
        <f t="shared" si="84"/>
        <v>2011</v>
      </c>
      <c r="R937" t="str">
        <f t="shared" si="85"/>
        <v>February</v>
      </c>
      <c r="S937" t="str">
        <f t="shared" si="86"/>
        <v>Weekday</v>
      </c>
      <c r="T937" t="str">
        <f t="shared" si="87"/>
        <v>Night</v>
      </c>
      <c r="U937" t="str">
        <f t="shared" si="88"/>
        <v>Spring</v>
      </c>
      <c r="V937" t="str">
        <f t="shared" si="89"/>
        <v>Clear</v>
      </c>
    </row>
    <row r="938" spans="1:22">
      <c r="A938">
        <f>Master_Data!A938</f>
        <v>946</v>
      </c>
      <c r="B938">
        <f>Master_Data!B938</f>
        <v>40586</v>
      </c>
      <c r="C938">
        <f>Master_Data!C938</f>
        <v>1</v>
      </c>
      <c r="D938">
        <f>Master_Data!D938</f>
        <v>0</v>
      </c>
      <c r="E938">
        <f>Master_Data!E938</f>
        <v>2</v>
      </c>
      <c r="F938">
        <f>Master_Data!F938</f>
        <v>0</v>
      </c>
      <c r="G938" t="b">
        <f>Master_Data!G938</f>
        <v>0</v>
      </c>
      <c r="H938">
        <f>Master_Data!H938</f>
        <v>6</v>
      </c>
      <c r="I938">
        <f>Master_Data!I938</f>
        <v>1</v>
      </c>
      <c r="J938">
        <f>Master_Data!J938</f>
        <v>0.16</v>
      </c>
      <c r="K938">
        <f>Master_Data!K938</f>
        <v>0.19700000000000001</v>
      </c>
      <c r="L938">
        <f>Master_Data!L938</f>
        <v>0.69</v>
      </c>
      <c r="M938">
        <f>Master_Data!M938</f>
        <v>8.9599999999999999E-2</v>
      </c>
      <c r="N938">
        <f>Master_Data!N938</f>
        <v>3</v>
      </c>
      <c r="O938">
        <f>Master_Data!O938</f>
        <v>27</v>
      </c>
      <c r="P938">
        <f>Master_Data!P938</f>
        <v>30</v>
      </c>
      <c r="Q938" t="str">
        <f t="shared" si="84"/>
        <v>2011</v>
      </c>
      <c r="R938" t="str">
        <f t="shared" si="85"/>
        <v>February</v>
      </c>
      <c r="S938" t="str">
        <f t="shared" si="86"/>
        <v>Saturday</v>
      </c>
      <c r="T938" t="str">
        <f t="shared" si="87"/>
        <v>Night</v>
      </c>
      <c r="U938" t="str">
        <f t="shared" si="88"/>
        <v>Spring</v>
      </c>
      <c r="V938" t="str">
        <f t="shared" si="89"/>
        <v>Clear</v>
      </c>
    </row>
    <row r="939" spans="1:22">
      <c r="A939">
        <f>Master_Data!A939</f>
        <v>947</v>
      </c>
      <c r="B939">
        <f>Master_Data!B939</f>
        <v>40586</v>
      </c>
      <c r="C939">
        <f>Master_Data!C939</f>
        <v>1</v>
      </c>
      <c r="D939">
        <f>Master_Data!D939</f>
        <v>0</v>
      </c>
      <c r="E939">
        <f>Master_Data!E939</f>
        <v>2</v>
      </c>
      <c r="F939">
        <f>Master_Data!F939</f>
        <v>1</v>
      </c>
      <c r="G939" t="b">
        <f>Master_Data!G939</f>
        <v>0</v>
      </c>
      <c r="H939">
        <f>Master_Data!H939</f>
        <v>6</v>
      </c>
      <c r="I939">
        <f>Master_Data!I939</f>
        <v>1</v>
      </c>
      <c r="J939">
        <f>Master_Data!J939</f>
        <v>0.14000000000000001</v>
      </c>
      <c r="K939">
        <f>Master_Data!K939</f>
        <v>0.21210000000000001</v>
      </c>
      <c r="L939">
        <f>Master_Data!L939</f>
        <v>0.86</v>
      </c>
      <c r="M939">
        <f>Master_Data!M939</f>
        <v>0</v>
      </c>
      <c r="N939">
        <f>Master_Data!N939</f>
        <v>2</v>
      </c>
      <c r="O939">
        <f>Master_Data!O939</f>
        <v>22</v>
      </c>
      <c r="P939">
        <f>Master_Data!P939</f>
        <v>24</v>
      </c>
      <c r="Q939" t="str">
        <f t="shared" si="84"/>
        <v>2011</v>
      </c>
      <c r="R939" t="str">
        <f t="shared" si="85"/>
        <v>February</v>
      </c>
      <c r="S939" t="str">
        <f t="shared" si="86"/>
        <v>Saturday</v>
      </c>
      <c r="T939" t="str">
        <f t="shared" si="87"/>
        <v>Night</v>
      </c>
      <c r="U939" t="str">
        <f t="shared" si="88"/>
        <v>Spring</v>
      </c>
      <c r="V939" t="str">
        <f t="shared" si="89"/>
        <v>Clear</v>
      </c>
    </row>
    <row r="940" spans="1:22">
      <c r="A940">
        <f>Master_Data!A940</f>
        <v>948</v>
      </c>
      <c r="B940">
        <f>Master_Data!B940</f>
        <v>40586</v>
      </c>
      <c r="C940">
        <f>Master_Data!C940</f>
        <v>1</v>
      </c>
      <c r="D940">
        <f>Master_Data!D940</f>
        <v>0</v>
      </c>
      <c r="E940">
        <f>Master_Data!E940</f>
        <v>2</v>
      </c>
      <c r="F940">
        <f>Master_Data!F940</f>
        <v>2</v>
      </c>
      <c r="G940" t="b">
        <f>Master_Data!G940</f>
        <v>0</v>
      </c>
      <c r="H940">
        <f>Master_Data!H940</f>
        <v>6</v>
      </c>
      <c r="I940">
        <f>Master_Data!I940</f>
        <v>1</v>
      </c>
      <c r="J940">
        <f>Master_Data!J940</f>
        <v>0.14000000000000001</v>
      </c>
      <c r="K940">
        <f>Master_Data!K940</f>
        <v>0.21210000000000001</v>
      </c>
      <c r="L940">
        <f>Master_Data!L940</f>
        <v>0.8</v>
      </c>
      <c r="M940">
        <f>Master_Data!M940</f>
        <v>0</v>
      </c>
      <c r="N940">
        <f>Master_Data!N940</f>
        <v>2</v>
      </c>
      <c r="O940">
        <f>Master_Data!O940</f>
        <v>13</v>
      </c>
      <c r="P940">
        <f>Master_Data!P940</f>
        <v>15</v>
      </c>
      <c r="Q940" t="str">
        <f t="shared" si="84"/>
        <v>2011</v>
      </c>
      <c r="R940" t="str">
        <f t="shared" si="85"/>
        <v>February</v>
      </c>
      <c r="S940" t="str">
        <f t="shared" si="86"/>
        <v>Saturday</v>
      </c>
      <c r="T940" t="str">
        <f t="shared" si="87"/>
        <v>Night</v>
      </c>
      <c r="U940" t="str">
        <f t="shared" si="88"/>
        <v>Spring</v>
      </c>
      <c r="V940" t="str">
        <f t="shared" si="89"/>
        <v>Clear</v>
      </c>
    </row>
    <row r="941" spans="1:22">
      <c r="A941">
        <f>Master_Data!A941</f>
        <v>949</v>
      </c>
      <c r="B941">
        <f>Master_Data!B941</f>
        <v>40586</v>
      </c>
      <c r="C941">
        <f>Master_Data!C941</f>
        <v>1</v>
      </c>
      <c r="D941">
        <f>Master_Data!D941</f>
        <v>0</v>
      </c>
      <c r="E941">
        <f>Master_Data!E941</f>
        <v>2</v>
      </c>
      <c r="F941">
        <f>Master_Data!F941</f>
        <v>3</v>
      </c>
      <c r="G941" t="b">
        <f>Master_Data!G941</f>
        <v>0</v>
      </c>
      <c r="H941">
        <f>Master_Data!H941</f>
        <v>6</v>
      </c>
      <c r="I941">
        <f>Master_Data!I941</f>
        <v>1</v>
      </c>
      <c r="J941">
        <f>Master_Data!J941</f>
        <v>0.12</v>
      </c>
      <c r="K941">
        <f>Master_Data!K941</f>
        <v>0.19700000000000001</v>
      </c>
      <c r="L941">
        <f>Master_Data!L941</f>
        <v>0.8</v>
      </c>
      <c r="M941">
        <f>Master_Data!M941</f>
        <v>0</v>
      </c>
      <c r="N941">
        <f>Master_Data!N941</f>
        <v>3</v>
      </c>
      <c r="O941">
        <f>Master_Data!O941</f>
        <v>7</v>
      </c>
      <c r="P941">
        <f>Master_Data!P941</f>
        <v>10</v>
      </c>
      <c r="Q941" t="str">
        <f t="shared" si="84"/>
        <v>2011</v>
      </c>
      <c r="R941" t="str">
        <f t="shared" si="85"/>
        <v>February</v>
      </c>
      <c r="S941" t="str">
        <f t="shared" si="86"/>
        <v>Saturday</v>
      </c>
      <c r="T941" t="str">
        <f t="shared" si="87"/>
        <v>Night</v>
      </c>
      <c r="U941" t="str">
        <f t="shared" si="88"/>
        <v>Spring</v>
      </c>
      <c r="V941" t="str">
        <f t="shared" si="89"/>
        <v>Clear</v>
      </c>
    </row>
    <row r="942" spans="1:22">
      <c r="A942">
        <f>Master_Data!A942</f>
        <v>950</v>
      </c>
      <c r="B942">
        <f>Master_Data!B942</f>
        <v>40586</v>
      </c>
      <c r="C942">
        <f>Master_Data!C942</f>
        <v>1</v>
      </c>
      <c r="D942">
        <f>Master_Data!D942</f>
        <v>0</v>
      </c>
      <c r="E942">
        <f>Master_Data!E942</f>
        <v>2</v>
      </c>
      <c r="F942">
        <f>Master_Data!F942</f>
        <v>4</v>
      </c>
      <c r="G942" t="b">
        <f>Master_Data!G942</f>
        <v>0</v>
      </c>
      <c r="H942">
        <f>Master_Data!H942</f>
        <v>6</v>
      </c>
      <c r="I942">
        <f>Master_Data!I942</f>
        <v>1</v>
      </c>
      <c r="J942">
        <f>Master_Data!J942</f>
        <v>0.12</v>
      </c>
      <c r="K942">
        <f>Master_Data!K942</f>
        <v>0.16669999999999999</v>
      </c>
      <c r="L942">
        <f>Master_Data!L942</f>
        <v>0.74</v>
      </c>
      <c r="M942">
        <f>Master_Data!M942</f>
        <v>8.9599999999999999E-2</v>
      </c>
      <c r="N942">
        <f>Master_Data!N942</f>
        <v>0</v>
      </c>
      <c r="O942">
        <f>Master_Data!O942</f>
        <v>4</v>
      </c>
      <c r="P942">
        <f>Master_Data!P942</f>
        <v>4</v>
      </c>
      <c r="Q942" t="str">
        <f t="shared" si="84"/>
        <v>2011</v>
      </c>
      <c r="R942" t="str">
        <f t="shared" si="85"/>
        <v>February</v>
      </c>
      <c r="S942" t="str">
        <f t="shared" si="86"/>
        <v>Saturday</v>
      </c>
      <c r="T942" t="str">
        <f t="shared" si="87"/>
        <v>Night</v>
      </c>
      <c r="U942" t="str">
        <f t="shared" si="88"/>
        <v>Spring</v>
      </c>
      <c r="V942" t="str">
        <f t="shared" si="89"/>
        <v>Clear</v>
      </c>
    </row>
    <row r="943" spans="1:22">
      <c r="A943">
        <f>Master_Data!A943</f>
        <v>951</v>
      </c>
      <c r="B943">
        <f>Master_Data!B943</f>
        <v>40586</v>
      </c>
      <c r="C943">
        <f>Master_Data!C943</f>
        <v>1</v>
      </c>
      <c r="D943">
        <f>Master_Data!D943</f>
        <v>0</v>
      </c>
      <c r="E943">
        <f>Master_Data!E943</f>
        <v>2</v>
      </c>
      <c r="F943">
        <f>Master_Data!F943</f>
        <v>5</v>
      </c>
      <c r="G943" t="b">
        <f>Master_Data!G943</f>
        <v>0</v>
      </c>
      <c r="H943">
        <f>Master_Data!H943</f>
        <v>6</v>
      </c>
      <c r="I943">
        <f>Master_Data!I943</f>
        <v>1</v>
      </c>
      <c r="J943">
        <f>Master_Data!J943</f>
        <v>0.12</v>
      </c>
      <c r="K943">
        <f>Master_Data!K943</f>
        <v>0.16669999999999999</v>
      </c>
      <c r="L943">
        <f>Master_Data!L943</f>
        <v>0.74</v>
      </c>
      <c r="M943">
        <f>Master_Data!M943</f>
        <v>8.9599999999999999E-2</v>
      </c>
      <c r="N943">
        <f>Master_Data!N943</f>
        <v>0</v>
      </c>
      <c r="O943">
        <f>Master_Data!O943</f>
        <v>1</v>
      </c>
      <c r="P943">
        <f>Master_Data!P943</f>
        <v>1</v>
      </c>
      <c r="Q943" t="str">
        <f t="shared" si="84"/>
        <v>2011</v>
      </c>
      <c r="R943" t="str">
        <f t="shared" si="85"/>
        <v>February</v>
      </c>
      <c r="S943" t="str">
        <f t="shared" si="86"/>
        <v>Saturday</v>
      </c>
      <c r="T943" t="str">
        <f t="shared" si="87"/>
        <v>Night</v>
      </c>
      <c r="U943" t="str">
        <f t="shared" si="88"/>
        <v>Spring</v>
      </c>
      <c r="V943" t="str">
        <f t="shared" si="89"/>
        <v>Clear</v>
      </c>
    </row>
    <row r="944" spans="1:22">
      <c r="A944">
        <f>Master_Data!A944</f>
        <v>952</v>
      </c>
      <c r="B944">
        <f>Master_Data!B944</f>
        <v>40586</v>
      </c>
      <c r="C944">
        <f>Master_Data!C944</f>
        <v>1</v>
      </c>
      <c r="D944">
        <f>Master_Data!D944</f>
        <v>0</v>
      </c>
      <c r="E944">
        <f>Master_Data!E944</f>
        <v>2</v>
      </c>
      <c r="F944">
        <f>Master_Data!F944</f>
        <v>6</v>
      </c>
      <c r="G944" t="b">
        <f>Master_Data!G944</f>
        <v>0</v>
      </c>
      <c r="H944">
        <f>Master_Data!H944</f>
        <v>6</v>
      </c>
      <c r="I944">
        <f>Master_Data!I944</f>
        <v>1</v>
      </c>
      <c r="J944">
        <f>Master_Data!J944</f>
        <v>0.12</v>
      </c>
      <c r="K944">
        <f>Master_Data!K944</f>
        <v>0.13639999999999999</v>
      </c>
      <c r="L944">
        <f>Master_Data!L944</f>
        <v>0.93</v>
      </c>
      <c r="M944">
        <f>Master_Data!M944</f>
        <v>0.19400000000000001</v>
      </c>
      <c r="N944">
        <f>Master_Data!N944</f>
        <v>1</v>
      </c>
      <c r="O944">
        <f>Master_Data!O944</f>
        <v>1</v>
      </c>
      <c r="P944">
        <f>Master_Data!P944</f>
        <v>2</v>
      </c>
      <c r="Q944" t="str">
        <f t="shared" si="84"/>
        <v>2011</v>
      </c>
      <c r="R944" t="str">
        <f t="shared" si="85"/>
        <v>February</v>
      </c>
      <c r="S944" t="str">
        <f t="shared" si="86"/>
        <v>Saturday</v>
      </c>
      <c r="T944" t="str">
        <f t="shared" si="87"/>
        <v>Morning</v>
      </c>
      <c r="U944" t="str">
        <f t="shared" si="88"/>
        <v>Spring</v>
      </c>
      <c r="V944" t="str">
        <f t="shared" si="89"/>
        <v>Clear</v>
      </c>
    </row>
    <row r="945" spans="1:22">
      <c r="A945">
        <f>Master_Data!A945</f>
        <v>953</v>
      </c>
      <c r="B945">
        <f>Master_Data!B945</f>
        <v>40586</v>
      </c>
      <c r="C945">
        <f>Master_Data!C945</f>
        <v>1</v>
      </c>
      <c r="D945">
        <f>Master_Data!D945</f>
        <v>0</v>
      </c>
      <c r="E945">
        <f>Master_Data!E945</f>
        <v>2</v>
      </c>
      <c r="F945">
        <f>Master_Data!F945</f>
        <v>7</v>
      </c>
      <c r="G945" t="b">
        <f>Master_Data!G945</f>
        <v>0</v>
      </c>
      <c r="H945">
        <f>Master_Data!H945</f>
        <v>6</v>
      </c>
      <c r="I945">
        <f>Master_Data!I945</f>
        <v>1</v>
      </c>
      <c r="J945">
        <f>Master_Data!J945</f>
        <v>0.12</v>
      </c>
      <c r="K945">
        <f>Master_Data!K945</f>
        <v>0.1515</v>
      </c>
      <c r="L945">
        <f>Master_Data!L945</f>
        <v>0.8</v>
      </c>
      <c r="M945">
        <f>Master_Data!M945</f>
        <v>0.1045</v>
      </c>
      <c r="N945">
        <f>Master_Data!N945</f>
        <v>2</v>
      </c>
      <c r="O945">
        <f>Master_Data!O945</f>
        <v>9</v>
      </c>
      <c r="P945">
        <f>Master_Data!P945</f>
        <v>11</v>
      </c>
      <c r="Q945" t="str">
        <f t="shared" si="84"/>
        <v>2011</v>
      </c>
      <c r="R945" t="str">
        <f t="shared" si="85"/>
        <v>February</v>
      </c>
      <c r="S945" t="str">
        <f t="shared" si="86"/>
        <v>Saturday</v>
      </c>
      <c r="T945" t="str">
        <f t="shared" si="87"/>
        <v>Morning</v>
      </c>
      <c r="U945" t="str">
        <f t="shared" si="88"/>
        <v>Spring</v>
      </c>
      <c r="V945" t="str">
        <f t="shared" si="89"/>
        <v>Clear</v>
      </c>
    </row>
    <row r="946" spans="1:22">
      <c r="A946">
        <f>Master_Data!A946</f>
        <v>954</v>
      </c>
      <c r="B946">
        <f>Master_Data!B946</f>
        <v>40586</v>
      </c>
      <c r="C946">
        <f>Master_Data!C946</f>
        <v>1</v>
      </c>
      <c r="D946">
        <f>Master_Data!D946</f>
        <v>0</v>
      </c>
      <c r="E946">
        <f>Master_Data!E946</f>
        <v>2</v>
      </c>
      <c r="F946">
        <f>Master_Data!F946</f>
        <v>8</v>
      </c>
      <c r="G946" t="b">
        <f>Master_Data!G946</f>
        <v>0</v>
      </c>
      <c r="H946">
        <f>Master_Data!H946</f>
        <v>6</v>
      </c>
      <c r="I946">
        <f>Master_Data!I946</f>
        <v>1</v>
      </c>
      <c r="J946">
        <f>Master_Data!J946</f>
        <v>0.14000000000000001</v>
      </c>
      <c r="K946">
        <f>Master_Data!K946</f>
        <v>0.1515</v>
      </c>
      <c r="L946">
        <f>Master_Data!L946</f>
        <v>0.86</v>
      </c>
      <c r="M946">
        <f>Master_Data!M946</f>
        <v>0.1343</v>
      </c>
      <c r="N946">
        <f>Master_Data!N946</f>
        <v>2</v>
      </c>
      <c r="O946">
        <f>Master_Data!O946</f>
        <v>28</v>
      </c>
      <c r="P946">
        <f>Master_Data!P946</f>
        <v>30</v>
      </c>
      <c r="Q946" t="str">
        <f t="shared" si="84"/>
        <v>2011</v>
      </c>
      <c r="R946" t="str">
        <f t="shared" si="85"/>
        <v>February</v>
      </c>
      <c r="S946" t="str">
        <f t="shared" si="86"/>
        <v>Saturday</v>
      </c>
      <c r="T946" t="str">
        <f t="shared" si="87"/>
        <v>Morning</v>
      </c>
      <c r="U946" t="str">
        <f t="shared" si="88"/>
        <v>Spring</v>
      </c>
      <c r="V946" t="str">
        <f t="shared" si="89"/>
        <v>Clear</v>
      </c>
    </row>
    <row r="947" spans="1:22">
      <c r="A947">
        <f>Master_Data!A947</f>
        <v>955</v>
      </c>
      <c r="B947">
        <f>Master_Data!B947</f>
        <v>40586</v>
      </c>
      <c r="C947">
        <f>Master_Data!C947</f>
        <v>1</v>
      </c>
      <c r="D947">
        <f>Master_Data!D947</f>
        <v>0</v>
      </c>
      <c r="E947">
        <f>Master_Data!E947</f>
        <v>2</v>
      </c>
      <c r="F947">
        <f>Master_Data!F947</f>
        <v>9</v>
      </c>
      <c r="G947" t="b">
        <f>Master_Data!G947</f>
        <v>0</v>
      </c>
      <c r="H947">
        <f>Master_Data!H947</f>
        <v>6</v>
      </c>
      <c r="I947">
        <f>Master_Data!I947</f>
        <v>1</v>
      </c>
      <c r="J947">
        <f>Master_Data!J947</f>
        <v>0.16</v>
      </c>
      <c r="K947">
        <f>Master_Data!K947</f>
        <v>0.18179999999999999</v>
      </c>
      <c r="L947">
        <f>Master_Data!L947</f>
        <v>0.64</v>
      </c>
      <c r="M947">
        <f>Master_Data!M947</f>
        <v>0.1343</v>
      </c>
      <c r="N947">
        <f>Master_Data!N947</f>
        <v>5</v>
      </c>
      <c r="O947">
        <f>Master_Data!O947</f>
        <v>38</v>
      </c>
      <c r="P947">
        <f>Master_Data!P947</f>
        <v>43</v>
      </c>
      <c r="Q947" t="str">
        <f t="shared" si="84"/>
        <v>2011</v>
      </c>
      <c r="R947" t="str">
        <f t="shared" si="85"/>
        <v>February</v>
      </c>
      <c r="S947" t="str">
        <f t="shared" si="86"/>
        <v>Saturday</v>
      </c>
      <c r="T947" t="str">
        <f t="shared" si="87"/>
        <v>Morning</v>
      </c>
      <c r="U947" t="str">
        <f t="shared" si="88"/>
        <v>Spring</v>
      </c>
      <c r="V947" t="str">
        <f t="shared" si="89"/>
        <v>Clear</v>
      </c>
    </row>
    <row r="948" spans="1:22">
      <c r="A948">
        <f>Master_Data!A948</f>
        <v>956</v>
      </c>
      <c r="B948">
        <f>Master_Data!B948</f>
        <v>40586</v>
      </c>
      <c r="C948">
        <f>Master_Data!C948</f>
        <v>1</v>
      </c>
      <c r="D948">
        <f>Master_Data!D948</f>
        <v>0</v>
      </c>
      <c r="E948">
        <f>Master_Data!E948</f>
        <v>2</v>
      </c>
      <c r="F948">
        <f>Master_Data!F948</f>
        <v>10</v>
      </c>
      <c r="G948" t="b">
        <f>Master_Data!G948</f>
        <v>0</v>
      </c>
      <c r="H948">
        <f>Master_Data!H948</f>
        <v>6</v>
      </c>
      <c r="I948">
        <f>Master_Data!I948</f>
        <v>1</v>
      </c>
      <c r="J948">
        <f>Master_Data!J948</f>
        <v>0.22</v>
      </c>
      <c r="K948">
        <f>Master_Data!K948</f>
        <v>0.21210000000000001</v>
      </c>
      <c r="L948">
        <f>Master_Data!L948</f>
        <v>0.41</v>
      </c>
      <c r="M948">
        <f>Master_Data!M948</f>
        <v>0.25369999999999998</v>
      </c>
      <c r="N948">
        <f>Master_Data!N948</f>
        <v>13</v>
      </c>
      <c r="O948">
        <f>Master_Data!O948</f>
        <v>71</v>
      </c>
      <c r="P948">
        <f>Master_Data!P948</f>
        <v>84</v>
      </c>
      <c r="Q948" t="str">
        <f t="shared" si="84"/>
        <v>2011</v>
      </c>
      <c r="R948" t="str">
        <f t="shared" si="85"/>
        <v>February</v>
      </c>
      <c r="S948" t="str">
        <f t="shared" si="86"/>
        <v>Saturday</v>
      </c>
      <c r="T948" t="str">
        <f t="shared" si="87"/>
        <v>Morning</v>
      </c>
      <c r="U948" t="str">
        <f t="shared" si="88"/>
        <v>Spring</v>
      </c>
      <c r="V948" t="str">
        <f t="shared" si="89"/>
        <v>Clear</v>
      </c>
    </row>
    <row r="949" spans="1:22">
      <c r="A949">
        <f>Master_Data!A949</f>
        <v>957</v>
      </c>
      <c r="B949">
        <f>Master_Data!B949</f>
        <v>40586</v>
      </c>
      <c r="C949">
        <f>Master_Data!C949</f>
        <v>1</v>
      </c>
      <c r="D949">
        <f>Master_Data!D949</f>
        <v>0</v>
      </c>
      <c r="E949">
        <f>Master_Data!E949</f>
        <v>2</v>
      </c>
      <c r="F949">
        <f>Master_Data!F949</f>
        <v>11</v>
      </c>
      <c r="G949" t="b">
        <f>Master_Data!G949</f>
        <v>0</v>
      </c>
      <c r="H949">
        <f>Master_Data!H949</f>
        <v>6</v>
      </c>
      <c r="I949">
        <f>Master_Data!I949</f>
        <v>1</v>
      </c>
      <c r="J949">
        <f>Master_Data!J949</f>
        <v>0.3</v>
      </c>
      <c r="K949">
        <f>Master_Data!K949</f>
        <v>0.2727</v>
      </c>
      <c r="L949">
        <f>Master_Data!L949</f>
        <v>0.28000000000000003</v>
      </c>
      <c r="M949">
        <f>Master_Data!M949</f>
        <v>0.32840000000000003</v>
      </c>
      <c r="N949">
        <f>Master_Data!N949</f>
        <v>30</v>
      </c>
      <c r="O949">
        <f>Master_Data!O949</f>
        <v>84</v>
      </c>
      <c r="P949">
        <f>Master_Data!P949</f>
        <v>114</v>
      </c>
      <c r="Q949" t="str">
        <f t="shared" si="84"/>
        <v>2011</v>
      </c>
      <c r="R949" t="str">
        <f t="shared" si="85"/>
        <v>February</v>
      </c>
      <c r="S949" t="str">
        <f t="shared" si="86"/>
        <v>Saturday</v>
      </c>
      <c r="T949" t="str">
        <f t="shared" si="87"/>
        <v>Morning</v>
      </c>
      <c r="U949" t="str">
        <f t="shared" si="88"/>
        <v>Spring</v>
      </c>
      <c r="V949" t="str">
        <f t="shared" si="89"/>
        <v>Clear</v>
      </c>
    </row>
    <row r="950" spans="1:22">
      <c r="A950">
        <f>Master_Data!A950</f>
        <v>958</v>
      </c>
      <c r="B950">
        <f>Master_Data!B950</f>
        <v>40586</v>
      </c>
      <c r="C950">
        <f>Master_Data!C950</f>
        <v>1</v>
      </c>
      <c r="D950">
        <f>Master_Data!D950</f>
        <v>0</v>
      </c>
      <c r="E950">
        <f>Master_Data!E950</f>
        <v>2</v>
      </c>
      <c r="F950">
        <f>Master_Data!F950</f>
        <v>12</v>
      </c>
      <c r="G950" t="b">
        <f>Master_Data!G950</f>
        <v>0</v>
      </c>
      <c r="H950">
        <f>Master_Data!H950</f>
        <v>6</v>
      </c>
      <c r="I950">
        <f>Master_Data!I950</f>
        <v>1</v>
      </c>
      <c r="J950">
        <f>Master_Data!J950</f>
        <v>0.3</v>
      </c>
      <c r="K950">
        <f>Master_Data!K950</f>
        <v>0.2727</v>
      </c>
      <c r="L950">
        <f>Master_Data!L950</f>
        <v>0.39</v>
      </c>
      <c r="M950">
        <f>Master_Data!M950</f>
        <v>0.4627</v>
      </c>
      <c r="N950">
        <f>Master_Data!N950</f>
        <v>27</v>
      </c>
      <c r="O950">
        <f>Master_Data!O950</f>
        <v>93</v>
      </c>
      <c r="P950">
        <f>Master_Data!P950</f>
        <v>120</v>
      </c>
      <c r="Q950" t="str">
        <f t="shared" si="84"/>
        <v>2011</v>
      </c>
      <c r="R950" t="str">
        <f t="shared" si="85"/>
        <v>February</v>
      </c>
      <c r="S950" t="str">
        <f t="shared" si="86"/>
        <v>Saturday</v>
      </c>
      <c r="T950" t="str">
        <f t="shared" si="87"/>
        <v>Afternoon</v>
      </c>
      <c r="U950" t="str">
        <f t="shared" si="88"/>
        <v>Spring</v>
      </c>
      <c r="V950" t="str">
        <f t="shared" si="89"/>
        <v>Clear</v>
      </c>
    </row>
    <row r="951" spans="1:22">
      <c r="A951">
        <f>Master_Data!A951</f>
        <v>959</v>
      </c>
      <c r="B951">
        <f>Master_Data!B951</f>
        <v>40586</v>
      </c>
      <c r="C951">
        <f>Master_Data!C951</f>
        <v>1</v>
      </c>
      <c r="D951">
        <f>Master_Data!D951</f>
        <v>0</v>
      </c>
      <c r="E951">
        <f>Master_Data!E951</f>
        <v>2</v>
      </c>
      <c r="F951">
        <f>Master_Data!F951</f>
        <v>13</v>
      </c>
      <c r="G951" t="b">
        <f>Master_Data!G951</f>
        <v>0</v>
      </c>
      <c r="H951">
        <f>Master_Data!H951</f>
        <v>6</v>
      </c>
      <c r="I951">
        <f>Master_Data!I951</f>
        <v>1</v>
      </c>
      <c r="J951">
        <f>Master_Data!J951</f>
        <v>0.3</v>
      </c>
      <c r="K951">
        <f>Master_Data!K951</f>
        <v>0.2727</v>
      </c>
      <c r="L951">
        <f>Master_Data!L951</f>
        <v>0.39</v>
      </c>
      <c r="M951">
        <f>Master_Data!M951</f>
        <v>0.41789999999999999</v>
      </c>
      <c r="N951">
        <f>Master_Data!N951</f>
        <v>32</v>
      </c>
      <c r="O951">
        <f>Master_Data!O951</f>
        <v>103</v>
      </c>
      <c r="P951">
        <f>Master_Data!P951</f>
        <v>135</v>
      </c>
      <c r="Q951" t="str">
        <f t="shared" si="84"/>
        <v>2011</v>
      </c>
      <c r="R951" t="str">
        <f t="shared" si="85"/>
        <v>February</v>
      </c>
      <c r="S951" t="str">
        <f t="shared" si="86"/>
        <v>Saturday</v>
      </c>
      <c r="T951" t="str">
        <f t="shared" si="87"/>
        <v>Afternoon</v>
      </c>
      <c r="U951" t="str">
        <f t="shared" si="88"/>
        <v>Spring</v>
      </c>
      <c r="V951" t="str">
        <f t="shared" si="89"/>
        <v>Clear</v>
      </c>
    </row>
    <row r="952" spans="1:22">
      <c r="A952">
        <f>Master_Data!A952</f>
        <v>960</v>
      </c>
      <c r="B952">
        <f>Master_Data!B952</f>
        <v>40586</v>
      </c>
      <c r="C952">
        <f>Master_Data!C952</f>
        <v>1</v>
      </c>
      <c r="D952">
        <f>Master_Data!D952</f>
        <v>0</v>
      </c>
      <c r="E952">
        <f>Master_Data!E952</f>
        <v>2</v>
      </c>
      <c r="F952">
        <f>Master_Data!F952</f>
        <v>14</v>
      </c>
      <c r="G952" t="b">
        <f>Master_Data!G952</f>
        <v>0</v>
      </c>
      <c r="H952">
        <f>Master_Data!H952</f>
        <v>6</v>
      </c>
      <c r="I952">
        <f>Master_Data!I952</f>
        <v>1</v>
      </c>
      <c r="J952">
        <f>Master_Data!J952</f>
        <v>0.34</v>
      </c>
      <c r="K952">
        <f>Master_Data!K952</f>
        <v>0.31819999999999998</v>
      </c>
      <c r="L952">
        <f>Master_Data!L952</f>
        <v>0.31</v>
      </c>
      <c r="M952">
        <f>Master_Data!M952</f>
        <v>0.28360000000000002</v>
      </c>
      <c r="N952">
        <f>Master_Data!N952</f>
        <v>30</v>
      </c>
      <c r="O952">
        <f>Master_Data!O952</f>
        <v>90</v>
      </c>
      <c r="P952">
        <f>Master_Data!P952</f>
        <v>120</v>
      </c>
      <c r="Q952" t="str">
        <f t="shared" si="84"/>
        <v>2011</v>
      </c>
      <c r="R952" t="str">
        <f t="shared" si="85"/>
        <v>February</v>
      </c>
      <c r="S952" t="str">
        <f t="shared" si="86"/>
        <v>Saturday</v>
      </c>
      <c r="T952" t="str">
        <f t="shared" si="87"/>
        <v>Afternoon</v>
      </c>
      <c r="U952" t="str">
        <f t="shared" si="88"/>
        <v>Spring</v>
      </c>
      <c r="V952" t="str">
        <f t="shared" si="89"/>
        <v>Clear</v>
      </c>
    </row>
    <row r="953" spans="1:22">
      <c r="A953">
        <f>Master_Data!A953</f>
        <v>961</v>
      </c>
      <c r="B953">
        <f>Master_Data!B953</f>
        <v>40586</v>
      </c>
      <c r="C953">
        <f>Master_Data!C953</f>
        <v>1</v>
      </c>
      <c r="D953">
        <f>Master_Data!D953</f>
        <v>0</v>
      </c>
      <c r="E953">
        <f>Master_Data!E953</f>
        <v>2</v>
      </c>
      <c r="F953">
        <f>Master_Data!F953</f>
        <v>15</v>
      </c>
      <c r="G953" t="b">
        <f>Master_Data!G953</f>
        <v>0</v>
      </c>
      <c r="H953">
        <f>Master_Data!H953</f>
        <v>6</v>
      </c>
      <c r="I953">
        <f>Master_Data!I953</f>
        <v>1</v>
      </c>
      <c r="J953">
        <f>Master_Data!J953</f>
        <v>0.34</v>
      </c>
      <c r="K953">
        <f>Master_Data!K953</f>
        <v>0.30299999999999999</v>
      </c>
      <c r="L953">
        <f>Master_Data!L953</f>
        <v>0.28999999999999998</v>
      </c>
      <c r="M953">
        <f>Master_Data!M953</f>
        <v>0.41789999999999999</v>
      </c>
      <c r="N953">
        <f>Master_Data!N953</f>
        <v>47</v>
      </c>
      <c r="O953">
        <f>Master_Data!O953</f>
        <v>127</v>
      </c>
      <c r="P953">
        <f>Master_Data!P953</f>
        <v>174</v>
      </c>
      <c r="Q953" t="str">
        <f t="shared" si="84"/>
        <v>2011</v>
      </c>
      <c r="R953" t="str">
        <f t="shared" si="85"/>
        <v>February</v>
      </c>
      <c r="S953" t="str">
        <f t="shared" si="86"/>
        <v>Saturday</v>
      </c>
      <c r="T953" t="str">
        <f t="shared" si="87"/>
        <v>Afternoon</v>
      </c>
      <c r="U953" t="str">
        <f t="shared" si="88"/>
        <v>Spring</v>
      </c>
      <c r="V953" t="str">
        <f t="shared" si="89"/>
        <v>Clear</v>
      </c>
    </row>
    <row r="954" spans="1:22">
      <c r="A954">
        <f>Master_Data!A954</f>
        <v>962</v>
      </c>
      <c r="B954">
        <f>Master_Data!B954</f>
        <v>40586</v>
      </c>
      <c r="C954">
        <f>Master_Data!C954</f>
        <v>1</v>
      </c>
      <c r="D954">
        <f>Master_Data!D954</f>
        <v>0</v>
      </c>
      <c r="E954">
        <f>Master_Data!E954</f>
        <v>2</v>
      </c>
      <c r="F954">
        <f>Master_Data!F954</f>
        <v>16</v>
      </c>
      <c r="G954" t="b">
        <f>Master_Data!G954</f>
        <v>0</v>
      </c>
      <c r="H954">
        <f>Master_Data!H954</f>
        <v>6</v>
      </c>
      <c r="I954">
        <f>Master_Data!I954</f>
        <v>1</v>
      </c>
      <c r="J954">
        <f>Master_Data!J954</f>
        <v>0.34</v>
      </c>
      <c r="K954">
        <f>Master_Data!K954</f>
        <v>0.30299999999999999</v>
      </c>
      <c r="L954">
        <f>Master_Data!L954</f>
        <v>0.28999999999999998</v>
      </c>
      <c r="M954">
        <f>Master_Data!M954</f>
        <v>0.41789999999999999</v>
      </c>
      <c r="N954">
        <f>Master_Data!N954</f>
        <v>42</v>
      </c>
      <c r="O954">
        <f>Master_Data!O954</f>
        <v>103</v>
      </c>
      <c r="P954">
        <f>Master_Data!P954</f>
        <v>145</v>
      </c>
      <c r="Q954" t="str">
        <f t="shared" si="84"/>
        <v>2011</v>
      </c>
      <c r="R954" t="str">
        <f t="shared" si="85"/>
        <v>February</v>
      </c>
      <c r="S954" t="str">
        <f t="shared" si="86"/>
        <v>Saturday</v>
      </c>
      <c r="T954" t="str">
        <f t="shared" si="87"/>
        <v>Afternoon</v>
      </c>
      <c r="U954" t="str">
        <f t="shared" si="88"/>
        <v>Spring</v>
      </c>
      <c r="V954" t="str">
        <f t="shared" si="89"/>
        <v>Clear</v>
      </c>
    </row>
    <row r="955" spans="1:22">
      <c r="A955">
        <f>Master_Data!A955</f>
        <v>963</v>
      </c>
      <c r="B955">
        <f>Master_Data!B955</f>
        <v>40586</v>
      </c>
      <c r="C955">
        <f>Master_Data!C955</f>
        <v>1</v>
      </c>
      <c r="D955">
        <f>Master_Data!D955</f>
        <v>0</v>
      </c>
      <c r="E955">
        <f>Master_Data!E955</f>
        <v>2</v>
      </c>
      <c r="F955">
        <f>Master_Data!F955</f>
        <v>17</v>
      </c>
      <c r="G955" t="b">
        <f>Master_Data!G955</f>
        <v>0</v>
      </c>
      <c r="H955">
        <f>Master_Data!H955</f>
        <v>6</v>
      </c>
      <c r="I955">
        <f>Master_Data!I955</f>
        <v>1</v>
      </c>
      <c r="J955">
        <f>Master_Data!J955</f>
        <v>0.32</v>
      </c>
      <c r="K955">
        <f>Master_Data!K955</f>
        <v>0.28789999999999999</v>
      </c>
      <c r="L955">
        <f>Master_Data!L955</f>
        <v>0.31</v>
      </c>
      <c r="M955">
        <f>Master_Data!M955</f>
        <v>0.52239999999999998</v>
      </c>
      <c r="N955">
        <f>Master_Data!N955</f>
        <v>24</v>
      </c>
      <c r="O955">
        <f>Master_Data!O955</f>
        <v>113</v>
      </c>
      <c r="P955">
        <f>Master_Data!P955</f>
        <v>137</v>
      </c>
      <c r="Q955" t="str">
        <f t="shared" si="84"/>
        <v>2011</v>
      </c>
      <c r="R955" t="str">
        <f t="shared" si="85"/>
        <v>February</v>
      </c>
      <c r="S955" t="str">
        <f t="shared" si="86"/>
        <v>Saturday</v>
      </c>
      <c r="T955" t="str">
        <f t="shared" si="87"/>
        <v>Evening</v>
      </c>
      <c r="U955" t="str">
        <f t="shared" si="88"/>
        <v>Spring</v>
      </c>
      <c r="V955" t="str">
        <f t="shared" si="89"/>
        <v>Clear</v>
      </c>
    </row>
    <row r="956" spans="1:22">
      <c r="A956">
        <f>Master_Data!A956</f>
        <v>964</v>
      </c>
      <c r="B956">
        <f>Master_Data!B956</f>
        <v>40586</v>
      </c>
      <c r="C956">
        <f>Master_Data!C956</f>
        <v>1</v>
      </c>
      <c r="D956">
        <f>Master_Data!D956</f>
        <v>0</v>
      </c>
      <c r="E956">
        <f>Master_Data!E956</f>
        <v>2</v>
      </c>
      <c r="F956">
        <f>Master_Data!F956</f>
        <v>18</v>
      </c>
      <c r="G956" t="b">
        <f>Master_Data!G956</f>
        <v>0</v>
      </c>
      <c r="H956">
        <f>Master_Data!H956</f>
        <v>6</v>
      </c>
      <c r="I956">
        <f>Master_Data!I956</f>
        <v>1</v>
      </c>
      <c r="J956">
        <f>Master_Data!J956</f>
        <v>0.28000000000000003</v>
      </c>
      <c r="K956">
        <f>Master_Data!K956</f>
        <v>0.2576</v>
      </c>
      <c r="L956">
        <f>Master_Data!L956</f>
        <v>0.38</v>
      </c>
      <c r="M956">
        <f>Master_Data!M956</f>
        <v>0.32840000000000003</v>
      </c>
      <c r="N956">
        <f>Master_Data!N956</f>
        <v>4</v>
      </c>
      <c r="O956">
        <f>Master_Data!O956</f>
        <v>60</v>
      </c>
      <c r="P956">
        <f>Master_Data!P956</f>
        <v>64</v>
      </c>
      <c r="Q956" t="str">
        <f t="shared" si="84"/>
        <v>2011</v>
      </c>
      <c r="R956" t="str">
        <f t="shared" si="85"/>
        <v>February</v>
      </c>
      <c r="S956" t="str">
        <f t="shared" si="86"/>
        <v>Saturday</v>
      </c>
      <c r="T956" t="str">
        <f t="shared" si="87"/>
        <v>Evening</v>
      </c>
      <c r="U956" t="str">
        <f t="shared" si="88"/>
        <v>Spring</v>
      </c>
      <c r="V956" t="str">
        <f t="shared" si="89"/>
        <v>Clear</v>
      </c>
    </row>
    <row r="957" spans="1:22">
      <c r="A957">
        <f>Master_Data!A957</f>
        <v>965</v>
      </c>
      <c r="B957">
        <f>Master_Data!B957</f>
        <v>40586</v>
      </c>
      <c r="C957">
        <f>Master_Data!C957</f>
        <v>1</v>
      </c>
      <c r="D957">
        <f>Master_Data!D957</f>
        <v>0</v>
      </c>
      <c r="E957">
        <f>Master_Data!E957</f>
        <v>2</v>
      </c>
      <c r="F957">
        <f>Master_Data!F957</f>
        <v>19</v>
      </c>
      <c r="G957" t="b">
        <f>Master_Data!G957</f>
        <v>0</v>
      </c>
      <c r="H957">
        <f>Master_Data!H957</f>
        <v>6</v>
      </c>
      <c r="I957">
        <f>Master_Data!I957</f>
        <v>1</v>
      </c>
      <c r="J957">
        <f>Master_Data!J957</f>
        <v>0.28000000000000003</v>
      </c>
      <c r="K957">
        <f>Master_Data!K957</f>
        <v>0.2727</v>
      </c>
      <c r="L957">
        <f>Master_Data!L957</f>
        <v>0.38</v>
      </c>
      <c r="M957">
        <f>Master_Data!M957</f>
        <v>0.16420000000000001</v>
      </c>
      <c r="N957">
        <f>Master_Data!N957</f>
        <v>2</v>
      </c>
      <c r="O957">
        <f>Master_Data!O957</f>
        <v>39</v>
      </c>
      <c r="P957">
        <f>Master_Data!P957</f>
        <v>41</v>
      </c>
      <c r="Q957" t="str">
        <f t="shared" si="84"/>
        <v>2011</v>
      </c>
      <c r="R957" t="str">
        <f t="shared" si="85"/>
        <v>February</v>
      </c>
      <c r="S957" t="str">
        <f t="shared" si="86"/>
        <v>Saturday</v>
      </c>
      <c r="T957" t="str">
        <f t="shared" si="87"/>
        <v>Evening</v>
      </c>
      <c r="U957" t="str">
        <f t="shared" si="88"/>
        <v>Spring</v>
      </c>
      <c r="V957" t="str">
        <f t="shared" si="89"/>
        <v>Clear</v>
      </c>
    </row>
    <row r="958" spans="1:22">
      <c r="A958">
        <f>Master_Data!A958</f>
        <v>966</v>
      </c>
      <c r="B958">
        <f>Master_Data!B958</f>
        <v>40586</v>
      </c>
      <c r="C958">
        <f>Master_Data!C958</f>
        <v>1</v>
      </c>
      <c r="D958">
        <f>Master_Data!D958</f>
        <v>0</v>
      </c>
      <c r="E958">
        <f>Master_Data!E958</f>
        <v>2</v>
      </c>
      <c r="F958">
        <f>Master_Data!F958</f>
        <v>20</v>
      </c>
      <c r="G958" t="b">
        <f>Master_Data!G958</f>
        <v>0</v>
      </c>
      <c r="H958">
        <f>Master_Data!H958</f>
        <v>6</v>
      </c>
      <c r="I958">
        <f>Master_Data!I958</f>
        <v>1</v>
      </c>
      <c r="J958">
        <f>Master_Data!J958</f>
        <v>0.26</v>
      </c>
      <c r="K958">
        <f>Master_Data!K958</f>
        <v>0.2576</v>
      </c>
      <c r="L958">
        <f>Master_Data!L958</f>
        <v>0.41</v>
      </c>
      <c r="M958">
        <f>Master_Data!M958</f>
        <v>0.22389999999999999</v>
      </c>
      <c r="N958">
        <f>Master_Data!N958</f>
        <v>1</v>
      </c>
      <c r="O958">
        <f>Master_Data!O958</f>
        <v>39</v>
      </c>
      <c r="P958">
        <f>Master_Data!P958</f>
        <v>40</v>
      </c>
      <c r="Q958" t="str">
        <f t="shared" si="84"/>
        <v>2011</v>
      </c>
      <c r="R958" t="str">
        <f t="shared" si="85"/>
        <v>February</v>
      </c>
      <c r="S958" t="str">
        <f t="shared" si="86"/>
        <v>Saturday</v>
      </c>
      <c r="T958" t="str">
        <f t="shared" si="87"/>
        <v>Evening</v>
      </c>
      <c r="U958" t="str">
        <f t="shared" si="88"/>
        <v>Spring</v>
      </c>
      <c r="V958" t="str">
        <f t="shared" si="89"/>
        <v>Clear</v>
      </c>
    </row>
    <row r="959" spans="1:22">
      <c r="A959">
        <f>Master_Data!A959</f>
        <v>967</v>
      </c>
      <c r="B959">
        <f>Master_Data!B959</f>
        <v>40586</v>
      </c>
      <c r="C959">
        <f>Master_Data!C959</f>
        <v>1</v>
      </c>
      <c r="D959">
        <f>Master_Data!D959</f>
        <v>0</v>
      </c>
      <c r="E959">
        <f>Master_Data!E959</f>
        <v>2</v>
      </c>
      <c r="F959">
        <f>Master_Data!F959</f>
        <v>21</v>
      </c>
      <c r="G959" t="b">
        <f>Master_Data!G959</f>
        <v>0</v>
      </c>
      <c r="H959">
        <f>Master_Data!H959</f>
        <v>6</v>
      </c>
      <c r="I959">
        <f>Master_Data!I959</f>
        <v>1</v>
      </c>
      <c r="J959">
        <f>Master_Data!J959</f>
        <v>0.26</v>
      </c>
      <c r="K959">
        <f>Master_Data!K959</f>
        <v>0.30299999999999999</v>
      </c>
      <c r="L959">
        <f>Master_Data!L959</f>
        <v>0.41</v>
      </c>
      <c r="M959">
        <f>Master_Data!M959</f>
        <v>0</v>
      </c>
      <c r="N959">
        <f>Master_Data!N959</f>
        <v>9</v>
      </c>
      <c r="O959">
        <f>Master_Data!O959</f>
        <v>42</v>
      </c>
      <c r="P959">
        <f>Master_Data!P959</f>
        <v>51</v>
      </c>
      <c r="Q959" t="str">
        <f t="shared" si="84"/>
        <v>2011</v>
      </c>
      <c r="R959" t="str">
        <f t="shared" si="85"/>
        <v>February</v>
      </c>
      <c r="S959" t="str">
        <f t="shared" si="86"/>
        <v>Saturday</v>
      </c>
      <c r="T959" t="str">
        <f t="shared" si="87"/>
        <v>Night</v>
      </c>
      <c r="U959" t="str">
        <f t="shared" si="88"/>
        <v>Spring</v>
      </c>
      <c r="V959" t="str">
        <f t="shared" si="89"/>
        <v>Clear</v>
      </c>
    </row>
    <row r="960" spans="1:22">
      <c r="A960">
        <f>Master_Data!A960</f>
        <v>968</v>
      </c>
      <c r="B960">
        <f>Master_Data!B960</f>
        <v>40586</v>
      </c>
      <c r="C960">
        <f>Master_Data!C960</f>
        <v>1</v>
      </c>
      <c r="D960">
        <f>Master_Data!D960</f>
        <v>0</v>
      </c>
      <c r="E960">
        <f>Master_Data!E960</f>
        <v>2</v>
      </c>
      <c r="F960">
        <f>Master_Data!F960</f>
        <v>22</v>
      </c>
      <c r="G960" t="b">
        <f>Master_Data!G960</f>
        <v>0</v>
      </c>
      <c r="H960">
        <f>Master_Data!H960</f>
        <v>6</v>
      </c>
      <c r="I960">
        <f>Master_Data!I960</f>
        <v>1</v>
      </c>
      <c r="J960">
        <f>Master_Data!J960</f>
        <v>0.24</v>
      </c>
      <c r="K960">
        <f>Master_Data!K960</f>
        <v>0.2576</v>
      </c>
      <c r="L960">
        <f>Master_Data!L960</f>
        <v>0.44</v>
      </c>
      <c r="M960">
        <f>Master_Data!M960</f>
        <v>8.9599999999999999E-2</v>
      </c>
      <c r="N960">
        <f>Master_Data!N960</f>
        <v>6</v>
      </c>
      <c r="O960">
        <f>Master_Data!O960</f>
        <v>39</v>
      </c>
      <c r="P960">
        <f>Master_Data!P960</f>
        <v>45</v>
      </c>
      <c r="Q960" t="str">
        <f t="shared" si="84"/>
        <v>2011</v>
      </c>
      <c r="R960" t="str">
        <f t="shared" si="85"/>
        <v>February</v>
      </c>
      <c r="S960" t="str">
        <f t="shared" si="86"/>
        <v>Saturday</v>
      </c>
      <c r="T960" t="str">
        <f t="shared" si="87"/>
        <v>Night</v>
      </c>
      <c r="U960" t="str">
        <f t="shared" si="88"/>
        <v>Spring</v>
      </c>
      <c r="V960" t="str">
        <f t="shared" si="89"/>
        <v>Clear</v>
      </c>
    </row>
    <row r="961" spans="1:22">
      <c r="A961">
        <f>Master_Data!A961</f>
        <v>969</v>
      </c>
      <c r="B961">
        <f>Master_Data!B961</f>
        <v>40586</v>
      </c>
      <c r="C961">
        <f>Master_Data!C961</f>
        <v>1</v>
      </c>
      <c r="D961">
        <f>Master_Data!D961</f>
        <v>0</v>
      </c>
      <c r="E961">
        <f>Master_Data!E961</f>
        <v>2</v>
      </c>
      <c r="F961">
        <f>Master_Data!F961</f>
        <v>23</v>
      </c>
      <c r="G961" t="b">
        <f>Master_Data!G961</f>
        <v>0</v>
      </c>
      <c r="H961">
        <f>Master_Data!H961</f>
        <v>6</v>
      </c>
      <c r="I961">
        <f>Master_Data!I961</f>
        <v>1</v>
      </c>
      <c r="J961">
        <f>Master_Data!J961</f>
        <v>0.22</v>
      </c>
      <c r="K961">
        <f>Master_Data!K961</f>
        <v>0.2273</v>
      </c>
      <c r="L961">
        <f>Master_Data!L961</f>
        <v>0.51</v>
      </c>
      <c r="M961">
        <f>Master_Data!M961</f>
        <v>0.1343</v>
      </c>
      <c r="N961">
        <f>Master_Data!N961</f>
        <v>1</v>
      </c>
      <c r="O961">
        <f>Master_Data!O961</f>
        <v>31</v>
      </c>
      <c r="P961">
        <f>Master_Data!P961</f>
        <v>32</v>
      </c>
      <c r="Q961" t="str">
        <f t="shared" si="84"/>
        <v>2011</v>
      </c>
      <c r="R961" t="str">
        <f t="shared" si="85"/>
        <v>February</v>
      </c>
      <c r="S961" t="str">
        <f t="shared" si="86"/>
        <v>Saturday</v>
      </c>
      <c r="T961" t="str">
        <f t="shared" si="87"/>
        <v>Night</v>
      </c>
      <c r="U961" t="str">
        <f t="shared" si="88"/>
        <v>Spring</v>
      </c>
      <c r="V961" t="str">
        <f t="shared" si="89"/>
        <v>Clear</v>
      </c>
    </row>
    <row r="962" spans="1:22">
      <c r="A962">
        <f>Master_Data!A962</f>
        <v>970</v>
      </c>
      <c r="B962">
        <f>Master_Data!B962</f>
        <v>40587</v>
      </c>
      <c r="C962">
        <f>Master_Data!C962</f>
        <v>1</v>
      </c>
      <c r="D962">
        <f>Master_Data!D962</f>
        <v>0</v>
      </c>
      <c r="E962">
        <f>Master_Data!E962</f>
        <v>2</v>
      </c>
      <c r="F962">
        <f>Master_Data!F962</f>
        <v>0</v>
      </c>
      <c r="G962" t="b">
        <f>Master_Data!G962</f>
        <v>0</v>
      </c>
      <c r="H962">
        <f>Master_Data!H962</f>
        <v>0</v>
      </c>
      <c r="I962">
        <f>Master_Data!I962</f>
        <v>1</v>
      </c>
      <c r="J962">
        <f>Master_Data!J962</f>
        <v>0.2</v>
      </c>
      <c r="K962">
        <f>Master_Data!K962</f>
        <v>0.2273</v>
      </c>
      <c r="L962">
        <f>Master_Data!L962</f>
        <v>0.64</v>
      </c>
      <c r="M962">
        <f>Master_Data!M962</f>
        <v>0.1045</v>
      </c>
      <c r="N962">
        <f>Master_Data!N962</f>
        <v>5</v>
      </c>
      <c r="O962">
        <f>Master_Data!O962</f>
        <v>34</v>
      </c>
      <c r="P962">
        <f>Master_Data!P962</f>
        <v>39</v>
      </c>
      <c r="Q962" t="str">
        <f t="shared" ref="Q962:Q1001" si="90">IF(D962=0,"2011","2012")</f>
        <v>2011</v>
      </c>
      <c r="R962" t="str">
        <f t="shared" ref="R962:R1001" si="91">TEXT(B962,"mmmm")</f>
        <v>February</v>
      </c>
      <c r="S962" t="str">
        <f t="shared" ref="S962:S1001" si="92">IF(G962=TRUE,"Holiday",IF(H962=0,"Sunday",IF(H962=6,"Saturday","Weekday")))</f>
        <v>Sunday</v>
      </c>
      <c r="T962" t="str">
        <f t="shared" ref="T962:T1001" si="93">IF(F962&lt;6,"Night",IF(F962&lt;12,"Morning",IF(F962&lt;17,"Afternoon",IF(F962&lt;21,"Evening","Night"))))</f>
        <v>Night</v>
      </c>
      <c r="U962" t="str">
        <f t="shared" ref="U962:U1001" si="94">CHOOSE(C962,"Spring","Summer","Fall","Winter")</f>
        <v>Spring</v>
      </c>
      <c r="V962" t="str">
        <f t="shared" ref="V962:V1001" si="95">CHOOSE(I962,"Clear","Mist/Cloudy","Light Rain/Snow","Heavy Rain/Snow")</f>
        <v>Clear</v>
      </c>
    </row>
    <row r="963" spans="1:22">
      <c r="A963">
        <f>Master_Data!A963</f>
        <v>971</v>
      </c>
      <c r="B963">
        <f>Master_Data!B963</f>
        <v>40587</v>
      </c>
      <c r="C963">
        <f>Master_Data!C963</f>
        <v>1</v>
      </c>
      <c r="D963">
        <f>Master_Data!D963</f>
        <v>0</v>
      </c>
      <c r="E963">
        <f>Master_Data!E963</f>
        <v>2</v>
      </c>
      <c r="F963">
        <f>Master_Data!F963</f>
        <v>1</v>
      </c>
      <c r="G963" t="b">
        <f>Master_Data!G963</f>
        <v>0</v>
      </c>
      <c r="H963">
        <f>Master_Data!H963</f>
        <v>0</v>
      </c>
      <c r="I963">
        <f>Master_Data!I963</f>
        <v>1</v>
      </c>
      <c r="J963">
        <f>Master_Data!J963</f>
        <v>0.2</v>
      </c>
      <c r="K963">
        <f>Master_Data!K963</f>
        <v>0.2273</v>
      </c>
      <c r="L963">
        <f>Master_Data!L963</f>
        <v>0.59</v>
      </c>
      <c r="M963">
        <f>Master_Data!M963</f>
        <v>8.9599999999999999E-2</v>
      </c>
      <c r="N963">
        <f>Master_Data!N963</f>
        <v>1</v>
      </c>
      <c r="O963">
        <f>Master_Data!O963</f>
        <v>23</v>
      </c>
      <c r="P963">
        <f>Master_Data!P963</f>
        <v>24</v>
      </c>
      <c r="Q963" t="str">
        <f t="shared" si="90"/>
        <v>2011</v>
      </c>
      <c r="R963" t="str">
        <f t="shared" si="91"/>
        <v>February</v>
      </c>
      <c r="S963" t="str">
        <f t="shared" si="92"/>
        <v>Sunday</v>
      </c>
      <c r="T963" t="str">
        <f t="shared" si="93"/>
        <v>Night</v>
      </c>
      <c r="U963" t="str">
        <f t="shared" si="94"/>
        <v>Spring</v>
      </c>
      <c r="V963" t="str">
        <f t="shared" si="95"/>
        <v>Clear</v>
      </c>
    </row>
    <row r="964" spans="1:22">
      <c r="A964">
        <f>Master_Data!A964</f>
        <v>972</v>
      </c>
      <c r="B964">
        <f>Master_Data!B964</f>
        <v>40587</v>
      </c>
      <c r="C964">
        <f>Master_Data!C964</f>
        <v>1</v>
      </c>
      <c r="D964">
        <f>Master_Data!D964</f>
        <v>0</v>
      </c>
      <c r="E964">
        <f>Master_Data!E964</f>
        <v>2</v>
      </c>
      <c r="F964">
        <f>Master_Data!F964</f>
        <v>2</v>
      </c>
      <c r="G964" t="b">
        <f>Master_Data!G964</f>
        <v>0</v>
      </c>
      <c r="H964">
        <f>Master_Data!H964</f>
        <v>0</v>
      </c>
      <c r="I964">
        <f>Master_Data!I964</f>
        <v>2</v>
      </c>
      <c r="J964">
        <f>Master_Data!J964</f>
        <v>0.2</v>
      </c>
      <c r="K964">
        <f>Master_Data!K964</f>
        <v>0.2273</v>
      </c>
      <c r="L964">
        <f>Master_Data!L964</f>
        <v>0.75</v>
      </c>
      <c r="M964">
        <f>Master_Data!M964</f>
        <v>8.9599999999999999E-2</v>
      </c>
      <c r="N964">
        <f>Master_Data!N964</f>
        <v>1</v>
      </c>
      <c r="O964">
        <f>Master_Data!O964</f>
        <v>19</v>
      </c>
      <c r="P964">
        <f>Master_Data!P964</f>
        <v>20</v>
      </c>
      <c r="Q964" t="str">
        <f t="shared" si="90"/>
        <v>2011</v>
      </c>
      <c r="R964" t="str">
        <f t="shared" si="91"/>
        <v>February</v>
      </c>
      <c r="S964" t="str">
        <f t="shared" si="92"/>
        <v>Sunday</v>
      </c>
      <c r="T964" t="str">
        <f t="shared" si="93"/>
        <v>Night</v>
      </c>
      <c r="U964" t="str">
        <f t="shared" si="94"/>
        <v>Spring</v>
      </c>
      <c r="V964" t="str">
        <f t="shared" si="95"/>
        <v>Mist/Cloudy</v>
      </c>
    </row>
    <row r="965" spans="1:22">
      <c r="A965">
        <f>Master_Data!A965</f>
        <v>973</v>
      </c>
      <c r="B965">
        <f>Master_Data!B965</f>
        <v>40587</v>
      </c>
      <c r="C965">
        <f>Master_Data!C965</f>
        <v>1</v>
      </c>
      <c r="D965">
        <f>Master_Data!D965</f>
        <v>0</v>
      </c>
      <c r="E965">
        <f>Master_Data!E965</f>
        <v>2</v>
      </c>
      <c r="F965">
        <f>Master_Data!F965</f>
        <v>3</v>
      </c>
      <c r="G965" t="b">
        <f>Master_Data!G965</f>
        <v>0</v>
      </c>
      <c r="H965">
        <f>Master_Data!H965</f>
        <v>0</v>
      </c>
      <c r="I965">
        <f>Master_Data!I965</f>
        <v>2</v>
      </c>
      <c r="J965">
        <f>Master_Data!J965</f>
        <v>0.2</v>
      </c>
      <c r="K965">
        <f>Master_Data!K965</f>
        <v>0.2273</v>
      </c>
      <c r="L965">
        <f>Master_Data!L965</f>
        <v>0.69</v>
      </c>
      <c r="M965">
        <f>Master_Data!M965</f>
        <v>0.1045</v>
      </c>
      <c r="N965">
        <f>Master_Data!N965</f>
        <v>4</v>
      </c>
      <c r="O965">
        <f>Master_Data!O965</f>
        <v>8</v>
      </c>
      <c r="P965">
        <f>Master_Data!P965</f>
        <v>12</v>
      </c>
      <c r="Q965" t="str">
        <f t="shared" si="90"/>
        <v>2011</v>
      </c>
      <c r="R965" t="str">
        <f t="shared" si="91"/>
        <v>February</v>
      </c>
      <c r="S965" t="str">
        <f t="shared" si="92"/>
        <v>Sunday</v>
      </c>
      <c r="T965" t="str">
        <f t="shared" si="93"/>
        <v>Night</v>
      </c>
      <c r="U965" t="str">
        <f t="shared" si="94"/>
        <v>Spring</v>
      </c>
      <c r="V965" t="str">
        <f t="shared" si="95"/>
        <v>Mist/Cloudy</v>
      </c>
    </row>
    <row r="966" spans="1:22">
      <c r="A966">
        <f>Master_Data!A966</f>
        <v>974</v>
      </c>
      <c r="B966">
        <f>Master_Data!B966</f>
        <v>40587</v>
      </c>
      <c r="C966">
        <f>Master_Data!C966</f>
        <v>1</v>
      </c>
      <c r="D966">
        <f>Master_Data!D966</f>
        <v>0</v>
      </c>
      <c r="E966">
        <f>Master_Data!E966</f>
        <v>2</v>
      </c>
      <c r="F966">
        <f>Master_Data!F966</f>
        <v>4</v>
      </c>
      <c r="G966" t="b">
        <f>Master_Data!G966</f>
        <v>0</v>
      </c>
      <c r="H966">
        <f>Master_Data!H966</f>
        <v>0</v>
      </c>
      <c r="I966">
        <f>Master_Data!I966</f>
        <v>2</v>
      </c>
      <c r="J966">
        <f>Master_Data!J966</f>
        <v>0.2</v>
      </c>
      <c r="K966">
        <f>Master_Data!K966</f>
        <v>0.21210000000000001</v>
      </c>
      <c r="L966">
        <f>Master_Data!L966</f>
        <v>0.69</v>
      </c>
      <c r="M966">
        <f>Master_Data!M966</f>
        <v>0.16420000000000001</v>
      </c>
      <c r="N966">
        <f>Master_Data!N966</f>
        <v>0</v>
      </c>
      <c r="O966">
        <f>Master_Data!O966</f>
        <v>2</v>
      </c>
      <c r="P966">
        <f>Master_Data!P966</f>
        <v>2</v>
      </c>
      <c r="Q966" t="str">
        <f t="shared" si="90"/>
        <v>2011</v>
      </c>
      <c r="R966" t="str">
        <f t="shared" si="91"/>
        <v>February</v>
      </c>
      <c r="S966" t="str">
        <f t="shared" si="92"/>
        <v>Sunday</v>
      </c>
      <c r="T966" t="str">
        <f t="shared" si="93"/>
        <v>Night</v>
      </c>
      <c r="U966" t="str">
        <f t="shared" si="94"/>
        <v>Spring</v>
      </c>
      <c r="V966" t="str">
        <f t="shared" si="95"/>
        <v>Mist/Cloudy</v>
      </c>
    </row>
    <row r="967" spans="1:22">
      <c r="A967">
        <f>Master_Data!A967</f>
        <v>975</v>
      </c>
      <c r="B967">
        <f>Master_Data!B967</f>
        <v>40587</v>
      </c>
      <c r="C967">
        <f>Master_Data!C967</f>
        <v>1</v>
      </c>
      <c r="D967">
        <f>Master_Data!D967</f>
        <v>0</v>
      </c>
      <c r="E967">
        <f>Master_Data!E967</f>
        <v>2</v>
      </c>
      <c r="F967">
        <f>Master_Data!F967</f>
        <v>6</v>
      </c>
      <c r="G967" t="b">
        <f>Master_Data!G967</f>
        <v>0</v>
      </c>
      <c r="H967">
        <f>Master_Data!H967</f>
        <v>0</v>
      </c>
      <c r="I967">
        <f>Master_Data!I967</f>
        <v>2</v>
      </c>
      <c r="J967">
        <f>Master_Data!J967</f>
        <v>0.2</v>
      </c>
      <c r="K967">
        <f>Master_Data!K967</f>
        <v>0.21210000000000001</v>
      </c>
      <c r="L967">
        <f>Master_Data!L967</f>
        <v>0.69</v>
      </c>
      <c r="M967">
        <f>Master_Data!M967</f>
        <v>0.1343</v>
      </c>
      <c r="N967">
        <f>Master_Data!N967</f>
        <v>2</v>
      </c>
      <c r="O967">
        <f>Master_Data!O967</f>
        <v>3</v>
      </c>
      <c r="P967">
        <f>Master_Data!P967</f>
        <v>5</v>
      </c>
      <c r="Q967" t="str">
        <f t="shared" si="90"/>
        <v>2011</v>
      </c>
      <c r="R967" t="str">
        <f t="shared" si="91"/>
        <v>February</v>
      </c>
      <c r="S967" t="str">
        <f t="shared" si="92"/>
        <v>Sunday</v>
      </c>
      <c r="T967" t="str">
        <f t="shared" si="93"/>
        <v>Morning</v>
      </c>
      <c r="U967" t="str">
        <f t="shared" si="94"/>
        <v>Spring</v>
      </c>
      <c r="V967" t="str">
        <f t="shared" si="95"/>
        <v>Mist/Cloudy</v>
      </c>
    </row>
    <row r="968" spans="1:22">
      <c r="A968">
        <f>Master_Data!A968</f>
        <v>976</v>
      </c>
      <c r="B968">
        <f>Master_Data!B968</f>
        <v>40587</v>
      </c>
      <c r="C968">
        <f>Master_Data!C968</f>
        <v>1</v>
      </c>
      <c r="D968">
        <f>Master_Data!D968</f>
        <v>0</v>
      </c>
      <c r="E968">
        <f>Master_Data!E968</f>
        <v>2</v>
      </c>
      <c r="F968">
        <f>Master_Data!F968</f>
        <v>7</v>
      </c>
      <c r="G968" t="b">
        <f>Master_Data!G968</f>
        <v>0</v>
      </c>
      <c r="H968">
        <f>Master_Data!H968</f>
        <v>0</v>
      </c>
      <c r="I968">
        <f>Master_Data!I968</f>
        <v>2</v>
      </c>
      <c r="J968">
        <f>Master_Data!J968</f>
        <v>0.22</v>
      </c>
      <c r="K968">
        <f>Master_Data!K968</f>
        <v>0.2727</v>
      </c>
      <c r="L968">
        <f>Master_Data!L968</f>
        <v>0.55000000000000004</v>
      </c>
      <c r="M968">
        <f>Master_Data!M968</f>
        <v>0</v>
      </c>
      <c r="N968">
        <f>Master_Data!N968</f>
        <v>0</v>
      </c>
      <c r="O968">
        <f>Master_Data!O968</f>
        <v>3</v>
      </c>
      <c r="P968">
        <f>Master_Data!P968</f>
        <v>3</v>
      </c>
      <c r="Q968" t="str">
        <f t="shared" si="90"/>
        <v>2011</v>
      </c>
      <c r="R968" t="str">
        <f t="shared" si="91"/>
        <v>February</v>
      </c>
      <c r="S968" t="str">
        <f t="shared" si="92"/>
        <v>Sunday</v>
      </c>
      <c r="T968" t="str">
        <f t="shared" si="93"/>
        <v>Morning</v>
      </c>
      <c r="U968" t="str">
        <f t="shared" si="94"/>
        <v>Spring</v>
      </c>
      <c r="V968" t="str">
        <f t="shared" si="95"/>
        <v>Mist/Cloudy</v>
      </c>
    </row>
    <row r="969" spans="1:22">
      <c r="A969">
        <f>Master_Data!A969</f>
        <v>977</v>
      </c>
      <c r="B969">
        <f>Master_Data!B969</f>
        <v>40587</v>
      </c>
      <c r="C969">
        <f>Master_Data!C969</f>
        <v>1</v>
      </c>
      <c r="D969">
        <f>Master_Data!D969</f>
        <v>0</v>
      </c>
      <c r="E969">
        <f>Master_Data!E969</f>
        <v>2</v>
      </c>
      <c r="F969">
        <f>Master_Data!F969</f>
        <v>8</v>
      </c>
      <c r="G969" t="b">
        <f>Master_Data!G969</f>
        <v>0</v>
      </c>
      <c r="H969">
        <f>Master_Data!H969</f>
        <v>0</v>
      </c>
      <c r="I969">
        <f>Master_Data!I969</f>
        <v>2</v>
      </c>
      <c r="J969">
        <f>Master_Data!J969</f>
        <v>0.22</v>
      </c>
      <c r="K969">
        <f>Master_Data!K969</f>
        <v>0.2273</v>
      </c>
      <c r="L969">
        <f>Master_Data!L969</f>
        <v>0.64</v>
      </c>
      <c r="M969">
        <f>Master_Data!M969</f>
        <v>0.19400000000000001</v>
      </c>
      <c r="N969">
        <f>Master_Data!N969</f>
        <v>1</v>
      </c>
      <c r="O969">
        <f>Master_Data!O969</f>
        <v>11</v>
      </c>
      <c r="P969">
        <f>Master_Data!P969</f>
        <v>12</v>
      </c>
      <c r="Q969" t="str">
        <f t="shared" si="90"/>
        <v>2011</v>
      </c>
      <c r="R969" t="str">
        <f t="shared" si="91"/>
        <v>February</v>
      </c>
      <c r="S969" t="str">
        <f t="shared" si="92"/>
        <v>Sunday</v>
      </c>
      <c r="T969" t="str">
        <f t="shared" si="93"/>
        <v>Morning</v>
      </c>
      <c r="U969" t="str">
        <f t="shared" si="94"/>
        <v>Spring</v>
      </c>
      <c r="V969" t="str">
        <f t="shared" si="95"/>
        <v>Mist/Cloudy</v>
      </c>
    </row>
    <row r="970" spans="1:22">
      <c r="A970">
        <f>Master_Data!A970</f>
        <v>978</v>
      </c>
      <c r="B970">
        <f>Master_Data!B970</f>
        <v>40587</v>
      </c>
      <c r="C970">
        <f>Master_Data!C970</f>
        <v>1</v>
      </c>
      <c r="D970">
        <f>Master_Data!D970</f>
        <v>0</v>
      </c>
      <c r="E970">
        <f>Master_Data!E970</f>
        <v>2</v>
      </c>
      <c r="F970">
        <f>Master_Data!F970</f>
        <v>9</v>
      </c>
      <c r="G970" t="b">
        <f>Master_Data!G970</f>
        <v>0</v>
      </c>
      <c r="H970">
        <f>Master_Data!H970</f>
        <v>0</v>
      </c>
      <c r="I970">
        <f>Master_Data!I970</f>
        <v>2</v>
      </c>
      <c r="J970">
        <f>Master_Data!J970</f>
        <v>0.24</v>
      </c>
      <c r="K970">
        <f>Master_Data!K970</f>
        <v>0.2273</v>
      </c>
      <c r="L970">
        <f>Master_Data!L970</f>
        <v>0.6</v>
      </c>
      <c r="M970">
        <f>Master_Data!M970</f>
        <v>0.22389999999999999</v>
      </c>
      <c r="N970">
        <f>Master_Data!N970</f>
        <v>12</v>
      </c>
      <c r="O970">
        <f>Master_Data!O970</f>
        <v>35</v>
      </c>
      <c r="P970">
        <f>Master_Data!P970</f>
        <v>47</v>
      </c>
      <c r="Q970" t="str">
        <f t="shared" si="90"/>
        <v>2011</v>
      </c>
      <c r="R970" t="str">
        <f t="shared" si="91"/>
        <v>February</v>
      </c>
      <c r="S970" t="str">
        <f t="shared" si="92"/>
        <v>Sunday</v>
      </c>
      <c r="T970" t="str">
        <f t="shared" si="93"/>
        <v>Morning</v>
      </c>
      <c r="U970" t="str">
        <f t="shared" si="94"/>
        <v>Spring</v>
      </c>
      <c r="V970" t="str">
        <f t="shared" si="95"/>
        <v>Mist/Cloudy</v>
      </c>
    </row>
    <row r="971" spans="1:22">
      <c r="A971">
        <f>Master_Data!A971</f>
        <v>979</v>
      </c>
      <c r="B971">
        <f>Master_Data!B971</f>
        <v>40587</v>
      </c>
      <c r="C971">
        <f>Master_Data!C971</f>
        <v>1</v>
      </c>
      <c r="D971">
        <f>Master_Data!D971</f>
        <v>0</v>
      </c>
      <c r="E971">
        <f>Master_Data!E971</f>
        <v>2</v>
      </c>
      <c r="F971">
        <f>Master_Data!F971</f>
        <v>10</v>
      </c>
      <c r="G971" t="b">
        <f>Master_Data!G971</f>
        <v>0</v>
      </c>
      <c r="H971">
        <f>Master_Data!H971</f>
        <v>0</v>
      </c>
      <c r="I971">
        <f>Master_Data!I971</f>
        <v>1</v>
      </c>
      <c r="J971">
        <f>Master_Data!J971</f>
        <v>0.3</v>
      </c>
      <c r="K971">
        <f>Master_Data!K971</f>
        <v>0.2727</v>
      </c>
      <c r="L971">
        <f>Master_Data!L971</f>
        <v>0.45</v>
      </c>
      <c r="M971">
        <f>Master_Data!M971</f>
        <v>0.32840000000000003</v>
      </c>
      <c r="N971">
        <f>Master_Data!N971</f>
        <v>19</v>
      </c>
      <c r="O971">
        <f>Master_Data!O971</f>
        <v>86</v>
      </c>
      <c r="P971">
        <f>Master_Data!P971</f>
        <v>105</v>
      </c>
      <c r="Q971" t="str">
        <f t="shared" si="90"/>
        <v>2011</v>
      </c>
      <c r="R971" t="str">
        <f t="shared" si="91"/>
        <v>February</v>
      </c>
      <c r="S971" t="str">
        <f t="shared" si="92"/>
        <v>Sunday</v>
      </c>
      <c r="T971" t="str">
        <f t="shared" si="93"/>
        <v>Morning</v>
      </c>
      <c r="U971" t="str">
        <f t="shared" si="94"/>
        <v>Spring</v>
      </c>
      <c r="V971" t="str">
        <f t="shared" si="95"/>
        <v>Clear</v>
      </c>
    </row>
    <row r="972" spans="1:22">
      <c r="A972">
        <f>Master_Data!A972</f>
        <v>980</v>
      </c>
      <c r="B972">
        <f>Master_Data!B972</f>
        <v>40587</v>
      </c>
      <c r="C972">
        <f>Master_Data!C972</f>
        <v>1</v>
      </c>
      <c r="D972">
        <f>Master_Data!D972</f>
        <v>0</v>
      </c>
      <c r="E972">
        <f>Master_Data!E972</f>
        <v>2</v>
      </c>
      <c r="F972">
        <f>Master_Data!F972</f>
        <v>11</v>
      </c>
      <c r="G972" t="b">
        <f>Master_Data!G972</f>
        <v>0</v>
      </c>
      <c r="H972">
        <f>Master_Data!H972</f>
        <v>0</v>
      </c>
      <c r="I972">
        <f>Master_Data!I972</f>
        <v>1</v>
      </c>
      <c r="J972">
        <f>Master_Data!J972</f>
        <v>0.32</v>
      </c>
      <c r="K972">
        <f>Master_Data!K972</f>
        <v>0.28789999999999999</v>
      </c>
      <c r="L972">
        <f>Master_Data!L972</f>
        <v>0.39</v>
      </c>
      <c r="M972">
        <f>Master_Data!M972</f>
        <v>0.44779999999999998</v>
      </c>
      <c r="N972">
        <f>Master_Data!N972</f>
        <v>26</v>
      </c>
      <c r="O972">
        <f>Master_Data!O972</f>
        <v>86</v>
      </c>
      <c r="P972">
        <f>Master_Data!P972</f>
        <v>112</v>
      </c>
      <c r="Q972" t="str">
        <f t="shared" si="90"/>
        <v>2011</v>
      </c>
      <c r="R972" t="str">
        <f t="shared" si="91"/>
        <v>February</v>
      </c>
      <c r="S972" t="str">
        <f t="shared" si="92"/>
        <v>Sunday</v>
      </c>
      <c r="T972" t="str">
        <f t="shared" si="93"/>
        <v>Morning</v>
      </c>
      <c r="U972" t="str">
        <f t="shared" si="94"/>
        <v>Spring</v>
      </c>
      <c r="V972" t="str">
        <f t="shared" si="95"/>
        <v>Clear</v>
      </c>
    </row>
    <row r="973" spans="1:22">
      <c r="A973">
        <f>Master_Data!A973</f>
        <v>981</v>
      </c>
      <c r="B973">
        <f>Master_Data!B973</f>
        <v>40587</v>
      </c>
      <c r="C973">
        <f>Master_Data!C973</f>
        <v>1</v>
      </c>
      <c r="D973">
        <f>Master_Data!D973</f>
        <v>0</v>
      </c>
      <c r="E973">
        <f>Master_Data!E973</f>
        <v>2</v>
      </c>
      <c r="F973">
        <f>Master_Data!F973</f>
        <v>12</v>
      </c>
      <c r="G973" t="b">
        <f>Master_Data!G973</f>
        <v>0</v>
      </c>
      <c r="H973">
        <f>Master_Data!H973</f>
        <v>0</v>
      </c>
      <c r="I973">
        <f>Master_Data!I973</f>
        <v>1</v>
      </c>
      <c r="J973">
        <f>Master_Data!J973</f>
        <v>0.36</v>
      </c>
      <c r="K973">
        <f>Master_Data!K973</f>
        <v>0.31819999999999998</v>
      </c>
      <c r="L973">
        <f>Master_Data!L973</f>
        <v>0.32</v>
      </c>
      <c r="M973">
        <f>Master_Data!M973</f>
        <v>0.4627</v>
      </c>
      <c r="N973">
        <f>Master_Data!N973</f>
        <v>58</v>
      </c>
      <c r="O973">
        <f>Master_Data!O973</f>
        <v>94</v>
      </c>
      <c r="P973">
        <f>Master_Data!P973</f>
        <v>152</v>
      </c>
      <c r="Q973" t="str">
        <f t="shared" si="90"/>
        <v>2011</v>
      </c>
      <c r="R973" t="str">
        <f t="shared" si="91"/>
        <v>February</v>
      </c>
      <c r="S973" t="str">
        <f t="shared" si="92"/>
        <v>Sunday</v>
      </c>
      <c r="T973" t="str">
        <f t="shared" si="93"/>
        <v>Afternoon</v>
      </c>
      <c r="U973" t="str">
        <f t="shared" si="94"/>
        <v>Spring</v>
      </c>
      <c r="V973" t="str">
        <f t="shared" si="95"/>
        <v>Clear</v>
      </c>
    </row>
    <row r="974" spans="1:22">
      <c r="A974">
        <f>Master_Data!A974</f>
        <v>982</v>
      </c>
      <c r="B974">
        <f>Master_Data!B974</f>
        <v>40587</v>
      </c>
      <c r="C974">
        <f>Master_Data!C974</f>
        <v>1</v>
      </c>
      <c r="D974">
        <f>Master_Data!D974</f>
        <v>0</v>
      </c>
      <c r="E974">
        <f>Master_Data!E974</f>
        <v>2</v>
      </c>
      <c r="F974">
        <f>Master_Data!F974</f>
        <v>13</v>
      </c>
      <c r="G974" t="b">
        <f>Master_Data!G974</f>
        <v>0</v>
      </c>
      <c r="H974">
        <f>Master_Data!H974</f>
        <v>0</v>
      </c>
      <c r="I974">
        <f>Master_Data!I974</f>
        <v>1</v>
      </c>
      <c r="J974">
        <f>Master_Data!J974</f>
        <v>0.38</v>
      </c>
      <c r="K974">
        <f>Master_Data!K974</f>
        <v>0.39389999999999997</v>
      </c>
      <c r="L974">
        <f>Master_Data!L974</f>
        <v>0.28999999999999998</v>
      </c>
      <c r="M974">
        <f>Master_Data!M974</f>
        <v>0.35820000000000002</v>
      </c>
      <c r="N974">
        <f>Master_Data!N974</f>
        <v>62</v>
      </c>
      <c r="O974">
        <f>Master_Data!O974</f>
        <v>92</v>
      </c>
      <c r="P974">
        <f>Master_Data!P974</f>
        <v>154</v>
      </c>
      <c r="Q974" t="str">
        <f t="shared" si="90"/>
        <v>2011</v>
      </c>
      <c r="R974" t="str">
        <f t="shared" si="91"/>
        <v>February</v>
      </c>
      <c r="S974" t="str">
        <f t="shared" si="92"/>
        <v>Sunday</v>
      </c>
      <c r="T974" t="str">
        <f t="shared" si="93"/>
        <v>Afternoon</v>
      </c>
      <c r="U974" t="str">
        <f t="shared" si="94"/>
        <v>Spring</v>
      </c>
      <c r="V974" t="str">
        <f t="shared" si="95"/>
        <v>Clear</v>
      </c>
    </row>
    <row r="975" spans="1:22">
      <c r="A975">
        <f>Master_Data!A975</f>
        <v>983</v>
      </c>
      <c r="B975">
        <f>Master_Data!B975</f>
        <v>40587</v>
      </c>
      <c r="C975">
        <f>Master_Data!C975</f>
        <v>1</v>
      </c>
      <c r="D975">
        <f>Master_Data!D975</f>
        <v>0</v>
      </c>
      <c r="E975">
        <f>Master_Data!E975</f>
        <v>2</v>
      </c>
      <c r="F975">
        <f>Master_Data!F975</f>
        <v>14</v>
      </c>
      <c r="G975" t="b">
        <f>Master_Data!G975</f>
        <v>0</v>
      </c>
      <c r="H975">
        <f>Master_Data!H975</f>
        <v>0</v>
      </c>
      <c r="I975">
        <f>Master_Data!I975</f>
        <v>2</v>
      </c>
      <c r="J975">
        <f>Master_Data!J975</f>
        <v>0.4</v>
      </c>
      <c r="K975">
        <f>Master_Data!K975</f>
        <v>0.40910000000000002</v>
      </c>
      <c r="L975">
        <f>Master_Data!L975</f>
        <v>0.3</v>
      </c>
      <c r="M975">
        <f>Master_Data!M975</f>
        <v>0.41789999999999999</v>
      </c>
      <c r="N975">
        <f>Master_Data!N975</f>
        <v>51</v>
      </c>
      <c r="O975">
        <f>Master_Data!O975</f>
        <v>110</v>
      </c>
      <c r="P975">
        <f>Master_Data!P975</f>
        <v>161</v>
      </c>
      <c r="Q975" t="str">
        <f t="shared" si="90"/>
        <v>2011</v>
      </c>
      <c r="R975" t="str">
        <f t="shared" si="91"/>
        <v>February</v>
      </c>
      <c r="S975" t="str">
        <f t="shared" si="92"/>
        <v>Sunday</v>
      </c>
      <c r="T975" t="str">
        <f t="shared" si="93"/>
        <v>Afternoon</v>
      </c>
      <c r="U975" t="str">
        <f t="shared" si="94"/>
        <v>Spring</v>
      </c>
      <c r="V975" t="str">
        <f t="shared" si="95"/>
        <v>Mist/Cloudy</v>
      </c>
    </row>
    <row r="976" spans="1:22">
      <c r="A976">
        <f>Master_Data!A976</f>
        <v>984</v>
      </c>
      <c r="B976">
        <f>Master_Data!B976</f>
        <v>40587</v>
      </c>
      <c r="C976">
        <f>Master_Data!C976</f>
        <v>1</v>
      </c>
      <c r="D976">
        <f>Master_Data!D976</f>
        <v>0</v>
      </c>
      <c r="E976">
        <f>Master_Data!E976</f>
        <v>2</v>
      </c>
      <c r="F976">
        <f>Master_Data!F976</f>
        <v>15</v>
      </c>
      <c r="G976" t="b">
        <f>Master_Data!G976</f>
        <v>0</v>
      </c>
      <c r="H976">
        <f>Master_Data!H976</f>
        <v>0</v>
      </c>
      <c r="I976">
        <f>Master_Data!I976</f>
        <v>2</v>
      </c>
      <c r="J976">
        <f>Master_Data!J976</f>
        <v>0.4</v>
      </c>
      <c r="K976">
        <f>Master_Data!K976</f>
        <v>0.40910000000000002</v>
      </c>
      <c r="L976">
        <f>Master_Data!L976</f>
        <v>0.3</v>
      </c>
      <c r="M976">
        <f>Master_Data!M976</f>
        <v>0.29849999999999999</v>
      </c>
      <c r="N976">
        <f>Master_Data!N976</f>
        <v>40</v>
      </c>
      <c r="O976">
        <f>Master_Data!O976</f>
        <v>122</v>
      </c>
      <c r="P976">
        <f>Master_Data!P976</f>
        <v>162</v>
      </c>
      <c r="Q976" t="str">
        <f t="shared" si="90"/>
        <v>2011</v>
      </c>
      <c r="R976" t="str">
        <f t="shared" si="91"/>
        <v>February</v>
      </c>
      <c r="S976" t="str">
        <f t="shared" si="92"/>
        <v>Sunday</v>
      </c>
      <c r="T976" t="str">
        <f t="shared" si="93"/>
        <v>Afternoon</v>
      </c>
      <c r="U976" t="str">
        <f t="shared" si="94"/>
        <v>Spring</v>
      </c>
      <c r="V976" t="str">
        <f t="shared" si="95"/>
        <v>Mist/Cloudy</v>
      </c>
    </row>
    <row r="977" spans="1:22">
      <c r="A977">
        <f>Master_Data!A977</f>
        <v>985</v>
      </c>
      <c r="B977">
        <f>Master_Data!B977</f>
        <v>40587</v>
      </c>
      <c r="C977">
        <f>Master_Data!C977</f>
        <v>1</v>
      </c>
      <c r="D977">
        <f>Master_Data!D977</f>
        <v>0</v>
      </c>
      <c r="E977">
        <f>Master_Data!E977</f>
        <v>2</v>
      </c>
      <c r="F977">
        <f>Master_Data!F977</f>
        <v>16</v>
      </c>
      <c r="G977" t="b">
        <f>Master_Data!G977</f>
        <v>0</v>
      </c>
      <c r="H977">
        <f>Master_Data!H977</f>
        <v>0</v>
      </c>
      <c r="I977">
        <f>Master_Data!I977</f>
        <v>2</v>
      </c>
      <c r="J977">
        <f>Master_Data!J977</f>
        <v>0.42</v>
      </c>
      <c r="K977">
        <f>Master_Data!K977</f>
        <v>0.42420000000000002</v>
      </c>
      <c r="L977">
        <f>Master_Data!L977</f>
        <v>0.28000000000000003</v>
      </c>
      <c r="M977">
        <f>Master_Data!M977</f>
        <v>0.32840000000000003</v>
      </c>
      <c r="N977">
        <f>Master_Data!N977</f>
        <v>28</v>
      </c>
      <c r="O977">
        <f>Master_Data!O977</f>
        <v>106</v>
      </c>
      <c r="P977">
        <f>Master_Data!P977</f>
        <v>134</v>
      </c>
      <c r="Q977" t="str">
        <f t="shared" si="90"/>
        <v>2011</v>
      </c>
      <c r="R977" t="str">
        <f t="shared" si="91"/>
        <v>February</v>
      </c>
      <c r="S977" t="str">
        <f t="shared" si="92"/>
        <v>Sunday</v>
      </c>
      <c r="T977" t="str">
        <f t="shared" si="93"/>
        <v>Afternoon</v>
      </c>
      <c r="U977" t="str">
        <f t="shared" si="94"/>
        <v>Spring</v>
      </c>
      <c r="V977" t="str">
        <f t="shared" si="95"/>
        <v>Mist/Cloudy</v>
      </c>
    </row>
    <row r="978" spans="1:22">
      <c r="A978">
        <f>Master_Data!A978</f>
        <v>986</v>
      </c>
      <c r="B978">
        <f>Master_Data!B978</f>
        <v>40587</v>
      </c>
      <c r="C978">
        <f>Master_Data!C978</f>
        <v>1</v>
      </c>
      <c r="D978">
        <f>Master_Data!D978</f>
        <v>0</v>
      </c>
      <c r="E978">
        <f>Master_Data!E978</f>
        <v>2</v>
      </c>
      <c r="F978">
        <f>Master_Data!F978</f>
        <v>17</v>
      </c>
      <c r="G978" t="b">
        <f>Master_Data!G978</f>
        <v>0</v>
      </c>
      <c r="H978">
        <f>Master_Data!H978</f>
        <v>0</v>
      </c>
      <c r="I978">
        <f>Master_Data!I978</f>
        <v>1</v>
      </c>
      <c r="J978">
        <f>Master_Data!J978</f>
        <v>0.42</v>
      </c>
      <c r="K978">
        <f>Master_Data!K978</f>
        <v>0.42420000000000002</v>
      </c>
      <c r="L978">
        <f>Master_Data!L978</f>
        <v>0.28000000000000003</v>
      </c>
      <c r="M978">
        <f>Master_Data!M978</f>
        <v>0.32840000000000003</v>
      </c>
      <c r="N978">
        <f>Master_Data!N978</f>
        <v>30</v>
      </c>
      <c r="O978">
        <f>Master_Data!O978</f>
        <v>95</v>
      </c>
      <c r="P978">
        <f>Master_Data!P978</f>
        <v>125</v>
      </c>
      <c r="Q978" t="str">
        <f t="shared" si="90"/>
        <v>2011</v>
      </c>
      <c r="R978" t="str">
        <f t="shared" si="91"/>
        <v>February</v>
      </c>
      <c r="S978" t="str">
        <f t="shared" si="92"/>
        <v>Sunday</v>
      </c>
      <c r="T978" t="str">
        <f t="shared" si="93"/>
        <v>Evening</v>
      </c>
      <c r="U978" t="str">
        <f t="shared" si="94"/>
        <v>Spring</v>
      </c>
      <c r="V978" t="str">
        <f t="shared" si="95"/>
        <v>Clear</v>
      </c>
    </row>
    <row r="979" spans="1:22">
      <c r="A979">
        <f>Master_Data!A979</f>
        <v>987</v>
      </c>
      <c r="B979">
        <f>Master_Data!B979</f>
        <v>40587</v>
      </c>
      <c r="C979">
        <f>Master_Data!C979</f>
        <v>1</v>
      </c>
      <c r="D979">
        <f>Master_Data!D979</f>
        <v>0</v>
      </c>
      <c r="E979">
        <f>Master_Data!E979</f>
        <v>2</v>
      </c>
      <c r="F979">
        <f>Master_Data!F979</f>
        <v>18</v>
      </c>
      <c r="G979" t="b">
        <f>Master_Data!G979</f>
        <v>0</v>
      </c>
      <c r="H979">
        <f>Master_Data!H979</f>
        <v>0</v>
      </c>
      <c r="I979">
        <f>Master_Data!I979</f>
        <v>1</v>
      </c>
      <c r="J979">
        <f>Master_Data!J979</f>
        <v>0.4</v>
      </c>
      <c r="K979">
        <f>Master_Data!K979</f>
        <v>0.40910000000000002</v>
      </c>
      <c r="L979">
        <f>Master_Data!L979</f>
        <v>0.32</v>
      </c>
      <c r="M979">
        <f>Master_Data!M979</f>
        <v>0.29849999999999999</v>
      </c>
      <c r="N979">
        <f>Master_Data!N979</f>
        <v>17</v>
      </c>
      <c r="O979">
        <f>Master_Data!O979</f>
        <v>78</v>
      </c>
      <c r="P979">
        <f>Master_Data!P979</f>
        <v>95</v>
      </c>
      <c r="Q979" t="str">
        <f t="shared" si="90"/>
        <v>2011</v>
      </c>
      <c r="R979" t="str">
        <f t="shared" si="91"/>
        <v>February</v>
      </c>
      <c r="S979" t="str">
        <f t="shared" si="92"/>
        <v>Sunday</v>
      </c>
      <c r="T979" t="str">
        <f t="shared" si="93"/>
        <v>Evening</v>
      </c>
      <c r="U979" t="str">
        <f t="shared" si="94"/>
        <v>Spring</v>
      </c>
      <c r="V979" t="str">
        <f t="shared" si="95"/>
        <v>Clear</v>
      </c>
    </row>
    <row r="980" spans="1:22">
      <c r="A980">
        <f>Master_Data!A980</f>
        <v>988</v>
      </c>
      <c r="B980">
        <f>Master_Data!B980</f>
        <v>40587</v>
      </c>
      <c r="C980">
        <f>Master_Data!C980</f>
        <v>1</v>
      </c>
      <c r="D980">
        <f>Master_Data!D980</f>
        <v>0</v>
      </c>
      <c r="E980">
        <f>Master_Data!E980</f>
        <v>2</v>
      </c>
      <c r="F980">
        <f>Master_Data!F980</f>
        <v>19</v>
      </c>
      <c r="G980" t="b">
        <f>Master_Data!G980</f>
        <v>0</v>
      </c>
      <c r="H980">
        <f>Master_Data!H980</f>
        <v>0</v>
      </c>
      <c r="I980">
        <f>Master_Data!I980</f>
        <v>1</v>
      </c>
      <c r="J980">
        <f>Master_Data!J980</f>
        <v>0.4</v>
      </c>
      <c r="K980">
        <f>Master_Data!K980</f>
        <v>0.40910000000000002</v>
      </c>
      <c r="L980">
        <f>Master_Data!L980</f>
        <v>0.35</v>
      </c>
      <c r="M980">
        <f>Master_Data!M980</f>
        <v>0.28360000000000002</v>
      </c>
      <c r="N980">
        <f>Master_Data!N980</f>
        <v>11</v>
      </c>
      <c r="O980">
        <f>Master_Data!O980</f>
        <v>50</v>
      </c>
      <c r="P980">
        <f>Master_Data!P980</f>
        <v>61</v>
      </c>
      <c r="Q980" t="str">
        <f t="shared" si="90"/>
        <v>2011</v>
      </c>
      <c r="R980" t="str">
        <f t="shared" si="91"/>
        <v>February</v>
      </c>
      <c r="S980" t="str">
        <f t="shared" si="92"/>
        <v>Sunday</v>
      </c>
      <c r="T980" t="str">
        <f t="shared" si="93"/>
        <v>Evening</v>
      </c>
      <c r="U980" t="str">
        <f t="shared" si="94"/>
        <v>Spring</v>
      </c>
      <c r="V980" t="str">
        <f t="shared" si="95"/>
        <v>Clear</v>
      </c>
    </row>
    <row r="981" spans="1:22">
      <c r="A981">
        <f>Master_Data!A981</f>
        <v>989</v>
      </c>
      <c r="B981">
        <f>Master_Data!B981</f>
        <v>40587</v>
      </c>
      <c r="C981">
        <f>Master_Data!C981</f>
        <v>1</v>
      </c>
      <c r="D981">
        <f>Master_Data!D981</f>
        <v>0</v>
      </c>
      <c r="E981">
        <f>Master_Data!E981</f>
        <v>2</v>
      </c>
      <c r="F981">
        <f>Master_Data!F981</f>
        <v>20</v>
      </c>
      <c r="G981" t="b">
        <f>Master_Data!G981</f>
        <v>0</v>
      </c>
      <c r="H981">
        <f>Master_Data!H981</f>
        <v>0</v>
      </c>
      <c r="I981">
        <f>Master_Data!I981</f>
        <v>1</v>
      </c>
      <c r="J981">
        <f>Master_Data!J981</f>
        <v>0.4</v>
      </c>
      <c r="K981">
        <f>Master_Data!K981</f>
        <v>0.40910000000000002</v>
      </c>
      <c r="L981">
        <f>Master_Data!L981</f>
        <v>0.35</v>
      </c>
      <c r="M981">
        <f>Master_Data!M981</f>
        <v>0.32840000000000003</v>
      </c>
      <c r="N981">
        <f>Master_Data!N981</f>
        <v>15</v>
      </c>
      <c r="O981">
        <f>Master_Data!O981</f>
        <v>32</v>
      </c>
      <c r="P981">
        <f>Master_Data!P981</f>
        <v>47</v>
      </c>
      <c r="Q981" t="str">
        <f t="shared" si="90"/>
        <v>2011</v>
      </c>
      <c r="R981" t="str">
        <f t="shared" si="91"/>
        <v>February</v>
      </c>
      <c r="S981" t="str">
        <f t="shared" si="92"/>
        <v>Sunday</v>
      </c>
      <c r="T981" t="str">
        <f t="shared" si="93"/>
        <v>Evening</v>
      </c>
      <c r="U981" t="str">
        <f t="shared" si="94"/>
        <v>Spring</v>
      </c>
      <c r="V981" t="str">
        <f t="shared" si="95"/>
        <v>Clear</v>
      </c>
    </row>
    <row r="982" spans="1:22">
      <c r="A982">
        <f>Master_Data!A982</f>
        <v>990</v>
      </c>
      <c r="B982">
        <f>Master_Data!B982</f>
        <v>40587</v>
      </c>
      <c r="C982">
        <f>Master_Data!C982</f>
        <v>1</v>
      </c>
      <c r="D982">
        <f>Master_Data!D982</f>
        <v>0</v>
      </c>
      <c r="E982">
        <f>Master_Data!E982</f>
        <v>2</v>
      </c>
      <c r="F982">
        <f>Master_Data!F982</f>
        <v>21</v>
      </c>
      <c r="G982" t="b">
        <f>Master_Data!G982</f>
        <v>0</v>
      </c>
      <c r="H982">
        <f>Master_Data!H982</f>
        <v>0</v>
      </c>
      <c r="I982">
        <f>Master_Data!I982</f>
        <v>1</v>
      </c>
      <c r="J982">
        <f>Master_Data!J982</f>
        <v>0.4</v>
      </c>
      <c r="K982">
        <f>Master_Data!K982</f>
        <v>0.40910000000000002</v>
      </c>
      <c r="L982">
        <f>Master_Data!L982</f>
        <v>0.35</v>
      </c>
      <c r="M982">
        <f>Master_Data!M982</f>
        <v>0.35820000000000002</v>
      </c>
      <c r="N982">
        <f>Master_Data!N982</f>
        <v>6</v>
      </c>
      <c r="O982">
        <f>Master_Data!O982</f>
        <v>45</v>
      </c>
      <c r="P982">
        <f>Master_Data!P982</f>
        <v>51</v>
      </c>
      <c r="Q982" t="str">
        <f t="shared" si="90"/>
        <v>2011</v>
      </c>
      <c r="R982" t="str">
        <f t="shared" si="91"/>
        <v>February</v>
      </c>
      <c r="S982" t="str">
        <f t="shared" si="92"/>
        <v>Sunday</v>
      </c>
      <c r="T982" t="str">
        <f t="shared" si="93"/>
        <v>Night</v>
      </c>
      <c r="U982" t="str">
        <f t="shared" si="94"/>
        <v>Spring</v>
      </c>
      <c r="V982" t="str">
        <f t="shared" si="95"/>
        <v>Clear</v>
      </c>
    </row>
    <row r="983" spans="1:22">
      <c r="A983">
        <f>Master_Data!A983</f>
        <v>991</v>
      </c>
      <c r="B983">
        <f>Master_Data!B983</f>
        <v>40587</v>
      </c>
      <c r="C983">
        <f>Master_Data!C983</f>
        <v>1</v>
      </c>
      <c r="D983">
        <f>Master_Data!D983</f>
        <v>0</v>
      </c>
      <c r="E983">
        <f>Master_Data!E983</f>
        <v>2</v>
      </c>
      <c r="F983">
        <f>Master_Data!F983</f>
        <v>22</v>
      </c>
      <c r="G983" t="b">
        <f>Master_Data!G983</f>
        <v>0</v>
      </c>
      <c r="H983">
        <f>Master_Data!H983</f>
        <v>0</v>
      </c>
      <c r="I983">
        <f>Master_Data!I983</f>
        <v>1</v>
      </c>
      <c r="J983">
        <f>Master_Data!J983</f>
        <v>0.4</v>
      </c>
      <c r="K983">
        <f>Master_Data!K983</f>
        <v>0.40910000000000002</v>
      </c>
      <c r="L983">
        <f>Master_Data!L983</f>
        <v>0.35</v>
      </c>
      <c r="M983">
        <f>Master_Data!M983</f>
        <v>0.29849999999999999</v>
      </c>
      <c r="N983">
        <f>Master_Data!N983</f>
        <v>5</v>
      </c>
      <c r="O983">
        <f>Master_Data!O983</f>
        <v>31</v>
      </c>
      <c r="P983">
        <f>Master_Data!P983</f>
        <v>36</v>
      </c>
      <c r="Q983" t="str">
        <f t="shared" si="90"/>
        <v>2011</v>
      </c>
      <c r="R983" t="str">
        <f t="shared" si="91"/>
        <v>February</v>
      </c>
      <c r="S983" t="str">
        <f t="shared" si="92"/>
        <v>Sunday</v>
      </c>
      <c r="T983" t="str">
        <f t="shared" si="93"/>
        <v>Night</v>
      </c>
      <c r="U983" t="str">
        <f t="shared" si="94"/>
        <v>Spring</v>
      </c>
      <c r="V983" t="str">
        <f t="shared" si="95"/>
        <v>Clear</v>
      </c>
    </row>
    <row r="984" spans="1:22">
      <c r="A984">
        <f>Master_Data!A984</f>
        <v>992</v>
      </c>
      <c r="B984">
        <f>Master_Data!B984</f>
        <v>40587</v>
      </c>
      <c r="C984">
        <f>Master_Data!C984</f>
        <v>1</v>
      </c>
      <c r="D984">
        <f>Master_Data!D984</f>
        <v>0</v>
      </c>
      <c r="E984">
        <f>Master_Data!E984</f>
        <v>2</v>
      </c>
      <c r="F984">
        <f>Master_Data!F984</f>
        <v>23</v>
      </c>
      <c r="G984" t="b">
        <f>Master_Data!G984</f>
        <v>0</v>
      </c>
      <c r="H984">
        <f>Master_Data!H984</f>
        <v>0</v>
      </c>
      <c r="I984">
        <f>Master_Data!I984</f>
        <v>1</v>
      </c>
      <c r="J984">
        <f>Master_Data!J984</f>
        <v>0.4</v>
      </c>
      <c r="K984">
        <f>Master_Data!K984</f>
        <v>0.40910000000000002</v>
      </c>
      <c r="L984">
        <f>Master_Data!L984</f>
        <v>0.35</v>
      </c>
      <c r="M984">
        <f>Master_Data!M984</f>
        <v>0.35820000000000002</v>
      </c>
      <c r="N984">
        <f>Master_Data!N984</f>
        <v>3</v>
      </c>
      <c r="O984">
        <f>Master_Data!O984</f>
        <v>27</v>
      </c>
      <c r="P984">
        <f>Master_Data!P984</f>
        <v>30</v>
      </c>
      <c r="Q984" t="str">
        <f t="shared" si="90"/>
        <v>2011</v>
      </c>
      <c r="R984" t="str">
        <f t="shared" si="91"/>
        <v>February</v>
      </c>
      <c r="S984" t="str">
        <f t="shared" si="92"/>
        <v>Sunday</v>
      </c>
      <c r="T984" t="str">
        <f t="shared" si="93"/>
        <v>Night</v>
      </c>
      <c r="U984" t="str">
        <f t="shared" si="94"/>
        <v>Spring</v>
      </c>
      <c r="V984" t="str">
        <f t="shared" si="95"/>
        <v>Clear</v>
      </c>
    </row>
    <row r="985" spans="1:22">
      <c r="A985">
        <f>Master_Data!A985</f>
        <v>993</v>
      </c>
      <c r="B985">
        <f>Master_Data!B985</f>
        <v>40588</v>
      </c>
      <c r="C985">
        <f>Master_Data!C985</f>
        <v>1</v>
      </c>
      <c r="D985">
        <f>Master_Data!D985</f>
        <v>0</v>
      </c>
      <c r="E985">
        <f>Master_Data!E985</f>
        <v>2</v>
      </c>
      <c r="F985">
        <f>Master_Data!F985</f>
        <v>0</v>
      </c>
      <c r="G985" t="b">
        <f>Master_Data!G985</f>
        <v>0</v>
      </c>
      <c r="H985">
        <f>Master_Data!H985</f>
        <v>1</v>
      </c>
      <c r="I985">
        <f>Master_Data!I985</f>
        <v>1</v>
      </c>
      <c r="J985">
        <f>Master_Data!J985</f>
        <v>0.38</v>
      </c>
      <c r="K985">
        <f>Master_Data!K985</f>
        <v>0.39389999999999997</v>
      </c>
      <c r="L985">
        <f>Master_Data!L985</f>
        <v>0.37</v>
      </c>
      <c r="M985">
        <f>Master_Data!M985</f>
        <v>0.35820000000000002</v>
      </c>
      <c r="N985">
        <f>Master_Data!N985</f>
        <v>3</v>
      </c>
      <c r="O985">
        <f>Master_Data!O985</f>
        <v>8</v>
      </c>
      <c r="P985">
        <f>Master_Data!P985</f>
        <v>11</v>
      </c>
      <c r="Q985" t="str">
        <f t="shared" si="90"/>
        <v>2011</v>
      </c>
      <c r="R985" t="str">
        <f t="shared" si="91"/>
        <v>February</v>
      </c>
      <c r="S985" t="str">
        <f t="shared" si="92"/>
        <v>Weekday</v>
      </c>
      <c r="T985" t="str">
        <f t="shared" si="93"/>
        <v>Night</v>
      </c>
      <c r="U985" t="str">
        <f t="shared" si="94"/>
        <v>Spring</v>
      </c>
      <c r="V985" t="str">
        <f t="shared" si="95"/>
        <v>Clear</v>
      </c>
    </row>
    <row r="986" spans="1:22">
      <c r="A986">
        <f>Master_Data!A986</f>
        <v>994</v>
      </c>
      <c r="B986">
        <f>Master_Data!B986</f>
        <v>40588</v>
      </c>
      <c r="C986">
        <f>Master_Data!C986</f>
        <v>1</v>
      </c>
      <c r="D986">
        <f>Master_Data!D986</f>
        <v>0</v>
      </c>
      <c r="E986">
        <f>Master_Data!E986</f>
        <v>2</v>
      </c>
      <c r="F986">
        <f>Master_Data!F986</f>
        <v>1</v>
      </c>
      <c r="G986" t="b">
        <f>Master_Data!G986</f>
        <v>0</v>
      </c>
      <c r="H986">
        <f>Master_Data!H986</f>
        <v>1</v>
      </c>
      <c r="I986">
        <f>Master_Data!I986</f>
        <v>1</v>
      </c>
      <c r="J986">
        <f>Master_Data!J986</f>
        <v>0.38</v>
      </c>
      <c r="K986">
        <f>Master_Data!K986</f>
        <v>0.39389999999999997</v>
      </c>
      <c r="L986">
        <f>Master_Data!L986</f>
        <v>0.37</v>
      </c>
      <c r="M986">
        <f>Master_Data!M986</f>
        <v>0.35820000000000002</v>
      </c>
      <c r="N986">
        <f>Master_Data!N986</f>
        <v>1</v>
      </c>
      <c r="O986">
        <f>Master_Data!O986</f>
        <v>6</v>
      </c>
      <c r="P986">
        <f>Master_Data!P986</f>
        <v>7</v>
      </c>
      <c r="Q986" t="str">
        <f t="shared" si="90"/>
        <v>2011</v>
      </c>
      <c r="R986" t="str">
        <f t="shared" si="91"/>
        <v>February</v>
      </c>
      <c r="S986" t="str">
        <f t="shared" si="92"/>
        <v>Weekday</v>
      </c>
      <c r="T986" t="str">
        <f t="shared" si="93"/>
        <v>Night</v>
      </c>
      <c r="U986" t="str">
        <f t="shared" si="94"/>
        <v>Spring</v>
      </c>
      <c r="V986" t="str">
        <f t="shared" si="95"/>
        <v>Clear</v>
      </c>
    </row>
    <row r="987" spans="1:22">
      <c r="A987">
        <f>Master_Data!A987</f>
        <v>995</v>
      </c>
      <c r="B987">
        <f>Master_Data!B987</f>
        <v>40588</v>
      </c>
      <c r="C987">
        <f>Master_Data!C987</f>
        <v>1</v>
      </c>
      <c r="D987">
        <f>Master_Data!D987</f>
        <v>0</v>
      </c>
      <c r="E987">
        <f>Master_Data!E987</f>
        <v>2</v>
      </c>
      <c r="F987">
        <f>Master_Data!F987</f>
        <v>2</v>
      </c>
      <c r="G987" t="b">
        <f>Master_Data!G987</f>
        <v>0</v>
      </c>
      <c r="H987">
        <f>Master_Data!H987</f>
        <v>1</v>
      </c>
      <c r="I987">
        <f>Master_Data!I987</f>
        <v>1</v>
      </c>
      <c r="J987">
        <f>Master_Data!J987</f>
        <v>0.36</v>
      </c>
      <c r="K987">
        <f>Master_Data!K987</f>
        <v>0.33329999999999999</v>
      </c>
      <c r="L987">
        <f>Master_Data!L987</f>
        <v>0.4</v>
      </c>
      <c r="M987">
        <f>Master_Data!M987</f>
        <v>0.29849999999999999</v>
      </c>
      <c r="N987">
        <f>Master_Data!N987</f>
        <v>0</v>
      </c>
      <c r="O987">
        <f>Master_Data!O987</f>
        <v>2</v>
      </c>
      <c r="P987">
        <f>Master_Data!P987</f>
        <v>2</v>
      </c>
      <c r="Q987" t="str">
        <f t="shared" si="90"/>
        <v>2011</v>
      </c>
      <c r="R987" t="str">
        <f t="shared" si="91"/>
        <v>February</v>
      </c>
      <c r="S987" t="str">
        <f t="shared" si="92"/>
        <v>Weekday</v>
      </c>
      <c r="T987" t="str">
        <f t="shared" si="93"/>
        <v>Night</v>
      </c>
      <c r="U987" t="str">
        <f t="shared" si="94"/>
        <v>Spring</v>
      </c>
      <c r="V987" t="str">
        <f t="shared" si="95"/>
        <v>Clear</v>
      </c>
    </row>
    <row r="988" spans="1:22">
      <c r="A988">
        <f>Master_Data!A988</f>
        <v>996</v>
      </c>
      <c r="B988">
        <f>Master_Data!B988</f>
        <v>40588</v>
      </c>
      <c r="C988">
        <f>Master_Data!C988</f>
        <v>1</v>
      </c>
      <c r="D988">
        <f>Master_Data!D988</f>
        <v>0</v>
      </c>
      <c r="E988">
        <f>Master_Data!E988</f>
        <v>2</v>
      </c>
      <c r="F988">
        <f>Master_Data!F988</f>
        <v>3</v>
      </c>
      <c r="G988" t="b">
        <f>Master_Data!G988</f>
        <v>0</v>
      </c>
      <c r="H988">
        <f>Master_Data!H988</f>
        <v>1</v>
      </c>
      <c r="I988">
        <f>Master_Data!I988</f>
        <v>1</v>
      </c>
      <c r="J988">
        <f>Master_Data!J988</f>
        <v>0.34</v>
      </c>
      <c r="K988">
        <f>Master_Data!K988</f>
        <v>0.31819999999999998</v>
      </c>
      <c r="L988">
        <f>Master_Data!L988</f>
        <v>0.46</v>
      </c>
      <c r="M988">
        <f>Master_Data!M988</f>
        <v>0.22389999999999999</v>
      </c>
      <c r="N988">
        <f>Master_Data!N988</f>
        <v>1</v>
      </c>
      <c r="O988">
        <f>Master_Data!O988</f>
        <v>1</v>
      </c>
      <c r="P988">
        <f>Master_Data!P988</f>
        <v>2</v>
      </c>
      <c r="Q988" t="str">
        <f t="shared" si="90"/>
        <v>2011</v>
      </c>
      <c r="R988" t="str">
        <f t="shared" si="91"/>
        <v>February</v>
      </c>
      <c r="S988" t="str">
        <f t="shared" si="92"/>
        <v>Weekday</v>
      </c>
      <c r="T988" t="str">
        <f t="shared" si="93"/>
        <v>Night</v>
      </c>
      <c r="U988" t="str">
        <f t="shared" si="94"/>
        <v>Spring</v>
      </c>
      <c r="V988" t="str">
        <f t="shared" si="95"/>
        <v>Clear</v>
      </c>
    </row>
    <row r="989" spans="1:22">
      <c r="A989">
        <f>Master_Data!A989</f>
        <v>997</v>
      </c>
      <c r="B989">
        <f>Master_Data!B989</f>
        <v>40588</v>
      </c>
      <c r="C989">
        <f>Master_Data!C989</f>
        <v>1</v>
      </c>
      <c r="D989">
        <f>Master_Data!D989</f>
        <v>0</v>
      </c>
      <c r="E989">
        <f>Master_Data!E989</f>
        <v>2</v>
      </c>
      <c r="F989">
        <f>Master_Data!F989</f>
        <v>4</v>
      </c>
      <c r="G989" t="b">
        <f>Master_Data!G989</f>
        <v>0</v>
      </c>
      <c r="H989">
        <f>Master_Data!H989</f>
        <v>1</v>
      </c>
      <c r="I989">
        <f>Master_Data!I989</f>
        <v>1</v>
      </c>
      <c r="J989">
        <f>Master_Data!J989</f>
        <v>0.32</v>
      </c>
      <c r="K989">
        <f>Master_Data!K989</f>
        <v>0.30299999999999999</v>
      </c>
      <c r="L989">
        <f>Master_Data!L989</f>
        <v>0.53</v>
      </c>
      <c r="M989">
        <f>Master_Data!M989</f>
        <v>0.28360000000000002</v>
      </c>
      <c r="N989">
        <f>Master_Data!N989</f>
        <v>0</v>
      </c>
      <c r="O989">
        <f>Master_Data!O989</f>
        <v>2</v>
      </c>
      <c r="P989">
        <f>Master_Data!P989</f>
        <v>2</v>
      </c>
      <c r="Q989" t="str">
        <f t="shared" si="90"/>
        <v>2011</v>
      </c>
      <c r="R989" t="str">
        <f t="shared" si="91"/>
        <v>February</v>
      </c>
      <c r="S989" t="str">
        <f t="shared" si="92"/>
        <v>Weekday</v>
      </c>
      <c r="T989" t="str">
        <f t="shared" si="93"/>
        <v>Night</v>
      </c>
      <c r="U989" t="str">
        <f t="shared" si="94"/>
        <v>Spring</v>
      </c>
      <c r="V989" t="str">
        <f t="shared" si="95"/>
        <v>Clear</v>
      </c>
    </row>
    <row r="990" spans="1:22">
      <c r="A990">
        <f>Master_Data!A990</f>
        <v>998</v>
      </c>
      <c r="B990">
        <f>Master_Data!B990</f>
        <v>40588</v>
      </c>
      <c r="C990">
        <f>Master_Data!C990</f>
        <v>1</v>
      </c>
      <c r="D990">
        <f>Master_Data!D990</f>
        <v>0</v>
      </c>
      <c r="E990">
        <f>Master_Data!E990</f>
        <v>2</v>
      </c>
      <c r="F990">
        <f>Master_Data!F990</f>
        <v>5</v>
      </c>
      <c r="G990" t="b">
        <f>Master_Data!G990</f>
        <v>0</v>
      </c>
      <c r="H990">
        <f>Master_Data!H990</f>
        <v>1</v>
      </c>
      <c r="I990">
        <f>Master_Data!I990</f>
        <v>1</v>
      </c>
      <c r="J990">
        <f>Master_Data!J990</f>
        <v>0.32</v>
      </c>
      <c r="K990">
        <f>Master_Data!K990</f>
        <v>0.30299999999999999</v>
      </c>
      <c r="L990">
        <f>Master_Data!L990</f>
        <v>0.53</v>
      </c>
      <c r="M990">
        <f>Master_Data!M990</f>
        <v>0.28360000000000002</v>
      </c>
      <c r="N990">
        <f>Master_Data!N990</f>
        <v>0</v>
      </c>
      <c r="O990">
        <f>Master_Data!O990</f>
        <v>3</v>
      </c>
      <c r="P990">
        <f>Master_Data!P990</f>
        <v>3</v>
      </c>
      <c r="Q990" t="str">
        <f t="shared" si="90"/>
        <v>2011</v>
      </c>
      <c r="R990" t="str">
        <f t="shared" si="91"/>
        <v>February</v>
      </c>
      <c r="S990" t="str">
        <f t="shared" si="92"/>
        <v>Weekday</v>
      </c>
      <c r="T990" t="str">
        <f t="shared" si="93"/>
        <v>Night</v>
      </c>
      <c r="U990" t="str">
        <f t="shared" si="94"/>
        <v>Spring</v>
      </c>
      <c r="V990" t="str">
        <f t="shared" si="95"/>
        <v>Clear</v>
      </c>
    </row>
    <row r="991" spans="1:22">
      <c r="A991">
        <f>Master_Data!A991</f>
        <v>999</v>
      </c>
      <c r="B991">
        <f>Master_Data!B991</f>
        <v>40588</v>
      </c>
      <c r="C991">
        <f>Master_Data!C991</f>
        <v>1</v>
      </c>
      <c r="D991">
        <f>Master_Data!D991</f>
        <v>0</v>
      </c>
      <c r="E991">
        <f>Master_Data!E991</f>
        <v>2</v>
      </c>
      <c r="F991">
        <f>Master_Data!F991</f>
        <v>6</v>
      </c>
      <c r="G991" t="b">
        <f>Master_Data!G991</f>
        <v>0</v>
      </c>
      <c r="H991">
        <f>Master_Data!H991</f>
        <v>1</v>
      </c>
      <c r="I991">
        <f>Master_Data!I991</f>
        <v>1</v>
      </c>
      <c r="J991">
        <f>Master_Data!J991</f>
        <v>0.34</v>
      </c>
      <c r="K991">
        <f>Master_Data!K991</f>
        <v>0.30299999999999999</v>
      </c>
      <c r="L991">
        <f>Master_Data!L991</f>
        <v>0.46</v>
      </c>
      <c r="M991">
        <f>Master_Data!M991</f>
        <v>0.29849999999999999</v>
      </c>
      <c r="N991">
        <f>Master_Data!N991</f>
        <v>1</v>
      </c>
      <c r="O991">
        <f>Master_Data!O991</f>
        <v>25</v>
      </c>
      <c r="P991">
        <f>Master_Data!P991</f>
        <v>26</v>
      </c>
      <c r="Q991" t="str">
        <f t="shared" si="90"/>
        <v>2011</v>
      </c>
      <c r="R991" t="str">
        <f t="shared" si="91"/>
        <v>February</v>
      </c>
      <c r="S991" t="str">
        <f t="shared" si="92"/>
        <v>Weekday</v>
      </c>
      <c r="T991" t="str">
        <f t="shared" si="93"/>
        <v>Morning</v>
      </c>
      <c r="U991" t="str">
        <f t="shared" si="94"/>
        <v>Spring</v>
      </c>
      <c r="V991" t="str">
        <f t="shared" si="95"/>
        <v>Clear</v>
      </c>
    </row>
    <row r="992" spans="1:22">
      <c r="A992">
        <f>Master_Data!A992</f>
        <v>1000</v>
      </c>
      <c r="B992">
        <f>Master_Data!B992</f>
        <v>40588</v>
      </c>
      <c r="C992">
        <f>Master_Data!C992</f>
        <v>1</v>
      </c>
      <c r="D992">
        <f>Master_Data!D992</f>
        <v>0</v>
      </c>
      <c r="E992">
        <f>Master_Data!E992</f>
        <v>2</v>
      </c>
      <c r="F992">
        <f>Master_Data!F992</f>
        <v>7</v>
      </c>
      <c r="G992" t="b">
        <f>Master_Data!G992</f>
        <v>0</v>
      </c>
      <c r="H992">
        <f>Master_Data!H992</f>
        <v>1</v>
      </c>
      <c r="I992">
        <f>Master_Data!I992</f>
        <v>1</v>
      </c>
      <c r="J992">
        <f>Master_Data!J992</f>
        <v>0.34</v>
      </c>
      <c r="K992">
        <f>Master_Data!K992</f>
        <v>0.30299999999999999</v>
      </c>
      <c r="L992">
        <f>Master_Data!L992</f>
        <v>0.46</v>
      </c>
      <c r="M992">
        <f>Master_Data!M992</f>
        <v>0.29849999999999999</v>
      </c>
      <c r="N992">
        <f>Master_Data!N992</f>
        <v>2</v>
      </c>
      <c r="O992">
        <f>Master_Data!O992</f>
        <v>96</v>
      </c>
      <c r="P992">
        <f>Master_Data!P992</f>
        <v>98</v>
      </c>
      <c r="Q992" t="str">
        <f t="shared" si="90"/>
        <v>2011</v>
      </c>
      <c r="R992" t="str">
        <f t="shared" si="91"/>
        <v>February</v>
      </c>
      <c r="S992" t="str">
        <f t="shared" si="92"/>
        <v>Weekday</v>
      </c>
      <c r="T992" t="str">
        <f t="shared" si="93"/>
        <v>Morning</v>
      </c>
      <c r="U992" t="str">
        <f t="shared" si="94"/>
        <v>Spring</v>
      </c>
      <c r="V992" t="str">
        <f t="shared" si="95"/>
        <v>Clear</v>
      </c>
    </row>
    <row r="993" spans="1:22">
      <c r="A993">
        <f>Master_Data!A993</f>
        <v>611</v>
      </c>
      <c r="B993">
        <f>Master_Data!B993</f>
        <v>40571</v>
      </c>
      <c r="C993">
        <f>Master_Data!C993</f>
        <v>1</v>
      </c>
      <c r="D993">
        <f>Master_Data!D993</f>
        <v>0</v>
      </c>
      <c r="E993">
        <f>Master_Data!E993</f>
        <v>1</v>
      </c>
      <c r="F993">
        <f>Master_Data!F993</f>
        <v>16</v>
      </c>
      <c r="G993" t="b">
        <f>Master_Data!G993</f>
        <v>0</v>
      </c>
      <c r="H993">
        <f>Master_Data!H993</f>
        <v>5</v>
      </c>
      <c r="I993">
        <f>Master_Data!I993</f>
        <v>1</v>
      </c>
      <c r="J993">
        <f>Master_Data!J993</f>
        <v>0.22</v>
      </c>
      <c r="K993">
        <f>Master_Data!K993</f>
        <v>0.2727</v>
      </c>
      <c r="L993">
        <f>Master_Data!L993</f>
        <v>0.8</v>
      </c>
      <c r="M993">
        <f>Master_Data!M993</f>
        <v>0</v>
      </c>
      <c r="N993">
        <f>Master_Data!N993</f>
        <v>10</v>
      </c>
      <c r="O993">
        <f>Master_Data!O993</f>
        <v>70</v>
      </c>
      <c r="P993">
        <f>Master_Data!P993</f>
        <v>80</v>
      </c>
      <c r="Q993" t="str">
        <f t="shared" si="90"/>
        <v>2011</v>
      </c>
      <c r="R993" t="str">
        <f t="shared" si="91"/>
        <v>January</v>
      </c>
      <c r="S993" t="str">
        <f t="shared" si="92"/>
        <v>Weekday</v>
      </c>
      <c r="T993" t="str">
        <f t="shared" si="93"/>
        <v>Afternoon</v>
      </c>
      <c r="U993" t="str">
        <f t="shared" si="94"/>
        <v>Spring</v>
      </c>
      <c r="V993" t="str">
        <f t="shared" si="95"/>
        <v>Clear</v>
      </c>
    </row>
    <row r="994" spans="1:22">
      <c r="A994">
        <f>Master_Data!A994</f>
        <v>612</v>
      </c>
      <c r="B994">
        <f>Master_Data!B994</f>
        <v>40571</v>
      </c>
      <c r="C994">
        <f>Master_Data!C994</f>
        <v>1</v>
      </c>
      <c r="D994">
        <f>Master_Data!D994</f>
        <v>0</v>
      </c>
      <c r="E994">
        <f>Master_Data!E994</f>
        <v>1</v>
      </c>
      <c r="F994">
        <f>Master_Data!F994</f>
        <v>17</v>
      </c>
      <c r="G994" t="b">
        <f>Master_Data!G994</f>
        <v>0</v>
      </c>
      <c r="H994">
        <f>Master_Data!H994</f>
        <v>5</v>
      </c>
      <c r="I994">
        <f>Master_Data!I994</f>
        <v>1</v>
      </c>
      <c r="J994">
        <f>Master_Data!J994</f>
        <v>0.24</v>
      </c>
      <c r="K994">
        <f>Master_Data!K994</f>
        <v>0.2424</v>
      </c>
      <c r="L994">
        <f>Master_Data!L994</f>
        <v>0.75</v>
      </c>
      <c r="M994">
        <f>Master_Data!M994</f>
        <v>0.1343</v>
      </c>
      <c r="N994">
        <f>Master_Data!N994</f>
        <v>2</v>
      </c>
      <c r="O994">
        <f>Master_Data!O994</f>
        <v>147</v>
      </c>
      <c r="P994">
        <f>Master_Data!P994</f>
        <v>149</v>
      </c>
      <c r="Q994" t="str">
        <f t="shared" si="90"/>
        <v>2011</v>
      </c>
      <c r="R994" t="str">
        <f t="shared" si="91"/>
        <v>January</v>
      </c>
      <c r="S994" t="str">
        <f t="shared" si="92"/>
        <v>Weekday</v>
      </c>
      <c r="T994" t="str">
        <f t="shared" si="93"/>
        <v>Evening</v>
      </c>
      <c r="U994" t="str">
        <f t="shared" si="94"/>
        <v>Spring</v>
      </c>
      <c r="V994" t="str">
        <f t="shared" si="95"/>
        <v>Clear</v>
      </c>
    </row>
    <row r="995" spans="1:22">
      <c r="A995">
        <f>Master_Data!A995</f>
        <v>613</v>
      </c>
      <c r="B995">
        <f>Master_Data!B995</f>
        <v>40571</v>
      </c>
      <c r="C995">
        <f>Master_Data!C995</f>
        <v>1</v>
      </c>
      <c r="D995">
        <f>Master_Data!D995</f>
        <v>0</v>
      </c>
      <c r="E995">
        <f>Master_Data!E995</f>
        <v>1</v>
      </c>
      <c r="F995">
        <f>Master_Data!F995</f>
        <v>18</v>
      </c>
      <c r="G995" t="b">
        <f>Master_Data!G995</f>
        <v>0</v>
      </c>
      <c r="H995">
        <f>Master_Data!H995</f>
        <v>5</v>
      </c>
      <c r="I995">
        <f>Master_Data!I995</f>
        <v>1</v>
      </c>
      <c r="J995">
        <f>Master_Data!J995</f>
        <v>0.24</v>
      </c>
      <c r="K995">
        <f>Master_Data!K995</f>
        <v>0.2273</v>
      </c>
      <c r="L995">
        <f>Master_Data!L995</f>
        <v>0.75</v>
      </c>
      <c r="M995">
        <f>Master_Data!M995</f>
        <v>0.19400000000000001</v>
      </c>
      <c r="N995">
        <f>Master_Data!N995</f>
        <v>2</v>
      </c>
      <c r="O995">
        <f>Master_Data!O995</f>
        <v>107</v>
      </c>
      <c r="P995">
        <f>Master_Data!P995</f>
        <v>109</v>
      </c>
      <c r="Q995" t="str">
        <f t="shared" si="90"/>
        <v>2011</v>
      </c>
      <c r="R995" t="str">
        <f t="shared" si="91"/>
        <v>January</v>
      </c>
      <c r="S995" t="str">
        <f t="shared" si="92"/>
        <v>Weekday</v>
      </c>
      <c r="T995" t="str">
        <f t="shared" si="93"/>
        <v>Evening</v>
      </c>
      <c r="U995" t="str">
        <f t="shared" si="94"/>
        <v>Spring</v>
      </c>
      <c r="V995" t="str">
        <f t="shared" si="95"/>
        <v>Clear</v>
      </c>
    </row>
    <row r="996" spans="1:22">
      <c r="A996">
        <f>Master_Data!A996</f>
        <v>614</v>
      </c>
      <c r="B996">
        <f>Master_Data!B996</f>
        <v>40571</v>
      </c>
      <c r="C996">
        <f>Master_Data!C996</f>
        <v>1</v>
      </c>
      <c r="D996">
        <f>Master_Data!D996</f>
        <v>0</v>
      </c>
      <c r="E996">
        <f>Master_Data!E996</f>
        <v>1</v>
      </c>
      <c r="F996">
        <f>Master_Data!F996</f>
        <v>19</v>
      </c>
      <c r="G996" t="b">
        <f>Master_Data!G996</f>
        <v>0</v>
      </c>
      <c r="H996">
        <f>Master_Data!H996</f>
        <v>5</v>
      </c>
      <c r="I996">
        <f>Master_Data!I996</f>
        <v>2</v>
      </c>
      <c r="J996">
        <f>Master_Data!J996</f>
        <v>0.24</v>
      </c>
      <c r="K996">
        <f>Master_Data!K996</f>
        <v>0.2424</v>
      </c>
      <c r="L996">
        <f>Master_Data!L996</f>
        <v>0.75</v>
      </c>
      <c r="M996">
        <f>Master_Data!M996</f>
        <v>0.1343</v>
      </c>
      <c r="N996">
        <f>Master_Data!N996</f>
        <v>5</v>
      </c>
      <c r="O996">
        <f>Master_Data!O996</f>
        <v>84</v>
      </c>
      <c r="P996">
        <f>Master_Data!P996</f>
        <v>89</v>
      </c>
      <c r="Q996" t="str">
        <f t="shared" si="90"/>
        <v>2011</v>
      </c>
      <c r="R996" t="str">
        <f t="shared" si="91"/>
        <v>January</v>
      </c>
      <c r="S996" t="str">
        <f t="shared" si="92"/>
        <v>Weekday</v>
      </c>
      <c r="T996" t="str">
        <f t="shared" si="93"/>
        <v>Evening</v>
      </c>
      <c r="U996" t="str">
        <f t="shared" si="94"/>
        <v>Spring</v>
      </c>
      <c r="V996" t="str">
        <f t="shared" si="95"/>
        <v>Mist/Cloudy</v>
      </c>
    </row>
    <row r="997" spans="1:22">
      <c r="A997">
        <f>Master_Data!A997</f>
        <v>615</v>
      </c>
      <c r="B997">
        <f>Master_Data!B997</f>
        <v>40571</v>
      </c>
      <c r="C997">
        <f>Master_Data!C997</f>
        <v>1</v>
      </c>
      <c r="D997">
        <f>Master_Data!D997</f>
        <v>0</v>
      </c>
      <c r="E997">
        <f>Master_Data!E997</f>
        <v>1</v>
      </c>
      <c r="F997">
        <f>Master_Data!F997</f>
        <v>20</v>
      </c>
      <c r="G997" t="b">
        <f>Master_Data!G997</f>
        <v>0</v>
      </c>
      <c r="H997">
        <f>Master_Data!H997</f>
        <v>5</v>
      </c>
      <c r="I997">
        <f>Master_Data!I997</f>
        <v>2</v>
      </c>
      <c r="J997">
        <f>Master_Data!J997</f>
        <v>0.24</v>
      </c>
      <c r="K997">
        <f>Master_Data!K997</f>
        <v>0.2273</v>
      </c>
      <c r="L997">
        <f>Master_Data!L997</f>
        <v>0.7</v>
      </c>
      <c r="M997">
        <f>Master_Data!M997</f>
        <v>0.19400000000000001</v>
      </c>
      <c r="N997">
        <f>Master_Data!N997</f>
        <v>1</v>
      </c>
      <c r="O997">
        <f>Master_Data!O997</f>
        <v>61</v>
      </c>
      <c r="P997">
        <f>Master_Data!P997</f>
        <v>62</v>
      </c>
      <c r="Q997" t="str">
        <f t="shared" si="90"/>
        <v>2011</v>
      </c>
      <c r="R997" t="str">
        <f t="shared" si="91"/>
        <v>January</v>
      </c>
      <c r="S997" t="str">
        <f t="shared" si="92"/>
        <v>Weekday</v>
      </c>
      <c r="T997" t="str">
        <f t="shared" si="93"/>
        <v>Evening</v>
      </c>
      <c r="U997" t="str">
        <f t="shared" si="94"/>
        <v>Spring</v>
      </c>
      <c r="V997" t="str">
        <f t="shared" si="95"/>
        <v>Mist/Cloudy</v>
      </c>
    </row>
    <row r="998" spans="1:22">
      <c r="A998">
        <f>Master_Data!A998</f>
        <v>616</v>
      </c>
      <c r="B998">
        <f>Master_Data!B998</f>
        <v>40571</v>
      </c>
      <c r="C998">
        <f>Master_Data!C998</f>
        <v>1</v>
      </c>
      <c r="D998">
        <f>Master_Data!D998</f>
        <v>0</v>
      </c>
      <c r="E998">
        <f>Master_Data!E998</f>
        <v>1</v>
      </c>
      <c r="F998">
        <f>Master_Data!F998</f>
        <v>21</v>
      </c>
      <c r="G998" t="b">
        <f>Master_Data!G998</f>
        <v>0</v>
      </c>
      <c r="H998">
        <f>Master_Data!H998</f>
        <v>5</v>
      </c>
      <c r="I998">
        <f>Master_Data!I998</f>
        <v>2</v>
      </c>
      <c r="J998">
        <f>Master_Data!J998</f>
        <v>0.22</v>
      </c>
      <c r="K998">
        <f>Master_Data!K998</f>
        <v>0.2273</v>
      </c>
      <c r="L998">
        <f>Master_Data!L998</f>
        <v>0.75</v>
      </c>
      <c r="M998">
        <f>Master_Data!M998</f>
        <v>0.1343</v>
      </c>
      <c r="N998">
        <f>Master_Data!N998</f>
        <v>1</v>
      </c>
      <c r="O998">
        <f>Master_Data!O998</f>
        <v>57</v>
      </c>
      <c r="P998">
        <f>Master_Data!P998</f>
        <v>58</v>
      </c>
      <c r="Q998" t="str">
        <f t="shared" si="90"/>
        <v>2011</v>
      </c>
      <c r="R998" t="str">
        <f t="shared" si="91"/>
        <v>January</v>
      </c>
      <c r="S998" t="str">
        <f t="shared" si="92"/>
        <v>Weekday</v>
      </c>
      <c r="T998" t="str">
        <f t="shared" si="93"/>
        <v>Night</v>
      </c>
      <c r="U998" t="str">
        <f t="shared" si="94"/>
        <v>Spring</v>
      </c>
      <c r="V998" t="str">
        <f t="shared" si="95"/>
        <v>Mist/Cloudy</v>
      </c>
    </row>
    <row r="999" spans="1:22">
      <c r="A999">
        <f>Master_Data!A999</f>
        <v>617</v>
      </c>
      <c r="B999">
        <f>Master_Data!B999</f>
        <v>40571</v>
      </c>
      <c r="C999">
        <f>Master_Data!C999</f>
        <v>1</v>
      </c>
      <c r="D999">
        <f>Master_Data!D999</f>
        <v>0</v>
      </c>
      <c r="E999">
        <f>Master_Data!E999</f>
        <v>1</v>
      </c>
      <c r="F999">
        <f>Master_Data!F999</f>
        <v>22</v>
      </c>
      <c r="G999" t="b">
        <f>Master_Data!G999</f>
        <v>0</v>
      </c>
      <c r="H999">
        <f>Master_Data!H999</f>
        <v>5</v>
      </c>
      <c r="I999">
        <f>Master_Data!I999</f>
        <v>1</v>
      </c>
      <c r="J999">
        <f>Master_Data!J999</f>
        <v>0.24</v>
      </c>
      <c r="K999">
        <f>Master_Data!K999</f>
        <v>0.21210000000000001</v>
      </c>
      <c r="L999">
        <f>Master_Data!L999</f>
        <v>0.65</v>
      </c>
      <c r="M999">
        <f>Master_Data!M999</f>
        <v>0.35820000000000002</v>
      </c>
      <c r="N999">
        <f>Master_Data!N999</f>
        <v>0</v>
      </c>
      <c r="O999">
        <f>Master_Data!O999</f>
        <v>26</v>
      </c>
      <c r="P999">
        <f>Master_Data!P999</f>
        <v>26</v>
      </c>
      <c r="Q999" t="str">
        <f t="shared" si="90"/>
        <v>2011</v>
      </c>
      <c r="R999" t="str">
        <f t="shared" si="91"/>
        <v>January</v>
      </c>
      <c r="S999" t="str">
        <f t="shared" si="92"/>
        <v>Weekday</v>
      </c>
      <c r="T999" t="str">
        <f t="shared" si="93"/>
        <v>Night</v>
      </c>
      <c r="U999" t="str">
        <f t="shared" si="94"/>
        <v>Spring</v>
      </c>
      <c r="V999" t="str">
        <f t="shared" si="95"/>
        <v>Clear</v>
      </c>
    </row>
    <row r="1000" spans="1:22">
      <c r="A1000">
        <f>Master_Data!A1000</f>
        <v>618</v>
      </c>
      <c r="B1000">
        <f>Master_Data!B1000</f>
        <v>40571</v>
      </c>
      <c r="C1000">
        <f>Master_Data!C1000</f>
        <v>1</v>
      </c>
      <c r="D1000">
        <f>Master_Data!D1000</f>
        <v>0</v>
      </c>
      <c r="E1000">
        <f>Master_Data!E1000</f>
        <v>1</v>
      </c>
      <c r="F1000">
        <f>Master_Data!F1000</f>
        <v>23</v>
      </c>
      <c r="G1000" t="b">
        <f>Master_Data!G1000</f>
        <v>0</v>
      </c>
      <c r="H1000">
        <f>Master_Data!H1000</f>
        <v>5</v>
      </c>
      <c r="I1000">
        <f>Master_Data!I1000</f>
        <v>1</v>
      </c>
      <c r="J1000">
        <f>Master_Data!J1000</f>
        <v>0.24</v>
      </c>
      <c r="K1000">
        <f>Master_Data!K1000</f>
        <v>0.2273</v>
      </c>
      <c r="L1000">
        <f>Master_Data!L1000</f>
        <v>0.6</v>
      </c>
      <c r="M1000">
        <f>Master_Data!M1000</f>
        <v>0.22389999999999999</v>
      </c>
      <c r="N1000">
        <f>Master_Data!N1000</f>
        <v>1</v>
      </c>
      <c r="O1000">
        <f>Master_Data!O1000</f>
        <v>22</v>
      </c>
      <c r="P1000">
        <f>Master_Data!P1000</f>
        <v>23</v>
      </c>
      <c r="Q1000" t="str">
        <f t="shared" si="90"/>
        <v>2011</v>
      </c>
      <c r="R1000" t="str">
        <f t="shared" si="91"/>
        <v>January</v>
      </c>
      <c r="S1000" t="str">
        <f t="shared" si="92"/>
        <v>Weekday</v>
      </c>
      <c r="T1000" t="str">
        <f t="shared" si="93"/>
        <v>Night</v>
      </c>
      <c r="U1000" t="str">
        <f t="shared" si="94"/>
        <v>Spring</v>
      </c>
      <c r="V1000" t="str">
        <f t="shared" si="95"/>
        <v>Clear</v>
      </c>
    </row>
    <row r="1001" spans="1:22">
      <c r="A1001">
        <f>Master_Data!A1001</f>
        <v>619</v>
      </c>
      <c r="B1001">
        <f>Master_Data!B1001</f>
        <v>40572</v>
      </c>
      <c r="C1001">
        <f>Master_Data!C1001</f>
        <v>1</v>
      </c>
      <c r="D1001">
        <f>Master_Data!D1001</f>
        <v>0</v>
      </c>
      <c r="E1001">
        <f>Master_Data!E1001</f>
        <v>1</v>
      </c>
      <c r="F1001">
        <f>Master_Data!F1001</f>
        <v>0</v>
      </c>
      <c r="G1001" t="b">
        <f>Master_Data!G1001</f>
        <v>0</v>
      </c>
      <c r="H1001">
        <f>Master_Data!H1001</f>
        <v>6</v>
      </c>
      <c r="I1001">
        <f>Master_Data!I1001</f>
        <v>1</v>
      </c>
      <c r="J1001">
        <f>Master_Data!J1001</f>
        <v>0.22</v>
      </c>
      <c r="K1001">
        <f>Master_Data!K1001</f>
        <v>0.19700000000000001</v>
      </c>
      <c r="L1001">
        <f>Master_Data!L1001</f>
        <v>0.64</v>
      </c>
      <c r="M1001">
        <f>Master_Data!M1001</f>
        <v>0.35820000000000002</v>
      </c>
      <c r="N1001">
        <f>Master_Data!N1001</f>
        <v>2</v>
      </c>
      <c r="O1001">
        <f>Master_Data!O1001</f>
        <v>26</v>
      </c>
      <c r="P1001">
        <f>Master_Data!P1001</f>
        <v>28</v>
      </c>
      <c r="Q1001" t="str">
        <f t="shared" si="90"/>
        <v>2011</v>
      </c>
      <c r="R1001" t="str">
        <f t="shared" si="91"/>
        <v>January</v>
      </c>
      <c r="S1001" t="str">
        <f t="shared" si="92"/>
        <v>Saturday</v>
      </c>
      <c r="T1001" t="str">
        <f t="shared" si="93"/>
        <v>Night</v>
      </c>
      <c r="U1001" t="str">
        <f t="shared" si="94"/>
        <v>Spring</v>
      </c>
      <c r="V1001" t="str">
        <f t="shared" si="95"/>
        <v>Clear</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C496-BDE9-4D44-91E8-96C215EB41AA}">
  <sheetPr codeName="Sheet12"/>
  <dimension ref="A1:B13"/>
  <sheetViews>
    <sheetView workbookViewId="0">
      <selection activeCell="A14" sqref="A14"/>
    </sheetView>
  </sheetViews>
  <sheetFormatPr defaultRowHeight="14.4"/>
  <cols>
    <col min="1" max="1" width="32.109375" customWidth="1"/>
    <col min="2" max="2" width="15.109375" customWidth="1"/>
  </cols>
  <sheetData>
    <row r="1" spans="1:2">
      <c r="A1" s="5" t="s">
        <v>105</v>
      </c>
      <c r="B1" s="5" t="s">
        <v>106</v>
      </c>
    </row>
    <row r="2" spans="1:2">
      <c r="A2" s="6" t="s">
        <v>107</v>
      </c>
      <c r="B2" s="6" t="s">
        <v>108</v>
      </c>
    </row>
    <row r="3" spans="1:2">
      <c r="A3" s="6" t="s">
        <v>109</v>
      </c>
      <c r="B3" s="6">
        <f>COUNT(Dataset_1_Raw!A:A)</f>
        <v>610</v>
      </c>
    </row>
    <row r="4" spans="1:2">
      <c r="A4" s="6" t="s">
        <v>110</v>
      </c>
      <c r="B4" s="6">
        <f>COUNT(Dataset_2_Raw!A:A)</f>
        <v>610</v>
      </c>
    </row>
    <row r="5" spans="1:2">
      <c r="A5" s="6" t="s">
        <v>111</v>
      </c>
      <c r="B5" s="6">
        <f>COUNT(Dataset_3_Raw!A:A)</f>
        <v>390</v>
      </c>
    </row>
    <row r="6" spans="1:2">
      <c r="A6" s="6" t="s">
        <v>112</v>
      </c>
      <c r="B6" s="6">
        <v>1000</v>
      </c>
    </row>
    <row r="7" spans="1:2">
      <c r="A7" s="6" t="s">
        <v>113</v>
      </c>
      <c r="B7" s="6">
        <f>COUNTBLANK(Master_Data!K2:K1001)</f>
        <v>11</v>
      </c>
    </row>
    <row r="8" spans="1:2">
      <c r="A8" s="6" t="s">
        <v>114</v>
      </c>
      <c r="B8" s="6">
        <v>0</v>
      </c>
    </row>
    <row r="9" spans="1:2">
      <c r="A9" s="6" t="s">
        <v>115</v>
      </c>
      <c r="B9" s="6">
        <v>0</v>
      </c>
    </row>
    <row r="10" spans="1:2">
      <c r="A10" s="6" t="s">
        <v>116</v>
      </c>
      <c r="B10" s="6">
        <v>0</v>
      </c>
    </row>
    <row r="11" spans="1:2">
      <c r="A11" s="6" t="s">
        <v>118</v>
      </c>
      <c r="B11">
        <f>AVERAGE(Master_Data!K:K)</f>
        <v>0.21195783619818057</v>
      </c>
    </row>
    <row r="12" spans="1:2">
      <c r="A12" t="s">
        <v>119</v>
      </c>
      <c r="B12">
        <f>CORREL(Master_Data!J2:J1001,Master_Data!K2:K1001)</f>
        <v>0.93149765399220397</v>
      </c>
    </row>
    <row r="13" spans="1:2">
      <c r="A13" t="s">
        <v>121</v>
      </c>
      <c r="B13">
        <f>COUNTBLANK(Master_Data!Q2:Q1001)</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A11"/>
  <sheetViews>
    <sheetView workbookViewId="0"/>
  </sheetViews>
  <sheetFormatPr defaultRowHeight="14.4"/>
  <cols>
    <col min="1" max="1" width="70" customWidth="1"/>
  </cols>
  <sheetData>
    <row r="1" spans="1:1" ht="21">
      <c r="A1" s="4" t="s">
        <v>94</v>
      </c>
    </row>
    <row r="2" spans="1:1">
      <c r="A2" t="s">
        <v>95</v>
      </c>
    </row>
    <row r="3" spans="1:1">
      <c r="A3" t="s">
        <v>96</v>
      </c>
    </row>
    <row r="4" spans="1:1">
      <c r="A4" t="s">
        <v>97</v>
      </c>
    </row>
    <row r="5" spans="1:1">
      <c r="A5" t="s">
        <v>98</v>
      </c>
    </row>
    <row r="6" spans="1:1">
      <c r="A6" t="s">
        <v>99</v>
      </c>
    </row>
    <row r="7" spans="1:1">
      <c r="A7" t="s">
        <v>100</v>
      </c>
    </row>
    <row r="8" spans="1:1">
      <c r="A8" t="s">
        <v>101</v>
      </c>
    </row>
    <row r="9" spans="1:1">
      <c r="A9" t="s">
        <v>102</v>
      </c>
    </row>
    <row r="10" spans="1:1">
      <c r="A10" t="s">
        <v>103</v>
      </c>
    </row>
    <row r="11" spans="1:1">
      <c r="A11" t="s">
        <v>104</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05C61-BECD-466B-8F84-B2B6BC06A744}">
  <sheetPr codeName="Sheet15"/>
  <dimension ref="A1:Q1001"/>
  <sheetViews>
    <sheetView topLeftCell="A6" workbookViewId="0">
      <selection activeCell="O16" sqref="O16"/>
    </sheetView>
  </sheetViews>
  <sheetFormatPr defaultRowHeight="14.4"/>
  <cols>
    <col min="1" max="1" width="9" bestFit="1" customWidth="1"/>
    <col min="2" max="2" width="8.6640625" bestFit="1" customWidth="1"/>
    <col min="3" max="3" width="7.109375" bestFit="1" customWidth="1"/>
    <col min="4" max="4" width="12.33203125" bestFit="1" customWidth="1"/>
    <col min="5" max="5" width="8.44140625" bestFit="1" customWidth="1"/>
    <col min="6" max="6" width="11.5546875" bestFit="1" customWidth="1"/>
    <col min="7" max="7" width="5.88671875" bestFit="1" customWidth="1"/>
    <col min="8" max="8" width="15.44140625" bestFit="1" customWidth="1"/>
    <col min="9" max="9" width="9" bestFit="1" customWidth="1"/>
    <col min="10" max="10" width="4.88671875" bestFit="1" customWidth="1"/>
    <col min="11" max="11" width="7.77734375" bestFit="1" customWidth="1"/>
    <col min="12" max="12" width="5" bestFit="1" customWidth="1"/>
    <col min="13" max="13" width="9.44140625" bestFit="1" customWidth="1"/>
    <col min="14" max="14" width="10.77734375" bestFit="1" customWidth="1"/>
    <col min="15" max="15" width="12" bestFit="1" customWidth="1"/>
    <col min="16" max="16" width="7.6640625" bestFit="1" customWidth="1"/>
    <col min="17" max="17" width="14.109375" bestFit="1" customWidth="1"/>
  </cols>
  <sheetData>
    <row r="1" spans="1:17">
      <c r="A1" t="s">
        <v>34</v>
      </c>
      <c r="B1" t="s">
        <v>45</v>
      </c>
      <c r="C1" t="s">
        <v>46</v>
      </c>
      <c r="D1" t="s">
        <v>47</v>
      </c>
      <c r="E1" t="s">
        <v>48</v>
      </c>
      <c r="F1" t="s">
        <v>49</v>
      </c>
      <c r="G1" t="s">
        <v>50</v>
      </c>
      <c r="H1" t="s">
        <v>35</v>
      </c>
      <c r="I1" t="s">
        <v>36</v>
      </c>
      <c r="J1" t="s">
        <v>37</v>
      </c>
      <c r="K1" t="s">
        <v>38</v>
      </c>
      <c r="L1" t="s">
        <v>39</v>
      </c>
      <c r="M1" t="s">
        <v>40</v>
      </c>
      <c r="N1" t="s">
        <v>41</v>
      </c>
      <c r="O1" t="s">
        <v>42</v>
      </c>
      <c r="P1" t="s">
        <v>43</v>
      </c>
      <c r="Q1" t="s">
        <v>120</v>
      </c>
    </row>
    <row r="2" spans="1:17">
      <c r="A2">
        <v>1</v>
      </c>
      <c r="B2">
        <v>0.28789999999999999</v>
      </c>
      <c r="C2">
        <v>0.81</v>
      </c>
      <c r="D2">
        <v>0</v>
      </c>
      <c r="E2">
        <v>3</v>
      </c>
      <c r="F2">
        <v>13</v>
      </c>
      <c r="G2">
        <v>16</v>
      </c>
      <c r="H2" s="22">
        <v>40544</v>
      </c>
      <c r="I2">
        <v>1</v>
      </c>
      <c r="J2">
        <v>0</v>
      </c>
      <c r="K2">
        <v>1</v>
      </c>
      <c r="L2">
        <v>0</v>
      </c>
      <c r="M2" t="b">
        <v>0</v>
      </c>
      <c r="N2">
        <v>6</v>
      </c>
      <c r="O2">
        <v>1</v>
      </c>
      <c r="P2">
        <v>0.24</v>
      </c>
      <c r="Q2">
        <v>0.28789999999999999</v>
      </c>
    </row>
    <row r="3" spans="1:17">
      <c r="A3">
        <v>2</v>
      </c>
      <c r="B3">
        <v>0.2727</v>
      </c>
      <c r="C3">
        <v>0.8</v>
      </c>
      <c r="D3">
        <v>0</v>
      </c>
      <c r="E3">
        <v>8</v>
      </c>
      <c r="F3">
        <v>32</v>
      </c>
      <c r="G3">
        <v>40</v>
      </c>
      <c r="H3" s="22">
        <v>40544</v>
      </c>
      <c r="I3">
        <v>1</v>
      </c>
      <c r="J3">
        <v>0</v>
      </c>
      <c r="K3">
        <v>1</v>
      </c>
      <c r="L3">
        <v>1</v>
      </c>
      <c r="M3" t="b">
        <v>0</v>
      </c>
      <c r="N3">
        <v>6</v>
      </c>
      <c r="O3">
        <v>1</v>
      </c>
      <c r="P3">
        <v>0.22</v>
      </c>
      <c r="Q3">
        <v>0.2727</v>
      </c>
    </row>
    <row r="4" spans="1:17">
      <c r="A4">
        <v>3</v>
      </c>
      <c r="B4">
        <v>0.2727</v>
      </c>
      <c r="C4">
        <v>0.8</v>
      </c>
      <c r="D4">
        <v>0</v>
      </c>
      <c r="E4">
        <v>5</v>
      </c>
      <c r="F4">
        <v>27</v>
      </c>
      <c r="G4">
        <v>32</v>
      </c>
      <c r="H4" s="22">
        <v>40544</v>
      </c>
      <c r="I4">
        <v>1</v>
      </c>
      <c r="J4">
        <v>0</v>
      </c>
      <c r="K4">
        <v>1</v>
      </c>
      <c r="L4">
        <v>2</v>
      </c>
      <c r="M4" t="b">
        <v>0</v>
      </c>
      <c r="N4">
        <v>6</v>
      </c>
      <c r="O4">
        <v>1</v>
      </c>
      <c r="P4">
        <v>0.22</v>
      </c>
      <c r="Q4">
        <v>0.2727</v>
      </c>
    </row>
    <row r="5" spans="1:17">
      <c r="A5">
        <v>4</v>
      </c>
      <c r="B5">
        <v>0.28789999999999999</v>
      </c>
      <c r="C5">
        <v>0.75</v>
      </c>
      <c r="D5">
        <v>0</v>
      </c>
      <c r="E5">
        <v>3</v>
      </c>
      <c r="F5">
        <v>10</v>
      </c>
      <c r="G5">
        <v>13</v>
      </c>
      <c r="H5" s="22">
        <v>40544</v>
      </c>
      <c r="I5">
        <v>1</v>
      </c>
      <c r="J5">
        <v>0</v>
      </c>
      <c r="K5">
        <v>1</v>
      </c>
      <c r="L5">
        <v>3</v>
      </c>
      <c r="M5" t="b">
        <v>0</v>
      </c>
      <c r="N5">
        <v>6</v>
      </c>
      <c r="O5">
        <v>1</v>
      </c>
      <c r="P5">
        <v>0.24</v>
      </c>
      <c r="Q5">
        <v>0.28789999999999999</v>
      </c>
    </row>
    <row r="6" spans="1:17">
      <c r="A6">
        <v>5</v>
      </c>
      <c r="B6">
        <v>0.28789999999999999</v>
      </c>
      <c r="C6">
        <v>0.75</v>
      </c>
      <c r="D6">
        <v>0</v>
      </c>
      <c r="E6">
        <v>0</v>
      </c>
      <c r="F6">
        <v>1</v>
      </c>
      <c r="G6">
        <v>1</v>
      </c>
      <c r="H6" s="22">
        <v>40544</v>
      </c>
      <c r="I6">
        <v>1</v>
      </c>
      <c r="J6">
        <v>0</v>
      </c>
      <c r="K6">
        <v>1</v>
      </c>
      <c r="L6">
        <v>4</v>
      </c>
      <c r="M6" t="b">
        <v>0</v>
      </c>
      <c r="N6">
        <v>6</v>
      </c>
      <c r="O6">
        <v>1</v>
      </c>
      <c r="P6">
        <v>0.24</v>
      </c>
      <c r="Q6">
        <v>0.28789999999999999</v>
      </c>
    </row>
    <row r="7" spans="1:17">
      <c r="A7">
        <v>6</v>
      </c>
      <c r="B7">
        <v>0.2576</v>
      </c>
      <c r="C7">
        <v>0.75</v>
      </c>
      <c r="D7">
        <v>8.9599999999999999E-2</v>
      </c>
      <c r="E7">
        <v>0</v>
      </c>
      <c r="F7">
        <v>1</v>
      </c>
      <c r="G7">
        <v>1</v>
      </c>
      <c r="H7" s="22">
        <v>40544</v>
      </c>
      <c r="I7">
        <v>1</v>
      </c>
      <c r="J7">
        <v>0</v>
      </c>
      <c r="K7">
        <v>1</v>
      </c>
      <c r="L7">
        <v>5</v>
      </c>
      <c r="M7" t="b">
        <v>0</v>
      </c>
      <c r="N7">
        <v>6</v>
      </c>
      <c r="O7">
        <v>2</v>
      </c>
      <c r="P7">
        <v>0.24</v>
      </c>
      <c r="Q7">
        <v>0.2576</v>
      </c>
    </row>
    <row r="8" spans="1:17">
      <c r="A8">
        <v>7</v>
      </c>
      <c r="B8">
        <v>0.2727</v>
      </c>
      <c r="C8">
        <v>0.8</v>
      </c>
      <c r="D8">
        <v>0</v>
      </c>
      <c r="E8">
        <v>2</v>
      </c>
      <c r="F8">
        <v>0</v>
      </c>
      <c r="G8">
        <v>2</v>
      </c>
      <c r="H8" s="22">
        <v>40544</v>
      </c>
      <c r="I8">
        <v>1</v>
      </c>
      <c r="J8">
        <v>0</v>
      </c>
      <c r="K8">
        <v>1</v>
      </c>
      <c r="L8">
        <v>6</v>
      </c>
      <c r="M8" t="b">
        <v>0</v>
      </c>
      <c r="N8">
        <v>6</v>
      </c>
      <c r="O8">
        <v>1</v>
      </c>
      <c r="P8">
        <v>0.22</v>
      </c>
      <c r="Q8">
        <v>0.2727</v>
      </c>
    </row>
    <row r="9" spans="1:17">
      <c r="A9">
        <v>8</v>
      </c>
      <c r="B9">
        <v>0.2576</v>
      </c>
      <c r="C9">
        <v>0.86</v>
      </c>
      <c r="D9">
        <v>0</v>
      </c>
      <c r="E9">
        <v>1</v>
      </c>
      <c r="F9">
        <v>2</v>
      </c>
      <c r="G9">
        <v>3</v>
      </c>
      <c r="H9" s="22">
        <v>40544</v>
      </c>
      <c r="I9">
        <v>1</v>
      </c>
      <c r="J9">
        <v>0</v>
      </c>
      <c r="K9">
        <v>1</v>
      </c>
      <c r="L9">
        <v>7</v>
      </c>
      <c r="M9" t="b">
        <v>0</v>
      </c>
      <c r="N9">
        <v>6</v>
      </c>
      <c r="O9">
        <v>1</v>
      </c>
      <c r="P9">
        <v>0.2</v>
      </c>
      <c r="Q9">
        <v>0.2576</v>
      </c>
    </row>
    <row r="10" spans="1:17">
      <c r="A10">
        <v>9</v>
      </c>
      <c r="C10">
        <v>0.75</v>
      </c>
      <c r="D10">
        <v>0</v>
      </c>
      <c r="E10">
        <v>1</v>
      </c>
      <c r="F10">
        <v>7</v>
      </c>
      <c r="G10">
        <v>8</v>
      </c>
      <c r="H10" s="22">
        <v>40544</v>
      </c>
      <c r="I10">
        <v>1</v>
      </c>
      <c r="J10">
        <v>0</v>
      </c>
      <c r="K10">
        <v>1</v>
      </c>
      <c r="L10">
        <v>8</v>
      </c>
      <c r="M10" t="b">
        <v>0</v>
      </c>
      <c r="N10">
        <v>6</v>
      </c>
      <c r="O10">
        <v>1</v>
      </c>
      <c r="P10">
        <v>0.24</v>
      </c>
      <c r="Q10">
        <v>0.24</v>
      </c>
    </row>
    <row r="11" spans="1:17">
      <c r="A11">
        <v>10</v>
      </c>
      <c r="B11">
        <v>0.34849999999999998</v>
      </c>
      <c r="C11">
        <v>0.76</v>
      </c>
      <c r="D11">
        <v>0</v>
      </c>
      <c r="E11">
        <v>8</v>
      </c>
      <c r="F11">
        <v>6</v>
      </c>
      <c r="G11">
        <v>14</v>
      </c>
      <c r="H11" s="22">
        <v>40544</v>
      </c>
      <c r="I11">
        <v>1</v>
      </c>
      <c r="J11">
        <v>0</v>
      </c>
      <c r="K11">
        <v>1</v>
      </c>
      <c r="L11">
        <v>9</v>
      </c>
      <c r="M11" t="b">
        <v>0</v>
      </c>
      <c r="N11">
        <v>6</v>
      </c>
      <c r="O11">
        <v>1</v>
      </c>
      <c r="P11">
        <v>0.32</v>
      </c>
      <c r="Q11">
        <v>0.34849999999999998</v>
      </c>
    </row>
    <row r="12" spans="1:17">
      <c r="A12">
        <v>11</v>
      </c>
      <c r="B12">
        <v>0.39389999999999997</v>
      </c>
      <c r="C12">
        <v>0.76</v>
      </c>
      <c r="D12">
        <v>0.25369999999999998</v>
      </c>
      <c r="E12">
        <v>12</v>
      </c>
      <c r="F12">
        <v>24</v>
      </c>
      <c r="G12">
        <v>36</v>
      </c>
      <c r="H12" s="22">
        <v>40544</v>
      </c>
      <c r="I12">
        <v>1</v>
      </c>
      <c r="J12">
        <v>0</v>
      </c>
      <c r="K12">
        <v>1</v>
      </c>
      <c r="L12">
        <v>10</v>
      </c>
      <c r="M12" t="b">
        <v>0</v>
      </c>
      <c r="N12">
        <v>6</v>
      </c>
      <c r="O12">
        <v>1</v>
      </c>
      <c r="P12">
        <v>0.38</v>
      </c>
      <c r="Q12">
        <v>0.39389999999999997</v>
      </c>
    </row>
    <row r="13" spans="1:17">
      <c r="A13">
        <v>12</v>
      </c>
      <c r="B13">
        <v>0.33329999999999999</v>
      </c>
      <c r="C13">
        <v>0.81</v>
      </c>
      <c r="D13">
        <v>0.28360000000000002</v>
      </c>
      <c r="E13">
        <v>26</v>
      </c>
      <c r="F13">
        <v>30</v>
      </c>
      <c r="G13">
        <v>56</v>
      </c>
      <c r="H13" s="22">
        <v>40544</v>
      </c>
      <c r="I13">
        <v>1</v>
      </c>
      <c r="J13">
        <v>0</v>
      </c>
      <c r="K13">
        <v>1</v>
      </c>
      <c r="L13">
        <v>11</v>
      </c>
      <c r="M13" t="b">
        <v>0</v>
      </c>
      <c r="N13">
        <v>6</v>
      </c>
      <c r="O13">
        <v>1</v>
      </c>
      <c r="P13">
        <v>0.36</v>
      </c>
      <c r="Q13">
        <v>0.33329999999999999</v>
      </c>
    </row>
    <row r="14" spans="1:17">
      <c r="A14">
        <v>13</v>
      </c>
      <c r="B14">
        <v>0.42420000000000002</v>
      </c>
      <c r="C14">
        <v>0.77</v>
      </c>
      <c r="D14">
        <v>0.28360000000000002</v>
      </c>
      <c r="E14">
        <v>29</v>
      </c>
      <c r="F14">
        <v>55</v>
      </c>
      <c r="G14">
        <v>84</v>
      </c>
      <c r="H14" s="22">
        <v>40544</v>
      </c>
      <c r="I14">
        <v>1</v>
      </c>
      <c r="J14">
        <v>0</v>
      </c>
      <c r="K14">
        <v>1</v>
      </c>
      <c r="L14">
        <v>12</v>
      </c>
      <c r="M14" t="b">
        <v>0</v>
      </c>
      <c r="N14">
        <v>6</v>
      </c>
      <c r="O14">
        <v>1</v>
      </c>
      <c r="P14">
        <v>0.42</v>
      </c>
      <c r="Q14">
        <v>0.42420000000000002</v>
      </c>
    </row>
    <row r="15" spans="1:17">
      <c r="A15">
        <v>14</v>
      </c>
      <c r="B15">
        <v>0.45450000000000002</v>
      </c>
      <c r="C15">
        <v>0.72</v>
      </c>
      <c r="D15">
        <v>0.29849999999999999</v>
      </c>
      <c r="E15">
        <v>47</v>
      </c>
      <c r="F15">
        <v>47</v>
      </c>
      <c r="G15">
        <v>94</v>
      </c>
      <c r="H15" s="22">
        <v>40544</v>
      </c>
      <c r="I15">
        <v>1</v>
      </c>
      <c r="J15">
        <v>0</v>
      </c>
      <c r="K15">
        <v>1</v>
      </c>
      <c r="L15">
        <v>13</v>
      </c>
      <c r="M15" t="b">
        <v>0</v>
      </c>
      <c r="N15">
        <v>6</v>
      </c>
      <c r="O15">
        <v>2</v>
      </c>
      <c r="P15">
        <v>0.46</v>
      </c>
      <c r="Q15">
        <v>0.45450000000000002</v>
      </c>
    </row>
    <row r="16" spans="1:17">
      <c r="A16">
        <v>15</v>
      </c>
      <c r="B16">
        <v>0.45450000000000002</v>
      </c>
      <c r="C16">
        <v>0.72</v>
      </c>
      <c r="D16">
        <v>0.28360000000000002</v>
      </c>
      <c r="E16">
        <v>35</v>
      </c>
      <c r="F16">
        <v>71</v>
      </c>
      <c r="G16">
        <v>106</v>
      </c>
      <c r="H16" s="22">
        <v>40544</v>
      </c>
      <c r="I16">
        <v>1</v>
      </c>
      <c r="J16">
        <v>0</v>
      </c>
      <c r="K16">
        <v>1</v>
      </c>
      <c r="L16">
        <v>14</v>
      </c>
      <c r="M16" t="b">
        <v>0</v>
      </c>
      <c r="N16">
        <v>6</v>
      </c>
      <c r="O16">
        <v>2</v>
      </c>
      <c r="P16">
        <v>0.46</v>
      </c>
      <c r="Q16">
        <v>0.45450000000000002</v>
      </c>
    </row>
    <row r="17" spans="1:17">
      <c r="A17">
        <v>16</v>
      </c>
      <c r="B17">
        <v>0.43940000000000001</v>
      </c>
      <c r="C17">
        <v>0.77</v>
      </c>
      <c r="D17">
        <v>0.29849999999999999</v>
      </c>
      <c r="E17">
        <v>40</v>
      </c>
      <c r="F17">
        <v>70</v>
      </c>
      <c r="G17">
        <v>110</v>
      </c>
      <c r="H17" s="22">
        <v>40544</v>
      </c>
      <c r="I17">
        <v>1</v>
      </c>
      <c r="J17">
        <v>0</v>
      </c>
      <c r="K17">
        <v>1</v>
      </c>
      <c r="L17">
        <v>15</v>
      </c>
      <c r="M17" t="b">
        <v>0</v>
      </c>
      <c r="N17">
        <v>6</v>
      </c>
      <c r="O17">
        <v>2</v>
      </c>
      <c r="P17">
        <v>0.44</v>
      </c>
      <c r="Q17">
        <v>0.43940000000000001</v>
      </c>
    </row>
    <row r="18" spans="1:17">
      <c r="A18">
        <v>17</v>
      </c>
      <c r="B18">
        <v>0.42420000000000002</v>
      </c>
      <c r="C18">
        <v>0.82</v>
      </c>
      <c r="D18">
        <v>0.29849999999999999</v>
      </c>
      <c r="E18">
        <v>41</v>
      </c>
      <c r="F18">
        <v>52</v>
      </c>
      <c r="G18">
        <v>93</v>
      </c>
      <c r="H18" s="22">
        <v>40544</v>
      </c>
      <c r="I18">
        <v>1</v>
      </c>
      <c r="J18">
        <v>0</v>
      </c>
      <c r="K18">
        <v>1</v>
      </c>
      <c r="L18">
        <v>16</v>
      </c>
      <c r="M18" t="b">
        <v>0</v>
      </c>
      <c r="N18">
        <v>6</v>
      </c>
      <c r="O18">
        <v>2</v>
      </c>
      <c r="P18">
        <v>0.42</v>
      </c>
      <c r="Q18">
        <v>0.42420000000000002</v>
      </c>
    </row>
    <row r="19" spans="1:17">
      <c r="A19">
        <v>18</v>
      </c>
      <c r="C19">
        <v>0.82</v>
      </c>
      <c r="D19">
        <v>0.28360000000000002</v>
      </c>
      <c r="E19">
        <v>15</v>
      </c>
      <c r="F19">
        <v>52</v>
      </c>
      <c r="G19">
        <v>67</v>
      </c>
      <c r="H19" s="22">
        <v>40544</v>
      </c>
      <c r="I19">
        <v>1</v>
      </c>
      <c r="J19">
        <v>0</v>
      </c>
      <c r="K19">
        <v>1</v>
      </c>
      <c r="L19">
        <v>17</v>
      </c>
      <c r="M19" t="b">
        <v>0</v>
      </c>
      <c r="N19">
        <v>6</v>
      </c>
      <c r="O19">
        <v>2</v>
      </c>
      <c r="P19">
        <v>0.44</v>
      </c>
      <c r="Q19">
        <v>0.44</v>
      </c>
    </row>
    <row r="20" spans="1:17">
      <c r="A20">
        <v>19</v>
      </c>
      <c r="B20">
        <v>0.42420000000000002</v>
      </c>
      <c r="C20">
        <v>0.88</v>
      </c>
      <c r="D20">
        <v>0.25369999999999998</v>
      </c>
      <c r="E20">
        <v>9</v>
      </c>
      <c r="F20">
        <v>26</v>
      </c>
      <c r="G20">
        <v>35</v>
      </c>
      <c r="H20" s="22">
        <v>40544</v>
      </c>
      <c r="I20">
        <v>1</v>
      </c>
      <c r="J20">
        <v>0</v>
      </c>
      <c r="K20">
        <v>1</v>
      </c>
      <c r="L20">
        <v>18</v>
      </c>
      <c r="M20" t="b">
        <v>0</v>
      </c>
      <c r="N20">
        <v>6</v>
      </c>
      <c r="O20">
        <v>3</v>
      </c>
      <c r="P20">
        <v>0.42</v>
      </c>
      <c r="Q20">
        <v>0.42420000000000002</v>
      </c>
    </row>
    <row r="21" spans="1:17">
      <c r="A21">
        <v>20</v>
      </c>
      <c r="B21">
        <v>0.42420000000000002</v>
      </c>
      <c r="C21">
        <v>0.88</v>
      </c>
      <c r="D21">
        <v>0.25369999999999998</v>
      </c>
      <c r="E21">
        <v>6</v>
      </c>
      <c r="F21">
        <v>31</v>
      </c>
      <c r="G21">
        <v>37</v>
      </c>
      <c r="H21" s="22">
        <v>40544</v>
      </c>
      <c r="I21">
        <v>1</v>
      </c>
      <c r="J21">
        <v>0</v>
      </c>
      <c r="K21">
        <v>1</v>
      </c>
      <c r="L21">
        <v>19</v>
      </c>
      <c r="M21" t="b">
        <v>0</v>
      </c>
      <c r="N21">
        <v>6</v>
      </c>
      <c r="O21">
        <v>3</v>
      </c>
      <c r="P21">
        <v>0.42</v>
      </c>
      <c r="Q21">
        <v>0.42420000000000002</v>
      </c>
    </row>
    <row r="22" spans="1:17">
      <c r="A22">
        <v>21</v>
      </c>
      <c r="B22">
        <v>0.40910000000000002</v>
      </c>
      <c r="C22">
        <v>0.87</v>
      </c>
      <c r="D22">
        <v>0.25369999999999998</v>
      </c>
      <c r="E22">
        <v>11</v>
      </c>
      <c r="F22">
        <v>25</v>
      </c>
      <c r="G22">
        <v>36</v>
      </c>
      <c r="H22" s="22">
        <v>40544</v>
      </c>
      <c r="I22">
        <v>1</v>
      </c>
      <c r="J22">
        <v>0</v>
      </c>
      <c r="K22">
        <v>1</v>
      </c>
      <c r="L22">
        <v>20</v>
      </c>
      <c r="M22" t="b">
        <v>0</v>
      </c>
      <c r="N22">
        <v>6</v>
      </c>
      <c r="O22">
        <v>2</v>
      </c>
      <c r="P22">
        <v>0.4</v>
      </c>
      <c r="Q22">
        <v>0.40910000000000002</v>
      </c>
    </row>
    <row r="23" spans="1:17">
      <c r="A23">
        <v>22</v>
      </c>
      <c r="B23">
        <v>0.40910000000000002</v>
      </c>
      <c r="C23">
        <v>0.87</v>
      </c>
      <c r="D23">
        <v>0.19400000000000001</v>
      </c>
      <c r="E23">
        <v>3</v>
      </c>
      <c r="F23">
        <v>31</v>
      </c>
      <c r="G23">
        <v>34</v>
      </c>
      <c r="H23" s="22">
        <v>40544</v>
      </c>
      <c r="I23">
        <v>1</v>
      </c>
      <c r="J23">
        <v>0</v>
      </c>
      <c r="K23">
        <v>1</v>
      </c>
      <c r="L23">
        <v>21</v>
      </c>
      <c r="M23" t="b">
        <v>0</v>
      </c>
      <c r="N23">
        <v>6</v>
      </c>
      <c r="O23">
        <v>2</v>
      </c>
      <c r="P23">
        <v>0.4</v>
      </c>
      <c r="Q23">
        <v>0.40910000000000002</v>
      </c>
    </row>
    <row r="24" spans="1:17">
      <c r="A24">
        <v>23</v>
      </c>
      <c r="B24">
        <v>0.40910000000000002</v>
      </c>
      <c r="C24">
        <v>0.94</v>
      </c>
      <c r="D24">
        <v>0.22389999999999999</v>
      </c>
      <c r="E24">
        <v>11</v>
      </c>
      <c r="F24">
        <v>17</v>
      </c>
      <c r="G24">
        <v>28</v>
      </c>
      <c r="H24" s="22">
        <v>40544</v>
      </c>
      <c r="I24">
        <v>1</v>
      </c>
      <c r="J24">
        <v>0</v>
      </c>
      <c r="K24">
        <v>1</v>
      </c>
      <c r="L24">
        <v>22</v>
      </c>
      <c r="M24" t="b">
        <v>0</v>
      </c>
      <c r="N24">
        <v>6</v>
      </c>
      <c r="O24">
        <v>2</v>
      </c>
      <c r="P24">
        <v>0.4</v>
      </c>
      <c r="Q24">
        <v>0.40910000000000002</v>
      </c>
    </row>
    <row r="25" spans="1:17">
      <c r="A25">
        <v>24</v>
      </c>
      <c r="C25">
        <v>0.88</v>
      </c>
      <c r="D25">
        <v>0.29849999999999999</v>
      </c>
      <c r="E25">
        <v>15</v>
      </c>
      <c r="F25">
        <v>24</v>
      </c>
      <c r="G25">
        <v>39</v>
      </c>
      <c r="H25" s="22">
        <v>40544</v>
      </c>
      <c r="I25">
        <v>1</v>
      </c>
      <c r="J25">
        <v>0</v>
      </c>
      <c r="K25">
        <v>1</v>
      </c>
      <c r="L25">
        <v>23</v>
      </c>
      <c r="M25" t="b">
        <v>0</v>
      </c>
      <c r="N25">
        <v>6</v>
      </c>
      <c r="O25">
        <v>2</v>
      </c>
      <c r="P25">
        <v>0.46</v>
      </c>
      <c r="Q25">
        <v>0.46</v>
      </c>
    </row>
    <row r="26" spans="1:17">
      <c r="A26">
        <v>25</v>
      </c>
      <c r="B26">
        <v>0.45450000000000002</v>
      </c>
      <c r="C26">
        <v>0.88</v>
      </c>
      <c r="D26">
        <v>0.29849999999999999</v>
      </c>
      <c r="E26">
        <v>4</v>
      </c>
      <c r="F26">
        <v>13</v>
      </c>
      <c r="G26">
        <v>17</v>
      </c>
      <c r="H26" s="22">
        <v>40545</v>
      </c>
      <c r="I26">
        <v>1</v>
      </c>
      <c r="J26">
        <v>0</v>
      </c>
      <c r="K26">
        <v>1</v>
      </c>
      <c r="L26">
        <v>0</v>
      </c>
      <c r="M26" t="b">
        <v>0</v>
      </c>
      <c r="N26">
        <v>0</v>
      </c>
      <c r="O26">
        <v>2</v>
      </c>
      <c r="P26">
        <v>0.46</v>
      </c>
      <c r="Q26">
        <v>0.45450000000000002</v>
      </c>
    </row>
    <row r="27" spans="1:17">
      <c r="A27">
        <v>26</v>
      </c>
      <c r="B27">
        <v>0.43940000000000001</v>
      </c>
      <c r="C27">
        <v>0.94</v>
      </c>
      <c r="D27">
        <v>0.25369999999999998</v>
      </c>
      <c r="E27">
        <v>1</v>
      </c>
      <c r="F27">
        <v>16</v>
      </c>
      <c r="G27">
        <v>17</v>
      </c>
      <c r="H27" s="22">
        <v>40545</v>
      </c>
      <c r="I27">
        <v>1</v>
      </c>
      <c r="J27">
        <v>0</v>
      </c>
      <c r="K27">
        <v>1</v>
      </c>
      <c r="L27">
        <v>1</v>
      </c>
      <c r="M27" t="b">
        <v>0</v>
      </c>
      <c r="N27">
        <v>0</v>
      </c>
      <c r="O27">
        <v>2</v>
      </c>
      <c r="P27">
        <v>0.44</v>
      </c>
      <c r="Q27">
        <v>0.43940000000000001</v>
      </c>
    </row>
    <row r="28" spans="1:17">
      <c r="A28">
        <v>27</v>
      </c>
      <c r="B28">
        <v>0.42420000000000002</v>
      </c>
      <c r="C28">
        <v>1</v>
      </c>
      <c r="D28">
        <v>0.28360000000000002</v>
      </c>
      <c r="E28">
        <v>1</v>
      </c>
      <c r="F28">
        <v>8</v>
      </c>
      <c r="G28">
        <v>9</v>
      </c>
      <c r="H28" s="22">
        <v>40545</v>
      </c>
      <c r="I28">
        <v>1</v>
      </c>
      <c r="J28">
        <v>0</v>
      </c>
      <c r="K28">
        <v>1</v>
      </c>
      <c r="L28">
        <v>2</v>
      </c>
      <c r="M28" t="b">
        <v>0</v>
      </c>
      <c r="N28">
        <v>0</v>
      </c>
      <c r="O28">
        <v>2</v>
      </c>
      <c r="P28">
        <v>0.42</v>
      </c>
      <c r="Q28">
        <v>0.42420000000000002</v>
      </c>
    </row>
    <row r="29" spans="1:17">
      <c r="A29">
        <v>28</v>
      </c>
      <c r="B29">
        <v>0.45450000000000002</v>
      </c>
      <c r="C29">
        <v>0.94</v>
      </c>
      <c r="D29">
        <v>0.19400000000000001</v>
      </c>
      <c r="E29">
        <v>2</v>
      </c>
      <c r="F29">
        <v>4</v>
      </c>
      <c r="G29">
        <v>6</v>
      </c>
      <c r="H29" s="22">
        <v>40545</v>
      </c>
      <c r="I29">
        <v>1</v>
      </c>
      <c r="J29">
        <v>0</v>
      </c>
      <c r="K29">
        <v>1</v>
      </c>
      <c r="L29">
        <v>3</v>
      </c>
      <c r="M29" t="b">
        <v>0</v>
      </c>
      <c r="N29">
        <v>0</v>
      </c>
      <c r="O29">
        <v>2</v>
      </c>
      <c r="P29">
        <v>0.46</v>
      </c>
      <c r="Q29">
        <v>0.45450000000000002</v>
      </c>
    </row>
    <row r="30" spans="1:17">
      <c r="A30">
        <v>29</v>
      </c>
      <c r="C30">
        <v>0.94</v>
      </c>
      <c r="D30">
        <v>0.19400000000000001</v>
      </c>
      <c r="E30">
        <v>2</v>
      </c>
      <c r="F30">
        <v>1</v>
      </c>
      <c r="G30">
        <v>3</v>
      </c>
      <c r="H30" s="22">
        <v>40545</v>
      </c>
      <c r="I30">
        <v>1</v>
      </c>
      <c r="J30">
        <v>0</v>
      </c>
      <c r="K30">
        <v>1</v>
      </c>
      <c r="L30">
        <v>4</v>
      </c>
      <c r="M30" t="b">
        <v>0</v>
      </c>
      <c r="N30">
        <v>0</v>
      </c>
      <c r="O30">
        <v>2</v>
      </c>
      <c r="P30">
        <v>0.46</v>
      </c>
      <c r="Q30">
        <v>0.46</v>
      </c>
    </row>
    <row r="31" spans="1:17">
      <c r="A31">
        <v>30</v>
      </c>
      <c r="B31">
        <v>0.42420000000000002</v>
      </c>
      <c r="C31">
        <v>0.77</v>
      </c>
      <c r="D31">
        <v>0.29849999999999999</v>
      </c>
      <c r="E31">
        <v>0</v>
      </c>
      <c r="F31">
        <v>2</v>
      </c>
      <c r="G31">
        <v>2</v>
      </c>
      <c r="H31" s="22">
        <v>40545</v>
      </c>
      <c r="I31">
        <v>1</v>
      </c>
      <c r="J31">
        <v>0</v>
      </c>
      <c r="K31">
        <v>1</v>
      </c>
      <c r="L31">
        <v>6</v>
      </c>
      <c r="M31" t="b">
        <v>0</v>
      </c>
      <c r="N31">
        <v>0</v>
      </c>
      <c r="O31">
        <v>3</v>
      </c>
      <c r="P31">
        <v>0.42</v>
      </c>
      <c r="Q31">
        <v>0.42420000000000002</v>
      </c>
    </row>
    <row r="32" spans="1:17">
      <c r="A32">
        <v>31</v>
      </c>
      <c r="B32">
        <v>0.40910000000000002</v>
      </c>
      <c r="C32">
        <v>0.76</v>
      </c>
      <c r="D32">
        <v>0.19400000000000001</v>
      </c>
      <c r="E32">
        <v>0</v>
      </c>
      <c r="F32">
        <v>1</v>
      </c>
      <c r="G32">
        <v>1</v>
      </c>
      <c r="H32" s="22">
        <v>40545</v>
      </c>
      <c r="I32">
        <v>1</v>
      </c>
      <c r="J32">
        <v>0</v>
      </c>
      <c r="K32">
        <v>1</v>
      </c>
      <c r="L32">
        <v>7</v>
      </c>
      <c r="M32" t="b">
        <v>0</v>
      </c>
      <c r="N32">
        <v>0</v>
      </c>
      <c r="O32">
        <v>2</v>
      </c>
      <c r="P32">
        <v>0.4</v>
      </c>
      <c r="Q32">
        <v>0.40910000000000002</v>
      </c>
    </row>
    <row r="33" spans="1:17">
      <c r="A33">
        <v>32</v>
      </c>
      <c r="B33">
        <v>0.40910000000000002</v>
      </c>
      <c r="C33">
        <v>0.71</v>
      </c>
      <c r="D33">
        <v>0.22389999999999999</v>
      </c>
      <c r="E33">
        <v>0</v>
      </c>
      <c r="F33">
        <v>8</v>
      </c>
      <c r="G33">
        <v>8</v>
      </c>
      <c r="H33" s="22">
        <v>40545</v>
      </c>
      <c r="I33">
        <v>1</v>
      </c>
      <c r="J33">
        <v>0</v>
      </c>
      <c r="K33">
        <v>1</v>
      </c>
      <c r="L33">
        <v>8</v>
      </c>
      <c r="M33" t="b">
        <v>0</v>
      </c>
      <c r="N33">
        <v>0</v>
      </c>
      <c r="O33">
        <v>3</v>
      </c>
      <c r="P33">
        <v>0.4</v>
      </c>
      <c r="Q33">
        <v>0.40910000000000002</v>
      </c>
    </row>
    <row r="34" spans="1:17">
      <c r="A34">
        <v>33</v>
      </c>
      <c r="C34">
        <v>0.76</v>
      </c>
      <c r="D34">
        <v>0.22389999999999999</v>
      </c>
      <c r="E34">
        <v>1</v>
      </c>
      <c r="F34">
        <v>19</v>
      </c>
      <c r="G34">
        <v>20</v>
      </c>
      <c r="H34" s="22">
        <v>40545</v>
      </c>
      <c r="I34">
        <v>1</v>
      </c>
      <c r="J34">
        <v>0</v>
      </c>
      <c r="K34">
        <v>1</v>
      </c>
      <c r="L34">
        <v>9</v>
      </c>
      <c r="M34" t="b">
        <v>0</v>
      </c>
      <c r="N34">
        <v>0</v>
      </c>
      <c r="O34">
        <v>2</v>
      </c>
      <c r="P34">
        <v>0.38</v>
      </c>
      <c r="Q34">
        <v>0.38</v>
      </c>
    </row>
    <row r="35" spans="1:17">
      <c r="A35">
        <v>34</v>
      </c>
      <c r="B35">
        <v>0.34849999999999998</v>
      </c>
      <c r="C35">
        <v>0.81</v>
      </c>
      <c r="D35">
        <v>0.22389999999999999</v>
      </c>
      <c r="E35">
        <v>7</v>
      </c>
      <c r="F35">
        <v>46</v>
      </c>
      <c r="G35">
        <v>53</v>
      </c>
      <c r="H35" s="22">
        <v>40545</v>
      </c>
      <c r="I35">
        <v>1</v>
      </c>
      <c r="J35">
        <v>0</v>
      </c>
      <c r="K35">
        <v>1</v>
      </c>
      <c r="L35">
        <v>10</v>
      </c>
      <c r="M35" t="b">
        <v>0</v>
      </c>
      <c r="N35">
        <v>0</v>
      </c>
      <c r="O35">
        <v>2</v>
      </c>
      <c r="P35">
        <v>0.36</v>
      </c>
      <c r="Q35">
        <v>0.34849999999999998</v>
      </c>
    </row>
    <row r="36" spans="1:17">
      <c r="A36">
        <v>35</v>
      </c>
      <c r="B36">
        <v>0.33329999999999999</v>
      </c>
      <c r="C36">
        <v>0.71</v>
      </c>
      <c r="D36">
        <v>0.25369999999999998</v>
      </c>
      <c r="E36">
        <v>16</v>
      </c>
      <c r="F36">
        <v>54</v>
      </c>
      <c r="G36">
        <v>70</v>
      </c>
      <c r="H36" s="22">
        <v>40545</v>
      </c>
      <c r="I36">
        <v>1</v>
      </c>
      <c r="J36">
        <v>0</v>
      </c>
      <c r="K36">
        <v>1</v>
      </c>
      <c r="L36">
        <v>11</v>
      </c>
      <c r="M36" t="b">
        <v>0</v>
      </c>
      <c r="N36">
        <v>0</v>
      </c>
      <c r="O36">
        <v>2</v>
      </c>
      <c r="P36">
        <v>0.36</v>
      </c>
      <c r="Q36">
        <v>0.33329999999999999</v>
      </c>
    </row>
    <row r="37" spans="1:17">
      <c r="A37">
        <v>36</v>
      </c>
      <c r="B37">
        <v>0.33329999999999999</v>
      </c>
      <c r="C37">
        <v>0.66</v>
      </c>
      <c r="D37">
        <v>0.29849999999999999</v>
      </c>
      <c r="E37">
        <v>20</v>
      </c>
      <c r="F37">
        <v>73</v>
      </c>
      <c r="G37">
        <v>93</v>
      </c>
      <c r="H37" s="22">
        <v>40545</v>
      </c>
      <c r="I37">
        <v>1</v>
      </c>
      <c r="J37">
        <v>0</v>
      </c>
      <c r="K37">
        <v>1</v>
      </c>
      <c r="L37">
        <v>12</v>
      </c>
      <c r="M37" t="b">
        <v>0</v>
      </c>
      <c r="N37">
        <v>0</v>
      </c>
      <c r="O37">
        <v>2</v>
      </c>
      <c r="P37">
        <v>0.36</v>
      </c>
      <c r="Q37">
        <v>0.33329999999999999</v>
      </c>
    </row>
    <row r="38" spans="1:17">
      <c r="A38">
        <v>37</v>
      </c>
      <c r="B38">
        <v>0.34849999999999998</v>
      </c>
      <c r="C38">
        <v>0.66</v>
      </c>
      <c r="D38">
        <v>0.1343</v>
      </c>
      <c r="E38">
        <v>11</v>
      </c>
      <c r="F38">
        <v>64</v>
      </c>
      <c r="G38">
        <v>75</v>
      </c>
      <c r="H38" s="22">
        <v>40545</v>
      </c>
      <c r="I38">
        <v>1</v>
      </c>
      <c r="J38">
        <v>0</v>
      </c>
      <c r="K38">
        <v>1</v>
      </c>
      <c r="L38">
        <v>13</v>
      </c>
      <c r="M38" t="b">
        <v>0</v>
      </c>
      <c r="N38">
        <v>0</v>
      </c>
      <c r="O38">
        <v>2</v>
      </c>
      <c r="P38">
        <v>0.36</v>
      </c>
      <c r="Q38">
        <v>0.34849999999999998</v>
      </c>
    </row>
    <row r="39" spans="1:17">
      <c r="A39">
        <v>38</v>
      </c>
      <c r="C39">
        <v>0.76</v>
      </c>
      <c r="D39">
        <v>0.19400000000000001</v>
      </c>
      <c r="E39">
        <v>4</v>
      </c>
      <c r="F39">
        <v>55</v>
      </c>
      <c r="G39">
        <v>59</v>
      </c>
      <c r="H39" s="22">
        <v>40545</v>
      </c>
      <c r="I39">
        <v>1</v>
      </c>
      <c r="J39">
        <v>0</v>
      </c>
      <c r="K39">
        <v>1</v>
      </c>
      <c r="L39">
        <v>14</v>
      </c>
      <c r="M39" t="b">
        <v>0</v>
      </c>
      <c r="N39">
        <v>0</v>
      </c>
      <c r="O39">
        <v>3</v>
      </c>
      <c r="P39">
        <v>0.36</v>
      </c>
      <c r="Q39">
        <v>0.36</v>
      </c>
    </row>
    <row r="40" spans="1:17">
      <c r="A40">
        <v>39</v>
      </c>
      <c r="B40">
        <v>0.33329999999999999</v>
      </c>
      <c r="C40">
        <v>0.81</v>
      </c>
      <c r="D40">
        <v>0.16420000000000001</v>
      </c>
      <c r="E40">
        <v>19</v>
      </c>
      <c r="F40">
        <v>55</v>
      </c>
      <c r="G40">
        <v>74</v>
      </c>
      <c r="H40" s="22">
        <v>40545</v>
      </c>
      <c r="I40">
        <v>1</v>
      </c>
      <c r="J40">
        <v>0</v>
      </c>
      <c r="K40">
        <v>1</v>
      </c>
      <c r="L40">
        <v>15</v>
      </c>
      <c r="M40" t="b">
        <v>0</v>
      </c>
      <c r="N40">
        <v>0</v>
      </c>
      <c r="O40">
        <v>3</v>
      </c>
      <c r="P40">
        <v>0.34</v>
      </c>
      <c r="Q40">
        <v>0.33329999999999999</v>
      </c>
    </row>
    <row r="41" spans="1:17">
      <c r="A41">
        <v>40</v>
      </c>
      <c r="B41">
        <v>0.33329999999999999</v>
      </c>
      <c r="C41">
        <v>0.71</v>
      </c>
      <c r="D41">
        <v>0.16420000000000001</v>
      </c>
      <c r="E41">
        <v>9</v>
      </c>
      <c r="F41">
        <v>67</v>
      </c>
      <c r="G41">
        <v>76</v>
      </c>
      <c r="H41" s="22">
        <v>40545</v>
      </c>
      <c r="I41">
        <v>1</v>
      </c>
      <c r="J41">
        <v>0</v>
      </c>
      <c r="K41">
        <v>1</v>
      </c>
      <c r="L41">
        <v>16</v>
      </c>
      <c r="M41" t="b">
        <v>0</v>
      </c>
      <c r="N41">
        <v>0</v>
      </c>
      <c r="O41">
        <v>3</v>
      </c>
      <c r="P41">
        <v>0.34</v>
      </c>
      <c r="Q41">
        <v>0.33329999999999999</v>
      </c>
    </row>
    <row r="42" spans="1:17">
      <c r="A42">
        <v>41</v>
      </c>
      <c r="B42">
        <v>0.33329999999999999</v>
      </c>
      <c r="C42">
        <v>0.56999999999999995</v>
      </c>
      <c r="D42">
        <v>0.19400000000000001</v>
      </c>
      <c r="E42">
        <v>7</v>
      </c>
      <c r="F42">
        <v>58</v>
      </c>
      <c r="G42">
        <v>65</v>
      </c>
      <c r="H42" s="22">
        <v>40545</v>
      </c>
      <c r="I42">
        <v>1</v>
      </c>
      <c r="J42">
        <v>0</v>
      </c>
      <c r="K42">
        <v>1</v>
      </c>
      <c r="L42">
        <v>17</v>
      </c>
      <c r="M42" t="b">
        <v>0</v>
      </c>
      <c r="N42">
        <v>0</v>
      </c>
      <c r="O42">
        <v>1</v>
      </c>
      <c r="P42">
        <v>0.34</v>
      </c>
      <c r="Q42">
        <v>0.33329999999999999</v>
      </c>
    </row>
    <row r="43" spans="1:17">
      <c r="A43">
        <v>42</v>
      </c>
      <c r="B43">
        <v>0.33329999999999999</v>
      </c>
      <c r="C43">
        <v>0.46</v>
      </c>
      <c r="D43">
        <v>0.32840000000000003</v>
      </c>
      <c r="E43">
        <v>10</v>
      </c>
      <c r="F43">
        <v>43</v>
      </c>
      <c r="G43">
        <v>53</v>
      </c>
      <c r="H43" s="22">
        <v>40545</v>
      </c>
      <c r="I43">
        <v>1</v>
      </c>
      <c r="J43">
        <v>0</v>
      </c>
      <c r="K43">
        <v>1</v>
      </c>
      <c r="L43">
        <v>18</v>
      </c>
      <c r="M43" t="b">
        <v>0</v>
      </c>
      <c r="N43">
        <v>0</v>
      </c>
      <c r="O43">
        <v>2</v>
      </c>
      <c r="P43">
        <v>0.36</v>
      </c>
      <c r="Q43">
        <v>0.33329999999999999</v>
      </c>
    </row>
    <row r="44" spans="1:17">
      <c r="A44">
        <v>43</v>
      </c>
      <c r="B44">
        <v>0.28789999999999999</v>
      </c>
      <c r="C44">
        <v>0.42</v>
      </c>
      <c r="D44">
        <v>0.44779999999999998</v>
      </c>
      <c r="E44">
        <v>1</v>
      </c>
      <c r="F44">
        <v>29</v>
      </c>
      <c r="G44">
        <v>30</v>
      </c>
      <c r="H44" s="22">
        <v>40545</v>
      </c>
      <c r="I44">
        <v>1</v>
      </c>
      <c r="J44">
        <v>0</v>
      </c>
      <c r="K44">
        <v>1</v>
      </c>
      <c r="L44">
        <v>19</v>
      </c>
      <c r="M44" t="b">
        <v>0</v>
      </c>
      <c r="N44">
        <v>0</v>
      </c>
      <c r="O44">
        <v>1</v>
      </c>
      <c r="P44">
        <v>0.32</v>
      </c>
      <c r="Q44">
        <v>0.28789999999999999</v>
      </c>
    </row>
    <row r="45" spans="1:17">
      <c r="A45">
        <v>44</v>
      </c>
      <c r="C45">
        <v>0.39</v>
      </c>
      <c r="D45">
        <v>0.35820000000000002</v>
      </c>
      <c r="E45">
        <v>5</v>
      </c>
      <c r="F45">
        <v>17</v>
      </c>
      <c r="G45">
        <v>22</v>
      </c>
      <c r="H45" s="22">
        <v>40545</v>
      </c>
      <c r="I45">
        <v>1</v>
      </c>
      <c r="J45">
        <v>0</v>
      </c>
      <c r="K45">
        <v>1</v>
      </c>
      <c r="L45">
        <v>20</v>
      </c>
      <c r="M45" t="b">
        <v>0</v>
      </c>
      <c r="N45">
        <v>0</v>
      </c>
      <c r="O45">
        <v>1</v>
      </c>
      <c r="P45">
        <v>0.3</v>
      </c>
      <c r="Q45">
        <v>0.3</v>
      </c>
    </row>
    <row r="46" spans="1:17">
      <c r="A46">
        <v>45</v>
      </c>
      <c r="B46">
        <v>0.2273</v>
      </c>
      <c r="C46">
        <v>0.44</v>
      </c>
      <c r="D46">
        <v>0.32840000000000003</v>
      </c>
      <c r="E46">
        <v>11</v>
      </c>
      <c r="F46">
        <v>20</v>
      </c>
      <c r="G46">
        <v>31</v>
      </c>
      <c r="H46" s="22">
        <v>40545</v>
      </c>
      <c r="I46">
        <v>1</v>
      </c>
      <c r="J46">
        <v>0</v>
      </c>
      <c r="K46">
        <v>1</v>
      </c>
      <c r="L46">
        <v>21</v>
      </c>
      <c r="M46" t="b">
        <v>0</v>
      </c>
      <c r="N46">
        <v>0</v>
      </c>
      <c r="O46">
        <v>1</v>
      </c>
      <c r="P46">
        <v>0.26</v>
      </c>
      <c r="Q46">
        <v>0.2273</v>
      </c>
    </row>
    <row r="47" spans="1:17">
      <c r="A47">
        <v>46</v>
      </c>
      <c r="B47">
        <v>0.21210000000000001</v>
      </c>
      <c r="C47">
        <v>0.44</v>
      </c>
      <c r="D47">
        <v>0.29849999999999999</v>
      </c>
      <c r="E47">
        <v>0</v>
      </c>
      <c r="F47">
        <v>9</v>
      </c>
      <c r="G47">
        <v>9</v>
      </c>
      <c r="H47" s="22">
        <v>40545</v>
      </c>
      <c r="I47">
        <v>1</v>
      </c>
      <c r="J47">
        <v>0</v>
      </c>
      <c r="K47">
        <v>1</v>
      </c>
      <c r="L47">
        <v>22</v>
      </c>
      <c r="M47" t="b">
        <v>0</v>
      </c>
      <c r="N47">
        <v>0</v>
      </c>
      <c r="O47">
        <v>1</v>
      </c>
      <c r="P47">
        <v>0.24</v>
      </c>
      <c r="Q47">
        <v>0.21210000000000001</v>
      </c>
    </row>
    <row r="48" spans="1:17">
      <c r="A48">
        <v>47</v>
      </c>
      <c r="B48">
        <v>0.2273</v>
      </c>
      <c r="C48">
        <v>0.47</v>
      </c>
      <c r="D48">
        <v>0.16420000000000001</v>
      </c>
      <c r="E48">
        <v>0</v>
      </c>
      <c r="F48">
        <v>8</v>
      </c>
      <c r="G48">
        <v>8</v>
      </c>
      <c r="H48" s="22">
        <v>40545</v>
      </c>
      <c r="I48">
        <v>1</v>
      </c>
      <c r="J48">
        <v>0</v>
      </c>
      <c r="K48">
        <v>1</v>
      </c>
      <c r="L48">
        <v>23</v>
      </c>
      <c r="M48" t="b">
        <v>0</v>
      </c>
      <c r="N48">
        <v>0</v>
      </c>
      <c r="O48">
        <v>1</v>
      </c>
      <c r="P48">
        <v>0.22</v>
      </c>
      <c r="Q48">
        <v>0.2273</v>
      </c>
    </row>
    <row r="49" spans="1:17">
      <c r="A49">
        <v>48</v>
      </c>
      <c r="B49">
        <v>0.19700000000000001</v>
      </c>
      <c r="C49">
        <v>0.44</v>
      </c>
      <c r="D49">
        <v>0.35820000000000002</v>
      </c>
      <c r="E49">
        <v>0</v>
      </c>
      <c r="F49">
        <v>5</v>
      </c>
      <c r="G49">
        <v>5</v>
      </c>
      <c r="H49" s="22">
        <v>40546</v>
      </c>
      <c r="I49">
        <v>1</v>
      </c>
      <c r="J49">
        <v>0</v>
      </c>
      <c r="K49">
        <v>1</v>
      </c>
      <c r="L49">
        <v>0</v>
      </c>
      <c r="M49" t="b">
        <v>0</v>
      </c>
      <c r="N49">
        <v>1</v>
      </c>
      <c r="O49">
        <v>1</v>
      </c>
      <c r="P49">
        <v>0.22</v>
      </c>
      <c r="Q49">
        <v>0.19700000000000001</v>
      </c>
    </row>
    <row r="50" spans="1:17">
      <c r="A50">
        <v>49</v>
      </c>
      <c r="C50">
        <v>0.44</v>
      </c>
      <c r="D50">
        <v>0.41789999999999999</v>
      </c>
      <c r="E50">
        <v>0</v>
      </c>
      <c r="F50">
        <v>2</v>
      </c>
      <c r="G50">
        <v>2</v>
      </c>
      <c r="H50" s="22">
        <v>40546</v>
      </c>
      <c r="I50">
        <v>1</v>
      </c>
      <c r="J50">
        <v>0</v>
      </c>
      <c r="K50">
        <v>1</v>
      </c>
      <c r="L50">
        <v>1</v>
      </c>
      <c r="M50" t="b">
        <v>0</v>
      </c>
      <c r="N50">
        <v>1</v>
      </c>
      <c r="O50">
        <v>1</v>
      </c>
      <c r="P50">
        <v>0.2</v>
      </c>
      <c r="Q50">
        <v>0.2</v>
      </c>
    </row>
    <row r="51" spans="1:17">
      <c r="A51">
        <v>50</v>
      </c>
      <c r="B51">
        <v>0.13639999999999999</v>
      </c>
      <c r="C51">
        <v>0.47</v>
      </c>
      <c r="D51">
        <v>0.3881</v>
      </c>
      <c r="E51">
        <v>0</v>
      </c>
      <c r="F51">
        <v>1</v>
      </c>
      <c r="G51">
        <v>1</v>
      </c>
      <c r="H51" s="22">
        <v>40546</v>
      </c>
      <c r="I51">
        <v>1</v>
      </c>
      <c r="J51">
        <v>0</v>
      </c>
      <c r="K51">
        <v>1</v>
      </c>
      <c r="L51">
        <v>4</v>
      </c>
      <c r="M51" t="b">
        <v>0</v>
      </c>
      <c r="N51">
        <v>1</v>
      </c>
      <c r="O51">
        <v>1</v>
      </c>
      <c r="P51">
        <v>0.16</v>
      </c>
      <c r="Q51">
        <v>0.13639999999999999</v>
      </c>
    </row>
    <row r="52" spans="1:17">
      <c r="A52">
        <v>51</v>
      </c>
      <c r="B52">
        <v>0.13639999999999999</v>
      </c>
      <c r="C52">
        <v>0.47</v>
      </c>
      <c r="D52">
        <v>0.28360000000000002</v>
      </c>
      <c r="E52">
        <v>0</v>
      </c>
      <c r="F52">
        <v>3</v>
      </c>
      <c r="G52">
        <v>3</v>
      </c>
      <c r="H52" s="22">
        <v>40546</v>
      </c>
      <c r="I52">
        <v>1</v>
      </c>
      <c r="J52">
        <v>0</v>
      </c>
      <c r="K52">
        <v>1</v>
      </c>
      <c r="L52">
        <v>5</v>
      </c>
      <c r="M52" t="b">
        <v>0</v>
      </c>
      <c r="N52">
        <v>1</v>
      </c>
      <c r="O52">
        <v>1</v>
      </c>
      <c r="P52">
        <v>0.16</v>
      </c>
      <c r="Q52">
        <v>0.13639999999999999</v>
      </c>
    </row>
    <row r="53" spans="1:17">
      <c r="A53">
        <v>52</v>
      </c>
      <c r="B53">
        <v>0.1061</v>
      </c>
      <c r="C53">
        <v>0.5</v>
      </c>
      <c r="D53">
        <v>0.3881</v>
      </c>
      <c r="E53">
        <v>0</v>
      </c>
      <c r="F53">
        <v>30</v>
      </c>
      <c r="G53">
        <v>30</v>
      </c>
      <c r="H53" s="22">
        <v>40546</v>
      </c>
      <c r="I53">
        <v>1</v>
      </c>
      <c r="J53">
        <v>0</v>
      </c>
      <c r="K53">
        <v>1</v>
      </c>
      <c r="L53">
        <v>6</v>
      </c>
      <c r="M53" t="b">
        <v>0</v>
      </c>
      <c r="N53">
        <v>1</v>
      </c>
      <c r="O53">
        <v>1</v>
      </c>
      <c r="P53">
        <v>0.14000000000000001</v>
      </c>
      <c r="Q53">
        <v>0.1061</v>
      </c>
    </row>
    <row r="54" spans="1:17">
      <c r="A54">
        <v>53</v>
      </c>
      <c r="B54">
        <v>0.13639999999999999</v>
      </c>
      <c r="C54">
        <v>0.5</v>
      </c>
      <c r="D54">
        <v>0.19400000000000001</v>
      </c>
      <c r="E54">
        <v>1</v>
      </c>
      <c r="F54">
        <v>63</v>
      </c>
      <c r="G54">
        <v>64</v>
      </c>
      <c r="H54" s="22">
        <v>40546</v>
      </c>
      <c r="I54">
        <v>1</v>
      </c>
      <c r="J54">
        <v>0</v>
      </c>
      <c r="K54">
        <v>1</v>
      </c>
      <c r="L54">
        <v>7</v>
      </c>
      <c r="M54" t="b">
        <v>0</v>
      </c>
      <c r="N54">
        <v>1</v>
      </c>
      <c r="O54">
        <v>1</v>
      </c>
      <c r="P54">
        <v>0.14000000000000001</v>
      </c>
      <c r="Q54">
        <v>0.13639999999999999</v>
      </c>
    </row>
    <row r="55" spans="1:17">
      <c r="A55">
        <v>54</v>
      </c>
      <c r="B55">
        <v>0.1212</v>
      </c>
      <c r="C55">
        <v>0.5</v>
      </c>
      <c r="D55">
        <v>0.28360000000000002</v>
      </c>
      <c r="E55">
        <v>1</v>
      </c>
      <c r="F55">
        <v>153</v>
      </c>
      <c r="G55">
        <v>154</v>
      </c>
      <c r="H55" s="22">
        <v>40546</v>
      </c>
      <c r="I55">
        <v>1</v>
      </c>
      <c r="J55">
        <v>0</v>
      </c>
      <c r="K55">
        <v>1</v>
      </c>
      <c r="L55">
        <v>8</v>
      </c>
      <c r="M55" t="b">
        <v>0</v>
      </c>
      <c r="N55">
        <v>1</v>
      </c>
      <c r="O55">
        <v>1</v>
      </c>
      <c r="P55">
        <v>0.14000000000000001</v>
      </c>
      <c r="Q55">
        <v>0.1212</v>
      </c>
    </row>
    <row r="56" spans="1:17">
      <c r="A56">
        <v>55</v>
      </c>
      <c r="B56">
        <v>0.13639999999999999</v>
      </c>
      <c r="C56">
        <v>0.43</v>
      </c>
      <c r="D56">
        <v>0.3881</v>
      </c>
      <c r="E56">
        <v>7</v>
      </c>
      <c r="F56">
        <v>81</v>
      </c>
      <c r="G56">
        <v>88</v>
      </c>
      <c r="H56" s="22">
        <v>40546</v>
      </c>
      <c r="I56">
        <v>1</v>
      </c>
      <c r="J56">
        <v>0</v>
      </c>
      <c r="K56">
        <v>1</v>
      </c>
      <c r="L56">
        <v>9</v>
      </c>
      <c r="M56" t="b">
        <v>0</v>
      </c>
      <c r="N56">
        <v>1</v>
      </c>
      <c r="O56">
        <v>1</v>
      </c>
      <c r="P56">
        <v>0.16</v>
      </c>
      <c r="Q56">
        <v>0.13639999999999999</v>
      </c>
    </row>
    <row r="57" spans="1:17">
      <c r="A57">
        <v>56</v>
      </c>
      <c r="B57">
        <v>0.16669999999999999</v>
      </c>
      <c r="C57">
        <v>0.43</v>
      </c>
      <c r="D57">
        <v>0.25369999999999998</v>
      </c>
      <c r="E57">
        <v>11</v>
      </c>
      <c r="F57">
        <v>33</v>
      </c>
      <c r="G57">
        <v>44</v>
      </c>
      <c r="H57" s="22">
        <v>40546</v>
      </c>
      <c r="I57">
        <v>1</v>
      </c>
      <c r="J57">
        <v>0</v>
      </c>
      <c r="K57">
        <v>1</v>
      </c>
      <c r="L57">
        <v>10</v>
      </c>
      <c r="M57" t="b">
        <v>0</v>
      </c>
      <c r="N57">
        <v>1</v>
      </c>
      <c r="O57">
        <v>1</v>
      </c>
      <c r="P57">
        <v>0.18</v>
      </c>
      <c r="Q57">
        <v>0.16669999999999999</v>
      </c>
    </row>
    <row r="58" spans="1:17">
      <c r="A58">
        <v>57</v>
      </c>
      <c r="B58">
        <v>0.18179999999999999</v>
      </c>
      <c r="C58">
        <v>0.4</v>
      </c>
      <c r="D58">
        <v>0.32840000000000003</v>
      </c>
      <c r="E58">
        <v>10</v>
      </c>
      <c r="F58">
        <v>41</v>
      </c>
      <c r="G58">
        <v>51</v>
      </c>
      <c r="H58" s="22">
        <v>40546</v>
      </c>
      <c r="I58">
        <v>1</v>
      </c>
      <c r="J58">
        <v>0</v>
      </c>
      <c r="K58">
        <v>1</v>
      </c>
      <c r="L58">
        <v>11</v>
      </c>
      <c r="M58" t="b">
        <v>0</v>
      </c>
      <c r="N58">
        <v>1</v>
      </c>
      <c r="O58">
        <v>1</v>
      </c>
      <c r="P58">
        <v>0.2</v>
      </c>
      <c r="Q58">
        <v>0.18179999999999999</v>
      </c>
    </row>
    <row r="59" spans="1:17">
      <c r="A59">
        <v>58</v>
      </c>
      <c r="B59">
        <v>0.21210000000000001</v>
      </c>
      <c r="C59">
        <v>0.35</v>
      </c>
      <c r="D59">
        <v>0.29849999999999999</v>
      </c>
      <c r="E59">
        <v>13</v>
      </c>
      <c r="F59">
        <v>48</v>
      </c>
      <c r="G59">
        <v>61</v>
      </c>
      <c r="H59" s="22">
        <v>40546</v>
      </c>
      <c r="I59">
        <v>1</v>
      </c>
      <c r="J59">
        <v>0</v>
      </c>
      <c r="K59">
        <v>1</v>
      </c>
      <c r="L59">
        <v>12</v>
      </c>
      <c r="M59" t="b">
        <v>0</v>
      </c>
      <c r="N59">
        <v>1</v>
      </c>
      <c r="O59">
        <v>1</v>
      </c>
      <c r="P59">
        <v>0.22</v>
      </c>
      <c r="Q59">
        <v>0.21210000000000001</v>
      </c>
    </row>
    <row r="60" spans="1:17">
      <c r="A60">
        <v>59</v>
      </c>
      <c r="C60">
        <v>0.35</v>
      </c>
      <c r="D60">
        <v>0.28360000000000002</v>
      </c>
      <c r="E60">
        <v>8</v>
      </c>
      <c r="F60">
        <v>53</v>
      </c>
      <c r="G60">
        <v>61</v>
      </c>
      <c r="H60" s="22">
        <v>40546</v>
      </c>
      <c r="I60">
        <v>1</v>
      </c>
      <c r="J60">
        <v>0</v>
      </c>
      <c r="K60">
        <v>1</v>
      </c>
      <c r="L60">
        <v>13</v>
      </c>
      <c r="M60" t="b">
        <v>0</v>
      </c>
      <c r="N60">
        <v>1</v>
      </c>
      <c r="O60">
        <v>1</v>
      </c>
      <c r="P60">
        <v>0.24</v>
      </c>
      <c r="Q60">
        <v>0.24</v>
      </c>
    </row>
    <row r="61" spans="1:17">
      <c r="A61">
        <v>60</v>
      </c>
      <c r="B61">
        <v>0.2424</v>
      </c>
      <c r="C61">
        <v>0.3</v>
      </c>
      <c r="D61">
        <v>0.28360000000000002</v>
      </c>
      <c r="E61">
        <v>11</v>
      </c>
      <c r="F61">
        <v>66</v>
      </c>
      <c r="G61">
        <v>77</v>
      </c>
      <c r="H61" s="22">
        <v>40546</v>
      </c>
      <c r="I61">
        <v>1</v>
      </c>
      <c r="J61">
        <v>0</v>
      </c>
      <c r="K61">
        <v>1</v>
      </c>
      <c r="L61">
        <v>14</v>
      </c>
      <c r="M61" t="b">
        <v>0</v>
      </c>
      <c r="N61">
        <v>1</v>
      </c>
      <c r="O61">
        <v>1</v>
      </c>
      <c r="P61">
        <v>0.26</v>
      </c>
      <c r="Q61">
        <v>0.2424</v>
      </c>
    </row>
    <row r="62" spans="1:17">
      <c r="A62">
        <v>61</v>
      </c>
      <c r="B62">
        <v>0.2424</v>
      </c>
      <c r="C62">
        <v>0.3</v>
      </c>
      <c r="D62">
        <v>0.25369999999999998</v>
      </c>
      <c r="E62">
        <v>14</v>
      </c>
      <c r="F62">
        <v>58</v>
      </c>
      <c r="G62">
        <v>72</v>
      </c>
      <c r="H62" s="22">
        <v>40546</v>
      </c>
      <c r="I62">
        <v>1</v>
      </c>
      <c r="J62">
        <v>0</v>
      </c>
      <c r="K62">
        <v>1</v>
      </c>
      <c r="L62">
        <v>15</v>
      </c>
      <c r="M62" t="b">
        <v>0</v>
      </c>
      <c r="N62">
        <v>1</v>
      </c>
      <c r="O62">
        <v>1</v>
      </c>
      <c r="P62">
        <v>0.26</v>
      </c>
      <c r="Q62">
        <v>0.2424</v>
      </c>
    </row>
    <row r="63" spans="1:17">
      <c r="A63">
        <v>62</v>
      </c>
      <c r="B63">
        <v>0.2424</v>
      </c>
      <c r="C63">
        <v>0.3</v>
      </c>
      <c r="D63">
        <v>0.25369999999999998</v>
      </c>
      <c r="E63">
        <v>9</v>
      </c>
      <c r="F63">
        <v>67</v>
      </c>
      <c r="G63">
        <v>76</v>
      </c>
      <c r="H63" s="22">
        <v>40546</v>
      </c>
      <c r="I63">
        <v>1</v>
      </c>
      <c r="J63">
        <v>0</v>
      </c>
      <c r="K63">
        <v>1</v>
      </c>
      <c r="L63">
        <v>16</v>
      </c>
      <c r="M63" t="b">
        <v>0</v>
      </c>
      <c r="N63">
        <v>1</v>
      </c>
      <c r="O63">
        <v>1</v>
      </c>
      <c r="P63">
        <v>0.26</v>
      </c>
      <c r="Q63">
        <v>0.2424</v>
      </c>
    </row>
    <row r="64" spans="1:17">
      <c r="A64">
        <v>63</v>
      </c>
      <c r="B64">
        <v>0.2273</v>
      </c>
      <c r="C64">
        <v>0.3</v>
      </c>
      <c r="D64">
        <v>0.22389999999999999</v>
      </c>
      <c r="E64">
        <v>11</v>
      </c>
      <c r="F64">
        <v>146</v>
      </c>
      <c r="G64">
        <v>157</v>
      </c>
      <c r="H64" s="22">
        <v>40546</v>
      </c>
      <c r="I64">
        <v>1</v>
      </c>
      <c r="J64">
        <v>0</v>
      </c>
      <c r="K64">
        <v>1</v>
      </c>
      <c r="L64">
        <v>17</v>
      </c>
      <c r="M64" t="b">
        <v>0</v>
      </c>
      <c r="N64">
        <v>1</v>
      </c>
      <c r="O64">
        <v>1</v>
      </c>
      <c r="P64">
        <v>0.24</v>
      </c>
      <c r="Q64">
        <v>0.2273</v>
      </c>
    </row>
    <row r="65" spans="1:17">
      <c r="A65">
        <v>64</v>
      </c>
      <c r="B65">
        <v>0.2576</v>
      </c>
      <c r="C65">
        <v>0.32</v>
      </c>
      <c r="D65">
        <v>0.1045</v>
      </c>
      <c r="E65">
        <v>9</v>
      </c>
      <c r="F65">
        <v>148</v>
      </c>
      <c r="G65">
        <v>157</v>
      </c>
      <c r="H65" s="22">
        <v>40546</v>
      </c>
      <c r="I65">
        <v>1</v>
      </c>
      <c r="J65">
        <v>0</v>
      </c>
      <c r="K65">
        <v>1</v>
      </c>
      <c r="L65">
        <v>18</v>
      </c>
      <c r="M65" t="b">
        <v>0</v>
      </c>
      <c r="N65">
        <v>1</v>
      </c>
      <c r="O65">
        <v>1</v>
      </c>
      <c r="P65">
        <v>0.24</v>
      </c>
      <c r="Q65">
        <v>0.2576</v>
      </c>
    </row>
    <row r="66" spans="1:17">
      <c r="A66">
        <v>65</v>
      </c>
      <c r="B66">
        <v>0.2576</v>
      </c>
      <c r="C66">
        <v>0.47</v>
      </c>
      <c r="D66">
        <v>0</v>
      </c>
      <c r="E66">
        <v>8</v>
      </c>
      <c r="F66">
        <v>102</v>
      </c>
      <c r="G66">
        <v>110</v>
      </c>
      <c r="H66" s="22">
        <v>40546</v>
      </c>
      <c r="I66">
        <v>1</v>
      </c>
      <c r="J66">
        <v>0</v>
      </c>
      <c r="K66">
        <v>1</v>
      </c>
      <c r="L66">
        <v>19</v>
      </c>
      <c r="M66" t="b">
        <v>0</v>
      </c>
      <c r="N66">
        <v>1</v>
      </c>
      <c r="O66">
        <v>1</v>
      </c>
      <c r="P66">
        <v>0.2</v>
      </c>
      <c r="Q66">
        <v>0.2576</v>
      </c>
    </row>
    <row r="67" spans="1:17">
      <c r="A67">
        <v>66</v>
      </c>
      <c r="C67">
        <v>0.47</v>
      </c>
      <c r="D67">
        <v>0.1045</v>
      </c>
      <c r="E67">
        <v>3</v>
      </c>
      <c r="F67">
        <v>49</v>
      </c>
      <c r="G67">
        <v>52</v>
      </c>
      <c r="H67" s="22">
        <v>40546</v>
      </c>
      <c r="I67">
        <v>1</v>
      </c>
      <c r="J67">
        <v>0</v>
      </c>
      <c r="K67">
        <v>1</v>
      </c>
      <c r="L67">
        <v>20</v>
      </c>
      <c r="M67" t="b">
        <v>0</v>
      </c>
      <c r="N67">
        <v>1</v>
      </c>
      <c r="O67">
        <v>1</v>
      </c>
      <c r="P67">
        <v>0.2</v>
      </c>
      <c r="Q67">
        <v>0.2</v>
      </c>
    </row>
    <row r="68" spans="1:17">
      <c r="A68">
        <v>67</v>
      </c>
      <c r="B68">
        <v>0.19700000000000001</v>
      </c>
      <c r="C68">
        <v>0.64</v>
      </c>
      <c r="D68">
        <v>0.1343</v>
      </c>
      <c r="E68">
        <v>3</v>
      </c>
      <c r="F68">
        <v>49</v>
      </c>
      <c r="G68">
        <v>52</v>
      </c>
      <c r="H68" s="22">
        <v>40546</v>
      </c>
      <c r="I68">
        <v>1</v>
      </c>
      <c r="J68">
        <v>0</v>
      </c>
      <c r="K68">
        <v>1</v>
      </c>
      <c r="L68">
        <v>21</v>
      </c>
      <c r="M68" t="b">
        <v>0</v>
      </c>
      <c r="N68">
        <v>1</v>
      </c>
      <c r="O68">
        <v>1</v>
      </c>
      <c r="P68">
        <v>0.18</v>
      </c>
      <c r="Q68">
        <v>0.19700000000000001</v>
      </c>
    </row>
    <row r="69" spans="1:17">
      <c r="A69">
        <v>68</v>
      </c>
      <c r="B69">
        <v>0.1515</v>
      </c>
      <c r="C69">
        <v>0.69</v>
      </c>
      <c r="D69">
        <v>0.1343</v>
      </c>
      <c r="E69">
        <v>0</v>
      </c>
      <c r="F69">
        <v>20</v>
      </c>
      <c r="G69">
        <v>20</v>
      </c>
      <c r="H69" s="22">
        <v>40546</v>
      </c>
      <c r="I69">
        <v>1</v>
      </c>
      <c r="J69">
        <v>0</v>
      </c>
      <c r="K69">
        <v>1</v>
      </c>
      <c r="L69">
        <v>22</v>
      </c>
      <c r="M69" t="b">
        <v>0</v>
      </c>
      <c r="N69">
        <v>1</v>
      </c>
      <c r="O69">
        <v>1</v>
      </c>
      <c r="P69">
        <v>0.14000000000000001</v>
      </c>
      <c r="Q69">
        <v>0.1515</v>
      </c>
    </row>
    <row r="70" spans="1:17">
      <c r="A70">
        <v>69</v>
      </c>
      <c r="B70">
        <v>0.21210000000000001</v>
      </c>
      <c r="C70">
        <v>0.55000000000000004</v>
      </c>
      <c r="D70">
        <v>0.1045</v>
      </c>
      <c r="E70">
        <v>1</v>
      </c>
      <c r="F70">
        <v>11</v>
      </c>
      <c r="G70">
        <v>12</v>
      </c>
      <c r="H70" s="22">
        <v>40546</v>
      </c>
      <c r="I70">
        <v>1</v>
      </c>
      <c r="J70">
        <v>0</v>
      </c>
      <c r="K70">
        <v>1</v>
      </c>
      <c r="L70">
        <v>23</v>
      </c>
      <c r="M70" t="b">
        <v>0</v>
      </c>
      <c r="N70">
        <v>1</v>
      </c>
      <c r="O70">
        <v>1</v>
      </c>
      <c r="P70">
        <v>0.18</v>
      </c>
      <c r="Q70">
        <v>0.21210000000000001</v>
      </c>
    </row>
    <row r="71" spans="1:17">
      <c r="A71">
        <v>70</v>
      </c>
      <c r="C71">
        <v>0.55000000000000004</v>
      </c>
      <c r="D71">
        <v>0.1045</v>
      </c>
      <c r="E71">
        <v>0</v>
      </c>
      <c r="F71">
        <v>5</v>
      </c>
      <c r="G71">
        <v>5</v>
      </c>
      <c r="H71" s="22">
        <v>40547</v>
      </c>
      <c r="I71">
        <v>1</v>
      </c>
      <c r="J71">
        <v>0</v>
      </c>
      <c r="K71">
        <v>1</v>
      </c>
      <c r="L71">
        <v>0</v>
      </c>
      <c r="M71" t="b">
        <v>0</v>
      </c>
      <c r="N71">
        <v>2</v>
      </c>
      <c r="O71">
        <v>1</v>
      </c>
      <c r="P71">
        <v>0.16</v>
      </c>
      <c r="Q71">
        <v>0.16</v>
      </c>
    </row>
    <row r="72" spans="1:17">
      <c r="A72">
        <v>71</v>
      </c>
      <c r="B72">
        <v>0.18179999999999999</v>
      </c>
      <c r="C72">
        <v>0.59</v>
      </c>
      <c r="D72">
        <v>0.1045</v>
      </c>
      <c r="E72">
        <v>0</v>
      </c>
      <c r="F72">
        <v>2</v>
      </c>
      <c r="G72">
        <v>2</v>
      </c>
      <c r="H72" s="22">
        <v>40547</v>
      </c>
      <c r="I72">
        <v>1</v>
      </c>
      <c r="J72">
        <v>0</v>
      </c>
      <c r="K72">
        <v>1</v>
      </c>
      <c r="L72">
        <v>1</v>
      </c>
      <c r="M72" t="b">
        <v>0</v>
      </c>
      <c r="N72">
        <v>2</v>
      </c>
      <c r="O72">
        <v>1</v>
      </c>
      <c r="P72">
        <v>0.16</v>
      </c>
      <c r="Q72">
        <v>0.18179999999999999</v>
      </c>
    </row>
    <row r="73" spans="1:17">
      <c r="A73">
        <v>72</v>
      </c>
      <c r="B73">
        <v>0.1515</v>
      </c>
      <c r="C73">
        <v>0.63</v>
      </c>
      <c r="D73">
        <v>0.1343</v>
      </c>
      <c r="E73">
        <v>0</v>
      </c>
      <c r="F73">
        <v>1</v>
      </c>
      <c r="G73">
        <v>1</v>
      </c>
      <c r="H73" s="22">
        <v>40547</v>
      </c>
      <c r="I73">
        <v>1</v>
      </c>
      <c r="J73">
        <v>0</v>
      </c>
      <c r="K73">
        <v>1</v>
      </c>
      <c r="L73">
        <v>2</v>
      </c>
      <c r="M73" t="b">
        <v>0</v>
      </c>
      <c r="N73">
        <v>2</v>
      </c>
      <c r="O73">
        <v>1</v>
      </c>
      <c r="P73">
        <v>0.14000000000000001</v>
      </c>
      <c r="Q73">
        <v>0.1515</v>
      </c>
    </row>
    <row r="74" spans="1:17">
      <c r="A74">
        <v>73</v>
      </c>
      <c r="B74">
        <v>0.18179999999999999</v>
      </c>
      <c r="C74">
        <v>0.63</v>
      </c>
      <c r="D74">
        <v>8.9599999999999999E-2</v>
      </c>
      <c r="E74">
        <v>0</v>
      </c>
      <c r="F74">
        <v>2</v>
      </c>
      <c r="G74">
        <v>2</v>
      </c>
      <c r="H74" s="22">
        <v>40547</v>
      </c>
      <c r="I74">
        <v>1</v>
      </c>
      <c r="J74">
        <v>0</v>
      </c>
      <c r="K74">
        <v>1</v>
      </c>
      <c r="L74">
        <v>4</v>
      </c>
      <c r="M74" t="b">
        <v>0</v>
      </c>
      <c r="N74">
        <v>2</v>
      </c>
      <c r="O74">
        <v>1</v>
      </c>
      <c r="P74">
        <v>0.14000000000000001</v>
      </c>
      <c r="Q74">
        <v>0.18179999999999999</v>
      </c>
    </row>
    <row r="75" spans="1:17">
      <c r="A75">
        <v>74</v>
      </c>
      <c r="B75">
        <v>0.1515</v>
      </c>
      <c r="C75">
        <v>0.68</v>
      </c>
      <c r="D75">
        <v>0.1045</v>
      </c>
      <c r="E75">
        <v>0</v>
      </c>
      <c r="F75">
        <v>4</v>
      </c>
      <c r="G75">
        <v>4</v>
      </c>
      <c r="H75" s="22">
        <v>40547</v>
      </c>
      <c r="I75">
        <v>1</v>
      </c>
      <c r="J75">
        <v>0</v>
      </c>
      <c r="K75">
        <v>1</v>
      </c>
      <c r="L75">
        <v>5</v>
      </c>
      <c r="M75" t="b">
        <v>0</v>
      </c>
      <c r="N75">
        <v>2</v>
      </c>
      <c r="O75">
        <v>1</v>
      </c>
      <c r="P75">
        <v>0.12</v>
      </c>
      <c r="Q75">
        <v>0.1515</v>
      </c>
    </row>
    <row r="76" spans="1:17">
      <c r="A76">
        <v>75</v>
      </c>
      <c r="B76">
        <v>0.1515</v>
      </c>
      <c r="C76">
        <v>0.74</v>
      </c>
      <c r="D76">
        <v>0.1045</v>
      </c>
      <c r="E76">
        <v>0</v>
      </c>
      <c r="F76">
        <v>36</v>
      </c>
      <c r="G76">
        <v>36</v>
      </c>
      <c r="H76" s="22">
        <v>40547</v>
      </c>
      <c r="I76">
        <v>1</v>
      </c>
      <c r="J76">
        <v>0</v>
      </c>
      <c r="K76">
        <v>1</v>
      </c>
      <c r="L76">
        <v>6</v>
      </c>
      <c r="M76" t="b">
        <v>0</v>
      </c>
      <c r="N76">
        <v>2</v>
      </c>
      <c r="O76">
        <v>1</v>
      </c>
      <c r="P76">
        <v>0.12</v>
      </c>
      <c r="Q76">
        <v>0.1515</v>
      </c>
    </row>
    <row r="77" spans="1:17">
      <c r="A77">
        <v>76</v>
      </c>
      <c r="B77">
        <v>0.1515</v>
      </c>
      <c r="C77">
        <v>0.74</v>
      </c>
      <c r="D77">
        <v>0.1343</v>
      </c>
      <c r="E77">
        <v>2</v>
      </c>
      <c r="F77">
        <v>92</v>
      </c>
      <c r="G77">
        <v>94</v>
      </c>
      <c r="H77" s="22">
        <v>40547</v>
      </c>
      <c r="I77">
        <v>1</v>
      </c>
      <c r="J77">
        <v>0</v>
      </c>
      <c r="K77">
        <v>1</v>
      </c>
      <c r="L77">
        <v>7</v>
      </c>
      <c r="M77" t="b">
        <v>0</v>
      </c>
      <c r="N77">
        <v>2</v>
      </c>
      <c r="O77">
        <v>1</v>
      </c>
      <c r="P77">
        <v>0.12</v>
      </c>
      <c r="Q77">
        <v>0.1515</v>
      </c>
    </row>
    <row r="78" spans="1:17">
      <c r="A78">
        <v>77</v>
      </c>
      <c r="B78">
        <v>0.1515</v>
      </c>
      <c r="C78">
        <v>0.69</v>
      </c>
      <c r="D78">
        <v>0.16420000000000001</v>
      </c>
      <c r="E78">
        <v>2</v>
      </c>
      <c r="F78">
        <v>177</v>
      </c>
      <c r="G78">
        <v>179</v>
      </c>
      <c r="H78" s="22">
        <v>40547</v>
      </c>
      <c r="I78">
        <v>1</v>
      </c>
      <c r="J78">
        <v>0</v>
      </c>
      <c r="K78">
        <v>1</v>
      </c>
      <c r="L78">
        <v>8</v>
      </c>
      <c r="M78" t="b">
        <v>0</v>
      </c>
      <c r="N78">
        <v>2</v>
      </c>
      <c r="O78">
        <v>1</v>
      </c>
      <c r="P78">
        <v>0.14000000000000001</v>
      </c>
      <c r="Q78">
        <v>0.1515</v>
      </c>
    </row>
    <row r="79" spans="1:17">
      <c r="A79">
        <v>78</v>
      </c>
      <c r="B79">
        <v>0.1515</v>
      </c>
      <c r="C79">
        <v>0.64</v>
      </c>
      <c r="D79">
        <v>0.22389999999999999</v>
      </c>
      <c r="E79">
        <v>2</v>
      </c>
      <c r="F79">
        <v>98</v>
      </c>
      <c r="G79">
        <v>100</v>
      </c>
      <c r="H79" s="22">
        <v>40547</v>
      </c>
      <c r="I79">
        <v>1</v>
      </c>
      <c r="J79">
        <v>0</v>
      </c>
      <c r="K79">
        <v>1</v>
      </c>
      <c r="L79">
        <v>9</v>
      </c>
      <c r="M79" t="b">
        <v>0</v>
      </c>
      <c r="N79">
        <v>2</v>
      </c>
      <c r="O79">
        <v>1</v>
      </c>
      <c r="P79">
        <v>0.16</v>
      </c>
      <c r="Q79">
        <v>0.1515</v>
      </c>
    </row>
    <row r="80" spans="1:17">
      <c r="A80">
        <v>79</v>
      </c>
      <c r="B80">
        <v>0.13639999999999999</v>
      </c>
      <c r="C80">
        <v>0.69</v>
      </c>
      <c r="D80">
        <v>0.32840000000000003</v>
      </c>
      <c r="E80">
        <v>5</v>
      </c>
      <c r="F80">
        <v>37</v>
      </c>
      <c r="G80">
        <v>42</v>
      </c>
      <c r="H80" s="22">
        <v>40547</v>
      </c>
      <c r="I80">
        <v>1</v>
      </c>
      <c r="J80">
        <v>0</v>
      </c>
      <c r="K80">
        <v>1</v>
      </c>
      <c r="L80">
        <v>10</v>
      </c>
      <c r="M80" t="b">
        <v>0</v>
      </c>
      <c r="N80">
        <v>2</v>
      </c>
      <c r="O80">
        <v>2</v>
      </c>
      <c r="P80">
        <v>0.16</v>
      </c>
      <c r="Q80">
        <v>0.13639999999999999</v>
      </c>
    </row>
    <row r="81" spans="1:17">
      <c r="A81">
        <v>80</v>
      </c>
      <c r="B81">
        <v>0.21210000000000001</v>
      </c>
      <c r="C81">
        <v>0.51</v>
      </c>
      <c r="D81">
        <v>0.29849999999999999</v>
      </c>
      <c r="E81">
        <v>7</v>
      </c>
      <c r="F81">
        <v>50</v>
      </c>
      <c r="G81">
        <v>57</v>
      </c>
      <c r="H81" s="22">
        <v>40547</v>
      </c>
      <c r="I81">
        <v>1</v>
      </c>
      <c r="J81">
        <v>0</v>
      </c>
      <c r="K81">
        <v>1</v>
      </c>
      <c r="L81">
        <v>11</v>
      </c>
      <c r="M81" t="b">
        <v>0</v>
      </c>
      <c r="N81">
        <v>2</v>
      </c>
      <c r="O81">
        <v>1</v>
      </c>
      <c r="P81">
        <v>0.22</v>
      </c>
      <c r="Q81">
        <v>0.21210000000000001</v>
      </c>
    </row>
    <row r="82" spans="1:17">
      <c r="A82">
        <v>81</v>
      </c>
      <c r="B82">
        <v>0.2273</v>
      </c>
      <c r="C82">
        <v>0.51</v>
      </c>
      <c r="D82">
        <v>0.16420000000000001</v>
      </c>
      <c r="E82">
        <v>12</v>
      </c>
      <c r="F82">
        <v>66</v>
      </c>
      <c r="G82">
        <v>78</v>
      </c>
      <c r="H82" s="22">
        <v>40547</v>
      </c>
      <c r="I82">
        <v>1</v>
      </c>
      <c r="J82">
        <v>0</v>
      </c>
      <c r="K82">
        <v>1</v>
      </c>
      <c r="L82">
        <v>12</v>
      </c>
      <c r="M82" t="b">
        <v>0</v>
      </c>
      <c r="N82">
        <v>2</v>
      </c>
      <c r="O82">
        <v>1</v>
      </c>
      <c r="P82">
        <v>0.22</v>
      </c>
      <c r="Q82">
        <v>0.2273</v>
      </c>
    </row>
    <row r="83" spans="1:17">
      <c r="A83">
        <v>82</v>
      </c>
      <c r="B83">
        <v>0.2273</v>
      </c>
      <c r="C83">
        <v>0.56000000000000005</v>
      </c>
      <c r="D83">
        <v>0.19400000000000001</v>
      </c>
      <c r="E83">
        <v>18</v>
      </c>
      <c r="F83">
        <v>79</v>
      </c>
      <c r="G83">
        <v>97</v>
      </c>
      <c r="H83" s="22">
        <v>40547</v>
      </c>
      <c r="I83">
        <v>1</v>
      </c>
      <c r="J83">
        <v>0</v>
      </c>
      <c r="K83">
        <v>1</v>
      </c>
      <c r="L83">
        <v>13</v>
      </c>
      <c r="M83" t="b">
        <v>0</v>
      </c>
      <c r="N83">
        <v>2</v>
      </c>
      <c r="O83">
        <v>1</v>
      </c>
      <c r="P83">
        <v>0.24</v>
      </c>
      <c r="Q83">
        <v>0.2273</v>
      </c>
    </row>
    <row r="84" spans="1:17">
      <c r="A84">
        <v>83</v>
      </c>
      <c r="B84">
        <v>0.2576</v>
      </c>
      <c r="C84">
        <v>0.52</v>
      </c>
      <c r="D84">
        <v>0.22389999999999999</v>
      </c>
      <c r="E84">
        <v>9</v>
      </c>
      <c r="F84">
        <v>54</v>
      </c>
      <c r="G84">
        <v>63</v>
      </c>
      <c r="H84" s="22">
        <v>40547</v>
      </c>
      <c r="I84">
        <v>1</v>
      </c>
      <c r="J84">
        <v>0</v>
      </c>
      <c r="K84">
        <v>1</v>
      </c>
      <c r="L84">
        <v>14</v>
      </c>
      <c r="M84" t="b">
        <v>0</v>
      </c>
      <c r="N84">
        <v>2</v>
      </c>
      <c r="O84">
        <v>1</v>
      </c>
      <c r="P84">
        <v>0.26</v>
      </c>
      <c r="Q84">
        <v>0.2576</v>
      </c>
    </row>
    <row r="85" spans="1:17">
      <c r="A85">
        <v>84</v>
      </c>
      <c r="B85">
        <v>0.2727</v>
      </c>
      <c r="C85">
        <v>0.52</v>
      </c>
      <c r="D85">
        <v>0.25369999999999998</v>
      </c>
      <c r="E85">
        <v>17</v>
      </c>
      <c r="F85">
        <v>48</v>
      </c>
      <c r="G85">
        <v>65</v>
      </c>
      <c r="H85" s="22">
        <v>40547</v>
      </c>
      <c r="I85">
        <v>1</v>
      </c>
      <c r="J85">
        <v>0</v>
      </c>
      <c r="K85">
        <v>1</v>
      </c>
      <c r="L85">
        <v>15</v>
      </c>
      <c r="M85" t="b">
        <v>0</v>
      </c>
      <c r="N85">
        <v>2</v>
      </c>
      <c r="O85">
        <v>1</v>
      </c>
      <c r="P85">
        <v>0.28000000000000003</v>
      </c>
      <c r="Q85">
        <v>0.2727</v>
      </c>
    </row>
    <row r="86" spans="1:17">
      <c r="A86">
        <v>85</v>
      </c>
      <c r="B86">
        <v>0.28789999999999999</v>
      </c>
      <c r="C86">
        <v>0.49</v>
      </c>
      <c r="D86">
        <v>0.25369999999999998</v>
      </c>
      <c r="E86">
        <v>15</v>
      </c>
      <c r="F86">
        <v>68</v>
      </c>
      <c r="G86">
        <v>83</v>
      </c>
      <c r="H86" s="22">
        <v>40547</v>
      </c>
      <c r="I86">
        <v>1</v>
      </c>
      <c r="J86">
        <v>0</v>
      </c>
      <c r="K86">
        <v>1</v>
      </c>
      <c r="L86">
        <v>16</v>
      </c>
      <c r="M86" t="b">
        <v>0</v>
      </c>
      <c r="N86">
        <v>2</v>
      </c>
      <c r="O86">
        <v>1</v>
      </c>
      <c r="P86">
        <v>0.3</v>
      </c>
      <c r="Q86">
        <v>0.28789999999999999</v>
      </c>
    </row>
    <row r="87" spans="1:17">
      <c r="A87">
        <v>86</v>
      </c>
      <c r="B87">
        <v>0.2727</v>
      </c>
      <c r="C87">
        <v>0.48</v>
      </c>
      <c r="D87">
        <v>0.22389999999999999</v>
      </c>
      <c r="E87">
        <v>10</v>
      </c>
      <c r="F87">
        <v>202</v>
      </c>
      <c r="G87">
        <v>212</v>
      </c>
      <c r="H87" s="22">
        <v>40547</v>
      </c>
      <c r="I87">
        <v>1</v>
      </c>
      <c r="J87">
        <v>0</v>
      </c>
      <c r="K87">
        <v>1</v>
      </c>
      <c r="L87">
        <v>17</v>
      </c>
      <c r="M87" t="b">
        <v>0</v>
      </c>
      <c r="N87">
        <v>2</v>
      </c>
      <c r="O87">
        <v>1</v>
      </c>
      <c r="P87">
        <v>0.28000000000000003</v>
      </c>
      <c r="Q87">
        <v>0.2727</v>
      </c>
    </row>
    <row r="88" spans="1:17">
      <c r="A88">
        <v>87</v>
      </c>
      <c r="B88">
        <v>0.2576</v>
      </c>
      <c r="C88">
        <v>0.48</v>
      </c>
      <c r="D88">
        <v>0.19400000000000001</v>
      </c>
      <c r="E88">
        <v>3</v>
      </c>
      <c r="F88">
        <v>179</v>
      </c>
      <c r="G88">
        <v>182</v>
      </c>
      <c r="H88" s="22">
        <v>40547</v>
      </c>
      <c r="I88">
        <v>1</v>
      </c>
      <c r="J88">
        <v>0</v>
      </c>
      <c r="K88">
        <v>1</v>
      </c>
      <c r="L88">
        <v>18</v>
      </c>
      <c r="M88" t="b">
        <v>0</v>
      </c>
      <c r="N88">
        <v>2</v>
      </c>
      <c r="O88">
        <v>1</v>
      </c>
      <c r="P88">
        <v>0.26</v>
      </c>
      <c r="Q88">
        <v>0.2576</v>
      </c>
    </row>
    <row r="89" spans="1:17">
      <c r="A89">
        <v>88</v>
      </c>
      <c r="B89">
        <v>0.2576</v>
      </c>
      <c r="C89">
        <v>0.48</v>
      </c>
      <c r="D89">
        <v>0.1045</v>
      </c>
      <c r="E89">
        <v>2</v>
      </c>
      <c r="F89">
        <v>110</v>
      </c>
      <c r="G89">
        <v>112</v>
      </c>
      <c r="H89" s="22">
        <v>40547</v>
      </c>
      <c r="I89">
        <v>1</v>
      </c>
      <c r="J89">
        <v>0</v>
      </c>
      <c r="K89">
        <v>1</v>
      </c>
      <c r="L89">
        <v>19</v>
      </c>
      <c r="M89" t="b">
        <v>0</v>
      </c>
      <c r="N89">
        <v>2</v>
      </c>
      <c r="O89">
        <v>1</v>
      </c>
      <c r="P89">
        <v>0.24</v>
      </c>
      <c r="Q89">
        <v>0.2576</v>
      </c>
    </row>
    <row r="90" spans="1:17">
      <c r="A90">
        <v>89</v>
      </c>
      <c r="B90">
        <v>0.2576</v>
      </c>
      <c r="C90">
        <v>0.48</v>
      </c>
      <c r="D90">
        <v>0.1045</v>
      </c>
      <c r="E90">
        <v>1</v>
      </c>
      <c r="F90">
        <v>53</v>
      </c>
      <c r="G90">
        <v>54</v>
      </c>
      <c r="H90" s="22">
        <v>40547</v>
      </c>
      <c r="I90">
        <v>1</v>
      </c>
      <c r="J90">
        <v>0</v>
      </c>
      <c r="K90">
        <v>1</v>
      </c>
      <c r="L90">
        <v>20</v>
      </c>
      <c r="M90" t="b">
        <v>0</v>
      </c>
      <c r="N90">
        <v>2</v>
      </c>
      <c r="O90">
        <v>1</v>
      </c>
      <c r="P90">
        <v>0.24</v>
      </c>
      <c r="Q90">
        <v>0.2576</v>
      </c>
    </row>
    <row r="91" spans="1:17">
      <c r="A91">
        <v>90</v>
      </c>
      <c r="B91">
        <v>0.2727</v>
      </c>
      <c r="C91">
        <v>0.64</v>
      </c>
      <c r="D91">
        <v>0</v>
      </c>
      <c r="E91">
        <v>0</v>
      </c>
      <c r="F91">
        <v>48</v>
      </c>
      <c r="G91">
        <v>48</v>
      </c>
      <c r="H91" s="22">
        <v>40547</v>
      </c>
      <c r="I91">
        <v>1</v>
      </c>
      <c r="J91">
        <v>0</v>
      </c>
      <c r="K91">
        <v>1</v>
      </c>
      <c r="L91">
        <v>21</v>
      </c>
      <c r="M91" t="b">
        <v>0</v>
      </c>
      <c r="N91">
        <v>2</v>
      </c>
      <c r="O91">
        <v>1</v>
      </c>
      <c r="P91">
        <v>0.22</v>
      </c>
      <c r="Q91">
        <v>0.2727</v>
      </c>
    </row>
    <row r="92" spans="1:17">
      <c r="A92">
        <v>91</v>
      </c>
      <c r="B92">
        <v>0.2576</v>
      </c>
      <c r="C92">
        <v>0.64</v>
      </c>
      <c r="D92">
        <v>8.9599999999999999E-2</v>
      </c>
      <c r="E92">
        <v>1</v>
      </c>
      <c r="F92">
        <v>34</v>
      </c>
      <c r="G92">
        <v>35</v>
      </c>
      <c r="H92" s="22">
        <v>40547</v>
      </c>
      <c r="I92">
        <v>1</v>
      </c>
      <c r="J92">
        <v>0</v>
      </c>
      <c r="K92">
        <v>1</v>
      </c>
      <c r="L92">
        <v>22</v>
      </c>
      <c r="M92" t="b">
        <v>0</v>
      </c>
      <c r="N92">
        <v>2</v>
      </c>
      <c r="O92">
        <v>1</v>
      </c>
      <c r="P92">
        <v>0.22</v>
      </c>
      <c r="Q92">
        <v>0.2576</v>
      </c>
    </row>
    <row r="93" spans="1:17">
      <c r="A93">
        <v>92</v>
      </c>
      <c r="B93">
        <v>0.2273</v>
      </c>
      <c r="C93">
        <v>0.69</v>
      </c>
      <c r="D93">
        <v>8.9599999999999999E-2</v>
      </c>
      <c r="E93">
        <v>2</v>
      </c>
      <c r="F93">
        <v>9</v>
      </c>
      <c r="G93">
        <v>11</v>
      </c>
      <c r="H93" s="22">
        <v>40547</v>
      </c>
      <c r="I93">
        <v>1</v>
      </c>
      <c r="J93">
        <v>0</v>
      </c>
      <c r="K93">
        <v>1</v>
      </c>
      <c r="L93">
        <v>23</v>
      </c>
      <c r="M93" t="b">
        <v>0</v>
      </c>
      <c r="N93">
        <v>2</v>
      </c>
      <c r="O93">
        <v>1</v>
      </c>
      <c r="P93">
        <v>0.2</v>
      </c>
      <c r="Q93">
        <v>0.2273</v>
      </c>
    </row>
    <row r="94" spans="1:17">
      <c r="A94">
        <v>93</v>
      </c>
      <c r="B94">
        <v>0.2576</v>
      </c>
      <c r="C94">
        <v>0.64</v>
      </c>
      <c r="D94">
        <v>0</v>
      </c>
      <c r="E94">
        <v>0</v>
      </c>
      <c r="F94">
        <v>6</v>
      </c>
      <c r="G94">
        <v>6</v>
      </c>
      <c r="H94" s="22">
        <v>40548</v>
      </c>
      <c r="I94">
        <v>1</v>
      </c>
      <c r="J94">
        <v>0</v>
      </c>
      <c r="K94">
        <v>1</v>
      </c>
      <c r="L94">
        <v>0</v>
      </c>
      <c r="M94" t="b">
        <v>0</v>
      </c>
      <c r="N94">
        <v>3</v>
      </c>
      <c r="O94">
        <v>1</v>
      </c>
      <c r="P94">
        <v>0.2</v>
      </c>
      <c r="Q94">
        <v>0.2576</v>
      </c>
    </row>
    <row r="95" spans="1:17">
      <c r="A95">
        <v>94</v>
      </c>
      <c r="B95">
        <v>0.19700000000000001</v>
      </c>
      <c r="C95">
        <v>0.74</v>
      </c>
      <c r="D95">
        <v>8.9599999999999999E-2</v>
      </c>
      <c r="E95">
        <v>0</v>
      </c>
      <c r="F95">
        <v>6</v>
      </c>
      <c r="G95">
        <v>6</v>
      </c>
      <c r="H95" s="22">
        <v>40548</v>
      </c>
      <c r="I95">
        <v>1</v>
      </c>
      <c r="J95">
        <v>0</v>
      </c>
      <c r="K95">
        <v>1</v>
      </c>
      <c r="L95">
        <v>1</v>
      </c>
      <c r="M95" t="b">
        <v>0</v>
      </c>
      <c r="N95">
        <v>3</v>
      </c>
      <c r="O95">
        <v>1</v>
      </c>
      <c r="P95">
        <v>0.16</v>
      </c>
      <c r="Q95">
        <v>0.19700000000000001</v>
      </c>
    </row>
    <row r="96" spans="1:17">
      <c r="A96">
        <v>95</v>
      </c>
      <c r="B96">
        <v>0.19700000000000001</v>
      </c>
      <c r="C96">
        <v>0.74</v>
      </c>
      <c r="D96">
        <v>8.9599999999999999E-2</v>
      </c>
      <c r="E96">
        <v>0</v>
      </c>
      <c r="F96">
        <v>2</v>
      </c>
      <c r="G96">
        <v>2</v>
      </c>
      <c r="H96" s="22">
        <v>40548</v>
      </c>
      <c r="I96">
        <v>1</v>
      </c>
      <c r="J96">
        <v>0</v>
      </c>
      <c r="K96">
        <v>1</v>
      </c>
      <c r="L96">
        <v>2</v>
      </c>
      <c r="M96" t="b">
        <v>0</v>
      </c>
      <c r="N96">
        <v>3</v>
      </c>
      <c r="O96">
        <v>1</v>
      </c>
      <c r="P96">
        <v>0.16</v>
      </c>
      <c r="Q96">
        <v>0.19700000000000001</v>
      </c>
    </row>
    <row r="97" spans="1:17">
      <c r="A97">
        <v>96</v>
      </c>
      <c r="B97">
        <v>0.2273</v>
      </c>
      <c r="C97">
        <v>0.48</v>
      </c>
      <c r="D97">
        <v>0.22389999999999999</v>
      </c>
      <c r="E97">
        <v>0</v>
      </c>
      <c r="F97">
        <v>2</v>
      </c>
      <c r="G97">
        <v>2</v>
      </c>
      <c r="H97" s="22">
        <v>40548</v>
      </c>
      <c r="I97">
        <v>1</v>
      </c>
      <c r="J97">
        <v>0</v>
      </c>
      <c r="K97">
        <v>1</v>
      </c>
      <c r="L97">
        <v>4</v>
      </c>
      <c r="M97" t="b">
        <v>0</v>
      </c>
      <c r="N97">
        <v>3</v>
      </c>
      <c r="O97">
        <v>1</v>
      </c>
      <c r="P97">
        <v>0.24</v>
      </c>
      <c r="Q97">
        <v>0.2273</v>
      </c>
    </row>
    <row r="98" spans="1:17">
      <c r="A98">
        <v>97</v>
      </c>
      <c r="B98">
        <v>0.2273</v>
      </c>
      <c r="C98">
        <v>0.47</v>
      </c>
      <c r="D98">
        <v>0.16420000000000001</v>
      </c>
      <c r="E98">
        <v>0</v>
      </c>
      <c r="F98">
        <v>3</v>
      </c>
      <c r="G98">
        <v>3</v>
      </c>
      <c r="H98" s="22">
        <v>40548</v>
      </c>
      <c r="I98">
        <v>1</v>
      </c>
      <c r="J98">
        <v>0</v>
      </c>
      <c r="K98">
        <v>1</v>
      </c>
      <c r="L98">
        <v>5</v>
      </c>
      <c r="M98" t="b">
        <v>0</v>
      </c>
      <c r="N98">
        <v>3</v>
      </c>
      <c r="O98">
        <v>1</v>
      </c>
      <c r="P98">
        <v>0.22</v>
      </c>
      <c r="Q98">
        <v>0.2273</v>
      </c>
    </row>
    <row r="99" spans="1:17">
      <c r="A99">
        <v>98</v>
      </c>
      <c r="B99">
        <v>0.19700000000000001</v>
      </c>
      <c r="C99">
        <v>0.47</v>
      </c>
      <c r="D99">
        <v>0.22389999999999999</v>
      </c>
      <c r="E99">
        <v>0</v>
      </c>
      <c r="F99">
        <v>33</v>
      </c>
      <c r="G99">
        <v>33</v>
      </c>
      <c r="H99" s="22">
        <v>40548</v>
      </c>
      <c r="I99">
        <v>1</v>
      </c>
      <c r="J99">
        <v>0</v>
      </c>
      <c r="K99">
        <v>1</v>
      </c>
      <c r="L99">
        <v>6</v>
      </c>
      <c r="M99" t="b">
        <v>0</v>
      </c>
      <c r="N99">
        <v>3</v>
      </c>
      <c r="O99">
        <v>1</v>
      </c>
      <c r="P99">
        <v>0.2</v>
      </c>
      <c r="Q99">
        <v>0.19700000000000001</v>
      </c>
    </row>
    <row r="100" spans="1:17">
      <c r="A100">
        <v>99</v>
      </c>
      <c r="B100">
        <v>0.18179999999999999</v>
      </c>
      <c r="C100">
        <v>0.43</v>
      </c>
      <c r="D100">
        <v>0.19400000000000001</v>
      </c>
      <c r="E100">
        <v>1</v>
      </c>
      <c r="F100">
        <v>87</v>
      </c>
      <c r="G100">
        <v>88</v>
      </c>
      <c r="H100" s="22">
        <v>40548</v>
      </c>
      <c r="I100">
        <v>1</v>
      </c>
      <c r="J100">
        <v>0</v>
      </c>
      <c r="K100">
        <v>1</v>
      </c>
      <c r="L100">
        <v>7</v>
      </c>
      <c r="M100" t="b">
        <v>0</v>
      </c>
      <c r="N100">
        <v>3</v>
      </c>
      <c r="O100">
        <v>1</v>
      </c>
      <c r="P100">
        <v>0.18</v>
      </c>
      <c r="Q100">
        <v>0.18179999999999999</v>
      </c>
    </row>
    <row r="101" spans="1:17">
      <c r="A101">
        <v>100</v>
      </c>
      <c r="B101">
        <v>0.18179999999999999</v>
      </c>
      <c r="C101">
        <v>0.4</v>
      </c>
      <c r="D101">
        <v>0.29849999999999999</v>
      </c>
      <c r="E101">
        <v>3</v>
      </c>
      <c r="F101">
        <v>192</v>
      </c>
      <c r="G101">
        <v>195</v>
      </c>
      <c r="H101" s="22">
        <v>40548</v>
      </c>
      <c r="I101">
        <v>1</v>
      </c>
      <c r="J101">
        <v>0</v>
      </c>
      <c r="K101">
        <v>1</v>
      </c>
      <c r="L101">
        <v>8</v>
      </c>
      <c r="M101" t="b">
        <v>0</v>
      </c>
      <c r="N101">
        <v>3</v>
      </c>
      <c r="O101">
        <v>1</v>
      </c>
      <c r="P101">
        <v>0.2</v>
      </c>
      <c r="Q101">
        <v>0.18179999999999999</v>
      </c>
    </row>
    <row r="102" spans="1:17">
      <c r="A102">
        <v>101</v>
      </c>
      <c r="B102">
        <v>0.19700000000000001</v>
      </c>
      <c r="C102">
        <v>0.37</v>
      </c>
      <c r="D102">
        <v>0.32840000000000003</v>
      </c>
      <c r="E102">
        <v>6</v>
      </c>
      <c r="F102">
        <v>109</v>
      </c>
      <c r="G102">
        <v>115</v>
      </c>
      <c r="H102" s="22">
        <v>40548</v>
      </c>
      <c r="I102">
        <v>1</v>
      </c>
      <c r="J102">
        <v>0</v>
      </c>
      <c r="K102">
        <v>1</v>
      </c>
      <c r="L102">
        <v>9</v>
      </c>
      <c r="M102" t="b">
        <v>0</v>
      </c>
      <c r="N102">
        <v>3</v>
      </c>
      <c r="O102">
        <v>1</v>
      </c>
      <c r="P102">
        <v>0.22</v>
      </c>
      <c r="Q102">
        <v>0.19700000000000001</v>
      </c>
    </row>
    <row r="103" spans="1:17">
      <c r="A103">
        <v>102</v>
      </c>
      <c r="B103">
        <v>0.19700000000000001</v>
      </c>
      <c r="C103">
        <v>0.37</v>
      </c>
      <c r="D103">
        <v>0.32840000000000003</v>
      </c>
      <c r="E103">
        <v>4</v>
      </c>
      <c r="F103">
        <v>53</v>
      </c>
      <c r="G103">
        <v>57</v>
      </c>
      <c r="H103" s="22">
        <v>40548</v>
      </c>
      <c r="I103">
        <v>1</v>
      </c>
      <c r="J103">
        <v>0</v>
      </c>
      <c r="K103">
        <v>1</v>
      </c>
      <c r="L103">
        <v>10</v>
      </c>
      <c r="M103" t="b">
        <v>0</v>
      </c>
      <c r="N103">
        <v>3</v>
      </c>
      <c r="O103">
        <v>1</v>
      </c>
      <c r="P103">
        <v>0.22</v>
      </c>
      <c r="Q103">
        <v>0.19700000000000001</v>
      </c>
    </row>
    <row r="104" spans="1:17">
      <c r="A104">
        <v>103</v>
      </c>
      <c r="B104">
        <v>0.2273</v>
      </c>
      <c r="C104">
        <v>0.33</v>
      </c>
      <c r="D104">
        <v>0.32840000000000003</v>
      </c>
      <c r="E104">
        <v>12</v>
      </c>
      <c r="F104">
        <v>34</v>
      </c>
      <c r="G104">
        <v>46</v>
      </c>
      <c r="H104" s="22">
        <v>40548</v>
      </c>
      <c r="I104">
        <v>1</v>
      </c>
      <c r="J104">
        <v>0</v>
      </c>
      <c r="K104">
        <v>1</v>
      </c>
      <c r="L104">
        <v>11</v>
      </c>
      <c r="M104" t="b">
        <v>0</v>
      </c>
      <c r="N104">
        <v>3</v>
      </c>
      <c r="O104">
        <v>1</v>
      </c>
      <c r="P104">
        <v>0.26</v>
      </c>
      <c r="Q104">
        <v>0.2273</v>
      </c>
    </row>
    <row r="105" spans="1:17">
      <c r="A105">
        <v>104</v>
      </c>
      <c r="B105">
        <v>0.2273</v>
      </c>
      <c r="C105">
        <v>0.33</v>
      </c>
      <c r="D105">
        <v>0.32840000000000003</v>
      </c>
      <c r="E105">
        <v>5</v>
      </c>
      <c r="F105">
        <v>74</v>
      </c>
      <c r="G105">
        <v>79</v>
      </c>
      <c r="H105" s="22">
        <v>40548</v>
      </c>
      <c r="I105">
        <v>1</v>
      </c>
      <c r="J105">
        <v>0</v>
      </c>
      <c r="K105">
        <v>1</v>
      </c>
      <c r="L105">
        <v>12</v>
      </c>
      <c r="M105" t="b">
        <v>0</v>
      </c>
      <c r="N105">
        <v>3</v>
      </c>
      <c r="O105">
        <v>1</v>
      </c>
      <c r="P105">
        <v>0.26</v>
      </c>
      <c r="Q105">
        <v>0.2273</v>
      </c>
    </row>
    <row r="106" spans="1:17">
      <c r="A106">
        <v>105</v>
      </c>
      <c r="B106">
        <v>0.2576</v>
      </c>
      <c r="C106">
        <v>0.3</v>
      </c>
      <c r="D106">
        <v>0.29849999999999999</v>
      </c>
      <c r="E106">
        <v>6</v>
      </c>
      <c r="F106">
        <v>65</v>
      </c>
      <c r="G106">
        <v>71</v>
      </c>
      <c r="H106" s="22">
        <v>40548</v>
      </c>
      <c r="I106">
        <v>1</v>
      </c>
      <c r="J106">
        <v>0</v>
      </c>
      <c r="K106">
        <v>1</v>
      </c>
      <c r="L106">
        <v>13</v>
      </c>
      <c r="M106" t="b">
        <v>0</v>
      </c>
      <c r="N106">
        <v>3</v>
      </c>
      <c r="O106">
        <v>1</v>
      </c>
      <c r="P106">
        <v>0.28000000000000003</v>
      </c>
      <c r="Q106">
        <v>0.2576</v>
      </c>
    </row>
    <row r="107" spans="1:17">
      <c r="A107">
        <v>106</v>
      </c>
      <c r="B107">
        <v>0.28789999999999999</v>
      </c>
      <c r="C107">
        <v>0.28000000000000003</v>
      </c>
      <c r="D107">
        <v>0.19400000000000001</v>
      </c>
      <c r="E107">
        <v>10</v>
      </c>
      <c r="F107">
        <v>52</v>
      </c>
      <c r="G107">
        <v>62</v>
      </c>
      <c r="H107" s="22">
        <v>40548</v>
      </c>
      <c r="I107">
        <v>1</v>
      </c>
      <c r="J107">
        <v>0</v>
      </c>
      <c r="K107">
        <v>1</v>
      </c>
      <c r="L107">
        <v>14</v>
      </c>
      <c r="M107" t="b">
        <v>0</v>
      </c>
      <c r="N107">
        <v>3</v>
      </c>
      <c r="O107">
        <v>1</v>
      </c>
      <c r="P107">
        <v>0.3</v>
      </c>
      <c r="Q107">
        <v>0.28789999999999999</v>
      </c>
    </row>
    <row r="108" spans="1:17">
      <c r="A108">
        <v>107</v>
      </c>
      <c r="B108">
        <v>0.28789999999999999</v>
      </c>
      <c r="C108">
        <v>0.28000000000000003</v>
      </c>
      <c r="D108">
        <v>0.19400000000000001</v>
      </c>
      <c r="E108">
        <v>7</v>
      </c>
      <c r="F108">
        <v>55</v>
      </c>
      <c r="G108">
        <v>62</v>
      </c>
      <c r="H108" s="22">
        <v>40548</v>
      </c>
      <c r="I108">
        <v>1</v>
      </c>
      <c r="J108">
        <v>0</v>
      </c>
      <c r="K108">
        <v>1</v>
      </c>
      <c r="L108">
        <v>15</v>
      </c>
      <c r="M108" t="b">
        <v>0</v>
      </c>
      <c r="N108">
        <v>3</v>
      </c>
      <c r="O108">
        <v>1</v>
      </c>
      <c r="P108">
        <v>0.3</v>
      </c>
      <c r="Q108">
        <v>0.28789999999999999</v>
      </c>
    </row>
    <row r="109" spans="1:17">
      <c r="A109">
        <v>108</v>
      </c>
      <c r="B109">
        <v>0.31819999999999998</v>
      </c>
      <c r="C109">
        <v>0.28000000000000003</v>
      </c>
      <c r="D109">
        <v>8.9599999999999999E-2</v>
      </c>
      <c r="E109">
        <v>4</v>
      </c>
      <c r="F109">
        <v>85</v>
      </c>
      <c r="G109">
        <v>89</v>
      </c>
      <c r="H109" s="22">
        <v>40548</v>
      </c>
      <c r="I109">
        <v>1</v>
      </c>
      <c r="J109">
        <v>0</v>
      </c>
      <c r="K109">
        <v>1</v>
      </c>
      <c r="L109">
        <v>16</v>
      </c>
      <c r="M109" t="b">
        <v>0</v>
      </c>
      <c r="N109">
        <v>3</v>
      </c>
      <c r="O109">
        <v>1</v>
      </c>
      <c r="P109">
        <v>0.3</v>
      </c>
      <c r="Q109">
        <v>0.31819999999999998</v>
      </c>
    </row>
    <row r="110" spans="1:17">
      <c r="A110">
        <v>109</v>
      </c>
      <c r="B110">
        <v>0.2273</v>
      </c>
      <c r="C110">
        <v>0.38</v>
      </c>
      <c r="D110">
        <v>0.19400000000000001</v>
      </c>
      <c r="E110">
        <v>4</v>
      </c>
      <c r="F110">
        <v>186</v>
      </c>
      <c r="G110">
        <v>190</v>
      </c>
      <c r="H110" s="22">
        <v>40548</v>
      </c>
      <c r="I110">
        <v>1</v>
      </c>
      <c r="J110">
        <v>0</v>
      </c>
      <c r="K110">
        <v>1</v>
      </c>
      <c r="L110">
        <v>17</v>
      </c>
      <c r="M110" t="b">
        <v>0</v>
      </c>
      <c r="N110">
        <v>3</v>
      </c>
      <c r="O110">
        <v>1</v>
      </c>
      <c r="P110">
        <v>0.24</v>
      </c>
      <c r="Q110">
        <v>0.2273</v>
      </c>
    </row>
    <row r="111" spans="1:17">
      <c r="A111">
        <v>110</v>
      </c>
      <c r="B111">
        <v>0.2424</v>
      </c>
      <c r="C111">
        <v>0.38</v>
      </c>
      <c r="D111">
        <v>0.1343</v>
      </c>
      <c r="E111">
        <v>3</v>
      </c>
      <c r="F111">
        <v>166</v>
      </c>
      <c r="G111">
        <v>169</v>
      </c>
      <c r="H111" s="22">
        <v>40548</v>
      </c>
      <c r="I111">
        <v>1</v>
      </c>
      <c r="J111">
        <v>0</v>
      </c>
      <c r="K111">
        <v>1</v>
      </c>
      <c r="L111">
        <v>18</v>
      </c>
      <c r="M111" t="b">
        <v>0</v>
      </c>
      <c r="N111">
        <v>3</v>
      </c>
      <c r="O111">
        <v>1</v>
      </c>
      <c r="P111">
        <v>0.24</v>
      </c>
      <c r="Q111">
        <v>0.2424</v>
      </c>
    </row>
    <row r="112" spans="1:17">
      <c r="A112">
        <v>111</v>
      </c>
      <c r="B112">
        <v>0.2576</v>
      </c>
      <c r="C112">
        <v>0.38</v>
      </c>
      <c r="D112">
        <v>0.1045</v>
      </c>
      <c r="E112">
        <v>5</v>
      </c>
      <c r="F112">
        <v>127</v>
      </c>
      <c r="G112">
        <v>132</v>
      </c>
      <c r="H112" s="22">
        <v>40548</v>
      </c>
      <c r="I112">
        <v>1</v>
      </c>
      <c r="J112">
        <v>0</v>
      </c>
      <c r="K112">
        <v>1</v>
      </c>
      <c r="L112">
        <v>19</v>
      </c>
      <c r="M112" t="b">
        <v>0</v>
      </c>
      <c r="N112">
        <v>3</v>
      </c>
      <c r="O112">
        <v>1</v>
      </c>
      <c r="P112">
        <v>0.24</v>
      </c>
      <c r="Q112">
        <v>0.2576</v>
      </c>
    </row>
    <row r="113" spans="1:17">
      <c r="A113">
        <v>112</v>
      </c>
      <c r="B113">
        <v>0.2273</v>
      </c>
      <c r="C113">
        <v>0.47</v>
      </c>
      <c r="D113">
        <v>0.16420000000000001</v>
      </c>
      <c r="E113">
        <v>7</v>
      </c>
      <c r="F113">
        <v>82</v>
      </c>
      <c r="G113">
        <v>89</v>
      </c>
      <c r="H113" s="22">
        <v>40548</v>
      </c>
      <c r="I113">
        <v>1</v>
      </c>
      <c r="J113">
        <v>0</v>
      </c>
      <c r="K113">
        <v>1</v>
      </c>
      <c r="L113">
        <v>20</v>
      </c>
      <c r="M113" t="b">
        <v>0</v>
      </c>
      <c r="N113">
        <v>3</v>
      </c>
      <c r="O113">
        <v>1</v>
      </c>
      <c r="P113">
        <v>0.22</v>
      </c>
      <c r="Q113">
        <v>0.2273</v>
      </c>
    </row>
    <row r="114" spans="1:17">
      <c r="A114">
        <v>113</v>
      </c>
      <c r="B114">
        <v>0.19700000000000001</v>
      </c>
      <c r="C114">
        <v>0.51</v>
      </c>
      <c r="D114">
        <v>0.19400000000000001</v>
      </c>
      <c r="E114">
        <v>3</v>
      </c>
      <c r="F114">
        <v>40</v>
      </c>
      <c r="G114">
        <v>43</v>
      </c>
      <c r="H114" s="22">
        <v>40548</v>
      </c>
      <c r="I114">
        <v>1</v>
      </c>
      <c r="J114">
        <v>0</v>
      </c>
      <c r="K114">
        <v>1</v>
      </c>
      <c r="L114">
        <v>21</v>
      </c>
      <c r="M114" t="b">
        <v>0</v>
      </c>
      <c r="N114">
        <v>3</v>
      </c>
      <c r="O114">
        <v>1</v>
      </c>
      <c r="P114">
        <v>0.2</v>
      </c>
      <c r="Q114">
        <v>0.19700000000000001</v>
      </c>
    </row>
    <row r="115" spans="1:17">
      <c r="A115">
        <v>114</v>
      </c>
      <c r="B115">
        <v>0.19700000000000001</v>
      </c>
      <c r="C115">
        <v>0.55000000000000004</v>
      </c>
      <c r="D115">
        <v>0.1343</v>
      </c>
      <c r="E115">
        <v>1</v>
      </c>
      <c r="F115">
        <v>41</v>
      </c>
      <c r="G115">
        <v>42</v>
      </c>
      <c r="H115" s="22">
        <v>40548</v>
      </c>
      <c r="I115">
        <v>1</v>
      </c>
      <c r="J115">
        <v>0</v>
      </c>
      <c r="K115">
        <v>1</v>
      </c>
      <c r="L115">
        <v>22</v>
      </c>
      <c r="M115" t="b">
        <v>0</v>
      </c>
      <c r="N115">
        <v>3</v>
      </c>
      <c r="O115">
        <v>1</v>
      </c>
      <c r="P115">
        <v>0.18</v>
      </c>
      <c r="Q115">
        <v>0.19700000000000001</v>
      </c>
    </row>
    <row r="116" spans="1:17">
      <c r="A116">
        <v>115</v>
      </c>
      <c r="B116">
        <v>0.2576</v>
      </c>
      <c r="C116">
        <v>0.47</v>
      </c>
      <c r="D116">
        <v>0</v>
      </c>
      <c r="E116">
        <v>1</v>
      </c>
      <c r="F116">
        <v>18</v>
      </c>
      <c r="G116">
        <v>19</v>
      </c>
      <c r="H116" s="22">
        <v>40548</v>
      </c>
      <c r="I116">
        <v>1</v>
      </c>
      <c r="J116">
        <v>0</v>
      </c>
      <c r="K116">
        <v>1</v>
      </c>
      <c r="L116">
        <v>23</v>
      </c>
      <c r="M116" t="b">
        <v>0</v>
      </c>
      <c r="N116">
        <v>3</v>
      </c>
      <c r="O116">
        <v>1</v>
      </c>
      <c r="P116">
        <v>0.2</v>
      </c>
      <c r="Q116">
        <v>0.2576</v>
      </c>
    </row>
    <row r="117" spans="1:17">
      <c r="A117">
        <v>116</v>
      </c>
      <c r="B117">
        <v>0.2424</v>
      </c>
      <c r="C117">
        <v>0.55000000000000004</v>
      </c>
      <c r="D117">
        <v>0</v>
      </c>
      <c r="E117">
        <v>0</v>
      </c>
      <c r="F117">
        <v>11</v>
      </c>
      <c r="G117">
        <v>11</v>
      </c>
      <c r="H117" s="22">
        <v>40549</v>
      </c>
      <c r="I117">
        <v>1</v>
      </c>
      <c r="J117">
        <v>0</v>
      </c>
      <c r="K117">
        <v>1</v>
      </c>
      <c r="L117">
        <v>0</v>
      </c>
      <c r="M117" t="b">
        <v>0</v>
      </c>
      <c r="N117">
        <v>4</v>
      </c>
      <c r="O117">
        <v>1</v>
      </c>
      <c r="P117">
        <v>0.18</v>
      </c>
      <c r="Q117">
        <v>0.2424</v>
      </c>
    </row>
    <row r="118" spans="1:17">
      <c r="A118">
        <v>117</v>
      </c>
      <c r="B118">
        <v>0.2273</v>
      </c>
      <c r="C118">
        <v>0.64</v>
      </c>
      <c r="D118">
        <v>0</v>
      </c>
      <c r="E118">
        <v>0</v>
      </c>
      <c r="F118">
        <v>4</v>
      </c>
      <c r="G118">
        <v>4</v>
      </c>
      <c r="H118" s="22">
        <v>40549</v>
      </c>
      <c r="I118">
        <v>1</v>
      </c>
      <c r="J118">
        <v>0</v>
      </c>
      <c r="K118">
        <v>1</v>
      </c>
      <c r="L118">
        <v>1</v>
      </c>
      <c r="M118" t="b">
        <v>0</v>
      </c>
      <c r="N118">
        <v>4</v>
      </c>
      <c r="O118">
        <v>1</v>
      </c>
      <c r="P118">
        <v>0.16</v>
      </c>
      <c r="Q118">
        <v>0.2273</v>
      </c>
    </row>
    <row r="119" spans="1:17">
      <c r="A119">
        <v>118</v>
      </c>
      <c r="B119">
        <v>0.2273</v>
      </c>
      <c r="C119">
        <v>0.64</v>
      </c>
      <c r="D119">
        <v>0</v>
      </c>
      <c r="E119">
        <v>0</v>
      </c>
      <c r="F119">
        <v>2</v>
      </c>
      <c r="G119">
        <v>2</v>
      </c>
      <c r="H119" s="22">
        <v>40549</v>
      </c>
      <c r="I119">
        <v>1</v>
      </c>
      <c r="J119">
        <v>0</v>
      </c>
      <c r="K119">
        <v>1</v>
      </c>
      <c r="L119">
        <v>2</v>
      </c>
      <c r="M119" t="b">
        <v>0</v>
      </c>
      <c r="N119">
        <v>4</v>
      </c>
      <c r="O119">
        <v>1</v>
      </c>
      <c r="P119">
        <v>0.16</v>
      </c>
      <c r="Q119">
        <v>0.2273</v>
      </c>
    </row>
    <row r="120" spans="1:17">
      <c r="A120">
        <v>119</v>
      </c>
      <c r="B120">
        <v>0.19700000000000001</v>
      </c>
      <c r="C120">
        <v>0.64</v>
      </c>
      <c r="D120">
        <v>8.9599999999999999E-2</v>
      </c>
      <c r="E120">
        <v>0</v>
      </c>
      <c r="F120">
        <v>1</v>
      </c>
      <c r="G120">
        <v>1</v>
      </c>
      <c r="H120" s="22">
        <v>40549</v>
      </c>
      <c r="I120">
        <v>1</v>
      </c>
      <c r="J120">
        <v>0</v>
      </c>
      <c r="K120">
        <v>1</v>
      </c>
      <c r="L120">
        <v>4</v>
      </c>
      <c r="M120" t="b">
        <v>0</v>
      </c>
      <c r="N120">
        <v>4</v>
      </c>
      <c r="O120">
        <v>2</v>
      </c>
      <c r="P120">
        <v>0.16</v>
      </c>
      <c r="Q120">
        <v>0.19700000000000001</v>
      </c>
    </row>
    <row r="121" spans="1:17">
      <c r="A121">
        <v>120</v>
      </c>
      <c r="B121">
        <v>0.18179999999999999</v>
      </c>
      <c r="C121">
        <v>0.69</v>
      </c>
      <c r="D121">
        <v>8.9599999999999999E-2</v>
      </c>
      <c r="E121">
        <v>0</v>
      </c>
      <c r="F121">
        <v>4</v>
      </c>
      <c r="G121">
        <v>4</v>
      </c>
      <c r="H121" s="22">
        <v>40549</v>
      </c>
      <c r="I121">
        <v>1</v>
      </c>
      <c r="J121">
        <v>0</v>
      </c>
      <c r="K121">
        <v>1</v>
      </c>
      <c r="L121">
        <v>5</v>
      </c>
      <c r="M121" t="b">
        <v>0</v>
      </c>
      <c r="N121">
        <v>4</v>
      </c>
      <c r="O121">
        <v>2</v>
      </c>
      <c r="P121">
        <v>0.14000000000000001</v>
      </c>
      <c r="Q121">
        <v>0.18179999999999999</v>
      </c>
    </row>
    <row r="122" spans="1:17">
      <c r="A122">
        <v>121</v>
      </c>
      <c r="B122">
        <v>0.16669999999999999</v>
      </c>
      <c r="C122">
        <v>0.63</v>
      </c>
      <c r="D122">
        <v>0.1045</v>
      </c>
      <c r="E122">
        <v>0</v>
      </c>
      <c r="F122">
        <v>36</v>
      </c>
      <c r="G122">
        <v>36</v>
      </c>
      <c r="H122" s="22">
        <v>40549</v>
      </c>
      <c r="I122">
        <v>1</v>
      </c>
      <c r="J122">
        <v>0</v>
      </c>
      <c r="K122">
        <v>1</v>
      </c>
      <c r="L122">
        <v>6</v>
      </c>
      <c r="M122" t="b">
        <v>0</v>
      </c>
      <c r="N122">
        <v>4</v>
      </c>
      <c r="O122">
        <v>2</v>
      </c>
      <c r="P122">
        <v>0.14000000000000001</v>
      </c>
      <c r="Q122">
        <v>0.16669999999999999</v>
      </c>
    </row>
    <row r="123" spans="1:17">
      <c r="A123">
        <v>122</v>
      </c>
      <c r="B123">
        <v>0.2273</v>
      </c>
      <c r="C123">
        <v>0.59</v>
      </c>
      <c r="D123">
        <v>0</v>
      </c>
      <c r="E123">
        <v>0</v>
      </c>
      <c r="F123">
        <v>95</v>
      </c>
      <c r="G123">
        <v>95</v>
      </c>
      <c r="H123" s="22">
        <v>40549</v>
      </c>
      <c r="I123">
        <v>1</v>
      </c>
      <c r="J123">
        <v>0</v>
      </c>
      <c r="K123">
        <v>1</v>
      </c>
      <c r="L123">
        <v>7</v>
      </c>
      <c r="M123" t="b">
        <v>0</v>
      </c>
      <c r="N123">
        <v>4</v>
      </c>
      <c r="O123">
        <v>2</v>
      </c>
      <c r="P123">
        <v>0.16</v>
      </c>
      <c r="Q123">
        <v>0.2273</v>
      </c>
    </row>
    <row r="124" spans="1:17">
      <c r="A124">
        <v>123</v>
      </c>
      <c r="B124">
        <v>0.2273</v>
      </c>
      <c r="C124">
        <v>0.59</v>
      </c>
      <c r="D124">
        <v>0</v>
      </c>
      <c r="E124">
        <v>3</v>
      </c>
      <c r="F124">
        <v>216</v>
      </c>
      <c r="G124">
        <v>219</v>
      </c>
      <c r="H124" s="22">
        <v>40549</v>
      </c>
      <c r="I124">
        <v>1</v>
      </c>
      <c r="J124">
        <v>0</v>
      </c>
      <c r="K124">
        <v>1</v>
      </c>
      <c r="L124">
        <v>8</v>
      </c>
      <c r="M124" t="b">
        <v>0</v>
      </c>
      <c r="N124">
        <v>4</v>
      </c>
      <c r="O124">
        <v>1</v>
      </c>
      <c r="P124">
        <v>0.16</v>
      </c>
      <c r="Q124">
        <v>0.2273</v>
      </c>
    </row>
    <row r="125" spans="1:17">
      <c r="A125">
        <v>124</v>
      </c>
      <c r="B125">
        <v>0.2424</v>
      </c>
      <c r="C125">
        <v>0.51</v>
      </c>
      <c r="D125">
        <v>0</v>
      </c>
      <c r="E125">
        <v>6</v>
      </c>
      <c r="F125">
        <v>116</v>
      </c>
      <c r="G125">
        <v>122</v>
      </c>
      <c r="H125" s="22">
        <v>40549</v>
      </c>
      <c r="I125">
        <v>1</v>
      </c>
      <c r="J125">
        <v>0</v>
      </c>
      <c r="K125">
        <v>1</v>
      </c>
      <c r="L125">
        <v>9</v>
      </c>
      <c r="M125" t="b">
        <v>0</v>
      </c>
      <c r="N125">
        <v>4</v>
      </c>
      <c r="O125">
        <v>2</v>
      </c>
      <c r="P125">
        <v>0.18</v>
      </c>
      <c r="Q125">
        <v>0.2424</v>
      </c>
    </row>
    <row r="126" spans="1:17">
      <c r="A126">
        <v>125</v>
      </c>
      <c r="B126">
        <v>0.2576</v>
      </c>
      <c r="C126">
        <v>0.47</v>
      </c>
      <c r="D126">
        <v>0</v>
      </c>
      <c r="E126">
        <v>3</v>
      </c>
      <c r="F126">
        <v>42</v>
      </c>
      <c r="G126">
        <v>45</v>
      </c>
      <c r="H126" s="22">
        <v>40549</v>
      </c>
      <c r="I126">
        <v>1</v>
      </c>
      <c r="J126">
        <v>0</v>
      </c>
      <c r="K126">
        <v>1</v>
      </c>
      <c r="L126">
        <v>10</v>
      </c>
      <c r="M126" t="b">
        <v>0</v>
      </c>
      <c r="N126">
        <v>4</v>
      </c>
      <c r="O126">
        <v>1</v>
      </c>
      <c r="P126">
        <v>0.2</v>
      </c>
      <c r="Q126">
        <v>0.2576</v>
      </c>
    </row>
    <row r="127" spans="1:17">
      <c r="A127">
        <v>126</v>
      </c>
      <c r="B127">
        <v>0.2576</v>
      </c>
      <c r="C127">
        <v>0.44</v>
      </c>
      <c r="D127">
        <v>8.9599999999999999E-2</v>
      </c>
      <c r="E127">
        <v>2</v>
      </c>
      <c r="F127">
        <v>57</v>
      </c>
      <c r="G127">
        <v>59</v>
      </c>
      <c r="H127" s="22">
        <v>40549</v>
      </c>
      <c r="I127">
        <v>1</v>
      </c>
      <c r="J127">
        <v>0</v>
      </c>
      <c r="K127">
        <v>1</v>
      </c>
      <c r="L127">
        <v>11</v>
      </c>
      <c r="M127" t="b">
        <v>0</v>
      </c>
      <c r="N127">
        <v>4</v>
      </c>
      <c r="O127">
        <v>1</v>
      </c>
      <c r="P127">
        <v>0.22</v>
      </c>
      <c r="Q127">
        <v>0.2576</v>
      </c>
    </row>
    <row r="128" spans="1:17">
      <c r="A128">
        <v>127</v>
      </c>
      <c r="B128">
        <v>0.28789999999999999</v>
      </c>
      <c r="C128">
        <v>0.35</v>
      </c>
      <c r="D128">
        <v>0</v>
      </c>
      <c r="E128">
        <v>6</v>
      </c>
      <c r="F128">
        <v>78</v>
      </c>
      <c r="G128">
        <v>84</v>
      </c>
      <c r="H128" s="22">
        <v>40549</v>
      </c>
      <c r="I128">
        <v>1</v>
      </c>
      <c r="J128">
        <v>0</v>
      </c>
      <c r="K128">
        <v>1</v>
      </c>
      <c r="L128">
        <v>12</v>
      </c>
      <c r="M128" t="b">
        <v>0</v>
      </c>
      <c r="N128">
        <v>4</v>
      </c>
      <c r="O128">
        <v>1</v>
      </c>
      <c r="P128">
        <v>0.26</v>
      </c>
      <c r="Q128">
        <v>0.28789999999999999</v>
      </c>
    </row>
    <row r="129" spans="1:17">
      <c r="A129">
        <v>128</v>
      </c>
      <c r="B129">
        <v>0.2727</v>
      </c>
      <c r="C129">
        <v>0.35</v>
      </c>
      <c r="D129">
        <v>0.1045</v>
      </c>
      <c r="E129">
        <v>12</v>
      </c>
      <c r="F129">
        <v>55</v>
      </c>
      <c r="G129">
        <v>67</v>
      </c>
      <c r="H129" s="22">
        <v>40549</v>
      </c>
      <c r="I129">
        <v>1</v>
      </c>
      <c r="J129">
        <v>0</v>
      </c>
      <c r="K129">
        <v>1</v>
      </c>
      <c r="L129">
        <v>13</v>
      </c>
      <c r="M129" t="b">
        <v>0</v>
      </c>
      <c r="N129">
        <v>4</v>
      </c>
      <c r="O129">
        <v>1</v>
      </c>
      <c r="P129">
        <v>0.26</v>
      </c>
      <c r="Q129">
        <v>0.2727</v>
      </c>
    </row>
    <row r="130" spans="1:17">
      <c r="A130">
        <v>129</v>
      </c>
      <c r="B130">
        <v>0.2727</v>
      </c>
      <c r="C130">
        <v>0.36</v>
      </c>
      <c r="D130">
        <v>0.16420000000000001</v>
      </c>
      <c r="E130">
        <v>11</v>
      </c>
      <c r="F130">
        <v>59</v>
      </c>
      <c r="G130">
        <v>70</v>
      </c>
      <c r="H130" s="22">
        <v>40549</v>
      </c>
      <c r="I130">
        <v>1</v>
      </c>
      <c r="J130">
        <v>0</v>
      </c>
      <c r="K130">
        <v>1</v>
      </c>
      <c r="L130">
        <v>14</v>
      </c>
      <c r="M130" t="b">
        <v>0</v>
      </c>
      <c r="N130">
        <v>4</v>
      </c>
      <c r="O130">
        <v>1</v>
      </c>
      <c r="P130">
        <v>0.28000000000000003</v>
      </c>
      <c r="Q130">
        <v>0.2727</v>
      </c>
    </row>
    <row r="131" spans="1:17">
      <c r="A131">
        <v>130</v>
      </c>
      <c r="B131">
        <v>0.2727</v>
      </c>
      <c r="C131">
        <v>0.36</v>
      </c>
      <c r="D131">
        <v>0</v>
      </c>
      <c r="E131">
        <v>8</v>
      </c>
      <c r="F131">
        <v>54</v>
      </c>
      <c r="G131">
        <v>62</v>
      </c>
      <c r="H131" s="22">
        <v>40549</v>
      </c>
      <c r="I131">
        <v>1</v>
      </c>
      <c r="J131">
        <v>0</v>
      </c>
      <c r="K131">
        <v>1</v>
      </c>
      <c r="L131">
        <v>15</v>
      </c>
      <c r="M131" t="b">
        <v>0</v>
      </c>
      <c r="N131">
        <v>4</v>
      </c>
      <c r="O131">
        <v>1</v>
      </c>
      <c r="P131">
        <v>0.28000000000000003</v>
      </c>
      <c r="Q131">
        <v>0.2727</v>
      </c>
    </row>
    <row r="132" spans="1:17">
      <c r="A132">
        <v>131</v>
      </c>
      <c r="B132">
        <v>0.2576</v>
      </c>
      <c r="C132">
        <v>0.38</v>
      </c>
      <c r="D132">
        <v>0.16420000000000001</v>
      </c>
      <c r="E132">
        <v>12</v>
      </c>
      <c r="F132">
        <v>74</v>
      </c>
      <c r="G132">
        <v>86</v>
      </c>
      <c r="H132" s="22">
        <v>40549</v>
      </c>
      <c r="I132">
        <v>1</v>
      </c>
      <c r="J132">
        <v>0</v>
      </c>
      <c r="K132">
        <v>1</v>
      </c>
      <c r="L132">
        <v>16</v>
      </c>
      <c r="M132" t="b">
        <v>0</v>
      </c>
      <c r="N132">
        <v>4</v>
      </c>
      <c r="O132">
        <v>1</v>
      </c>
      <c r="P132">
        <v>0.26</v>
      </c>
      <c r="Q132">
        <v>0.2576</v>
      </c>
    </row>
    <row r="133" spans="1:17">
      <c r="A133">
        <v>132</v>
      </c>
      <c r="B133">
        <v>0.2273</v>
      </c>
      <c r="C133">
        <v>0.51</v>
      </c>
      <c r="D133">
        <v>0.16420000000000001</v>
      </c>
      <c r="E133">
        <v>9</v>
      </c>
      <c r="F133">
        <v>163</v>
      </c>
      <c r="G133">
        <v>172</v>
      </c>
      <c r="H133" s="22">
        <v>40549</v>
      </c>
      <c r="I133">
        <v>1</v>
      </c>
      <c r="J133">
        <v>0</v>
      </c>
      <c r="K133">
        <v>1</v>
      </c>
      <c r="L133">
        <v>17</v>
      </c>
      <c r="M133" t="b">
        <v>0</v>
      </c>
      <c r="N133">
        <v>4</v>
      </c>
      <c r="O133">
        <v>1</v>
      </c>
      <c r="P133">
        <v>0.22</v>
      </c>
      <c r="Q133">
        <v>0.2273</v>
      </c>
    </row>
    <row r="134" spans="1:17">
      <c r="A134">
        <v>133</v>
      </c>
      <c r="B134">
        <v>0.2273</v>
      </c>
      <c r="C134">
        <v>0.51</v>
      </c>
      <c r="D134">
        <v>0.1343</v>
      </c>
      <c r="E134">
        <v>5</v>
      </c>
      <c r="F134">
        <v>158</v>
      </c>
      <c r="G134">
        <v>163</v>
      </c>
      <c r="H134" s="22">
        <v>40549</v>
      </c>
      <c r="I134">
        <v>1</v>
      </c>
      <c r="J134">
        <v>0</v>
      </c>
      <c r="K134">
        <v>1</v>
      </c>
      <c r="L134">
        <v>18</v>
      </c>
      <c r="M134" t="b">
        <v>0</v>
      </c>
      <c r="N134">
        <v>4</v>
      </c>
      <c r="O134">
        <v>1</v>
      </c>
      <c r="P134">
        <v>0.22</v>
      </c>
      <c r="Q134">
        <v>0.2273</v>
      </c>
    </row>
    <row r="135" spans="1:17">
      <c r="A135">
        <v>134</v>
      </c>
      <c r="B135">
        <v>0.2576</v>
      </c>
      <c r="C135">
        <v>0.55000000000000004</v>
      </c>
      <c r="D135">
        <v>8.9599999999999999E-2</v>
      </c>
      <c r="E135">
        <v>3</v>
      </c>
      <c r="F135">
        <v>109</v>
      </c>
      <c r="G135">
        <v>112</v>
      </c>
      <c r="H135" s="22">
        <v>40549</v>
      </c>
      <c r="I135">
        <v>1</v>
      </c>
      <c r="J135">
        <v>0</v>
      </c>
      <c r="K135">
        <v>1</v>
      </c>
      <c r="L135">
        <v>19</v>
      </c>
      <c r="M135" t="b">
        <v>0</v>
      </c>
      <c r="N135">
        <v>4</v>
      </c>
      <c r="O135">
        <v>1</v>
      </c>
      <c r="P135">
        <v>0.22</v>
      </c>
      <c r="Q135">
        <v>0.2576</v>
      </c>
    </row>
    <row r="136" spans="1:17">
      <c r="A136">
        <v>135</v>
      </c>
      <c r="B136">
        <v>0.21210000000000001</v>
      </c>
      <c r="C136">
        <v>0.51</v>
      </c>
      <c r="D136">
        <v>0.16420000000000001</v>
      </c>
      <c r="E136">
        <v>3</v>
      </c>
      <c r="F136">
        <v>66</v>
      </c>
      <c r="G136">
        <v>69</v>
      </c>
      <c r="H136" s="22">
        <v>40549</v>
      </c>
      <c r="I136">
        <v>1</v>
      </c>
      <c r="J136">
        <v>0</v>
      </c>
      <c r="K136">
        <v>1</v>
      </c>
      <c r="L136">
        <v>20</v>
      </c>
      <c r="M136" t="b">
        <v>0</v>
      </c>
      <c r="N136">
        <v>4</v>
      </c>
      <c r="O136">
        <v>1</v>
      </c>
      <c r="P136">
        <v>0.2</v>
      </c>
      <c r="Q136">
        <v>0.21210000000000001</v>
      </c>
    </row>
    <row r="137" spans="1:17">
      <c r="A137">
        <v>136</v>
      </c>
      <c r="B137">
        <v>0.21210000000000001</v>
      </c>
      <c r="C137">
        <v>0.55000000000000004</v>
      </c>
      <c r="D137">
        <v>0.22389999999999999</v>
      </c>
      <c r="E137">
        <v>0</v>
      </c>
      <c r="F137">
        <v>48</v>
      </c>
      <c r="G137">
        <v>48</v>
      </c>
      <c r="H137" s="22">
        <v>40549</v>
      </c>
      <c r="I137">
        <v>1</v>
      </c>
      <c r="J137">
        <v>0</v>
      </c>
      <c r="K137">
        <v>1</v>
      </c>
      <c r="L137">
        <v>21</v>
      </c>
      <c r="M137" t="b">
        <v>0</v>
      </c>
      <c r="N137">
        <v>4</v>
      </c>
      <c r="O137">
        <v>2</v>
      </c>
      <c r="P137">
        <v>0.22</v>
      </c>
      <c r="Q137">
        <v>0.21210000000000001</v>
      </c>
    </row>
    <row r="138" spans="1:17">
      <c r="A138">
        <v>137</v>
      </c>
      <c r="B138">
        <v>0.21210000000000001</v>
      </c>
      <c r="C138">
        <v>0.51</v>
      </c>
      <c r="D138">
        <v>0.28360000000000002</v>
      </c>
      <c r="E138">
        <v>1</v>
      </c>
      <c r="F138">
        <v>51</v>
      </c>
      <c r="G138">
        <v>52</v>
      </c>
      <c r="H138" s="22">
        <v>40549</v>
      </c>
      <c r="I138">
        <v>1</v>
      </c>
      <c r="J138">
        <v>0</v>
      </c>
      <c r="K138">
        <v>1</v>
      </c>
      <c r="L138">
        <v>22</v>
      </c>
      <c r="M138" t="b">
        <v>0</v>
      </c>
      <c r="N138">
        <v>4</v>
      </c>
      <c r="O138">
        <v>2</v>
      </c>
      <c r="P138">
        <v>0.22</v>
      </c>
      <c r="Q138">
        <v>0.21210000000000001</v>
      </c>
    </row>
    <row r="139" spans="1:17">
      <c r="A139">
        <v>138</v>
      </c>
      <c r="B139">
        <v>0.19700000000000001</v>
      </c>
      <c r="C139">
        <v>0.59</v>
      </c>
      <c r="D139">
        <v>0.19400000000000001</v>
      </c>
      <c r="E139">
        <v>4</v>
      </c>
      <c r="F139">
        <v>19</v>
      </c>
      <c r="G139">
        <v>23</v>
      </c>
      <c r="H139" s="22">
        <v>40549</v>
      </c>
      <c r="I139">
        <v>1</v>
      </c>
      <c r="J139">
        <v>0</v>
      </c>
      <c r="K139">
        <v>1</v>
      </c>
      <c r="L139">
        <v>23</v>
      </c>
      <c r="M139" t="b">
        <v>0</v>
      </c>
      <c r="N139">
        <v>4</v>
      </c>
      <c r="O139">
        <v>2</v>
      </c>
      <c r="P139">
        <v>0.2</v>
      </c>
      <c r="Q139">
        <v>0.19700000000000001</v>
      </c>
    </row>
    <row r="140" spans="1:17">
      <c r="A140">
        <v>139</v>
      </c>
      <c r="B140">
        <v>0.19700000000000001</v>
      </c>
      <c r="C140">
        <v>0.64</v>
      </c>
      <c r="D140">
        <v>0.19400000000000001</v>
      </c>
      <c r="E140">
        <v>4</v>
      </c>
      <c r="F140">
        <v>13</v>
      </c>
      <c r="G140">
        <v>17</v>
      </c>
      <c r="H140" s="22">
        <v>40550</v>
      </c>
      <c r="I140">
        <v>1</v>
      </c>
      <c r="J140">
        <v>0</v>
      </c>
      <c r="K140">
        <v>1</v>
      </c>
      <c r="L140">
        <v>0</v>
      </c>
      <c r="M140" t="b">
        <v>0</v>
      </c>
      <c r="N140">
        <v>5</v>
      </c>
      <c r="O140">
        <v>2</v>
      </c>
      <c r="P140">
        <v>0.2</v>
      </c>
      <c r="Q140">
        <v>0.19700000000000001</v>
      </c>
    </row>
    <row r="141" spans="1:17">
      <c r="A141">
        <v>140</v>
      </c>
      <c r="B141">
        <v>0.19700000000000001</v>
      </c>
      <c r="C141">
        <v>0.69</v>
      </c>
      <c r="D141">
        <v>0.22389999999999999</v>
      </c>
      <c r="E141">
        <v>2</v>
      </c>
      <c r="F141">
        <v>5</v>
      </c>
      <c r="G141">
        <v>7</v>
      </c>
      <c r="H141" s="22">
        <v>40550</v>
      </c>
      <c r="I141">
        <v>1</v>
      </c>
      <c r="J141">
        <v>0</v>
      </c>
      <c r="K141">
        <v>1</v>
      </c>
      <c r="L141">
        <v>1</v>
      </c>
      <c r="M141" t="b">
        <v>0</v>
      </c>
      <c r="N141">
        <v>5</v>
      </c>
      <c r="O141">
        <v>2</v>
      </c>
      <c r="P141">
        <v>0.2</v>
      </c>
      <c r="Q141">
        <v>0.19700000000000001</v>
      </c>
    </row>
    <row r="142" spans="1:17">
      <c r="A142">
        <v>141</v>
      </c>
      <c r="B142">
        <v>0.19700000000000001</v>
      </c>
      <c r="C142">
        <v>0.69</v>
      </c>
      <c r="D142">
        <v>0.22389999999999999</v>
      </c>
      <c r="E142">
        <v>0</v>
      </c>
      <c r="F142">
        <v>1</v>
      </c>
      <c r="G142">
        <v>1</v>
      </c>
      <c r="H142" s="22">
        <v>40550</v>
      </c>
      <c r="I142">
        <v>1</v>
      </c>
      <c r="J142">
        <v>0</v>
      </c>
      <c r="K142">
        <v>1</v>
      </c>
      <c r="L142">
        <v>2</v>
      </c>
      <c r="M142" t="b">
        <v>0</v>
      </c>
      <c r="N142">
        <v>5</v>
      </c>
      <c r="O142">
        <v>2</v>
      </c>
      <c r="P142">
        <v>0.2</v>
      </c>
      <c r="Q142">
        <v>0.19700000000000001</v>
      </c>
    </row>
    <row r="143" spans="1:17">
      <c r="A143">
        <v>142</v>
      </c>
      <c r="B143">
        <v>0.21210000000000001</v>
      </c>
      <c r="C143">
        <v>0.69</v>
      </c>
      <c r="D143">
        <v>0.1343</v>
      </c>
      <c r="E143">
        <v>0</v>
      </c>
      <c r="F143">
        <v>1</v>
      </c>
      <c r="G143">
        <v>1</v>
      </c>
      <c r="H143" s="22">
        <v>40550</v>
      </c>
      <c r="I143">
        <v>1</v>
      </c>
      <c r="J143">
        <v>0</v>
      </c>
      <c r="K143">
        <v>1</v>
      </c>
      <c r="L143">
        <v>4</v>
      </c>
      <c r="M143" t="b">
        <v>0</v>
      </c>
      <c r="N143">
        <v>5</v>
      </c>
      <c r="O143">
        <v>2</v>
      </c>
      <c r="P143">
        <v>0.2</v>
      </c>
      <c r="Q143">
        <v>0.21210000000000001</v>
      </c>
    </row>
    <row r="144" spans="1:17">
      <c r="A144">
        <v>143</v>
      </c>
      <c r="B144">
        <v>0.2727</v>
      </c>
      <c r="C144">
        <v>0.55000000000000004</v>
      </c>
      <c r="D144">
        <v>0</v>
      </c>
      <c r="E144">
        <v>0</v>
      </c>
      <c r="F144">
        <v>5</v>
      </c>
      <c r="G144">
        <v>5</v>
      </c>
      <c r="H144" s="22">
        <v>40550</v>
      </c>
      <c r="I144">
        <v>1</v>
      </c>
      <c r="J144">
        <v>0</v>
      </c>
      <c r="K144">
        <v>1</v>
      </c>
      <c r="L144">
        <v>5</v>
      </c>
      <c r="M144" t="b">
        <v>0</v>
      </c>
      <c r="N144">
        <v>5</v>
      </c>
      <c r="O144">
        <v>3</v>
      </c>
      <c r="P144">
        <v>0.22</v>
      </c>
      <c r="Q144">
        <v>0.2727</v>
      </c>
    </row>
    <row r="145" spans="1:17">
      <c r="A145">
        <v>144</v>
      </c>
      <c r="B145">
        <v>0.2576</v>
      </c>
      <c r="C145">
        <v>0.69</v>
      </c>
      <c r="D145">
        <v>0</v>
      </c>
      <c r="E145">
        <v>8</v>
      </c>
      <c r="F145">
        <v>26</v>
      </c>
      <c r="G145">
        <v>34</v>
      </c>
      <c r="H145" s="22">
        <v>40550</v>
      </c>
      <c r="I145">
        <v>1</v>
      </c>
      <c r="J145">
        <v>0</v>
      </c>
      <c r="K145">
        <v>1</v>
      </c>
      <c r="L145">
        <v>6</v>
      </c>
      <c r="M145" t="b">
        <v>0</v>
      </c>
      <c r="N145">
        <v>5</v>
      </c>
      <c r="O145">
        <v>2</v>
      </c>
      <c r="P145">
        <v>0.2</v>
      </c>
      <c r="Q145">
        <v>0.2576</v>
      </c>
    </row>
    <row r="146" spans="1:17">
      <c r="A146">
        <v>145</v>
      </c>
      <c r="B146">
        <v>0.21210000000000001</v>
      </c>
      <c r="C146">
        <v>0.69</v>
      </c>
      <c r="D146">
        <v>0.1343</v>
      </c>
      <c r="E146">
        <v>8</v>
      </c>
      <c r="F146">
        <v>76</v>
      </c>
      <c r="G146">
        <v>84</v>
      </c>
      <c r="H146" s="22">
        <v>40550</v>
      </c>
      <c r="I146">
        <v>1</v>
      </c>
      <c r="J146">
        <v>0</v>
      </c>
      <c r="K146">
        <v>1</v>
      </c>
      <c r="L146">
        <v>7</v>
      </c>
      <c r="M146" t="b">
        <v>0</v>
      </c>
      <c r="N146">
        <v>5</v>
      </c>
      <c r="O146">
        <v>1</v>
      </c>
      <c r="P146">
        <v>0.2</v>
      </c>
      <c r="Q146">
        <v>0.21210000000000001</v>
      </c>
    </row>
    <row r="147" spans="1:17">
      <c r="A147">
        <v>146</v>
      </c>
      <c r="B147">
        <v>0.19700000000000001</v>
      </c>
      <c r="C147">
        <v>0.51</v>
      </c>
      <c r="D147">
        <v>0.25369999999999998</v>
      </c>
      <c r="E147">
        <v>20</v>
      </c>
      <c r="F147">
        <v>190</v>
      </c>
      <c r="G147">
        <v>210</v>
      </c>
      <c r="H147" s="22">
        <v>40550</v>
      </c>
      <c r="I147">
        <v>1</v>
      </c>
      <c r="J147">
        <v>0</v>
      </c>
      <c r="K147">
        <v>1</v>
      </c>
      <c r="L147">
        <v>8</v>
      </c>
      <c r="M147" t="b">
        <v>0</v>
      </c>
      <c r="N147">
        <v>5</v>
      </c>
      <c r="O147">
        <v>1</v>
      </c>
      <c r="P147">
        <v>0.2</v>
      </c>
      <c r="Q147">
        <v>0.19700000000000001</v>
      </c>
    </row>
    <row r="148" spans="1:17">
      <c r="A148">
        <v>147</v>
      </c>
      <c r="B148">
        <v>0.18179999999999999</v>
      </c>
      <c r="C148">
        <v>0.47</v>
      </c>
      <c r="D148">
        <v>0.29849999999999999</v>
      </c>
      <c r="E148">
        <v>9</v>
      </c>
      <c r="F148">
        <v>125</v>
      </c>
      <c r="G148">
        <v>134</v>
      </c>
      <c r="H148" s="22">
        <v>40550</v>
      </c>
      <c r="I148">
        <v>1</v>
      </c>
      <c r="J148">
        <v>0</v>
      </c>
      <c r="K148">
        <v>1</v>
      </c>
      <c r="L148">
        <v>9</v>
      </c>
      <c r="M148" t="b">
        <v>0</v>
      </c>
      <c r="N148">
        <v>5</v>
      </c>
      <c r="O148">
        <v>1</v>
      </c>
      <c r="P148">
        <v>0.2</v>
      </c>
      <c r="Q148">
        <v>0.18179999999999999</v>
      </c>
    </row>
    <row r="149" spans="1:17">
      <c r="A149">
        <v>148</v>
      </c>
      <c r="B149">
        <v>0.19700000000000001</v>
      </c>
      <c r="C149">
        <v>0.37</v>
      </c>
      <c r="D149">
        <v>0.32840000000000003</v>
      </c>
      <c r="E149">
        <v>16</v>
      </c>
      <c r="F149">
        <v>47</v>
      </c>
      <c r="G149">
        <v>63</v>
      </c>
      <c r="H149" s="22">
        <v>40550</v>
      </c>
      <c r="I149">
        <v>1</v>
      </c>
      <c r="J149">
        <v>0</v>
      </c>
      <c r="K149">
        <v>1</v>
      </c>
      <c r="L149">
        <v>10</v>
      </c>
      <c r="M149" t="b">
        <v>0</v>
      </c>
      <c r="N149">
        <v>5</v>
      </c>
      <c r="O149">
        <v>1</v>
      </c>
      <c r="P149">
        <v>0.22</v>
      </c>
      <c r="Q149">
        <v>0.19700000000000001</v>
      </c>
    </row>
    <row r="150" spans="1:17">
      <c r="A150">
        <v>149</v>
      </c>
      <c r="B150">
        <v>0.19700000000000001</v>
      </c>
      <c r="C150">
        <v>0.4</v>
      </c>
      <c r="D150">
        <v>0.22389999999999999</v>
      </c>
      <c r="E150">
        <v>19</v>
      </c>
      <c r="F150">
        <v>48</v>
      </c>
      <c r="G150">
        <v>67</v>
      </c>
      <c r="H150" s="22">
        <v>40550</v>
      </c>
      <c r="I150">
        <v>1</v>
      </c>
      <c r="J150">
        <v>0</v>
      </c>
      <c r="K150">
        <v>1</v>
      </c>
      <c r="L150">
        <v>11</v>
      </c>
      <c r="M150" t="b">
        <v>0</v>
      </c>
      <c r="N150">
        <v>5</v>
      </c>
      <c r="O150">
        <v>2</v>
      </c>
      <c r="P150">
        <v>0.2</v>
      </c>
      <c r="Q150">
        <v>0.19700000000000001</v>
      </c>
    </row>
    <row r="151" spans="1:17">
      <c r="A151">
        <v>150</v>
      </c>
      <c r="B151">
        <v>0.19700000000000001</v>
      </c>
      <c r="C151">
        <v>0.37</v>
      </c>
      <c r="D151">
        <v>0.25369999999999998</v>
      </c>
      <c r="E151">
        <v>9</v>
      </c>
      <c r="F151">
        <v>50</v>
      </c>
      <c r="G151">
        <v>59</v>
      </c>
      <c r="H151" s="22">
        <v>40550</v>
      </c>
      <c r="I151">
        <v>1</v>
      </c>
      <c r="J151">
        <v>0</v>
      </c>
      <c r="K151">
        <v>1</v>
      </c>
      <c r="L151">
        <v>12</v>
      </c>
      <c r="M151" t="b">
        <v>0</v>
      </c>
      <c r="N151">
        <v>5</v>
      </c>
      <c r="O151">
        <v>2</v>
      </c>
      <c r="P151">
        <v>0.2</v>
      </c>
      <c r="Q151">
        <v>0.19700000000000001</v>
      </c>
    </row>
    <row r="152" spans="1:17">
      <c r="A152">
        <v>151</v>
      </c>
      <c r="B152">
        <v>0.18179999999999999</v>
      </c>
      <c r="C152">
        <v>0.37</v>
      </c>
      <c r="D152">
        <v>0.28360000000000002</v>
      </c>
      <c r="E152">
        <v>9</v>
      </c>
      <c r="F152">
        <v>64</v>
      </c>
      <c r="G152">
        <v>73</v>
      </c>
      <c r="H152" s="22">
        <v>40550</v>
      </c>
      <c r="I152">
        <v>1</v>
      </c>
      <c r="J152">
        <v>0</v>
      </c>
      <c r="K152">
        <v>1</v>
      </c>
      <c r="L152">
        <v>13</v>
      </c>
      <c r="M152" t="b">
        <v>0</v>
      </c>
      <c r="N152">
        <v>5</v>
      </c>
      <c r="O152">
        <v>2</v>
      </c>
      <c r="P152">
        <v>0.2</v>
      </c>
      <c r="Q152">
        <v>0.18179999999999999</v>
      </c>
    </row>
    <row r="153" spans="1:17">
      <c r="A153">
        <v>152</v>
      </c>
      <c r="B153">
        <v>0.19700000000000001</v>
      </c>
      <c r="C153">
        <v>0.4</v>
      </c>
      <c r="D153">
        <v>0.25369999999999998</v>
      </c>
      <c r="E153">
        <v>7</v>
      </c>
      <c r="F153">
        <v>43</v>
      </c>
      <c r="G153">
        <v>50</v>
      </c>
      <c r="H153" s="22">
        <v>40550</v>
      </c>
      <c r="I153">
        <v>1</v>
      </c>
      <c r="J153">
        <v>0</v>
      </c>
      <c r="K153">
        <v>1</v>
      </c>
      <c r="L153">
        <v>14</v>
      </c>
      <c r="M153" t="b">
        <v>0</v>
      </c>
      <c r="N153">
        <v>5</v>
      </c>
      <c r="O153">
        <v>2</v>
      </c>
      <c r="P153">
        <v>0.2</v>
      </c>
      <c r="Q153">
        <v>0.19700000000000001</v>
      </c>
    </row>
    <row r="154" spans="1:17">
      <c r="A154">
        <v>153</v>
      </c>
      <c r="B154">
        <v>0.21210000000000001</v>
      </c>
      <c r="C154">
        <v>0.37</v>
      </c>
      <c r="D154">
        <v>0.16420000000000001</v>
      </c>
      <c r="E154">
        <v>9</v>
      </c>
      <c r="F154">
        <v>63</v>
      </c>
      <c r="G154">
        <v>72</v>
      </c>
      <c r="H154" s="22">
        <v>40550</v>
      </c>
      <c r="I154">
        <v>1</v>
      </c>
      <c r="J154">
        <v>0</v>
      </c>
      <c r="K154">
        <v>1</v>
      </c>
      <c r="L154">
        <v>15</v>
      </c>
      <c r="M154" t="b">
        <v>0</v>
      </c>
      <c r="N154">
        <v>5</v>
      </c>
      <c r="O154">
        <v>2</v>
      </c>
      <c r="P154">
        <v>0.2</v>
      </c>
      <c r="Q154">
        <v>0.21210000000000001</v>
      </c>
    </row>
    <row r="155" spans="1:17">
      <c r="A155">
        <v>154</v>
      </c>
      <c r="B155">
        <v>0.21210000000000001</v>
      </c>
      <c r="C155">
        <v>0.37</v>
      </c>
      <c r="D155">
        <v>0.16420000000000001</v>
      </c>
      <c r="E155">
        <v>5</v>
      </c>
      <c r="F155">
        <v>82</v>
      </c>
      <c r="G155">
        <v>87</v>
      </c>
      <c r="H155" s="22">
        <v>40550</v>
      </c>
      <c r="I155">
        <v>1</v>
      </c>
      <c r="J155">
        <v>0</v>
      </c>
      <c r="K155">
        <v>1</v>
      </c>
      <c r="L155">
        <v>16</v>
      </c>
      <c r="M155" t="b">
        <v>0</v>
      </c>
      <c r="N155">
        <v>5</v>
      </c>
      <c r="O155">
        <v>2</v>
      </c>
      <c r="P155">
        <v>0.2</v>
      </c>
      <c r="Q155">
        <v>0.21210000000000001</v>
      </c>
    </row>
    <row r="156" spans="1:17">
      <c r="A156">
        <v>155</v>
      </c>
      <c r="B156">
        <v>0.2576</v>
      </c>
      <c r="C156">
        <v>0.37</v>
      </c>
      <c r="D156">
        <v>0</v>
      </c>
      <c r="E156">
        <v>9</v>
      </c>
      <c r="F156">
        <v>178</v>
      </c>
      <c r="G156">
        <v>187</v>
      </c>
      <c r="H156" s="22">
        <v>40550</v>
      </c>
      <c r="I156">
        <v>1</v>
      </c>
      <c r="J156">
        <v>0</v>
      </c>
      <c r="K156">
        <v>1</v>
      </c>
      <c r="L156">
        <v>17</v>
      </c>
      <c r="M156" t="b">
        <v>0</v>
      </c>
      <c r="N156">
        <v>5</v>
      </c>
      <c r="O156">
        <v>2</v>
      </c>
      <c r="P156">
        <v>0.2</v>
      </c>
      <c r="Q156">
        <v>0.2576</v>
      </c>
    </row>
    <row r="157" spans="1:17">
      <c r="A157">
        <v>156</v>
      </c>
      <c r="B157">
        <v>0.2273</v>
      </c>
      <c r="C157">
        <v>0.4</v>
      </c>
      <c r="D157">
        <v>8.9599999999999999E-2</v>
      </c>
      <c r="E157">
        <v>7</v>
      </c>
      <c r="F157">
        <v>116</v>
      </c>
      <c r="G157">
        <v>123</v>
      </c>
      <c r="H157" s="22">
        <v>40550</v>
      </c>
      <c r="I157">
        <v>1</v>
      </c>
      <c r="J157">
        <v>0</v>
      </c>
      <c r="K157">
        <v>1</v>
      </c>
      <c r="L157">
        <v>18</v>
      </c>
      <c r="M157" t="b">
        <v>0</v>
      </c>
      <c r="N157">
        <v>5</v>
      </c>
      <c r="O157">
        <v>1</v>
      </c>
      <c r="P157">
        <v>0.2</v>
      </c>
      <c r="Q157">
        <v>0.2273</v>
      </c>
    </row>
    <row r="158" spans="1:17">
      <c r="A158">
        <v>157</v>
      </c>
      <c r="B158">
        <v>0.19700000000000001</v>
      </c>
      <c r="C158">
        <v>0.55000000000000004</v>
      </c>
      <c r="D158">
        <v>8.9599999999999999E-2</v>
      </c>
      <c r="E158">
        <v>3</v>
      </c>
      <c r="F158">
        <v>92</v>
      </c>
      <c r="G158">
        <v>95</v>
      </c>
      <c r="H158" s="22">
        <v>40550</v>
      </c>
      <c r="I158">
        <v>1</v>
      </c>
      <c r="J158">
        <v>0</v>
      </c>
      <c r="K158">
        <v>1</v>
      </c>
      <c r="L158">
        <v>19</v>
      </c>
      <c r="M158" t="b">
        <v>0</v>
      </c>
      <c r="N158">
        <v>5</v>
      </c>
      <c r="O158">
        <v>1</v>
      </c>
      <c r="P158">
        <v>0.16</v>
      </c>
      <c r="Q158">
        <v>0.19700000000000001</v>
      </c>
    </row>
    <row r="159" spans="1:17">
      <c r="A159">
        <v>158</v>
      </c>
      <c r="B159">
        <v>0.21210000000000001</v>
      </c>
      <c r="C159">
        <v>0.47</v>
      </c>
      <c r="D159">
        <v>0.1045</v>
      </c>
      <c r="E159">
        <v>1</v>
      </c>
      <c r="F159">
        <v>50</v>
      </c>
      <c r="G159">
        <v>51</v>
      </c>
      <c r="H159" s="22">
        <v>40550</v>
      </c>
      <c r="I159">
        <v>1</v>
      </c>
      <c r="J159">
        <v>0</v>
      </c>
      <c r="K159">
        <v>1</v>
      </c>
      <c r="L159">
        <v>20</v>
      </c>
      <c r="M159" t="b">
        <v>0</v>
      </c>
      <c r="N159">
        <v>5</v>
      </c>
      <c r="O159">
        <v>1</v>
      </c>
      <c r="P159">
        <v>0.18</v>
      </c>
      <c r="Q159">
        <v>0.21210000000000001</v>
      </c>
    </row>
    <row r="160" spans="1:17">
      <c r="A160">
        <v>159</v>
      </c>
      <c r="B160">
        <v>0.19700000000000001</v>
      </c>
      <c r="C160">
        <v>0.47</v>
      </c>
      <c r="D160">
        <v>0.1343</v>
      </c>
      <c r="E160">
        <v>0</v>
      </c>
      <c r="F160">
        <v>39</v>
      </c>
      <c r="G160">
        <v>39</v>
      </c>
      <c r="H160" s="22">
        <v>40550</v>
      </c>
      <c r="I160">
        <v>1</v>
      </c>
      <c r="J160">
        <v>0</v>
      </c>
      <c r="K160">
        <v>1</v>
      </c>
      <c r="L160">
        <v>21</v>
      </c>
      <c r="M160" t="b">
        <v>0</v>
      </c>
      <c r="N160">
        <v>5</v>
      </c>
      <c r="O160">
        <v>1</v>
      </c>
      <c r="P160">
        <v>0.18</v>
      </c>
      <c r="Q160">
        <v>0.19700000000000001</v>
      </c>
    </row>
    <row r="161" spans="1:17">
      <c r="A161">
        <v>160</v>
      </c>
      <c r="B161">
        <v>0.19700000000000001</v>
      </c>
      <c r="C161">
        <v>0.43</v>
      </c>
      <c r="D161">
        <v>0.16420000000000001</v>
      </c>
      <c r="E161">
        <v>2</v>
      </c>
      <c r="F161">
        <v>34</v>
      </c>
      <c r="G161">
        <v>36</v>
      </c>
      <c r="H161" s="22">
        <v>40550</v>
      </c>
      <c r="I161">
        <v>1</v>
      </c>
      <c r="J161">
        <v>0</v>
      </c>
      <c r="K161">
        <v>1</v>
      </c>
      <c r="L161">
        <v>22</v>
      </c>
      <c r="M161" t="b">
        <v>0</v>
      </c>
      <c r="N161">
        <v>5</v>
      </c>
      <c r="O161">
        <v>2</v>
      </c>
      <c r="P161">
        <v>0.18</v>
      </c>
      <c r="Q161">
        <v>0.19700000000000001</v>
      </c>
    </row>
    <row r="162" spans="1:17">
      <c r="A162">
        <v>161</v>
      </c>
      <c r="B162">
        <v>0.19700000000000001</v>
      </c>
      <c r="C162">
        <v>0.51</v>
      </c>
      <c r="D162">
        <v>0.16420000000000001</v>
      </c>
      <c r="E162">
        <v>1</v>
      </c>
      <c r="F162">
        <v>14</v>
      </c>
      <c r="G162">
        <v>15</v>
      </c>
      <c r="H162" s="22">
        <v>40550</v>
      </c>
      <c r="I162">
        <v>1</v>
      </c>
      <c r="J162">
        <v>0</v>
      </c>
      <c r="K162">
        <v>1</v>
      </c>
      <c r="L162">
        <v>23</v>
      </c>
      <c r="M162" t="b">
        <v>0</v>
      </c>
      <c r="N162">
        <v>5</v>
      </c>
      <c r="O162">
        <v>2</v>
      </c>
      <c r="P162">
        <v>0.18</v>
      </c>
      <c r="Q162">
        <v>0.19700000000000001</v>
      </c>
    </row>
    <row r="163" spans="1:17">
      <c r="A163">
        <v>162</v>
      </c>
      <c r="B163">
        <v>0.19700000000000001</v>
      </c>
      <c r="C163">
        <v>0.51</v>
      </c>
      <c r="D163">
        <v>0.16420000000000001</v>
      </c>
      <c r="E163">
        <v>1</v>
      </c>
      <c r="F163">
        <v>24</v>
      </c>
      <c r="G163">
        <v>25</v>
      </c>
      <c r="H163" s="22">
        <v>40551</v>
      </c>
      <c r="I163">
        <v>1</v>
      </c>
      <c r="J163">
        <v>0</v>
      </c>
      <c r="K163">
        <v>1</v>
      </c>
      <c r="L163">
        <v>0</v>
      </c>
      <c r="M163" t="b">
        <v>0</v>
      </c>
      <c r="N163">
        <v>6</v>
      </c>
      <c r="O163">
        <v>2</v>
      </c>
      <c r="P163">
        <v>0.18</v>
      </c>
      <c r="Q163">
        <v>0.19700000000000001</v>
      </c>
    </row>
    <row r="164" spans="1:17">
      <c r="A164">
        <v>163</v>
      </c>
      <c r="B164">
        <v>0.21210000000000001</v>
      </c>
      <c r="C164">
        <v>0.55000000000000004</v>
      </c>
      <c r="D164">
        <v>8.9599999999999999E-2</v>
      </c>
      <c r="E164">
        <v>1</v>
      </c>
      <c r="F164">
        <v>15</v>
      </c>
      <c r="G164">
        <v>16</v>
      </c>
      <c r="H164" s="22">
        <v>40551</v>
      </c>
      <c r="I164">
        <v>1</v>
      </c>
      <c r="J164">
        <v>0</v>
      </c>
      <c r="K164">
        <v>1</v>
      </c>
      <c r="L164">
        <v>1</v>
      </c>
      <c r="M164" t="b">
        <v>0</v>
      </c>
      <c r="N164">
        <v>6</v>
      </c>
      <c r="O164">
        <v>2</v>
      </c>
      <c r="P164">
        <v>0.18</v>
      </c>
      <c r="Q164">
        <v>0.21210000000000001</v>
      </c>
    </row>
    <row r="165" spans="1:17">
      <c r="A165">
        <v>164</v>
      </c>
      <c r="B165">
        <v>0.2424</v>
      </c>
      <c r="C165">
        <v>0.55000000000000004</v>
      </c>
      <c r="D165">
        <v>0</v>
      </c>
      <c r="E165">
        <v>3</v>
      </c>
      <c r="F165">
        <v>13</v>
      </c>
      <c r="G165">
        <v>16</v>
      </c>
      <c r="H165" s="22">
        <v>40551</v>
      </c>
      <c r="I165">
        <v>1</v>
      </c>
      <c r="J165">
        <v>0</v>
      </c>
      <c r="K165">
        <v>1</v>
      </c>
      <c r="L165">
        <v>2</v>
      </c>
      <c r="M165" t="b">
        <v>0</v>
      </c>
      <c r="N165">
        <v>6</v>
      </c>
      <c r="O165">
        <v>2</v>
      </c>
      <c r="P165">
        <v>0.18</v>
      </c>
      <c r="Q165">
        <v>0.2424</v>
      </c>
    </row>
    <row r="166" spans="1:17">
      <c r="A166">
        <v>165</v>
      </c>
      <c r="B166">
        <v>0.19700000000000001</v>
      </c>
      <c r="C166">
        <v>0.55000000000000004</v>
      </c>
      <c r="D166">
        <v>0.16420000000000001</v>
      </c>
      <c r="E166">
        <v>0</v>
      </c>
      <c r="F166">
        <v>7</v>
      </c>
      <c r="G166">
        <v>7</v>
      </c>
      <c r="H166" s="22">
        <v>40551</v>
      </c>
      <c r="I166">
        <v>1</v>
      </c>
      <c r="J166">
        <v>0</v>
      </c>
      <c r="K166">
        <v>1</v>
      </c>
      <c r="L166">
        <v>3</v>
      </c>
      <c r="M166" t="b">
        <v>0</v>
      </c>
      <c r="N166">
        <v>6</v>
      </c>
      <c r="O166">
        <v>3</v>
      </c>
      <c r="P166">
        <v>0.18</v>
      </c>
      <c r="Q166">
        <v>0.19700000000000001</v>
      </c>
    </row>
    <row r="167" spans="1:17">
      <c r="A167">
        <v>166</v>
      </c>
      <c r="B167">
        <v>0.19700000000000001</v>
      </c>
      <c r="C167">
        <v>0.55000000000000004</v>
      </c>
      <c r="D167">
        <v>0.16420000000000001</v>
      </c>
      <c r="E167">
        <v>0</v>
      </c>
      <c r="F167">
        <v>1</v>
      </c>
      <c r="G167">
        <v>1</v>
      </c>
      <c r="H167" s="22">
        <v>40551</v>
      </c>
      <c r="I167">
        <v>1</v>
      </c>
      <c r="J167">
        <v>0</v>
      </c>
      <c r="K167">
        <v>1</v>
      </c>
      <c r="L167">
        <v>4</v>
      </c>
      <c r="M167" t="b">
        <v>0</v>
      </c>
      <c r="N167">
        <v>6</v>
      </c>
      <c r="O167">
        <v>3</v>
      </c>
      <c r="P167">
        <v>0.18</v>
      </c>
      <c r="Q167">
        <v>0.19700000000000001</v>
      </c>
    </row>
    <row r="168" spans="1:17">
      <c r="A168">
        <v>167</v>
      </c>
      <c r="B168">
        <v>0.16669999999999999</v>
      </c>
      <c r="C168">
        <v>0.74</v>
      </c>
      <c r="D168">
        <v>0.16420000000000001</v>
      </c>
      <c r="E168">
        <v>0</v>
      </c>
      <c r="F168">
        <v>5</v>
      </c>
      <c r="G168">
        <v>5</v>
      </c>
      <c r="H168" s="22">
        <v>40551</v>
      </c>
      <c r="I168">
        <v>1</v>
      </c>
      <c r="J168">
        <v>0</v>
      </c>
      <c r="K168">
        <v>1</v>
      </c>
      <c r="L168">
        <v>5</v>
      </c>
      <c r="M168" t="b">
        <v>0</v>
      </c>
      <c r="N168">
        <v>6</v>
      </c>
      <c r="O168">
        <v>2</v>
      </c>
      <c r="P168">
        <v>0.16</v>
      </c>
      <c r="Q168">
        <v>0.16669999999999999</v>
      </c>
    </row>
    <row r="169" spans="1:17">
      <c r="A169">
        <v>168</v>
      </c>
      <c r="B169">
        <v>0.16669999999999999</v>
      </c>
      <c r="C169">
        <v>0.74</v>
      </c>
      <c r="D169">
        <v>0.16420000000000001</v>
      </c>
      <c r="E169">
        <v>0</v>
      </c>
      <c r="F169">
        <v>2</v>
      </c>
      <c r="G169">
        <v>2</v>
      </c>
      <c r="H169" s="22">
        <v>40551</v>
      </c>
      <c r="I169">
        <v>1</v>
      </c>
      <c r="J169">
        <v>0</v>
      </c>
      <c r="K169">
        <v>1</v>
      </c>
      <c r="L169">
        <v>6</v>
      </c>
      <c r="M169" t="b">
        <v>0</v>
      </c>
      <c r="N169">
        <v>6</v>
      </c>
      <c r="O169">
        <v>2</v>
      </c>
      <c r="P169">
        <v>0.16</v>
      </c>
      <c r="Q169">
        <v>0.16669999999999999</v>
      </c>
    </row>
    <row r="170" spans="1:17">
      <c r="A170">
        <v>169</v>
      </c>
      <c r="B170">
        <v>0.18179999999999999</v>
      </c>
      <c r="C170">
        <v>0.74</v>
      </c>
      <c r="D170">
        <v>0.1045</v>
      </c>
      <c r="E170">
        <v>1</v>
      </c>
      <c r="F170">
        <v>8</v>
      </c>
      <c r="G170">
        <v>9</v>
      </c>
      <c r="H170" s="22">
        <v>40551</v>
      </c>
      <c r="I170">
        <v>1</v>
      </c>
      <c r="J170">
        <v>0</v>
      </c>
      <c r="K170">
        <v>1</v>
      </c>
      <c r="L170">
        <v>7</v>
      </c>
      <c r="M170" t="b">
        <v>0</v>
      </c>
      <c r="N170">
        <v>6</v>
      </c>
      <c r="O170">
        <v>2</v>
      </c>
      <c r="P170">
        <v>0.16</v>
      </c>
      <c r="Q170">
        <v>0.18179999999999999</v>
      </c>
    </row>
    <row r="171" spans="1:17">
      <c r="A171">
        <v>170</v>
      </c>
      <c r="B171">
        <v>0.18179999999999999</v>
      </c>
      <c r="C171">
        <v>0.93</v>
      </c>
      <c r="D171">
        <v>0.1045</v>
      </c>
      <c r="E171">
        <v>0</v>
      </c>
      <c r="F171">
        <v>15</v>
      </c>
      <c r="G171">
        <v>15</v>
      </c>
      <c r="H171" s="22">
        <v>40551</v>
      </c>
      <c r="I171">
        <v>1</v>
      </c>
      <c r="J171">
        <v>0</v>
      </c>
      <c r="K171">
        <v>1</v>
      </c>
      <c r="L171">
        <v>8</v>
      </c>
      <c r="M171" t="b">
        <v>0</v>
      </c>
      <c r="N171">
        <v>6</v>
      </c>
      <c r="O171">
        <v>3</v>
      </c>
      <c r="P171">
        <v>0.16</v>
      </c>
      <c r="Q171">
        <v>0.18179999999999999</v>
      </c>
    </row>
    <row r="172" spans="1:17">
      <c r="A172">
        <v>171</v>
      </c>
      <c r="B172">
        <v>0.18179999999999999</v>
      </c>
      <c r="C172">
        <v>0.93</v>
      </c>
      <c r="D172">
        <v>0.1045</v>
      </c>
      <c r="E172">
        <v>0</v>
      </c>
      <c r="F172">
        <v>20</v>
      </c>
      <c r="G172">
        <v>20</v>
      </c>
      <c r="H172" s="22">
        <v>40551</v>
      </c>
      <c r="I172">
        <v>1</v>
      </c>
      <c r="J172">
        <v>0</v>
      </c>
      <c r="K172">
        <v>1</v>
      </c>
      <c r="L172">
        <v>9</v>
      </c>
      <c r="M172" t="b">
        <v>0</v>
      </c>
      <c r="N172">
        <v>6</v>
      </c>
      <c r="O172">
        <v>3</v>
      </c>
      <c r="P172">
        <v>0.16</v>
      </c>
      <c r="Q172">
        <v>0.18179999999999999</v>
      </c>
    </row>
    <row r="173" spans="1:17">
      <c r="A173">
        <v>172</v>
      </c>
      <c r="B173">
        <v>0.19700000000000001</v>
      </c>
      <c r="C173">
        <v>0.8</v>
      </c>
      <c r="D173">
        <v>0.16420000000000001</v>
      </c>
      <c r="E173">
        <v>5</v>
      </c>
      <c r="F173">
        <v>56</v>
      </c>
      <c r="G173">
        <v>61</v>
      </c>
      <c r="H173" s="22">
        <v>40551</v>
      </c>
      <c r="I173">
        <v>1</v>
      </c>
      <c r="J173">
        <v>0</v>
      </c>
      <c r="K173">
        <v>1</v>
      </c>
      <c r="L173">
        <v>10</v>
      </c>
      <c r="M173" t="b">
        <v>0</v>
      </c>
      <c r="N173">
        <v>6</v>
      </c>
      <c r="O173">
        <v>2</v>
      </c>
      <c r="P173">
        <v>0.18</v>
      </c>
      <c r="Q173">
        <v>0.19700000000000001</v>
      </c>
    </row>
    <row r="174" spans="1:17">
      <c r="A174">
        <v>173</v>
      </c>
      <c r="B174">
        <v>0.18179999999999999</v>
      </c>
      <c r="C174">
        <v>0.69</v>
      </c>
      <c r="D174">
        <v>0.3881</v>
      </c>
      <c r="E174">
        <v>2</v>
      </c>
      <c r="F174">
        <v>60</v>
      </c>
      <c r="G174">
        <v>62</v>
      </c>
      <c r="H174" s="22">
        <v>40551</v>
      </c>
      <c r="I174">
        <v>1</v>
      </c>
      <c r="J174">
        <v>0</v>
      </c>
      <c r="K174">
        <v>1</v>
      </c>
      <c r="L174">
        <v>11</v>
      </c>
      <c r="M174" t="b">
        <v>0</v>
      </c>
      <c r="N174">
        <v>6</v>
      </c>
      <c r="O174">
        <v>2</v>
      </c>
      <c r="P174">
        <v>0.2</v>
      </c>
      <c r="Q174">
        <v>0.18179999999999999</v>
      </c>
    </row>
    <row r="175" spans="1:17">
      <c r="A175">
        <v>174</v>
      </c>
      <c r="B175">
        <v>0.18179999999999999</v>
      </c>
      <c r="C175">
        <v>0.59</v>
      </c>
      <c r="D175">
        <v>0.35820000000000002</v>
      </c>
      <c r="E175">
        <v>8</v>
      </c>
      <c r="F175">
        <v>90</v>
      </c>
      <c r="G175">
        <v>98</v>
      </c>
      <c r="H175" s="22">
        <v>40551</v>
      </c>
      <c r="I175">
        <v>1</v>
      </c>
      <c r="J175">
        <v>0</v>
      </c>
      <c r="K175">
        <v>1</v>
      </c>
      <c r="L175">
        <v>12</v>
      </c>
      <c r="M175" t="b">
        <v>0</v>
      </c>
      <c r="N175">
        <v>6</v>
      </c>
      <c r="O175">
        <v>2</v>
      </c>
      <c r="P175">
        <v>0.2</v>
      </c>
      <c r="Q175">
        <v>0.18179999999999999</v>
      </c>
    </row>
    <row r="176" spans="1:17">
      <c r="A176">
        <v>175</v>
      </c>
      <c r="B176">
        <v>0.18179999999999999</v>
      </c>
      <c r="C176">
        <v>0.44</v>
      </c>
      <c r="D176">
        <v>0.32840000000000003</v>
      </c>
      <c r="E176">
        <v>7</v>
      </c>
      <c r="F176">
        <v>95</v>
      </c>
      <c r="G176">
        <v>102</v>
      </c>
      <c r="H176" s="22">
        <v>40551</v>
      </c>
      <c r="I176">
        <v>1</v>
      </c>
      <c r="J176">
        <v>0</v>
      </c>
      <c r="K176">
        <v>1</v>
      </c>
      <c r="L176">
        <v>13</v>
      </c>
      <c r="M176" t="b">
        <v>0</v>
      </c>
      <c r="N176">
        <v>6</v>
      </c>
      <c r="O176">
        <v>1</v>
      </c>
      <c r="P176">
        <v>0.2</v>
      </c>
      <c r="Q176">
        <v>0.18179999999999999</v>
      </c>
    </row>
    <row r="177" spans="1:17">
      <c r="A177">
        <v>176</v>
      </c>
      <c r="B177">
        <v>0.16669999999999999</v>
      </c>
      <c r="C177">
        <v>0.32</v>
      </c>
      <c r="D177">
        <v>0.49249999999999999</v>
      </c>
      <c r="E177">
        <v>12</v>
      </c>
      <c r="F177">
        <v>83</v>
      </c>
      <c r="G177">
        <v>95</v>
      </c>
      <c r="H177" s="22">
        <v>40551</v>
      </c>
      <c r="I177">
        <v>1</v>
      </c>
      <c r="J177">
        <v>0</v>
      </c>
      <c r="K177">
        <v>1</v>
      </c>
      <c r="L177">
        <v>14</v>
      </c>
      <c r="M177" t="b">
        <v>0</v>
      </c>
      <c r="N177">
        <v>6</v>
      </c>
      <c r="O177">
        <v>1</v>
      </c>
      <c r="P177">
        <v>0.2</v>
      </c>
      <c r="Q177">
        <v>0.16669999999999999</v>
      </c>
    </row>
    <row r="178" spans="1:17">
      <c r="A178">
        <v>177</v>
      </c>
      <c r="B178">
        <v>0.16669999999999999</v>
      </c>
      <c r="C178">
        <v>0.32</v>
      </c>
      <c r="D178">
        <v>0.44779999999999998</v>
      </c>
      <c r="E178">
        <v>5</v>
      </c>
      <c r="F178">
        <v>69</v>
      </c>
      <c r="G178">
        <v>74</v>
      </c>
      <c r="H178" s="22">
        <v>40551</v>
      </c>
      <c r="I178">
        <v>1</v>
      </c>
      <c r="J178">
        <v>0</v>
      </c>
      <c r="K178">
        <v>1</v>
      </c>
      <c r="L178">
        <v>15</v>
      </c>
      <c r="M178" t="b">
        <v>0</v>
      </c>
      <c r="N178">
        <v>6</v>
      </c>
      <c r="O178">
        <v>1</v>
      </c>
      <c r="P178">
        <v>0.2</v>
      </c>
      <c r="Q178">
        <v>0.16669999999999999</v>
      </c>
    </row>
    <row r="179" spans="1:17">
      <c r="A179">
        <v>178</v>
      </c>
      <c r="B179">
        <v>0.13639999999999999</v>
      </c>
      <c r="C179">
        <v>0.28999999999999998</v>
      </c>
      <c r="D179">
        <v>0.44779999999999998</v>
      </c>
      <c r="E179">
        <v>8</v>
      </c>
      <c r="F179">
        <v>68</v>
      </c>
      <c r="G179">
        <v>76</v>
      </c>
      <c r="H179" s="22">
        <v>40551</v>
      </c>
      <c r="I179">
        <v>1</v>
      </c>
      <c r="J179">
        <v>0</v>
      </c>
      <c r="K179">
        <v>1</v>
      </c>
      <c r="L179">
        <v>16</v>
      </c>
      <c r="M179" t="b">
        <v>0</v>
      </c>
      <c r="N179">
        <v>6</v>
      </c>
      <c r="O179">
        <v>1</v>
      </c>
      <c r="P179">
        <v>0.18</v>
      </c>
      <c r="Q179">
        <v>0.13639999999999999</v>
      </c>
    </row>
    <row r="180" spans="1:17">
      <c r="A180">
        <v>179</v>
      </c>
      <c r="B180">
        <v>0.1212</v>
      </c>
      <c r="C180">
        <v>0.37</v>
      </c>
      <c r="D180">
        <v>0.55220000000000002</v>
      </c>
      <c r="E180">
        <v>5</v>
      </c>
      <c r="F180">
        <v>64</v>
      </c>
      <c r="G180">
        <v>69</v>
      </c>
      <c r="H180" s="22">
        <v>40551</v>
      </c>
      <c r="I180">
        <v>1</v>
      </c>
      <c r="J180">
        <v>0</v>
      </c>
      <c r="K180">
        <v>1</v>
      </c>
      <c r="L180">
        <v>17</v>
      </c>
      <c r="M180" t="b">
        <v>0</v>
      </c>
      <c r="N180">
        <v>6</v>
      </c>
      <c r="O180">
        <v>1</v>
      </c>
      <c r="P180">
        <v>0.16</v>
      </c>
      <c r="Q180">
        <v>0.1212</v>
      </c>
    </row>
    <row r="181" spans="1:17">
      <c r="A181">
        <v>180</v>
      </c>
      <c r="B181">
        <v>0.1212</v>
      </c>
      <c r="C181">
        <v>0.39</v>
      </c>
      <c r="D181">
        <v>0.29849999999999999</v>
      </c>
      <c r="E181">
        <v>3</v>
      </c>
      <c r="F181">
        <v>52</v>
      </c>
      <c r="G181">
        <v>55</v>
      </c>
      <c r="H181" s="22">
        <v>40551</v>
      </c>
      <c r="I181">
        <v>1</v>
      </c>
      <c r="J181">
        <v>0</v>
      </c>
      <c r="K181">
        <v>1</v>
      </c>
      <c r="L181">
        <v>18</v>
      </c>
      <c r="M181" t="b">
        <v>0</v>
      </c>
      <c r="N181">
        <v>6</v>
      </c>
      <c r="O181">
        <v>1</v>
      </c>
      <c r="P181">
        <v>0.14000000000000001</v>
      </c>
      <c r="Q181">
        <v>0.1212</v>
      </c>
    </row>
    <row r="182" spans="1:17">
      <c r="A182">
        <v>181</v>
      </c>
      <c r="B182">
        <v>0.1212</v>
      </c>
      <c r="C182">
        <v>0.36</v>
      </c>
      <c r="D182">
        <v>0.25369999999999998</v>
      </c>
      <c r="E182">
        <v>4</v>
      </c>
      <c r="F182">
        <v>26</v>
      </c>
      <c r="G182">
        <v>30</v>
      </c>
      <c r="H182" s="22">
        <v>40551</v>
      </c>
      <c r="I182">
        <v>1</v>
      </c>
      <c r="J182">
        <v>0</v>
      </c>
      <c r="K182">
        <v>1</v>
      </c>
      <c r="L182">
        <v>19</v>
      </c>
      <c r="M182" t="b">
        <v>0</v>
      </c>
      <c r="N182">
        <v>6</v>
      </c>
      <c r="O182">
        <v>1</v>
      </c>
      <c r="P182">
        <v>0.14000000000000001</v>
      </c>
      <c r="Q182">
        <v>0.1212</v>
      </c>
    </row>
    <row r="183" spans="1:17">
      <c r="A183">
        <v>182</v>
      </c>
      <c r="B183">
        <v>0.1212</v>
      </c>
      <c r="C183">
        <v>0.36</v>
      </c>
      <c r="D183">
        <v>0.25369999999999998</v>
      </c>
      <c r="E183">
        <v>0</v>
      </c>
      <c r="F183">
        <v>28</v>
      </c>
      <c r="G183">
        <v>28</v>
      </c>
      <c r="H183" s="22">
        <v>40551</v>
      </c>
      <c r="I183">
        <v>1</v>
      </c>
      <c r="J183">
        <v>0</v>
      </c>
      <c r="K183">
        <v>1</v>
      </c>
      <c r="L183">
        <v>20</v>
      </c>
      <c r="M183" t="b">
        <v>0</v>
      </c>
      <c r="N183">
        <v>6</v>
      </c>
      <c r="O183">
        <v>1</v>
      </c>
      <c r="P183">
        <v>0.12</v>
      </c>
      <c r="Q183">
        <v>0.1212</v>
      </c>
    </row>
    <row r="184" spans="1:17">
      <c r="A184">
        <v>183</v>
      </c>
      <c r="B184">
        <v>0.1061</v>
      </c>
      <c r="C184">
        <v>0.39</v>
      </c>
      <c r="D184">
        <v>0.35820000000000002</v>
      </c>
      <c r="E184">
        <v>2</v>
      </c>
      <c r="F184">
        <v>35</v>
      </c>
      <c r="G184">
        <v>37</v>
      </c>
      <c r="H184" s="22">
        <v>40551</v>
      </c>
      <c r="I184">
        <v>1</v>
      </c>
      <c r="J184">
        <v>0</v>
      </c>
      <c r="K184">
        <v>1</v>
      </c>
      <c r="L184">
        <v>21</v>
      </c>
      <c r="M184" t="b">
        <v>0</v>
      </c>
      <c r="N184">
        <v>6</v>
      </c>
      <c r="O184">
        <v>1</v>
      </c>
      <c r="P184">
        <v>0.12</v>
      </c>
      <c r="Q184">
        <v>0.1061</v>
      </c>
    </row>
    <row r="185" spans="1:17">
      <c r="A185">
        <v>184</v>
      </c>
      <c r="B185">
        <v>0.1061</v>
      </c>
      <c r="C185">
        <v>0.36</v>
      </c>
      <c r="D185">
        <v>0.3881</v>
      </c>
      <c r="E185">
        <v>1</v>
      </c>
      <c r="F185">
        <v>33</v>
      </c>
      <c r="G185">
        <v>34</v>
      </c>
      <c r="H185" s="22">
        <v>40551</v>
      </c>
      <c r="I185">
        <v>1</v>
      </c>
      <c r="J185">
        <v>0</v>
      </c>
      <c r="K185">
        <v>1</v>
      </c>
      <c r="L185">
        <v>22</v>
      </c>
      <c r="M185" t="b">
        <v>0</v>
      </c>
      <c r="N185">
        <v>6</v>
      </c>
      <c r="O185">
        <v>1</v>
      </c>
      <c r="P185">
        <v>0.12</v>
      </c>
      <c r="Q185">
        <v>0.1061</v>
      </c>
    </row>
    <row r="186" spans="1:17">
      <c r="A186">
        <v>185</v>
      </c>
      <c r="B186">
        <v>6.0600000000000001E-2</v>
      </c>
      <c r="C186">
        <v>0.39</v>
      </c>
      <c r="D186">
        <v>0.44779999999999998</v>
      </c>
      <c r="E186">
        <v>0</v>
      </c>
      <c r="F186">
        <v>22</v>
      </c>
      <c r="G186">
        <v>22</v>
      </c>
      <c r="H186" s="22">
        <v>40551</v>
      </c>
      <c r="I186">
        <v>1</v>
      </c>
      <c r="J186">
        <v>0</v>
      </c>
      <c r="K186">
        <v>1</v>
      </c>
      <c r="L186">
        <v>23</v>
      </c>
      <c r="M186" t="b">
        <v>0</v>
      </c>
      <c r="N186">
        <v>6</v>
      </c>
      <c r="O186">
        <v>1</v>
      </c>
      <c r="P186">
        <v>0.1</v>
      </c>
      <c r="Q186">
        <v>6.0600000000000001E-2</v>
      </c>
    </row>
    <row r="187" spans="1:17">
      <c r="A187">
        <v>186</v>
      </c>
      <c r="B187">
        <v>7.5800000000000006E-2</v>
      </c>
      <c r="C187">
        <v>0.42</v>
      </c>
      <c r="D187">
        <v>0.3881</v>
      </c>
      <c r="E187">
        <v>1</v>
      </c>
      <c r="F187">
        <v>24</v>
      </c>
      <c r="G187">
        <v>25</v>
      </c>
      <c r="H187" s="22">
        <v>40552</v>
      </c>
      <c r="I187">
        <v>1</v>
      </c>
      <c r="J187">
        <v>0</v>
      </c>
      <c r="K187">
        <v>1</v>
      </c>
      <c r="L187">
        <v>0</v>
      </c>
      <c r="M187" t="b">
        <v>0</v>
      </c>
      <c r="N187">
        <v>0</v>
      </c>
      <c r="O187">
        <v>1</v>
      </c>
      <c r="P187">
        <v>0.1</v>
      </c>
      <c r="Q187">
        <v>7.5800000000000006E-2</v>
      </c>
    </row>
    <row r="188" spans="1:17">
      <c r="A188">
        <v>187</v>
      </c>
      <c r="B188">
        <v>6.0600000000000001E-2</v>
      </c>
      <c r="C188">
        <v>0.42</v>
      </c>
      <c r="D188">
        <v>0.4627</v>
      </c>
      <c r="E188">
        <v>0</v>
      </c>
      <c r="F188">
        <v>12</v>
      </c>
      <c r="G188">
        <v>12</v>
      </c>
      <c r="H188" s="22">
        <v>40552</v>
      </c>
      <c r="I188">
        <v>1</v>
      </c>
      <c r="J188">
        <v>0</v>
      </c>
      <c r="K188">
        <v>1</v>
      </c>
      <c r="L188">
        <v>1</v>
      </c>
      <c r="M188" t="b">
        <v>0</v>
      </c>
      <c r="N188">
        <v>0</v>
      </c>
      <c r="O188">
        <v>1</v>
      </c>
      <c r="P188">
        <v>0.1</v>
      </c>
      <c r="Q188">
        <v>6.0600000000000001E-2</v>
      </c>
    </row>
    <row r="189" spans="1:17">
      <c r="A189">
        <v>188</v>
      </c>
      <c r="B189">
        <v>6.0600000000000001E-2</v>
      </c>
      <c r="C189">
        <v>0.46</v>
      </c>
      <c r="D189">
        <v>0.4627</v>
      </c>
      <c r="E189">
        <v>0</v>
      </c>
      <c r="F189">
        <v>11</v>
      </c>
      <c r="G189">
        <v>11</v>
      </c>
      <c r="H189" s="22">
        <v>40552</v>
      </c>
      <c r="I189">
        <v>1</v>
      </c>
      <c r="J189">
        <v>0</v>
      </c>
      <c r="K189">
        <v>1</v>
      </c>
      <c r="L189">
        <v>2</v>
      </c>
      <c r="M189" t="b">
        <v>0</v>
      </c>
      <c r="N189">
        <v>0</v>
      </c>
      <c r="O189">
        <v>1</v>
      </c>
      <c r="P189">
        <v>0.1</v>
      </c>
      <c r="Q189">
        <v>6.0600000000000001E-2</v>
      </c>
    </row>
    <row r="190" spans="1:17">
      <c r="A190">
        <v>189</v>
      </c>
      <c r="B190">
        <v>7.5800000000000006E-2</v>
      </c>
      <c r="C190">
        <v>0.46</v>
      </c>
      <c r="D190">
        <v>0.41789999999999999</v>
      </c>
      <c r="E190">
        <v>0</v>
      </c>
      <c r="F190">
        <v>4</v>
      </c>
      <c r="G190">
        <v>4</v>
      </c>
      <c r="H190" s="22">
        <v>40552</v>
      </c>
      <c r="I190">
        <v>1</v>
      </c>
      <c r="J190">
        <v>0</v>
      </c>
      <c r="K190">
        <v>1</v>
      </c>
      <c r="L190">
        <v>3</v>
      </c>
      <c r="M190" t="b">
        <v>0</v>
      </c>
      <c r="N190">
        <v>0</v>
      </c>
      <c r="O190">
        <v>1</v>
      </c>
      <c r="P190">
        <v>0.1</v>
      </c>
      <c r="Q190">
        <v>7.5800000000000006E-2</v>
      </c>
    </row>
    <row r="191" spans="1:17">
      <c r="A191">
        <v>190</v>
      </c>
      <c r="B191">
        <v>9.0899999999999995E-2</v>
      </c>
      <c r="C191">
        <v>0.53</v>
      </c>
      <c r="D191">
        <v>0.19400000000000001</v>
      </c>
      <c r="E191">
        <v>0</v>
      </c>
      <c r="F191">
        <v>1</v>
      </c>
      <c r="G191">
        <v>1</v>
      </c>
      <c r="H191" s="22">
        <v>40552</v>
      </c>
      <c r="I191">
        <v>1</v>
      </c>
      <c r="J191">
        <v>0</v>
      </c>
      <c r="K191">
        <v>1</v>
      </c>
      <c r="L191">
        <v>4</v>
      </c>
      <c r="M191" t="b">
        <v>0</v>
      </c>
      <c r="N191">
        <v>0</v>
      </c>
      <c r="O191">
        <v>1</v>
      </c>
      <c r="P191">
        <v>0.08</v>
      </c>
      <c r="Q191">
        <v>9.0899999999999995E-2</v>
      </c>
    </row>
    <row r="192" spans="1:17">
      <c r="A192">
        <v>191</v>
      </c>
      <c r="B192">
        <v>9.0899999999999995E-2</v>
      </c>
      <c r="C192">
        <v>0.53</v>
      </c>
      <c r="D192">
        <v>0.19400000000000001</v>
      </c>
      <c r="E192">
        <v>0</v>
      </c>
      <c r="F192">
        <v>1</v>
      </c>
      <c r="G192">
        <v>1</v>
      </c>
      <c r="H192" s="22">
        <v>40552</v>
      </c>
      <c r="I192">
        <v>1</v>
      </c>
      <c r="J192">
        <v>0</v>
      </c>
      <c r="K192">
        <v>1</v>
      </c>
      <c r="L192">
        <v>5</v>
      </c>
      <c r="M192" t="b">
        <v>0</v>
      </c>
      <c r="N192">
        <v>0</v>
      </c>
      <c r="O192">
        <v>1</v>
      </c>
      <c r="P192">
        <v>0.08</v>
      </c>
      <c r="Q192">
        <v>9.0899999999999995E-2</v>
      </c>
    </row>
    <row r="193" spans="1:17">
      <c r="A193">
        <v>192</v>
      </c>
      <c r="B193">
        <v>9.0899999999999995E-2</v>
      </c>
      <c r="C193">
        <v>0.49</v>
      </c>
      <c r="D193">
        <v>0.28360000000000002</v>
      </c>
      <c r="E193">
        <v>0</v>
      </c>
      <c r="F193">
        <v>1</v>
      </c>
      <c r="G193">
        <v>1</v>
      </c>
      <c r="H193" s="22">
        <v>40552</v>
      </c>
      <c r="I193">
        <v>1</v>
      </c>
      <c r="J193">
        <v>0</v>
      </c>
      <c r="K193">
        <v>1</v>
      </c>
      <c r="L193">
        <v>6</v>
      </c>
      <c r="M193" t="b">
        <v>0</v>
      </c>
      <c r="N193">
        <v>0</v>
      </c>
      <c r="O193">
        <v>1</v>
      </c>
      <c r="P193">
        <v>0.1</v>
      </c>
      <c r="Q193">
        <v>9.0899999999999995E-2</v>
      </c>
    </row>
    <row r="194" spans="1:17">
      <c r="A194">
        <v>193</v>
      </c>
      <c r="B194">
        <v>9.0899999999999995E-2</v>
      </c>
      <c r="C194">
        <v>0.53</v>
      </c>
      <c r="D194">
        <v>0.19400000000000001</v>
      </c>
      <c r="E194">
        <v>1</v>
      </c>
      <c r="F194">
        <v>5</v>
      </c>
      <c r="G194">
        <v>6</v>
      </c>
      <c r="H194" s="22">
        <v>40552</v>
      </c>
      <c r="I194">
        <v>1</v>
      </c>
      <c r="J194">
        <v>0</v>
      </c>
      <c r="K194">
        <v>1</v>
      </c>
      <c r="L194">
        <v>7</v>
      </c>
      <c r="M194" t="b">
        <v>0</v>
      </c>
      <c r="N194">
        <v>0</v>
      </c>
      <c r="O194">
        <v>1</v>
      </c>
      <c r="P194">
        <v>0.08</v>
      </c>
      <c r="Q194">
        <v>9.0899999999999995E-2</v>
      </c>
    </row>
    <row r="195" spans="1:17">
      <c r="A195">
        <v>194</v>
      </c>
      <c r="B195">
        <v>9.0899999999999995E-2</v>
      </c>
      <c r="C195">
        <v>0.49</v>
      </c>
      <c r="D195">
        <v>0.28360000000000002</v>
      </c>
      <c r="E195">
        <v>0</v>
      </c>
      <c r="F195">
        <v>10</v>
      </c>
      <c r="G195">
        <v>10</v>
      </c>
      <c r="H195" s="22">
        <v>40552</v>
      </c>
      <c r="I195">
        <v>1</v>
      </c>
      <c r="J195">
        <v>0</v>
      </c>
      <c r="K195">
        <v>1</v>
      </c>
      <c r="L195">
        <v>8</v>
      </c>
      <c r="M195" t="b">
        <v>0</v>
      </c>
      <c r="N195">
        <v>0</v>
      </c>
      <c r="O195">
        <v>1</v>
      </c>
      <c r="P195">
        <v>0.1</v>
      </c>
      <c r="Q195">
        <v>9.0899999999999995E-2</v>
      </c>
    </row>
    <row r="196" spans="1:17">
      <c r="A196">
        <v>195</v>
      </c>
      <c r="B196">
        <v>7.5800000000000006E-2</v>
      </c>
      <c r="C196">
        <v>0.46</v>
      </c>
      <c r="D196">
        <v>0.52239999999999998</v>
      </c>
      <c r="E196">
        <v>0</v>
      </c>
      <c r="F196">
        <v>19</v>
      </c>
      <c r="G196">
        <v>19</v>
      </c>
      <c r="H196" s="22">
        <v>40552</v>
      </c>
      <c r="I196">
        <v>1</v>
      </c>
      <c r="J196">
        <v>0</v>
      </c>
      <c r="K196">
        <v>1</v>
      </c>
      <c r="L196">
        <v>9</v>
      </c>
      <c r="M196" t="b">
        <v>0</v>
      </c>
      <c r="N196">
        <v>0</v>
      </c>
      <c r="O196">
        <v>1</v>
      </c>
      <c r="P196">
        <v>0.12</v>
      </c>
      <c r="Q196">
        <v>7.5800000000000006E-2</v>
      </c>
    </row>
    <row r="197" spans="1:17">
      <c r="A197">
        <v>196</v>
      </c>
      <c r="B197">
        <v>0.1061</v>
      </c>
      <c r="C197">
        <v>0.43</v>
      </c>
      <c r="D197">
        <v>0.3881</v>
      </c>
      <c r="E197">
        <v>0</v>
      </c>
      <c r="F197">
        <v>49</v>
      </c>
      <c r="G197">
        <v>49</v>
      </c>
      <c r="H197" s="22">
        <v>40552</v>
      </c>
      <c r="I197">
        <v>1</v>
      </c>
      <c r="J197">
        <v>0</v>
      </c>
      <c r="K197">
        <v>1</v>
      </c>
      <c r="L197">
        <v>10</v>
      </c>
      <c r="M197" t="b">
        <v>0</v>
      </c>
      <c r="N197">
        <v>0</v>
      </c>
      <c r="O197">
        <v>1</v>
      </c>
      <c r="P197">
        <v>0.14000000000000001</v>
      </c>
      <c r="Q197">
        <v>0.1061</v>
      </c>
    </row>
    <row r="198" spans="1:17">
      <c r="A198">
        <v>197</v>
      </c>
      <c r="B198">
        <v>0.1212</v>
      </c>
      <c r="C198">
        <v>0.4</v>
      </c>
      <c r="D198">
        <v>0.52239999999999998</v>
      </c>
      <c r="E198">
        <v>2</v>
      </c>
      <c r="F198">
        <v>47</v>
      </c>
      <c r="G198">
        <v>49</v>
      </c>
      <c r="H198" s="22">
        <v>40552</v>
      </c>
      <c r="I198">
        <v>1</v>
      </c>
      <c r="J198">
        <v>0</v>
      </c>
      <c r="K198">
        <v>1</v>
      </c>
      <c r="L198">
        <v>11</v>
      </c>
      <c r="M198" t="b">
        <v>0</v>
      </c>
      <c r="N198">
        <v>0</v>
      </c>
      <c r="O198">
        <v>1</v>
      </c>
      <c r="P198">
        <v>0.16</v>
      </c>
      <c r="Q198">
        <v>0.1212</v>
      </c>
    </row>
    <row r="199" spans="1:17">
      <c r="A199">
        <v>198</v>
      </c>
      <c r="B199">
        <v>0.13639999999999999</v>
      </c>
      <c r="C199">
        <v>0.37</v>
      </c>
      <c r="D199">
        <v>0.44779999999999998</v>
      </c>
      <c r="E199">
        <v>4</v>
      </c>
      <c r="F199">
        <v>79</v>
      </c>
      <c r="G199">
        <v>83</v>
      </c>
      <c r="H199" s="22">
        <v>40552</v>
      </c>
      <c r="I199">
        <v>1</v>
      </c>
      <c r="J199">
        <v>0</v>
      </c>
      <c r="K199">
        <v>1</v>
      </c>
      <c r="L199">
        <v>12</v>
      </c>
      <c r="M199" t="b">
        <v>0</v>
      </c>
      <c r="N199">
        <v>0</v>
      </c>
      <c r="O199">
        <v>1</v>
      </c>
      <c r="P199">
        <v>0.18</v>
      </c>
      <c r="Q199">
        <v>0.13639999999999999</v>
      </c>
    </row>
    <row r="200" spans="1:17">
      <c r="A200">
        <v>199</v>
      </c>
      <c r="B200">
        <v>0.16669999999999999</v>
      </c>
      <c r="C200">
        <v>0.34</v>
      </c>
      <c r="D200">
        <v>0.44779999999999998</v>
      </c>
      <c r="E200">
        <v>6</v>
      </c>
      <c r="F200">
        <v>69</v>
      </c>
      <c r="G200">
        <v>75</v>
      </c>
      <c r="H200" s="22">
        <v>40552</v>
      </c>
      <c r="I200">
        <v>1</v>
      </c>
      <c r="J200">
        <v>0</v>
      </c>
      <c r="K200">
        <v>1</v>
      </c>
      <c r="L200">
        <v>13</v>
      </c>
      <c r="M200" t="b">
        <v>0</v>
      </c>
      <c r="N200">
        <v>0</v>
      </c>
      <c r="O200">
        <v>1</v>
      </c>
      <c r="P200">
        <v>0.2</v>
      </c>
      <c r="Q200">
        <v>0.16669999999999999</v>
      </c>
    </row>
    <row r="201" spans="1:17">
      <c r="A201">
        <v>200</v>
      </c>
      <c r="B201">
        <v>0.18179999999999999</v>
      </c>
      <c r="C201">
        <v>0.32</v>
      </c>
      <c r="D201">
        <v>0.4627</v>
      </c>
      <c r="E201">
        <v>8</v>
      </c>
      <c r="F201">
        <v>64</v>
      </c>
      <c r="G201">
        <v>72</v>
      </c>
      <c r="H201" s="22">
        <v>40552</v>
      </c>
      <c r="I201">
        <v>1</v>
      </c>
      <c r="J201">
        <v>0</v>
      </c>
      <c r="K201">
        <v>1</v>
      </c>
      <c r="L201">
        <v>14</v>
      </c>
      <c r="M201" t="b">
        <v>0</v>
      </c>
      <c r="N201">
        <v>0</v>
      </c>
      <c r="O201">
        <v>1</v>
      </c>
      <c r="P201">
        <v>0.22</v>
      </c>
      <c r="Q201">
        <v>0.18179999999999999</v>
      </c>
    </row>
    <row r="202" spans="1:17">
      <c r="A202">
        <v>201</v>
      </c>
      <c r="B202">
        <v>0.19700000000000001</v>
      </c>
      <c r="C202">
        <v>0.35</v>
      </c>
      <c r="D202">
        <v>0.35820000000000002</v>
      </c>
      <c r="E202">
        <v>5</v>
      </c>
      <c r="F202">
        <v>77</v>
      </c>
      <c r="G202">
        <v>82</v>
      </c>
      <c r="H202" s="22">
        <v>40552</v>
      </c>
      <c r="I202">
        <v>1</v>
      </c>
      <c r="J202">
        <v>0</v>
      </c>
      <c r="K202">
        <v>1</v>
      </c>
      <c r="L202">
        <v>15</v>
      </c>
      <c r="M202" t="b">
        <v>0</v>
      </c>
      <c r="N202">
        <v>0</v>
      </c>
      <c r="O202">
        <v>1</v>
      </c>
      <c r="P202">
        <v>0.22</v>
      </c>
      <c r="Q202">
        <v>0.19700000000000001</v>
      </c>
    </row>
    <row r="203" spans="1:17">
      <c r="A203">
        <v>202</v>
      </c>
      <c r="B203">
        <v>0.16669999999999999</v>
      </c>
      <c r="C203">
        <v>0.34</v>
      </c>
      <c r="D203">
        <v>0.44779999999999998</v>
      </c>
      <c r="E203">
        <v>13</v>
      </c>
      <c r="F203">
        <v>79</v>
      </c>
      <c r="G203">
        <v>92</v>
      </c>
      <c r="H203" s="22">
        <v>40552</v>
      </c>
      <c r="I203">
        <v>1</v>
      </c>
      <c r="J203">
        <v>0</v>
      </c>
      <c r="K203">
        <v>1</v>
      </c>
      <c r="L203">
        <v>16</v>
      </c>
      <c r="M203" t="b">
        <v>0</v>
      </c>
      <c r="N203">
        <v>0</v>
      </c>
      <c r="O203">
        <v>1</v>
      </c>
      <c r="P203">
        <v>0.2</v>
      </c>
      <c r="Q203">
        <v>0.16669999999999999</v>
      </c>
    </row>
    <row r="204" spans="1:17">
      <c r="A204">
        <v>203</v>
      </c>
      <c r="B204">
        <v>0.1515</v>
      </c>
      <c r="C204">
        <v>0.37</v>
      </c>
      <c r="D204">
        <v>0.3881</v>
      </c>
      <c r="E204">
        <v>3</v>
      </c>
      <c r="F204">
        <v>59</v>
      </c>
      <c r="G204">
        <v>62</v>
      </c>
      <c r="H204" s="22">
        <v>40552</v>
      </c>
      <c r="I204">
        <v>1</v>
      </c>
      <c r="J204">
        <v>0</v>
      </c>
      <c r="K204">
        <v>1</v>
      </c>
      <c r="L204">
        <v>17</v>
      </c>
      <c r="M204" t="b">
        <v>0</v>
      </c>
      <c r="N204">
        <v>0</v>
      </c>
      <c r="O204">
        <v>1</v>
      </c>
      <c r="P204">
        <v>0.18</v>
      </c>
      <c r="Q204">
        <v>0.1515</v>
      </c>
    </row>
    <row r="205" spans="1:17">
      <c r="A205">
        <v>204</v>
      </c>
      <c r="B205">
        <v>0.13639999999999999</v>
      </c>
      <c r="C205">
        <v>0.4</v>
      </c>
      <c r="D205">
        <v>0.32840000000000003</v>
      </c>
      <c r="E205">
        <v>4</v>
      </c>
      <c r="F205">
        <v>44</v>
      </c>
      <c r="G205">
        <v>48</v>
      </c>
      <c r="H205" s="22">
        <v>40552</v>
      </c>
      <c r="I205">
        <v>1</v>
      </c>
      <c r="J205">
        <v>0</v>
      </c>
      <c r="K205">
        <v>1</v>
      </c>
      <c r="L205">
        <v>18</v>
      </c>
      <c r="M205" t="b">
        <v>0</v>
      </c>
      <c r="N205">
        <v>0</v>
      </c>
      <c r="O205">
        <v>1</v>
      </c>
      <c r="P205">
        <v>0.16</v>
      </c>
      <c r="Q205">
        <v>0.13639999999999999</v>
      </c>
    </row>
    <row r="206" spans="1:17">
      <c r="A206">
        <v>205</v>
      </c>
      <c r="B206">
        <v>0.13639999999999999</v>
      </c>
      <c r="C206">
        <v>0.43</v>
      </c>
      <c r="D206">
        <v>0.32840000000000003</v>
      </c>
      <c r="E206">
        <v>1</v>
      </c>
      <c r="F206">
        <v>40</v>
      </c>
      <c r="G206">
        <v>41</v>
      </c>
      <c r="H206" s="22">
        <v>40552</v>
      </c>
      <c r="I206">
        <v>1</v>
      </c>
      <c r="J206">
        <v>0</v>
      </c>
      <c r="K206">
        <v>1</v>
      </c>
      <c r="L206">
        <v>19</v>
      </c>
      <c r="M206" t="b">
        <v>0</v>
      </c>
      <c r="N206">
        <v>0</v>
      </c>
      <c r="O206">
        <v>1</v>
      </c>
      <c r="P206">
        <v>0.16</v>
      </c>
      <c r="Q206">
        <v>0.13639999999999999</v>
      </c>
    </row>
    <row r="207" spans="1:17">
      <c r="A207">
        <v>206</v>
      </c>
      <c r="B207">
        <v>0.1212</v>
      </c>
      <c r="C207">
        <v>0.46</v>
      </c>
      <c r="D207">
        <v>0.25369999999999998</v>
      </c>
      <c r="E207">
        <v>0</v>
      </c>
      <c r="F207">
        <v>38</v>
      </c>
      <c r="G207">
        <v>38</v>
      </c>
      <c r="H207" s="22">
        <v>40552</v>
      </c>
      <c r="I207">
        <v>1</v>
      </c>
      <c r="J207">
        <v>0</v>
      </c>
      <c r="K207">
        <v>1</v>
      </c>
      <c r="L207">
        <v>20</v>
      </c>
      <c r="M207" t="b">
        <v>0</v>
      </c>
      <c r="N207">
        <v>0</v>
      </c>
      <c r="O207">
        <v>1</v>
      </c>
      <c r="P207">
        <v>0.14000000000000001</v>
      </c>
      <c r="Q207">
        <v>0.1212</v>
      </c>
    </row>
    <row r="208" spans="1:17">
      <c r="A208">
        <v>207</v>
      </c>
      <c r="B208">
        <v>0.1061</v>
      </c>
      <c r="C208">
        <v>0.46</v>
      </c>
      <c r="D208">
        <v>0.41789999999999999</v>
      </c>
      <c r="E208">
        <v>1</v>
      </c>
      <c r="F208">
        <v>19</v>
      </c>
      <c r="G208">
        <v>20</v>
      </c>
      <c r="H208" s="22">
        <v>40552</v>
      </c>
      <c r="I208">
        <v>1</v>
      </c>
      <c r="J208">
        <v>0</v>
      </c>
      <c r="K208">
        <v>1</v>
      </c>
      <c r="L208">
        <v>21</v>
      </c>
      <c r="M208" t="b">
        <v>0</v>
      </c>
      <c r="N208">
        <v>0</v>
      </c>
      <c r="O208">
        <v>1</v>
      </c>
      <c r="P208">
        <v>0.14000000000000001</v>
      </c>
      <c r="Q208">
        <v>0.1061</v>
      </c>
    </row>
    <row r="209" spans="1:17">
      <c r="A209">
        <v>208</v>
      </c>
      <c r="B209">
        <v>0.1212</v>
      </c>
      <c r="C209">
        <v>0.46</v>
      </c>
      <c r="D209">
        <v>0.29849999999999999</v>
      </c>
      <c r="E209">
        <v>5</v>
      </c>
      <c r="F209">
        <v>10</v>
      </c>
      <c r="G209">
        <v>15</v>
      </c>
      <c r="H209" s="22">
        <v>40552</v>
      </c>
      <c r="I209">
        <v>1</v>
      </c>
      <c r="J209">
        <v>0</v>
      </c>
      <c r="K209">
        <v>1</v>
      </c>
      <c r="L209">
        <v>22</v>
      </c>
      <c r="M209" t="b">
        <v>0</v>
      </c>
      <c r="N209">
        <v>0</v>
      </c>
      <c r="O209">
        <v>1</v>
      </c>
      <c r="P209">
        <v>0.14000000000000001</v>
      </c>
      <c r="Q209">
        <v>0.1212</v>
      </c>
    </row>
    <row r="210" spans="1:17">
      <c r="A210">
        <v>209</v>
      </c>
      <c r="B210">
        <v>0.13639999999999999</v>
      </c>
      <c r="C210">
        <v>0.5</v>
      </c>
      <c r="D210">
        <v>0.19400000000000001</v>
      </c>
      <c r="E210">
        <v>0</v>
      </c>
      <c r="F210">
        <v>6</v>
      </c>
      <c r="G210">
        <v>6</v>
      </c>
      <c r="H210" s="22">
        <v>40552</v>
      </c>
      <c r="I210">
        <v>1</v>
      </c>
      <c r="J210">
        <v>0</v>
      </c>
      <c r="K210">
        <v>1</v>
      </c>
      <c r="L210">
        <v>23</v>
      </c>
      <c r="M210" t="b">
        <v>0</v>
      </c>
      <c r="N210">
        <v>0</v>
      </c>
      <c r="O210">
        <v>1</v>
      </c>
      <c r="P210">
        <v>0.12</v>
      </c>
      <c r="Q210">
        <v>0.13639999999999999</v>
      </c>
    </row>
    <row r="211" spans="1:17">
      <c r="A211">
        <v>210</v>
      </c>
      <c r="B211">
        <v>0.1212</v>
      </c>
      <c r="C211">
        <v>0.5</v>
      </c>
      <c r="D211">
        <v>0.28360000000000002</v>
      </c>
      <c r="E211">
        <v>2</v>
      </c>
      <c r="F211">
        <v>3</v>
      </c>
      <c r="G211">
        <v>5</v>
      </c>
      <c r="H211" s="22">
        <v>40553</v>
      </c>
      <c r="I211">
        <v>1</v>
      </c>
      <c r="J211">
        <v>0</v>
      </c>
      <c r="K211">
        <v>1</v>
      </c>
      <c r="L211">
        <v>0</v>
      </c>
      <c r="M211" t="b">
        <v>0</v>
      </c>
      <c r="N211">
        <v>1</v>
      </c>
      <c r="O211">
        <v>1</v>
      </c>
      <c r="P211">
        <v>0.12</v>
      </c>
      <c r="Q211">
        <v>0.1212</v>
      </c>
    </row>
    <row r="212" spans="1:17">
      <c r="A212">
        <v>211</v>
      </c>
      <c r="B212">
        <v>0.1212</v>
      </c>
      <c r="C212">
        <v>0.5</v>
      </c>
      <c r="D212">
        <v>0.28360000000000002</v>
      </c>
      <c r="E212">
        <v>1</v>
      </c>
      <c r="F212">
        <v>0</v>
      </c>
      <c r="G212">
        <v>1</v>
      </c>
      <c r="H212" s="22">
        <v>40553</v>
      </c>
      <c r="I212">
        <v>1</v>
      </c>
      <c r="J212">
        <v>0</v>
      </c>
      <c r="K212">
        <v>1</v>
      </c>
      <c r="L212">
        <v>1</v>
      </c>
      <c r="M212" t="b">
        <v>0</v>
      </c>
      <c r="N212">
        <v>1</v>
      </c>
      <c r="O212">
        <v>1</v>
      </c>
      <c r="P212">
        <v>0.12</v>
      </c>
      <c r="Q212">
        <v>0.1212</v>
      </c>
    </row>
    <row r="213" spans="1:17">
      <c r="A213">
        <v>212</v>
      </c>
      <c r="B213">
        <v>0.1212</v>
      </c>
      <c r="C213">
        <v>0.5</v>
      </c>
      <c r="D213">
        <v>0.22389999999999999</v>
      </c>
      <c r="E213">
        <v>0</v>
      </c>
      <c r="F213">
        <v>3</v>
      </c>
      <c r="G213">
        <v>3</v>
      </c>
      <c r="H213" s="22">
        <v>40553</v>
      </c>
      <c r="I213">
        <v>1</v>
      </c>
      <c r="J213">
        <v>0</v>
      </c>
      <c r="K213">
        <v>1</v>
      </c>
      <c r="L213">
        <v>2</v>
      </c>
      <c r="M213" t="b">
        <v>0</v>
      </c>
      <c r="N213">
        <v>1</v>
      </c>
      <c r="O213">
        <v>1</v>
      </c>
      <c r="P213">
        <v>0.12</v>
      </c>
      <c r="Q213">
        <v>0.1212</v>
      </c>
    </row>
    <row r="214" spans="1:17">
      <c r="A214">
        <v>213</v>
      </c>
      <c r="B214">
        <v>0.1212</v>
      </c>
      <c r="C214">
        <v>0.5</v>
      </c>
      <c r="D214">
        <v>0.22389999999999999</v>
      </c>
      <c r="E214">
        <v>0</v>
      </c>
      <c r="F214">
        <v>1</v>
      </c>
      <c r="G214">
        <v>1</v>
      </c>
      <c r="H214" s="22">
        <v>40553</v>
      </c>
      <c r="I214">
        <v>1</v>
      </c>
      <c r="J214">
        <v>0</v>
      </c>
      <c r="K214">
        <v>1</v>
      </c>
      <c r="L214">
        <v>3</v>
      </c>
      <c r="M214" t="b">
        <v>0</v>
      </c>
      <c r="N214">
        <v>1</v>
      </c>
      <c r="O214">
        <v>1</v>
      </c>
      <c r="P214">
        <v>0.12</v>
      </c>
      <c r="Q214">
        <v>0.1212</v>
      </c>
    </row>
    <row r="215" spans="1:17">
      <c r="A215">
        <v>214</v>
      </c>
      <c r="B215">
        <v>0.1212</v>
      </c>
      <c r="C215">
        <v>0.54</v>
      </c>
      <c r="D215">
        <v>0.1343</v>
      </c>
      <c r="E215">
        <v>1</v>
      </c>
      <c r="F215">
        <v>2</v>
      </c>
      <c r="G215">
        <v>3</v>
      </c>
      <c r="H215" s="22">
        <v>40553</v>
      </c>
      <c r="I215">
        <v>1</v>
      </c>
      <c r="J215">
        <v>0</v>
      </c>
      <c r="K215">
        <v>1</v>
      </c>
      <c r="L215">
        <v>4</v>
      </c>
      <c r="M215" t="b">
        <v>0</v>
      </c>
      <c r="N215">
        <v>1</v>
      </c>
      <c r="O215">
        <v>1</v>
      </c>
      <c r="P215">
        <v>0.1</v>
      </c>
      <c r="Q215">
        <v>0.1212</v>
      </c>
    </row>
    <row r="216" spans="1:17">
      <c r="A216">
        <v>215</v>
      </c>
      <c r="B216">
        <v>0.1061</v>
      </c>
      <c r="C216">
        <v>0.54</v>
      </c>
      <c r="D216">
        <v>0.25369999999999998</v>
      </c>
      <c r="E216">
        <v>0</v>
      </c>
      <c r="F216">
        <v>3</v>
      </c>
      <c r="G216">
        <v>3</v>
      </c>
      <c r="H216" s="22">
        <v>40553</v>
      </c>
      <c r="I216">
        <v>1</v>
      </c>
      <c r="J216">
        <v>0</v>
      </c>
      <c r="K216">
        <v>1</v>
      </c>
      <c r="L216">
        <v>5</v>
      </c>
      <c r="M216" t="b">
        <v>0</v>
      </c>
      <c r="N216">
        <v>1</v>
      </c>
      <c r="O216">
        <v>1</v>
      </c>
      <c r="P216">
        <v>0.1</v>
      </c>
      <c r="Q216">
        <v>0.1061</v>
      </c>
    </row>
    <row r="217" spans="1:17">
      <c r="A217">
        <v>216</v>
      </c>
      <c r="B217">
        <v>0.1212</v>
      </c>
      <c r="C217">
        <v>0.5</v>
      </c>
      <c r="D217">
        <v>0.28360000000000002</v>
      </c>
      <c r="E217">
        <v>0</v>
      </c>
      <c r="F217">
        <v>31</v>
      </c>
      <c r="G217">
        <v>31</v>
      </c>
      <c r="H217" s="22">
        <v>40553</v>
      </c>
      <c r="I217">
        <v>1</v>
      </c>
      <c r="J217">
        <v>0</v>
      </c>
      <c r="K217">
        <v>1</v>
      </c>
      <c r="L217">
        <v>6</v>
      </c>
      <c r="M217" t="b">
        <v>0</v>
      </c>
      <c r="N217">
        <v>1</v>
      </c>
      <c r="O217">
        <v>1</v>
      </c>
      <c r="P217">
        <v>0.12</v>
      </c>
      <c r="Q217">
        <v>0.1212</v>
      </c>
    </row>
    <row r="218" spans="1:17">
      <c r="A218">
        <v>217</v>
      </c>
      <c r="B218">
        <v>0.1212</v>
      </c>
      <c r="C218">
        <v>0.5</v>
      </c>
      <c r="D218">
        <v>0.22389999999999999</v>
      </c>
      <c r="E218">
        <v>2</v>
      </c>
      <c r="F218">
        <v>75</v>
      </c>
      <c r="G218">
        <v>77</v>
      </c>
      <c r="H218" s="22">
        <v>40553</v>
      </c>
      <c r="I218">
        <v>1</v>
      </c>
      <c r="J218">
        <v>0</v>
      </c>
      <c r="K218">
        <v>1</v>
      </c>
      <c r="L218">
        <v>7</v>
      </c>
      <c r="M218" t="b">
        <v>0</v>
      </c>
      <c r="N218">
        <v>1</v>
      </c>
      <c r="O218">
        <v>1</v>
      </c>
      <c r="P218">
        <v>0.12</v>
      </c>
      <c r="Q218">
        <v>0.1212</v>
      </c>
    </row>
    <row r="219" spans="1:17">
      <c r="A219">
        <v>218</v>
      </c>
      <c r="B219">
        <v>0.1212</v>
      </c>
      <c r="C219">
        <v>0.5</v>
      </c>
      <c r="D219">
        <v>0.28360000000000002</v>
      </c>
      <c r="E219">
        <v>4</v>
      </c>
      <c r="F219">
        <v>184</v>
      </c>
      <c r="G219">
        <v>188</v>
      </c>
      <c r="H219" s="22">
        <v>40553</v>
      </c>
      <c r="I219">
        <v>1</v>
      </c>
      <c r="J219">
        <v>0</v>
      </c>
      <c r="K219">
        <v>1</v>
      </c>
      <c r="L219">
        <v>8</v>
      </c>
      <c r="M219" t="b">
        <v>0</v>
      </c>
      <c r="N219">
        <v>1</v>
      </c>
      <c r="O219">
        <v>2</v>
      </c>
      <c r="P219">
        <v>0.12</v>
      </c>
      <c r="Q219">
        <v>0.1212</v>
      </c>
    </row>
    <row r="220" spans="1:17">
      <c r="A220">
        <v>219</v>
      </c>
      <c r="B220">
        <v>0.1212</v>
      </c>
      <c r="C220">
        <v>0.5</v>
      </c>
      <c r="D220">
        <v>0.25369999999999998</v>
      </c>
      <c r="E220">
        <v>2</v>
      </c>
      <c r="F220">
        <v>92</v>
      </c>
      <c r="G220">
        <v>94</v>
      </c>
      <c r="H220" s="22">
        <v>40553</v>
      </c>
      <c r="I220">
        <v>1</v>
      </c>
      <c r="J220">
        <v>0</v>
      </c>
      <c r="K220">
        <v>1</v>
      </c>
      <c r="L220">
        <v>9</v>
      </c>
      <c r="M220" t="b">
        <v>0</v>
      </c>
      <c r="N220">
        <v>1</v>
      </c>
      <c r="O220">
        <v>2</v>
      </c>
      <c r="P220">
        <v>0.14000000000000001</v>
      </c>
      <c r="Q220">
        <v>0.1212</v>
      </c>
    </row>
    <row r="221" spans="1:17">
      <c r="A221">
        <v>220</v>
      </c>
      <c r="B221">
        <v>0.1212</v>
      </c>
      <c r="C221">
        <v>0.5</v>
      </c>
      <c r="D221">
        <v>0.29849999999999999</v>
      </c>
      <c r="E221">
        <v>0</v>
      </c>
      <c r="F221">
        <v>31</v>
      </c>
      <c r="G221">
        <v>31</v>
      </c>
      <c r="H221" s="22">
        <v>40553</v>
      </c>
      <c r="I221">
        <v>1</v>
      </c>
      <c r="J221">
        <v>0</v>
      </c>
      <c r="K221">
        <v>1</v>
      </c>
      <c r="L221">
        <v>10</v>
      </c>
      <c r="M221" t="b">
        <v>0</v>
      </c>
      <c r="N221">
        <v>1</v>
      </c>
      <c r="O221">
        <v>2</v>
      </c>
      <c r="P221">
        <v>0.14000000000000001</v>
      </c>
      <c r="Q221">
        <v>0.1212</v>
      </c>
    </row>
    <row r="222" spans="1:17">
      <c r="A222">
        <v>221</v>
      </c>
      <c r="B222">
        <v>0.13639999999999999</v>
      </c>
      <c r="C222">
        <v>0.47</v>
      </c>
      <c r="D222">
        <v>0.28360000000000002</v>
      </c>
      <c r="E222">
        <v>2</v>
      </c>
      <c r="F222">
        <v>28</v>
      </c>
      <c r="G222">
        <v>30</v>
      </c>
      <c r="H222" s="22">
        <v>40553</v>
      </c>
      <c r="I222">
        <v>1</v>
      </c>
      <c r="J222">
        <v>0</v>
      </c>
      <c r="K222">
        <v>1</v>
      </c>
      <c r="L222">
        <v>11</v>
      </c>
      <c r="M222" t="b">
        <v>0</v>
      </c>
      <c r="N222">
        <v>1</v>
      </c>
      <c r="O222">
        <v>2</v>
      </c>
      <c r="P222">
        <v>0.16</v>
      </c>
      <c r="Q222">
        <v>0.13639999999999999</v>
      </c>
    </row>
    <row r="223" spans="1:17">
      <c r="A223">
        <v>222</v>
      </c>
      <c r="B223">
        <v>0.18179999999999999</v>
      </c>
      <c r="C223">
        <v>0.4</v>
      </c>
      <c r="D223">
        <v>0.28360000000000002</v>
      </c>
      <c r="E223">
        <v>5</v>
      </c>
      <c r="F223">
        <v>47</v>
      </c>
      <c r="G223">
        <v>52</v>
      </c>
      <c r="H223" s="22">
        <v>40553</v>
      </c>
      <c r="I223">
        <v>1</v>
      </c>
      <c r="J223">
        <v>0</v>
      </c>
      <c r="K223">
        <v>1</v>
      </c>
      <c r="L223">
        <v>12</v>
      </c>
      <c r="M223" t="b">
        <v>0</v>
      </c>
      <c r="N223">
        <v>1</v>
      </c>
      <c r="O223">
        <v>2</v>
      </c>
      <c r="P223">
        <v>0.2</v>
      </c>
      <c r="Q223">
        <v>0.18179999999999999</v>
      </c>
    </row>
    <row r="224" spans="1:17">
      <c r="A224">
        <v>223</v>
      </c>
      <c r="B224">
        <v>0.18179999999999999</v>
      </c>
      <c r="C224">
        <v>0.4</v>
      </c>
      <c r="D224">
        <v>0.28360000000000002</v>
      </c>
      <c r="E224">
        <v>4</v>
      </c>
      <c r="F224">
        <v>50</v>
      </c>
      <c r="G224">
        <v>54</v>
      </c>
      <c r="H224" s="22">
        <v>40553</v>
      </c>
      <c r="I224">
        <v>1</v>
      </c>
      <c r="J224">
        <v>0</v>
      </c>
      <c r="K224">
        <v>1</v>
      </c>
      <c r="L224">
        <v>13</v>
      </c>
      <c r="M224" t="b">
        <v>0</v>
      </c>
      <c r="N224">
        <v>1</v>
      </c>
      <c r="O224">
        <v>2</v>
      </c>
      <c r="P224">
        <v>0.2</v>
      </c>
      <c r="Q224">
        <v>0.18179999999999999</v>
      </c>
    </row>
    <row r="225" spans="1:17">
      <c r="A225">
        <v>224</v>
      </c>
      <c r="B225">
        <v>0.19700000000000001</v>
      </c>
      <c r="C225">
        <v>0.4</v>
      </c>
      <c r="D225">
        <v>0.22389999999999999</v>
      </c>
      <c r="E225">
        <v>0</v>
      </c>
      <c r="F225">
        <v>47</v>
      </c>
      <c r="G225">
        <v>47</v>
      </c>
      <c r="H225" s="22">
        <v>40553</v>
      </c>
      <c r="I225">
        <v>1</v>
      </c>
      <c r="J225">
        <v>0</v>
      </c>
      <c r="K225">
        <v>1</v>
      </c>
      <c r="L225">
        <v>14</v>
      </c>
      <c r="M225" t="b">
        <v>0</v>
      </c>
      <c r="N225">
        <v>1</v>
      </c>
      <c r="O225">
        <v>2</v>
      </c>
      <c r="P225">
        <v>0.2</v>
      </c>
      <c r="Q225">
        <v>0.19700000000000001</v>
      </c>
    </row>
    <row r="226" spans="1:17">
      <c r="A226">
        <v>225</v>
      </c>
      <c r="B226">
        <v>0.19700000000000001</v>
      </c>
      <c r="C226">
        <v>0.4</v>
      </c>
      <c r="D226">
        <v>0.22389999999999999</v>
      </c>
      <c r="E226">
        <v>2</v>
      </c>
      <c r="F226">
        <v>43</v>
      </c>
      <c r="G226">
        <v>45</v>
      </c>
      <c r="H226" s="22">
        <v>40553</v>
      </c>
      <c r="I226">
        <v>1</v>
      </c>
      <c r="J226">
        <v>0</v>
      </c>
      <c r="K226">
        <v>1</v>
      </c>
      <c r="L226">
        <v>15</v>
      </c>
      <c r="M226" t="b">
        <v>0</v>
      </c>
      <c r="N226">
        <v>1</v>
      </c>
      <c r="O226">
        <v>2</v>
      </c>
      <c r="P226">
        <v>0.2</v>
      </c>
      <c r="Q226">
        <v>0.19700000000000001</v>
      </c>
    </row>
    <row r="227" spans="1:17">
      <c r="A227">
        <v>226</v>
      </c>
      <c r="B227">
        <v>0.21210000000000001</v>
      </c>
      <c r="C227">
        <v>0.4</v>
      </c>
      <c r="D227">
        <v>0.1343</v>
      </c>
      <c r="E227">
        <v>4</v>
      </c>
      <c r="F227">
        <v>70</v>
      </c>
      <c r="G227">
        <v>74</v>
      </c>
      <c r="H227" s="22">
        <v>40553</v>
      </c>
      <c r="I227">
        <v>1</v>
      </c>
      <c r="J227">
        <v>0</v>
      </c>
      <c r="K227">
        <v>1</v>
      </c>
      <c r="L227">
        <v>16</v>
      </c>
      <c r="M227" t="b">
        <v>0</v>
      </c>
      <c r="N227">
        <v>1</v>
      </c>
      <c r="O227">
        <v>1</v>
      </c>
      <c r="P227">
        <v>0.2</v>
      </c>
      <c r="Q227">
        <v>0.21210000000000001</v>
      </c>
    </row>
    <row r="228" spans="1:17">
      <c r="A228">
        <v>227</v>
      </c>
      <c r="B228">
        <v>0.2273</v>
      </c>
      <c r="C228">
        <v>0.4</v>
      </c>
      <c r="D228">
        <v>0.1045</v>
      </c>
      <c r="E228">
        <v>4</v>
      </c>
      <c r="F228">
        <v>174</v>
      </c>
      <c r="G228">
        <v>178</v>
      </c>
      <c r="H228" s="22">
        <v>40553</v>
      </c>
      <c r="I228">
        <v>1</v>
      </c>
      <c r="J228">
        <v>0</v>
      </c>
      <c r="K228">
        <v>1</v>
      </c>
      <c r="L228">
        <v>17</v>
      </c>
      <c r="M228" t="b">
        <v>0</v>
      </c>
      <c r="N228">
        <v>1</v>
      </c>
      <c r="O228">
        <v>1</v>
      </c>
      <c r="P228">
        <v>0.2</v>
      </c>
      <c r="Q228">
        <v>0.2273</v>
      </c>
    </row>
    <row r="229" spans="1:17">
      <c r="A229">
        <v>228</v>
      </c>
      <c r="B229">
        <v>0.19700000000000001</v>
      </c>
      <c r="C229">
        <v>0.4</v>
      </c>
      <c r="D229">
        <v>0.22389999999999999</v>
      </c>
      <c r="E229">
        <v>1</v>
      </c>
      <c r="F229">
        <v>154</v>
      </c>
      <c r="G229">
        <v>155</v>
      </c>
      <c r="H229" s="22">
        <v>40553</v>
      </c>
      <c r="I229">
        <v>1</v>
      </c>
      <c r="J229">
        <v>0</v>
      </c>
      <c r="K229">
        <v>1</v>
      </c>
      <c r="L229">
        <v>18</v>
      </c>
      <c r="M229" t="b">
        <v>0</v>
      </c>
      <c r="N229">
        <v>1</v>
      </c>
      <c r="O229">
        <v>1</v>
      </c>
      <c r="P229">
        <v>0.2</v>
      </c>
      <c r="Q229">
        <v>0.19700000000000001</v>
      </c>
    </row>
    <row r="230" spans="1:17">
      <c r="A230">
        <v>229</v>
      </c>
      <c r="B230">
        <v>0.16669999999999999</v>
      </c>
      <c r="C230">
        <v>0.47</v>
      </c>
      <c r="D230">
        <v>0.16420000000000001</v>
      </c>
      <c r="E230">
        <v>3</v>
      </c>
      <c r="F230">
        <v>92</v>
      </c>
      <c r="G230">
        <v>95</v>
      </c>
      <c r="H230" s="22">
        <v>40553</v>
      </c>
      <c r="I230">
        <v>1</v>
      </c>
      <c r="J230">
        <v>0</v>
      </c>
      <c r="K230">
        <v>1</v>
      </c>
      <c r="L230">
        <v>19</v>
      </c>
      <c r="M230" t="b">
        <v>0</v>
      </c>
      <c r="N230">
        <v>1</v>
      </c>
      <c r="O230">
        <v>1</v>
      </c>
      <c r="P230">
        <v>0.16</v>
      </c>
      <c r="Q230">
        <v>0.16669999999999999</v>
      </c>
    </row>
    <row r="231" spans="1:17">
      <c r="A231">
        <v>230</v>
      </c>
      <c r="B231">
        <v>0.16669999999999999</v>
      </c>
      <c r="C231">
        <v>0.5</v>
      </c>
      <c r="D231">
        <v>0.16420000000000001</v>
      </c>
      <c r="E231">
        <v>1</v>
      </c>
      <c r="F231">
        <v>73</v>
      </c>
      <c r="G231">
        <v>74</v>
      </c>
      <c r="H231" s="22">
        <v>40553</v>
      </c>
      <c r="I231">
        <v>1</v>
      </c>
      <c r="J231">
        <v>0</v>
      </c>
      <c r="K231">
        <v>1</v>
      </c>
      <c r="L231">
        <v>20</v>
      </c>
      <c r="M231" t="b">
        <v>0</v>
      </c>
      <c r="N231">
        <v>1</v>
      </c>
      <c r="O231">
        <v>1</v>
      </c>
      <c r="P231">
        <v>0.16</v>
      </c>
      <c r="Q231">
        <v>0.16669999999999999</v>
      </c>
    </row>
    <row r="232" spans="1:17">
      <c r="A232">
        <v>231</v>
      </c>
      <c r="B232">
        <v>0.13639999999999999</v>
      </c>
      <c r="C232">
        <v>0.59</v>
      </c>
      <c r="D232">
        <v>0.19400000000000001</v>
      </c>
      <c r="E232">
        <v>1</v>
      </c>
      <c r="F232">
        <v>37</v>
      </c>
      <c r="G232">
        <v>38</v>
      </c>
      <c r="H232" s="22">
        <v>40553</v>
      </c>
      <c r="I232">
        <v>1</v>
      </c>
      <c r="J232">
        <v>0</v>
      </c>
      <c r="K232">
        <v>1</v>
      </c>
      <c r="L232">
        <v>21</v>
      </c>
      <c r="M232" t="b">
        <v>0</v>
      </c>
      <c r="N232">
        <v>1</v>
      </c>
      <c r="O232">
        <v>1</v>
      </c>
      <c r="P232">
        <v>0.14000000000000001</v>
      </c>
      <c r="Q232">
        <v>0.13639999999999999</v>
      </c>
    </row>
    <row r="233" spans="1:17">
      <c r="A233">
        <v>232</v>
      </c>
      <c r="B233">
        <v>0.1515</v>
      </c>
      <c r="C233">
        <v>0.59</v>
      </c>
      <c r="D233">
        <v>0.16420000000000001</v>
      </c>
      <c r="E233">
        <v>2</v>
      </c>
      <c r="F233">
        <v>22</v>
      </c>
      <c r="G233">
        <v>24</v>
      </c>
      <c r="H233" s="22">
        <v>40553</v>
      </c>
      <c r="I233">
        <v>1</v>
      </c>
      <c r="J233">
        <v>0</v>
      </c>
      <c r="K233">
        <v>1</v>
      </c>
      <c r="L233">
        <v>22</v>
      </c>
      <c r="M233" t="b">
        <v>0</v>
      </c>
      <c r="N233">
        <v>1</v>
      </c>
      <c r="O233">
        <v>1</v>
      </c>
      <c r="P233">
        <v>0.14000000000000001</v>
      </c>
      <c r="Q233">
        <v>0.1515</v>
      </c>
    </row>
    <row r="234" spans="1:17">
      <c r="A234">
        <v>233</v>
      </c>
      <c r="B234">
        <v>0.1515</v>
      </c>
      <c r="C234">
        <v>0.59</v>
      </c>
      <c r="D234">
        <v>0.16420000000000001</v>
      </c>
      <c r="E234">
        <v>0</v>
      </c>
      <c r="F234">
        <v>18</v>
      </c>
      <c r="G234">
        <v>18</v>
      </c>
      <c r="H234" s="22">
        <v>40553</v>
      </c>
      <c r="I234">
        <v>1</v>
      </c>
      <c r="J234">
        <v>0</v>
      </c>
      <c r="K234">
        <v>1</v>
      </c>
      <c r="L234">
        <v>23</v>
      </c>
      <c r="M234" t="b">
        <v>0</v>
      </c>
      <c r="N234">
        <v>1</v>
      </c>
      <c r="O234">
        <v>1</v>
      </c>
      <c r="P234">
        <v>0.14000000000000001</v>
      </c>
      <c r="Q234">
        <v>0.1515</v>
      </c>
    </row>
    <row r="235" spans="1:17">
      <c r="A235">
        <v>234</v>
      </c>
      <c r="B235">
        <v>0.16669999999999999</v>
      </c>
      <c r="C235">
        <v>0.59</v>
      </c>
      <c r="D235">
        <v>0.1045</v>
      </c>
      <c r="E235">
        <v>2</v>
      </c>
      <c r="F235">
        <v>10</v>
      </c>
      <c r="G235">
        <v>12</v>
      </c>
      <c r="H235" s="22">
        <v>40554</v>
      </c>
      <c r="I235">
        <v>1</v>
      </c>
      <c r="J235">
        <v>0</v>
      </c>
      <c r="K235">
        <v>1</v>
      </c>
      <c r="L235">
        <v>0</v>
      </c>
      <c r="M235" t="b">
        <v>0</v>
      </c>
      <c r="N235">
        <v>2</v>
      </c>
      <c r="O235">
        <v>1</v>
      </c>
      <c r="P235">
        <v>0.14000000000000001</v>
      </c>
      <c r="Q235">
        <v>0.16669999999999999</v>
      </c>
    </row>
    <row r="236" spans="1:17">
      <c r="A236">
        <v>235</v>
      </c>
      <c r="B236">
        <v>0.1515</v>
      </c>
      <c r="C236">
        <v>0.59</v>
      </c>
      <c r="D236">
        <v>0.16420000000000001</v>
      </c>
      <c r="E236">
        <v>0</v>
      </c>
      <c r="F236">
        <v>3</v>
      </c>
      <c r="G236">
        <v>3</v>
      </c>
      <c r="H236" s="22">
        <v>40554</v>
      </c>
      <c r="I236">
        <v>1</v>
      </c>
      <c r="J236">
        <v>0</v>
      </c>
      <c r="K236">
        <v>1</v>
      </c>
      <c r="L236">
        <v>1</v>
      </c>
      <c r="M236" t="b">
        <v>0</v>
      </c>
      <c r="N236">
        <v>2</v>
      </c>
      <c r="O236">
        <v>1</v>
      </c>
      <c r="P236">
        <v>0.14000000000000001</v>
      </c>
      <c r="Q236">
        <v>0.1515</v>
      </c>
    </row>
    <row r="237" spans="1:17">
      <c r="A237">
        <v>236</v>
      </c>
      <c r="B237">
        <v>0.1515</v>
      </c>
      <c r="C237">
        <v>0.55000000000000004</v>
      </c>
      <c r="D237">
        <v>0.19400000000000001</v>
      </c>
      <c r="E237">
        <v>0</v>
      </c>
      <c r="F237">
        <v>3</v>
      </c>
      <c r="G237">
        <v>3</v>
      </c>
      <c r="H237" s="22">
        <v>40554</v>
      </c>
      <c r="I237">
        <v>1</v>
      </c>
      <c r="J237">
        <v>0</v>
      </c>
      <c r="K237">
        <v>1</v>
      </c>
      <c r="L237">
        <v>2</v>
      </c>
      <c r="M237" t="b">
        <v>0</v>
      </c>
      <c r="N237">
        <v>2</v>
      </c>
      <c r="O237">
        <v>2</v>
      </c>
      <c r="P237">
        <v>0.16</v>
      </c>
      <c r="Q237">
        <v>0.1515</v>
      </c>
    </row>
    <row r="238" spans="1:17">
      <c r="A238">
        <v>237</v>
      </c>
      <c r="B238">
        <v>0.18179999999999999</v>
      </c>
      <c r="C238">
        <v>0.55000000000000004</v>
      </c>
      <c r="D238">
        <v>0.1343</v>
      </c>
      <c r="E238">
        <v>0</v>
      </c>
      <c r="F238">
        <v>6</v>
      </c>
      <c r="G238">
        <v>6</v>
      </c>
      <c r="H238" s="22">
        <v>40554</v>
      </c>
      <c r="I238">
        <v>1</v>
      </c>
      <c r="J238">
        <v>0</v>
      </c>
      <c r="K238">
        <v>1</v>
      </c>
      <c r="L238">
        <v>5</v>
      </c>
      <c r="M238" t="b">
        <v>0</v>
      </c>
      <c r="N238">
        <v>2</v>
      </c>
      <c r="O238">
        <v>2</v>
      </c>
      <c r="P238">
        <v>0.16</v>
      </c>
      <c r="Q238">
        <v>0.18179999999999999</v>
      </c>
    </row>
    <row r="239" spans="1:17">
      <c r="A239">
        <v>238</v>
      </c>
      <c r="B239">
        <v>0.18179999999999999</v>
      </c>
      <c r="C239">
        <v>0.55000000000000004</v>
      </c>
      <c r="D239">
        <v>0.1343</v>
      </c>
      <c r="E239">
        <v>0</v>
      </c>
      <c r="F239">
        <v>27</v>
      </c>
      <c r="G239">
        <v>27</v>
      </c>
      <c r="H239" s="22">
        <v>40554</v>
      </c>
      <c r="I239">
        <v>1</v>
      </c>
      <c r="J239">
        <v>0</v>
      </c>
      <c r="K239">
        <v>1</v>
      </c>
      <c r="L239">
        <v>6</v>
      </c>
      <c r="M239" t="b">
        <v>0</v>
      </c>
      <c r="N239">
        <v>2</v>
      </c>
      <c r="O239">
        <v>2</v>
      </c>
      <c r="P239">
        <v>0.16</v>
      </c>
      <c r="Q239">
        <v>0.18179999999999999</v>
      </c>
    </row>
    <row r="240" spans="1:17">
      <c r="A240">
        <v>239</v>
      </c>
      <c r="B240">
        <v>0.2273</v>
      </c>
      <c r="C240">
        <v>0.55000000000000004</v>
      </c>
      <c r="D240">
        <v>0</v>
      </c>
      <c r="E240">
        <v>2</v>
      </c>
      <c r="F240">
        <v>97</v>
      </c>
      <c r="G240">
        <v>99</v>
      </c>
      <c r="H240" s="22">
        <v>40554</v>
      </c>
      <c r="I240">
        <v>1</v>
      </c>
      <c r="J240">
        <v>0</v>
      </c>
      <c r="K240">
        <v>1</v>
      </c>
      <c r="L240">
        <v>7</v>
      </c>
      <c r="M240" t="b">
        <v>0</v>
      </c>
      <c r="N240">
        <v>2</v>
      </c>
      <c r="O240">
        <v>2</v>
      </c>
      <c r="P240">
        <v>0.16</v>
      </c>
      <c r="Q240">
        <v>0.2273</v>
      </c>
    </row>
    <row r="241" spans="1:17">
      <c r="A241">
        <v>240</v>
      </c>
      <c r="B241">
        <v>0.21210000000000001</v>
      </c>
      <c r="C241">
        <v>0.51</v>
      </c>
      <c r="D241">
        <v>8.9599999999999999E-2</v>
      </c>
      <c r="E241">
        <v>3</v>
      </c>
      <c r="F241">
        <v>214</v>
      </c>
      <c r="G241">
        <v>217</v>
      </c>
      <c r="H241" s="22">
        <v>40554</v>
      </c>
      <c r="I241">
        <v>1</v>
      </c>
      <c r="J241">
        <v>0</v>
      </c>
      <c r="K241">
        <v>1</v>
      </c>
      <c r="L241">
        <v>8</v>
      </c>
      <c r="M241" t="b">
        <v>0</v>
      </c>
      <c r="N241">
        <v>2</v>
      </c>
      <c r="O241">
        <v>2</v>
      </c>
      <c r="P241">
        <v>0.18</v>
      </c>
      <c r="Q241">
        <v>0.21210000000000001</v>
      </c>
    </row>
    <row r="242" spans="1:17">
      <c r="A242">
        <v>241</v>
      </c>
      <c r="B242">
        <v>0.19700000000000001</v>
      </c>
      <c r="C242">
        <v>0.51</v>
      </c>
      <c r="D242">
        <v>0.16420000000000001</v>
      </c>
      <c r="E242">
        <v>3</v>
      </c>
      <c r="F242">
        <v>127</v>
      </c>
      <c r="G242">
        <v>130</v>
      </c>
      <c r="H242" s="22">
        <v>40554</v>
      </c>
      <c r="I242">
        <v>1</v>
      </c>
      <c r="J242">
        <v>0</v>
      </c>
      <c r="K242">
        <v>1</v>
      </c>
      <c r="L242">
        <v>9</v>
      </c>
      <c r="M242" t="b">
        <v>0</v>
      </c>
      <c r="N242">
        <v>2</v>
      </c>
      <c r="O242">
        <v>2</v>
      </c>
      <c r="P242">
        <v>0.18</v>
      </c>
      <c r="Q242">
        <v>0.19700000000000001</v>
      </c>
    </row>
    <row r="243" spans="1:17">
      <c r="A243">
        <v>242</v>
      </c>
      <c r="B243">
        <v>0.21210000000000001</v>
      </c>
      <c r="C243">
        <v>0.51</v>
      </c>
      <c r="D243">
        <v>0.16420000000000001</v>
      </c>
      <c r="E243">
        <v>3</v>
      </c>
      <c r="F243">
        <v>51</v>
      </c>
      <c r="G243">
        <v>54</v>
      </c>
      <c r="H243" s="22">
        <v>40554</v>
      </c>
      <c r="I243">
        <v>1</v>
      </c>
      <c r="J243">
        <v>0</v>
      </c>
      <c r="K243">
        <v>1</v>
      </c>
      <c r="L243">
        <v>10</v>
      </c>
      <c r="M243" t="b">
        <v>0</v>
      </c>
      <c r="N243">
        <v>2</v>
      </c>
      <c r="O243">
        <v>2</v>
      </c>
      <c r="P243">
        <v>0.2</v>
      </c>
      <c r="Q243">
        <v>0.21210000000000001</v>
      </c>
    </row>
    <row r="244" spans="1:17">
      <c r="A244">
        <v>243</v>
      </c>
      <c r="B244">
        <v>0.21210000000000001</v>
      </c>
      <c r="C244">
        <v>0.47</v>
      </c>
      <c r="D244">
        <v>0.1343</v>
      </c>
      <c r="E244">
        <v>4</v>
      </c>
      <c r="F244">
        <v>31</v>
      </c>
      <c r="G244">
        <v>35</v>
      </c>
      <c r="H244" s="22">
        <v>40554</v>
      </c>
      <c r="I244">
        <v>1</v>
      </c>
      <c r="J244">
        <v>0</v>
      </c>
      <c r="K244">
        <v>1</v>
      </c>
      <c r="L244">
        <v>11</v>
      </c>
      <c r="M244" t="b">
        <v>0</v>
      </c>
      <c r="N244">
        <v>2</v>
      </c>
      <c r="O244">
        <v>2</v>
      </c>
      <c r="P244">
        <v>0.2</v>
      </c>
      <c r="Q244">
        <v>0.21210000000000001</v>
      </c>
    </row>
    <row r="245" spans="1:17">
      <c r="A245">
        <v>244</v>
      </c>
      <c r="B245">
        <v>0.2273</v>
      </c>
      <c r="C245">
        <v>0.51</v>
      </c>
      <c r="D245">
        <v>0.1045</v>
      </c>
      <c r="E245">
        <v>2</v>
      </c>
      <c r="F245">
        <v>55</v>
      </c>
      <c r="G245">
        <v>57</v>
      </c>
      <c r="H245" s="22">
        <v>40554</v>
      </c>
      <c r="I245">
        <v>1</v>
      </c>
      <c r="J245">
        <v>0</v>
      </c>
      <c r="K245">
        <v>1</v>
      </c>
      <c r="L245">
        <v>12</v>
      </c>
      <c r="M245" t="b">
        <v>0</v>
      </c>
      <c r="N245">
        <v>2</v>
      </c>
      <c r="O245">
        <v>2</v>
      </c>
      <c r="P245">
        <v>0.2</v>
      </c>
      <c r="Q245">
        <v>0.2273</v>
      </c>
    </row>
    <row r="246" spans="1:17">
      <c r="A246">
        <v>245</v>
      </c>
      <c r="B246">
        <v>0.2273</v>
      </c>
      <c r="C246">
        <v>0.59</v>
      </c>
      <c r="D246">
        <v>8.9599999999999999E-2</v>
      </c>
      <c r="E246">
        <v>6</v>
      </c>
      <c r="F246">
        <v>46</v>
      </c>
      <c r="G246">
        <v>52</v>
      </c>
      <c r="H246" s="22">
        <v>40554</v>
      </c>
      <c r="I246">
        <v>1</v>
      </c>
      <c r="J246">
        <v>0</v>
      </c>
      <c r="K246">
        <v>1</v>
      </c>
      <c r="L246">
        <v>13</v>
      </c>
      <c r="M246" t="b">
        <v>0</v>
      </c>
      <c r="N246">
        <v>2</v>
      </c>
      <c r="O246">
        <v>2</v>
      </c>
      <c r="P246">
        <v>0.2</v>
      </c>
      <c r="Q246">
        <v>0.2273</v>
      </c>
    </row>
    <row r="247" spans="1:17">
      <c r="A247">
        <v>246</v>
      </c>
      <c r="B247">
        <v>0.2273</v>
      </c>
      <c r="C247">
        <v>0.59</v>
      </c>
      <c r="D247">
        <v>8.9599999999999999E-2</v>
      </c>
      <c r="E247">
        <v>3</v>
      </c>
      <c r="F247">
        <v>60</v>
      </c>
      <c r="G247">
        <v>63</v>
      </c>
      <c r="H247" s="22">
        <v>40554</v>
      </c>
      <c r="I247">
        <v>1</v>
      </c>
      <c r="J247">
        <v>0</v>
      </c>
      <c r="K247">
        <v>1</v>
      </c>
      <c r="L247">
        <v>14</v>
      </c>
      <c r="M247" t="b">
        <v>0</v>
      </c>
      <c r="N247">
        <v>2</v>
      </c>
      <c r="O247">
        <v>2</v>
      </c>
      <c r="P247">
        <v>0.2</v>
      </c>
      <c r="Q247">
        <v>0.2273</v>
      </c>
    </row>
    <row r="248" spans="1:17">
      <c r="A248">
        <v>247</v>
      </c>
      <c r="B248">
        <v>0.19700000000000001</v>
      </c>
      <c r="C248">
        <v>0.8</v>
      </c>
      <c r="D248">
        <v>8.9599999999999999E-2</v>
      </c>
      <c r="E248">
        <v>2</v>
      </c>
      <c r="F248">
        <v>45</v>
      </c>
      <c r="G248">
        <v>47</v>
      </c>
      <c r="H248" s="22">
        <v>40554</v>
      </c>
      <c r="I248">
        <v>1</v>
      </c>
      <c r="J248">
        <v>0</v>
      </c>
      <c r="K248">
        <v>1</v>
      </c>
      <c r="L248">
        <v>15</v>
      </c>
      <c r="M248" t="b">
        <v>0</v>
      </c>
      <c r="N248">
        <v>2</v>
      </c>
      <c r="O248">
        <v>2</v>
      </c>
      <c r="P248">
        <v>0.16</v>
      </c>
      <c r="Q248">
        <v>0.19700000000000001</v>
      </c>
    </row>
    <row r="249" spans="1:17">
      <c r="A249">
        <v>248</v>
      </c>
      <c r="B249">
        <v>0.1515</v>
      </c>
      <c r="C249">
        <v>0.86</v>
      </c>
      <c r="D249">
        <v>0.22389999999999999</v>
      </c>
      <c r="E249">
        <v>4</v>
      </c>
      <c r="F249">
        <v>72</v>
      </c>
      <c r="G249">
        <v>76</v>
      </c>
      <c r="H249" s="22">
        <v>40554</v>
      </c>
      <c r="I249">
        <v>1</v>
      </c>
      <c r="J249">
        <v>0</v>
      </c>
      <c r="K249">
        <v>1</v>
      </c>
      <c r="L249">
        <v>16</v>
      </c>
      <c r="M249" t="b">
        <v>0</v>
      </c>
      <c r="N249">
        <v>2</v>
      </c>
      <c r="O249">
        <v>2</v>
      </c>
      <c r="P249">
        <v>0.16</v>
      </c>
      <c r="Q249">
        <v>0.1515</v>
      </c>
    </row>
    <row r="250" spans="1:17">
      <c r="A250">
        <v>249</v>
      </c>
      <c r="B250">
        <v>0.1515</v>
      </c>
      <c r="C250">
        <v>0.86</v>
      </c>
      <c r="D250">
        <v>0.22389999999999999</v>
      </c>
      <c r="E250">
        <v>6</v>
      </c>
      <c r="F250">
        <v>130</v>
      </c>
      <c r="G250">
        <v>136</v>
      </c>
      <c r="H250" s="22">
        <v>40554</v>
      </c>
      <c r="I250">
        <v>1</v>
      </c>
      <c r="J250">
        <v>0</v>
      </c>
      <c r="K250">
        <v>1</v>
      </c>
      <c r="L250">
        <v>17</v>
      </c>
      <c r="M250" t="b">
        <v>0</v>
      </c>
      <c r="N250">
        <v>2</v>
      </c>
      <c r="O250">
        <v>2</v>
      </c>
      <c r="P250">
        <v>0.16</v>
      </c>
      <c r="Q250">
        <v>0.1515</v>
      </c>
    </row>
    <row r="251" spans="1:17">
      <c r="A251">
        <v>250</v>
      </c>
      <c r="B251">
        <v>0.18179999999999999</v>
      </c>
      <c r="C251">
        <v>0.93</v>
      </c>
      <c r="D251">
        <v>0.1045</v>
      </c>
      <c r="E251">
        <v>1</v>
      </c>
      <c r="F251">
        <v>94</v>
      </c>
      <c r="G251">
        <v>95</v>
      </c>
      <c r="H251" s="22">
        <v>40554</v>
      </c>
      <c r="I251">
        <v>1</v>
      </c>
      <c r="J251">
        <v>0</v>
      </c>
      <c r="K251">
        <v>1</v>
      </c>
      <c r="L251">
        <v>18</v>
      </c>
      <c r="M251" t="b">
        <v>0</v>
      </c>
      <c r="N251">
        <v>2</v>
      </c>
      <c r="O251">
        <v>3</v>
      </c>
      <c r="P251">
        <v>0.16</v>
      </c>
      <c r="Q251">
        <v>0.18179999999999999</v>
      </c>
    </row>
    <row r="252" spans="1:17">
      <c r="A252">
        <v>251</v>
      </c>
      <c r="B252">
        <v>0.2273</v>
      </c>
      <c r="C252">
        <v>0.93</v>
      </c>
      <c r="D252">
        <v>0</v>
      </c>
      <c r="E252">
        <v>0</v>
      </c>
      <c r="F252">
        <v>51</v>
      </c>
      <c r="G252">
        <v>51</v>
      </c>
      <c r="H252" s="22">
        <v>40554</v>
      </c>
      <c r="I252">
        <v>1</v>
      </c>
      <c r="J252">
        <v>0</v>
      </c>
      <c r="K252">
        <v>1</v>
      </c>
      <c r="L252">
        <v>19</v>
      </c>
      <c r="M252" t="b">
        <v>0</v>
      </c>
      <c r="N252">
        <v>2</v>
      </c>
      <c r="O252">
        <v>3</v>
      </c>
      <c r="P252">
        <v>0.16</v>
      </c>
      <c r="Q252">
        <v>0.2273</v>
      </c>
    </row>
    <row r="253" spans="1:17">
      <c r="A253">
        <v>252</v>
      </c>
      <c r="B253">
        <v>0.1515</v>
      </c>
      <c r="C253">
        <v>0.93</v>
      </c>
      <c r="D253">
        <v>0.19400000000000001</v>
      </c>
      <c r="E253">
        <v>0</v>
      </c>
      <c r="F253">
        <v>32</v>
      </c>
      <c r="G253">
        <v>32</v>
      </c>
      <c r="H253" s="22">
        <v>40554</v>
      </c>
      <c r="I253">
        <v>1</v>
      </c>
      <c r="J253">
        <v>0</v>
      </c>
      <c r="K253">
        <v>1</v>
      </c>
      <c r="L253">
        <v>20</v>
      </c>
      <c r="M253" t="b">
        <v>0</v>
      </c>
      <c r="N253">
        <v>2</v>
      </c>
      <c r="O253">
        <v>3</v>
      </c>
      <c r="P253">
        <v>0.16</v>
      </c>
      <c r="Q253">
        <v>0.1515</v>
      </c>
    </row>
    <row r="254" spans="1:17">
      <c r="A254">
        <v>253</v>
      </c>
      <c r="B254">
        <v>0.19700000000000001</v>
      </c>
      <c r="C254">
        <v>0.86</v>
      </c>
      <c r="D254">
        <v>8.9599999999999999E-2</v>
      </c>
      <c r="E254">
        <v>0</v>
      </c>
      <c r="F254">
        <v>20</v>
      </c>
      <c r="G254">
        <v>20</v>
      </c>
      <c r="H254" s="22">
        <v>40554</v>
      </c>
      <c r="I254">
        <v>1</v>
      </c>
      <c r="J254">
        <v>0</v>
      </c>
      <c r="K254">
        <v>1</v>
      </c>
      <c r="L254">
        <v>21</v>
      </c>
      <c r="M254" t="b">
        <v>0</v>
      </c>
      <c r="N254">
        <v>2</v>
      </c>
      <c r="O254">
        <v>3</v>
      </c>
      <c r="P254">
        <v>0.16</v>
      </c>
      <c r="Q254">
        <v>0.19700000000000001</v>
      </c>
    </row>
    <row r="255" spans="1:17">
      <c r="A255">
        <v>254</v>
      </c>
      <c r="B255">
        <v>0.18179999999999999</v>
      </c>
      <c r="C255">
        <v>0.93</v>
      </c>
      <c r="D255">
        <v>0.1045</v>
      </c>
      <c r="E255">
        <v>1</v>
      </c>
      <c r="F255">
        <v>28</v>
      </c>
      <c r="G255">
        <v>29</v>
      </c>
      <c r="H255" s="22">
        <v>40554</v>
      </c>
      <c r="I255">
        <v>1</v>
      </c>
      <c r="J255">
        <v>0</v>
      </c>
      <c r="K255">
        <v>1</v>
      </c>
      <c r="L255">
        <v>22</v>
      </c>
      <c r="M255" t="b">
        <v>0</v>
      </c>
      <c r="N255">
        <v>2</v>
      </c>
      <c r="O255">
        <v>3</v>
      </c>
      <c r="P255">
        <v>0.16</v>
      </c>
      <c r="Q255">
        <v>0.18179999999999999</v>
      </c>
    </row>
    <row r="256" spans="1:17">
      <c r="A256">
        <v>255</v>
      </c>
      <c r="B256">
        <v>0.19700000000000001</v>
      </c>
      <c r="C256">
        <v>0.93</v>
      </c>
      <c r="D256">
        <v>8.9599999999999999E-2</v>
      </c>
      <c r="E256">
        <v>1</v>
      </c>
      <c r="F256">
        <v>18</v>
      </c>
      <c r="G256">
        <v>19</v>
      </c>
      <c r="H256" s="22">
        <v>40554</v>
      </c>
      <c r="I256">
        <v>1</v>
      </c>
      <c r="J256">
        <v>0</v>
      </c>
      <c r="K256">
        <v>1</v>
      </c>
      <c r="L256">
        <v>23</v>
      </c>
      <c r="M256" t="b">
        <v>0</v>
      </c>
      <c r="N256">
        <v>2</v>
      </c>
      <c r="O256">
        <v>3</v>
      </c>
      <c r="P256">
        <v>0.16</v>
      </c>
      <c r="Q256">
        <v>0.19700000000000001</v>
      </c>
    </row>
    <row r="257" spans="1:17">
      <c r="A257">
        <v>256</v>
      </c>
      <c r="B257">
        <v>0.19700000000000001</v>
      </c>
      <c r="C257">
        <v>0.86</v>
      </c>
      <c r="D257">
        <v>8.9599999999999999E-2</v>
      </c>
      <c r="E257">
        <v>0</v>
      </c>
      <c r="F257">
        <v>7</v>
      </c>
      <c r="G257">
        <v>7</v>
      </c>
      <c r="H257" s="22">
        <v>40555</v>
      </c>
      <c r="I257">
        <v>1</v>
      </c>
      <c r="J257">
        <v>0</v>
      </c>
      <c r="K257">
        <v>1</v>
      </c>
      <c r="L257">
        <v>0</v>
      </c>
      <c r="M257" t="b">
        <v>0</v>
      </c>
      <c r="N257">
        <v>3</v>
      </c>
      <c r="O257">
        <v>2</v>
      </c>
      <c r="P257">
        <v>0.16</v>
      </c>
      <c r="Q257">
        <v>0.19700000000000001</v>
      </c>
    </row>
    <row r="258" spans="1:17">
      <c r="A258">
        <v>257</v>
      </c>
      <c r="B258">
        <v>0.18179999999999999</v>
      </c>
      <c r="C258">
        <v>0.86</v>
      </c>
      <c r="D258">
        <v>0.1045</v>
      </c>
      <c r="E258">
        <v>0</v>
      </c>
      <c r="F258">
        <v>6</v>
      </c>
      <c r="G258">
        <v>6</v>
      </c>
      <c r="H258" s="22">
        <v>40555</v>
      </c>
      <c r="I258">
        <v>1</v>
      </c>
      <c r="J258">
        <v>0</v>
      </c>
      <c r="K258">
        <v>1</v>
      </c>
      <c r="L258">
        <v>1</v>
      </c>
      <c r="M258" t="b">
        <v>0</v>
      </c>
      <c r="N258">
        <v>3</v>
      </c>
      <c r="O258">
        <v>2</v>
      </c>
      <c r="P258">
        <v>0.16</v>
      </c>
      <c r="Q258">
        <v>0.18179999999999999</v>
      </c>
    </row>
    <row r="259" spans="1:17">
      <c r="A259">
        <v>258</v>
      </c>
      <c r="B259">
        <v>0.1515</v>
      </c>
      <c r="C259">
        <v>0.86</v>
      </c>
      <c r="D259">
        <v>0.1343</v>
      </c>
      <c r="E259">
        <v>0</v>
      </c>
      <c r="F259">
        <v>1</v>
      </c>
      <c r="G259">
        <v>1</v>
      </c>
      <c r="H259" s="22">
        <v>40555</v>
      </c>
      <c r="I259">
        <v>1</v>
      </c>
      <c r="J259">
        <v>0</v>
      </c>
      <c r="K259">
        <v>1</v>
      </c>
      <c r="L259">
        <v>2</v>
      </c>
      <c r="M259" t="b">
        <v>0</v>
      </c>
      <c r="N259">
        <v>3</v>
      </c>
      <c r="O259">
        <v>1</v>
      </c>
      <c r="P259">
        <v>0.14000000000000001</v>
      </c>
      <c r="Q259">
        <v>0.1515</v>
      </c>
    </row>
    <row r="260" spans="1:17">
      <c r="A260">
        <v>259</v>
      </c>
      <c r="B260">
        <v>0.1515</v>
      </c>
      <c r="C260">
        <v>0.86</v>
      </c>
      <c r="D260">
        <v>0.16420000000000001</v>
      </c>
      <c r="E260">
        <v>0</v>
      </c>
      <c r="F260">
        <v>5</v>
      </c>
      <c r="G260">
        <v>5</v>
      </c>
      <c r="H260" s="22">
        <v>40555</v>
      </c>
      <c r="I260">
        <v>1</v>
      </c>
      <c r="J260">
        <v>0</v>
      </c>
      <c r="K260">
        <v>1</v>
      </c>
      <c r="L260">
        <v>5</v>
      </c>
      <c r="M260" t="b">
        <v>0</v>
      </c>
      <c r="N260">
        <v>3</v>
      </c>
      <c r="O260">
        <v>1</v>
      </c>
      <c r="P260">
        <v>0.14000000000000001</v>
      </c>
      <c r="Q260">
        <v>0.1515</v>
      </c>
    </row>
    <row r="261" spans="1:17">
      <c r="A261">
        <v>260</v>
      </c>
      <c r="B261">
        <v>0.1515</v>
      </c>
      <c r="C261">
        <v>0.93</v>
      </c>
      <c r="D261">
        <v>0.1343</v>
      </c>
      <c r="E261">
        <v>0</v>
      </c>
      <c r="F261">
        <v>16</v>
      </c>
      <c r="G261">
        <v>16</v>
      </c>
      <c r="H261" s="22">
        <v>40555</v>
      </c>
      <c r="I261">
        <v>1</v>
      </c>
      <c r="J261">
        <v>0</v>
      </c>
      <c r="K261">
        <v>1</v>
      </c>
      <c r="L261">
        <v>6</v>
      </c>
      <c r="M261" t="b">
        <v>0</v>
      </c>
      <c r="N261">
        <v>3</v>
      </c>
      <c r="O261">
        <v>1</v>
      </c>
      <c r="P261">
        <v>0.12</v>
      </c>
      <c r="Q261">
        <v>0.1515</v>
      </c>
    </row>
    <row r="262" spans="1:17">
      <c r="A262">
        <v>261</v>
      </c>
      <c r="B262">
        <v>0.1515</v>
      </c>
      <c r="C262">
        <v>0.69</v>
      </c>
      <c r="D262">
        <v>0.1343</v>
      </c>
      <c r="E262">
        <v>0</v>
      </c>
      <c r="F262">
        <v>54</v>
      </c>
      <c r="G262">
        <v>54</v>
      </c>
      <c r="H262" s="22">
        <v>40555</v>
      </c>
      <c r="I262">
        <v>1</v>
      </c>
      <c r="J262">
        <v>0</v>
      </c>
      <c r="K262">
        <v>1</v>
      </c>
      <c r="L262">
        <v>7</v>
      </c>
      <c r="M262" t="b">
        <v>0</v>
      </c>
      <c r="N262">
        <v>3</v>
      </c>
      <c r="O262">
        <v>1</v>
      </c>
      <c r="P262">
        <v>0.14000000000000001</v>
      </c>
      <c r="Q262">
        <v>0.1515</v>
      </c>
    </row>
    <row r="263" spans="1:17">
      <c r="A263">
        <v>262</v>
      </c>
      <c r="B263">
        <v>0.16669999999999999</v>
      </c>
      <c r="C263">
        <v>0.59</v>
      </c>
      <c r="D263">
        <v>0.16420000000000001</v>
      </c>
      <c r="E263">
        <v>3</v>
      </c>
      <c r="F263">
        <v>125</v>
      </c>
      <c r="G263">
        <v>128</v>
      </c>
      <c r="H263" s="22">
        <v>40555</v>
      </c>
      <c r="I263">
        <v>1</v>
      </c>
      <c r="J263">
        <v>0</v>
      </c>
      <c r="K263">
        <v>1</v>
      </c>
      <c r="L263">
        <v>8</v>
      </c>
      <c r="M263" t="b">
        <v>0</v>
      </c>
      <c r="N263">
        <v>3</v>
      </c>
      <c r="O263">
        <v>1</v>
      </c>
      <c r="P263">
        <v>0.16</v>
      </c>
      <c r="Q263">
        <v>0.16669999999999999</v>
      </c>
    </row>
    <row r="264" spans="1:17">
      <c r="A264">
        <v>263</v>
      </c>
      <c r="B264">
        <v>0.13639999999999999</v>
      </c>
      <c r="C264">
        <v>0.59</v>
      </c>
      <c r="D264">
        <v>0.32840000000000003</v>
      </c>
      <c r="E264">
        <v>3</v>
      </c>
      <c r="F264">
        <v>78</v>
      </c>
      <c r="G264">
        <v>81</v>
      </c>
      <c r="H264" s="22">
        <v>40555</v>
      </c>
      <c r="I264">
        <v>1</v>
      </c>
      <c r="J264">
        <v>0</v>
      </c>
      <c r="K264">
        <v>1</v>
      </c>
      <c r="L264">
        <v>9</v>
      </c>
      <c r="M264" t="b">
        <v>0</v>
      </c>
      <c r="N264">
        <v>3</v>
      </c>
      <c r="O264">
        <v>1</v>
      </c>
      <c r="P264">
        <v>0.16</v>
      </c>
      <c r="Q264">
        <v>0.13639999999999999</v>
      </c>
    </row>
    <row r="265" spans="1:17">
      <c r="A265">
        <v>264</v>
      </c>
      <c r="B265">
        <v>0.18179999999999999</v>
      </c>
      <c r="C265">
        <v>0.55000000000000004</v>
      </c>
      <c r="D265">
        <v>0.22389999999999999</v>
      </c>
      <c r="E265">
        <v>0</v>
      </c>
      <c r="F265">
        <v>39</v>
      </c>
      <c r="G265">
        <v>39</v>
      </c>
      <c r="H265" s="22">
        <v>40555</v>
      </c>
      <c r="I265">
        <v>1</v>
      </c>
      <c r="J265">
        <v>0</v>
      </c>
      <c r="K265">
        <v>1</v>
      </c>
      <c r="L265">
        <v>10</v>
      </c>
      <c r="M265" t="b">
        <v>0</v>
      </c>
      <c r="N265">
        <v>3</v>
      </c>
      <c r="O265">
        <v>1</v>
      </c>
      <c r="P265">
        <v>0.18</v>
      </c>
      <c r="Q265">
        <v>0.18179999999999999</v>
      </c>
    </row>
    <row r="266" spans="1:17">
      <c r="A266">
        <v>265</v>
      </c>
      <c r="B266">
        <v>0.18179999999999999</v>
      </c>
      <c r="C266">
        <v>0.51</v>
      </c>
      <c r="D266">
        <v>0.3881</v>
      </c>
      <c r="E266">
        <v>3</v>
      </c>
      <c r="F266">
        <v>32</v>
      </c>
      <c r="G266">
        <v>35</v>
      </c>
      <c r="H266" s="22">
        <v>40555</v>
      </c>
      <c r="I266">
        <v>1</v>
      </c>
      <c r="J266">
        <v>0</v>
      </c>
      <c r="K266">
        <v>1</v>
      </c>
      <c r="L266">
        <v>11</v>
      </c>
      <c r="M266" t="b">
        <v>0</v>
      </c>
      <c r="N266">
        <v>3</v>
      </c>
      <c r="O266">
        <v>1</v>
      </c>
      <c r="P266">
        <v>0.2</v>
      </c>
      <c r="Q266">
        <v>0.18179999999999999</v>
      </c>
    </row>
    <row r="267" spans="1:17">
      <c r="A267">
        <v>266</v>
      </c>
      <c r="B267">
        <v>0.1515</v>
      </c>
      <c r="C267">
        <v>0.47</v>
      </c>
      <c r="D267">
        <v>0.58209999999999995</v>
      </c>
      <c r="E267">
        <v>3</v>
      </c>
      <c r="F267">
        <v>52</v>
      </c>
      <c r="G267">
        <v>55</v>
      </c>
      <c r="H267" s="22">
        <v>40555</v>
      </c>
      <c r="I267">
        <v>1</v>
      </c>
      <c r="J267">
        <v>0</v>
      </c>
      <c r="K267">
        <v>1</v>
      </c>
      <c r="L267">
        <v>12</v>
      </c>
      <c r="M267" t="b">
        <v>0</v>
      </c>
      <c r="N267">
        <v>3</v>
      </c>
      <c r="O267">
        <v>1</v>
      </c>
      <c r="P267">
        <v>0.2</v>
      </c>
      <c r="Q267">
        <v>0.1515</v>
      </c>
    </row>
    <row r="268" spans="1:17">
      <c r="A268">
        <v>267</v>
      </c>
      <c r="B268">
        <v>0.19700000000000001</v>
      </c>
      <c r="C268">
        <v>0.44</v>
      </c>
      <c r="D268">
        <v>0.35820000000000002</v>
      </c>
      <c r="E268">
        <v>0</v>
      </c>
      <c r="F268">
        <v>49</v>
      </c>
      <c r="G268">
        <v>49</v>
      </c>
      <c r="H268" s="22">
        <v>40555</v>
      </c>
      <c r="I268">
        <v>1</v>
      </c>
      <c r="J268">
        <v>0</v>
      </c>
      <c r="K268">
        <v>1</v>
      </c>
      <c r="L268">
        <v>13</v>
      </c>
      <c r="M268" t="b">
        <v>0</v>
      </c>
      <c r="N268">
        <v>3</v>
      </c>
      <c r="O268">
        <v>1</v>
      </c>
      <c r="P268">
        <v>0.22</v>
      </c>
      <c r="Q268">
        <v>0.19700000000000001</v>
      </c>
    </row>
    <row r="269" spans="1:17">
      <c r="A269">
        <v>268</v>
      </c>
      <c r="B269">
        <v>0.18179999999999999</v>
      </c>
      <c r="C269">
        <v>0.47</v>
      </c>
      <c r="D269">
        <v>0.32840000000000003</v>
      </c>
      <c r="E269">
        <v>0</v>
      </c>
      <c r="F269">
        <v>44</v>
      </c>
      <c r="G269">
        <v>44</v>
      </c>
      <c r="H269" s="22">
        <v>40555</v>
      </c>
      <c r="I269">
        <v>1</v>
      </c>
      <c r="J269">
        <v>0</v>
      </c>
      <c r="K269">
        <v>1</v>
      </c>
      <c r="L269">
        <v>14</v>
      </c>
      <c r="M269" t="b">
        <v>0</v>
      </c>
      <c r="N269">
        <v>3</v>
      </c>
      <c r="O269">
        <v>1</v>
      </c>
      <c r="P269">
        <v>0.2</v>
      </c>
      <c r="Q269">
        <v>0.18179999999999999</v>
      </c>
    </row>
    <row r="270" spans="1:17">
      <c r="A270">
        <v>269</v>
      </c>
      <c r="B270">
        <v>0.16669999999999999</v>
      </c>
      <c r="C270">
        <v>0.47</v>
      </c>
      <c r="D270">
        <v>0.41789999999999999</v>
      </c>
      <c r="E270">
        <v>1</v>
      </c>
      <c r="F270">
        <v>48</v>
      </c>
      <c r="G270">
        <v>49</v>
      </c>
      <c r="H270" s="22">
        <v>40555</v>
      </c>
      <c r="I270">
        <v>1</v>
      </c>
      <c r="J270">
        <v>0</v>
      </c>
      <c r="K270">
        <v>1</v>
      </c>
      <c r="L270">
        <v>15</v>
      </c>
      <c r="M270" t="b">
        <v>0</v>
      </c>
      <c r="N270">
        <v>3</v>
      </c>
      <c r="O270">
        <v>1</v>
      </c>
      <c r="P270">
        <v>0.2</v>
      </c>
      <c r="Q270">
        <v>0.16669999999999999</v>
      </c>
    </row>
    <row r="271" spans="1:17">
      <c r="A271">
        <v>270</v>
      </c>
      <c r="B271">
        <v>0.19700000000000001</v>
      </c>
      <c r="C271">
        <v>0.44</v>
      </c>
      <c r="D271">
        <v>0.32840000000000003</v>
      </c>
      <c r="E271">
        <v>5</v>
      </c>
      <c r="F271">
        <v>63</v>
      </c>
      <c r="G271">
        <v>68</v>
      </c>
      <c r="H271" s="22">
        <v>40555</v>
      </c>
      <c r="I271">
        <v>1</v>
      </c>
      <c r="J271">
        <v>0</v>
      </c>
      <c r="K271">
        <v>1</v>
      </c>
      <c r="L271">
        <v>16</v>
      </c>
      <c r="M271" t="b">
        <v>0</v>
      </c>
      <c r="N271">
        <v>3</v>
      </c>
      <c r="O271">
        <v>1</v>
      </c>
      <c r="P271">
        <v>0.22</v>
      </c>
      <c r="Q271">
        <v>0.19700000000000001</v>
      </c>
    </row>
    <row r="272" spans="1:17">
      <c r="A272">
        <v>271</v>
      </c>
      <c r="B272">
        <v>0.18179999999999999</v>
      </c>
      <c r="C272">
        <v>0.47</v>
      </c>
      <c r="D272">
        <v>0.35820000000000002</v>
      </c>
      <c r="E272">
        <v>0</v>
      </c>
      <c r="F272">
        <v>139</v>
      </c>
      <c r="G272">
        <v>139</v>
      </c>
      <c r="H272" s="22">
        <v>40555</v>
      </c>
      <c r="I272">
        <v>1</v>
      </c>
      <c r="J272">
        <v>0</v>
      </c>
      <c r="K272">
        <v>1</v>
      </c>
      <c r="L272">
        <v>17</v>
      </c>
      <c r="M272" t="b">
        <v>0</v>
      </c>
      <c r="N272">
        <v>3</v>
      </c>
      <c r="O272">
        <v>1</v>
      </c>
      <c r="P272">
        <v>0.2</v>
      </c>
      <c r="Q272">
        <v>0.18179999999999999</v>
      </c>
    </row>
    <row r="273" spans="1:17">
      <c r="A273">
        <v>272</v>
      </c>
      <c r="B273">
        <v>0.1515</v>
      </c>
      <c r="C273">
        <v>0.47</v>
      </c>
      <c r="D273">
        <v>0.52239999999999998</v>
      </c>
      <c r="E273">
        <v>2</v>
      </c>
      <c r="F273">
        <v>135</v>
      </c>
      <c r="G273">
        <v>137</v>
      </c>
      <c r="H273" s="22">
        <v>40555</v>
      </c>
      <c r="I273">
        <v>1</v>
      </c>
      <c r="J273">
        <v>0</v>
      </c>
      <c r="K273">
        <v>1</v>
      </c>
      <c r="L273">
        <v>18</v>
      </c>
      <c r="M273" t="b">
        <v>0</v>
      </c>
      <c r="N273">
        <v>3</v>
      </c>
      <c r="O273">
        <v>1</v>
      </c>
      <c r="P273">
        <v>0.2</v>
      </c>
      <c r="Q273">
        <v>0.1515</v>
      </c>
    </row>
    <row r="274" spans="1:17">
      <c r="A274">
        <v>273</v>
      </c>
      <c r="B274">
        <v>0.1515</v>
      </c>
      <c r="C274">
        <v>0.47</v>
      </c>
      <c r="D274">
        <v>0.41789999999999999</v>
      </c>
      <c r="E274">
        <v>1</v>
      </c>
      <c r="F274">
        <v>82</v>
      </c>
      <c r="G274">
        <v>83</v>
      </c>
      <c r="H274" s="22">
        <v>40555</v>
      </c>
      <c r="I274">
        <v>1</v>
      </c>
      <c r="J274">
        <v>0</v>
      </c>
      <c r="K274">
        <v>1</v>
      </c>
      <c r="L274">
        <v>19</v>
      </c>
      <c r="M274" t="b">
        <v>0</v>
      </c>
      <c r="N274">
        <v>3</v>
      </c>
      <c r="O274">
        <v>1</v>
      </c>
      <c r="P274">
        <v>0.18</v>
      </c>
      <c r="Q274">
        <v>0.1515</v>
      </c>
    </row>
    <row r="275" spans="1:17">
      <c r="A275">
        <v>274</v>
      </c>
      <c r="B275">
        <v>0.13639999999999999</v>
      </c>
      <c r="C275">
        <v>0.5</v>
      </c>
      <c r="D275">
        <v>0.32840000000000003</v>
      </c>
      <c r="E275">
        <v>2</v>
      </c>
      <c r="F275">
        <v>54</v>
      </c>
      <c r="G275">
        <v>56</v>
      </c>
      <c r="H275" s="22">
        <v>40555</v>
      </c>
      <c r="I275">
        <v>1</v>
      </c>
      <c r="J275">
        <v>0</v>
      </c>
      <c r="K275">
        <v>1</v>
      </c>
      <c r="L275">
        <v>20</v>
      </c>
      <c r="M275" t="b">
        <v>0</v>
      </c>
      <c r="N275">
        <v>3</v>
      </c>
      <c r="O275">
        <v>1</v>
      </c>
      <c r="P275">
        <v>0.16</v>
      </c>
      <c r="Q275">
        <v>0.13639999999999999</v>
      </c>
    </row>
    <row r="276" spans="1:17">
      <c r="A276">
        <v>275</v>
      </c>
      <c r="B276">
        <v>0.13639999999999999</v>
      </c>
      <c r="C276">
        <v>0.55000000000000004</v>
      </c>
      <c r="D276">
        <v>0.32840000000000003</v>
      </c>
      <c r="E276">
        <v>0</v>
      </c>
      <c r="F276">
        <v>57</v>
      </c>
      <c r="G276">
        <v>57</v>
      </c>
      <c r="H276" s="22">
        <v>40555</v>
      </c>
      <c r="I276">
        <v>1</v>
      </c>
      <c r="J276">
        <v>0</v>
      </c>
      <c r="K276">
        <v>1</v>
      </c>
      <c r="L276">
        <v>21</v>
      </c>
      <c r="M276" t="b">
        <v>0</v>
      </c>
      <c r="N276">
        <v>3</v>
      </c>
      <c r="O276">
        <v>1</v>
      </c>
      <c r="P276">
        <v>0.16</v>
      </c>
      <c r="Q276">
        <v>0.13639999999999999</v>
      </c>
    </row>
    <row r="277" spans="1:17">
      <c r="A277">
        <v>276</v>
      </c>
      <c r="B277">
        <v>0.1212</v>
      </c>
      <c r="C277">
        <v>0.55000000000000004</v>
      </c>
      <c r="D277">
        <v>0.44779999999999998</v>
      </c>
      <c r="E277">
        <v>1</v>
      </c>
      <c r="F277">
        <v>32</v>
      </c>
      <c r="G277">
        <v>33</v>
      </c>
      <c r="H277" s="22">
        <v>40555</v>
      </c>
      <c r="I277">
        <v>1</v>
      </c>
      <c r="J277">
        <v>0</v>
      </c>
      <c r="K277">
        <v>1</v>
      </c>
      <c r="L277">
        <v>22</v>
      </c>
      <c r="M277" t="b">
        <v>0</v>
      </c>
      <c r="N277">
        <v>3</v>
      </c>
      <c r="O277">
        <v>1</v>
      </c>
      <c r="P277">
        <v>0.16</v>
      </c>
      <c r="Q277">
        <v>0.1212</v>
      </c>
    </row>
    <row r="278" spans="1:17">
      <c r="A278">
        <v>277</v>
      </c>
      <c r="B278">
        <v>0.1061</v>
      </c>
      <c r="C278">
        <v>0.59</v>
      </c>
      <c r="D278">
        <v>0.41789999999999999</v>
      </c>
      <c r="E278">
        <v>1</v>
      </c>
      <c r="F278">
        <v>19</v>
      </c>
      <c r="G278">
        <v>20</v>
      </c>
      <c r="H278" s="22">
        <v>40555</v>
      </c>
      <c r="I278">
        <v>1</v>
      </c>
      <c r="J278">
        <v>0</v>
      </c>
      <c r="K278">
        <v>1</v>
      </c>
      <c r="L278">
        <v>23</v>
      </c>
      <c r="M278" t="b">
        <v>0</v>
      </c>
      <c r="N278">
        <v>3</v>
      </c>
      <c r="O278">
        <v>1</v>
      </c>
      <c r="P278">
        <v>0.14000000000000001</v>
      </c>
      <c r="Q278">
        <v>0.1061</v>
      </c>
    </row>
    <row r="279" spans="1:17">
      <c r="A279">
        <v>278</v>
      </c>
      <c r="B279">
        <v>0.1212</v>
      </c>
      <c r="C279">
        <v>0.59</v>
      </c>
      <c r="D279">
        <v>0.28360000000000002</v>
      </c>
      <c r="E279">
        <v>1</v>
      </c>
      <c r="F279">
        <v>6</v>
      </c>
      <c r="G279">
        <v>7</v>
      </c>
      <c r="H279" s="22">
        <v>40556</v>
      </c>
      <c r="I279">
        <v>1</v>
      </c>
      <c r="J279">
        <v>0</v>
      </c>
      <c r="K279">
        <v>1</v>
      </c>
      <c r="L279">
        <v>0</v>
      </c>
      <c r="M279" t="b">
        <v>0</v>
      </c>
      <c r="N279">
        <v>4</v>
      </c>
      <c r="O279">
        <v>1</v>
      </c>
      <c r="P279">
        <v>0.14000000000000001</v>
      </c>
      <c r="Q279">
        <v>0.1212</v>
      </c>
    </row>
    <row r="280" spans="1:17">
      <c r="A280">
        <v>279</v>
      </c>
      <c r="B280">
        <v>0.1212</v>
      </c>
      <c r="C280">
        <v>0.5</v>
      </c>
      <c r="D280">
        <v>0.28360000000000002</v>
      </c>
      <c r="E280">
        <v>0</v>
      </c>
      <c r="F280">
        <v>2</v>
      </c>
      <c r="G280">
        <v>2</v>
      </c>
      <c r="H280" s="22">
        <v>40556</v>
      </c>
      <c r="I280">
        <v>1</v>
      </c>
      <c r="J280">
        <v>0</v>
      </c>
      <c r="K280">
        <v>1</v>
      </c>
      <c r="L280">
        <v>1</v>
      </c>
      <c r="M280" t="b">
        <v>0</v>
      </c>
      <c r="N280">
        <v>4</v>
      </c>
      <c r="O280">
        <v>1</v>
      </c>
      <c r="P280">
        <v>0.14000000000000001</v>
      </c>
      <c r="Q280">
        <v>0.1212</v>
      </c>
    </row>
    <row r="281" spans="1:17">
      <c r="A281">
        <v>280</v>
      </c>
      <c r="B281">
        <v>0.1212</v>
      </c>
      <c r="C281">
        <v>0.5</v>
      </c>
      <c r="D281">
        <v>0.35820000000000002</v>
      </c>
      <c r="E281">
        <v>0</v>
      </c>
      <c r="F281">
        <v>2</v>
      </c>
      <c r="G281">
        <v>2</v>
      </c>
      <c r="H281" s="22">
        <v>40556</v>
      </c>
      <c r="I281">
        <v>1</v>
      </c>
      <c r="J281">
        <v>0</v>
      </c>
      <c r="K281">
        <v>1</v>
      </c>
      <c r="L281">
        <v>2</v>
      </c>
      <c r="M281" t="b">
        <v>0</v>
      </c>
      <c r="N281">
        <v>4</v>
      </c>
      <c r="O281">
        <v>1</v>
      </c>
      <c r="P281">
        <v>0.14000000000000001</v>
      </c>
      <c r="Q281">
        <v>0.1212</v>
      </c>
    </row>
    <row r="282" spans="1:17">
      <c r="A282">
        <v>281</v>
      </c>
      <c r="B282">
        <v>0.1212</v>
      </c>
      <c r="C282">
        <v>0.5</v>
      </c>
      <c r="D282">
        <v>0.32840000000000003</v>
      </c>
      <c r="E282">
        <v>0</v>
      </c>
      <c r="F282">
        <v>3</v>
      </c>
      <c r="G282">
        <v>3</v>
      </c>
      <c r="H282" s="22">
        <v>40556</v>
      </c>
      <c r="I282">
        <v>1</v>
      </c>
      <c r="J282">
        <v>0</v>
      </c>
      <c r="K282">
        <v>1</v>
      </c>
      <c r="L282">
        <v>3</v>
      </c>
      <c r="M282" t="b">
        <v>0</v>
      </c>
      <c r="N282">
        <v>4</v>
      </c>
      <c r="O282">
        <v>1</v>
      </c>
      <c r="P282">
        <v>0.14000000000000001</v>
      </c>
      <c r="Q282">
        <v>0.1212</v>
      </c>
    </row>
    <row r="283" spans="1:17">
      <c r="A283">
        <v>282</v>
      </c>
      <c r="B283">
        <v>0.1212</v>
      </c>
      <c r="C283">
        <v>0.5</v>
      </c>
      <c r="D283">
        <v>0.25369999999999998</v>
      </c>
      <c r="E283">
        <v>0</v>
      </c>
      <c r="F283">
        <v>4</v>
      </c>
      <c r="G283">
        <v>4</v>
      </c>
      <c r="H283" s="22">
        <v>40556</v>
      </c>
      <c r="I283">
        <v>1</v>
      </c>
      <c r="J283">
        <v>0</v>
      </c>
      <c r="K283">
        <v>1</v>
      </c>
      <c r="L283">
        <v>4</v>
      </c>
      <c r="M283" t="b">
        <v>0</v>
      </c>
      <c r="N283">
        <v>4</v>
      </c>
      <c r="O283">
        <v>1</v>
      </c>
      <c r="P283">
        <v>0.14000000000000001</v>
      </c>
      <c r="Q283">
        <v>0.1212</v>
      </c>
    </row>
    <row r="284" spans="1:17">
      <c r="A284">
        <v>283</v>
      </c>
      <c r="B284">
        <v>0.1212</v>
      </c>
      <c r="C284">
        <v>0.5</v>
      </c>
      <c r="D284">
        <v>0.29849999999999999</v>
      </c>
      <c r="E284">
        <v>0</v>
      </c>
      <c r="F284">
        <v>3</v>
      </c>
      <c r="G284">
        <v>3</v>
      </c>
      <c r="H284" s="22">
        <v>40556</v>
      </c>
      <c r="I284">
        <v>1</v>
      </c>
      <c r="J284">
        <v>0</v>
      </c>
      <c r="K284">
        <v>1</v>
      </c>
      <c r="L284">
        <v>5</v>
      </c>
      <c r="M284" t="b">
        <v>0</v>
      </c>
      <c r="N284">
        <v>4</v>
      </c>
      <c r="O284">
        <v>1</v>
      </c>
      <c r="P284">
        <v>0.14000000000000001</v>
      </c>
      <c r="Q284">
        <v>0.1212</v>
      </c>
    </row>
    <row r="285" spans="1:17">
      <c r="A285">
        <v>284</v>
      </c>
      <c r="B285">
        <v>0.1515</v>
      </c>
      <c r="C285">
        <v>0.54</v>
      </c>
      <c r="D285">
        <v>0.1343</v>
      </c>
      <c r="E285">
        <v>0</v>
      </c>
      <c r="F285">
        <v>28</v>
      </c>
      <c r="G285">
        <v>28</v>
      </c>
      <c r="H285" s="22">
        <v>40556</v>
      </c>
      <c r="I285">
        <v>1</v>
      </c>
      <c r="J285">
        <v>0</v>
      </c>
      <c r="K285">
        <v>1</v>
      </c>
      <c r="L285">
        <v>6</v>
      </c>
      <c r="M285" t="b">
        <v>0</v>
      </c>
      <c r="N285">
        <v>4</v>
      </c>
      <c r="O285">
        <v>1</v>
      </c>
      <c r="P285">
        <v>0.12</v>
      </c>
      <c r="Q285">
        <v>0.1515</v>
      </c>
    </row>
    <row r="286" spans="1:17">
      <c r="A286">
        <v>285</v>
      </c>
      <c r="B286">
        <v>0.1515</v>
      </c>
      <c r="C286">
        <v>0.54</v>
      </c>
      <c r="D286">
        <v>0.1343</v>
      </c>
      <c r="E286">
        <v>0</v>
      </c>
      <c r="F286">
        <v>72</v>
      </c>
      <c r="G286">
        <v>72</v>
      </c>
      <c r="H286" s="22">
        <v>40556</v>
      </c>
      <c r="I286">
        <v>1</v>
      </c>
      <c r="J286">
        <v>0</v>
      </c>
      <c r="K286">
        <v>1</v>
      </c>
      <c r="L286">
        <v>7</v>
      </c>
      <c r="M286" t="b">
        <v>0</v>
      </c>
      <c r="N286">
        <v>4</v>
      </c>
      <c r="O286">
        <v>1</v>
      </c>
      <c r="P286">
        <v>0.12</v>
      </c>
      <c r="Q286">
        <v>0.1515</v>
      </c>
    </row>
    <row r="287" spans="1:17">
      <c r="A287">
        <v>286</v>
      </c>
      <c r="B287">
        <v>0.13639999999999999</v>
      </c>
      <c r="C287">
        <v>0.5</v>
      </c>
      <c r="D287">
        <v>0.19400000000000001</v>
      </c>
      <c r="E287">
        <v>5</v>
      </c>
      <c r="F287">
        <v>197</v>
      </c>
      <c r="G287">
        <v>202</v>
      </c>
      <c r="H287" s="22">
        <v>40556</v>
      </c>
      <c r="I287">
        <v>1</v>
      </c>
      <c r="J287">
        <v>0</v>
      </c>
      <c r="K287">
        <v>1</v>
      </c>
      <c r="L287">
        <v>8</v>
      </c>
      <c r="M287" t="b">
        <v>0</v>
      </c>
      <c r="N287">
        <v>4</v>
      </c>
      <c r="O287">
        <v>1</v>
      </c>
      <c r="P287">
        <v>0.14000000000000001</v>
      </c>
      <c r="Q287">
        <v>0.13639999999999999</v>
      </c>
    </row>
    <row r="288" spans="1:17">
      <c r="A288">
        <v>287</v>
      </c>
      <c r="B288">
        <v>0.1212</v>
      </c>
      <c r="C288">
        <v>0.5</v>
      </c>
      <c r="D288">
        <v>0.32840000000000003</v>
      </c>
      <c r="E288">
        <v>2</v>
      </c>
      <c r="F288">
        <v>137</v>
      </c>
      <c r="G288">
        <v>139</v>
      </c>
      <c r="H288" s="22">
        <v>40556</v>
      </c>
      <c r="I288">
        <v>1</v>
      </c>
      <c r="J288">
        <v>0</v>
      </c>
      <c r="K288">
        <v>1</v>
      </c>
      <c r="L288">
        <v>9</v>
      </c>
      <c r="M288" t="b">
        <v>0</v>
      </c>
      <c r="N288">
        <v>4</v>
      </c>
      <c r="O288">
        <v>1</v>
      </c>
      <c r="P288">
        <v>0.14000000000000001</v>
      </c>
      <c r="Q288">
        <v>0.1212</v>
      </c>
    </row>
    <row r="289" spans="1:17">
      <c r="A289">
        <v>288</v>
      </c>
      <c r="B289">
        <v>0.13639999999999999</v>
      </c>
      <c r="C289">
        <v>0.5</v>
      </c>
      <c r="D289">
        <v>0.35820000000000002</v>
      </c>
      <c r="E289">
        <v>2</v>
      </c>
      <c r="F289">
        <v>36</v>
      </c>
      <c r="G289">
        <v>38</v>
      </c>
      <c r="H289" s="22">
        <v>40556</v>
      </c>
      <c r="I289">
        <v>1</v>
      </c>
      <c r="J289">
        <v>0</v>
      </c>
      <c r="K289">
        <v>1</v>
      </c>
      <c r="L289">
        <v>10</v>
      </c>
      <c r="M289" t="b">
        <v>0</v>
      </c>
      <c r="N289">
        <v>4</v>
      </c>
      <c r="O289">
        <v>2</v>
      </c>
      <c r="P289">
        <v>0.16</v>
      </c>
      <c r="Q289">
        <v>0.13639999999999999</v>
      </c>
    </row>
    <row r="290" spans="1:17">
      <c r="A290">
        <v>289</v>
      </c>
      <c r="B290">
        <v>0.16669999999999999</v>
      </c>
      <c r="C290">
        <v>0.44</v>
      </c>
      <c r="D290">
        <v>0.44779999999999998</v>
      </c>
      <c r="E290">
        <v>4</v>
      </c>
      <c r="F290">
        <v>33</v>
      </c>
      <c r="G290">
        <v>37</v>
      </c>
      <c r="H290" s="22">
        <v>40556</v>
      </c>
      <c r="I290">
        <v>1</v>
      </c>
      <c r="J290">
        <v>0</v>
      </c>
      <c r="K290">
        <v>1</v>
      </c>
      <c r="L290">
        <v>11</v>
      </c>
      <c r="M290" t="b">
        <v>0</v>
      </c>
      <c r="N290">
        <v>4</v>
      </c>
      <c r="O290">
        <v>2</v>
      </c>
      <c r="P290">
        <v>0.2</v>
      </c>
      <c r="Q290">
        <v>0.16669999999999999</v>
      </c>
    </row>
    <row r="291" spans="1:17">
      <c r="A291">
        <v>290</v>
      </c>
      <c r="B291">
        <v>0.16669999999999999</v>
      </c>
      <c r="C291">
        <v>0.44</v>
      </c>
      <c r="D291">
        <v>0.41789999999999999</v>
      </c>
      <c r="E291">
        <v>3</v>
      </c>
      <c r="F291">
        <v>49</v>
      </c>
      <c r="G291">
        <v>52</v>
      </c>
      <c r="H291" s="22">
        <v>40556</v>
      </c>
      <c r="I291">
        <v>1</v>
      </c>
      <c r="J291">
        <v>0</v>
      </c>
      <c r="K291">
        <v>1</v>
      </c>
      <c r="L291">
        <v>12</v>
      </c>
      <c r="M291" t="b">
        <v>0</v>
      </c>
      <c r="N291">
        <v>4</v>
      </c>
      <c r="O291">
        <v>1</v>
      </c>
      <c r="P291">
        <v>0.2</v>
      </c>
      <c r="Q291">
        <v>0.16669999999999999</v>
      </c>
    </row>
    <row r="292" spans="1:17">
      <c r="A292">
        <v>291</v>
      </c>
      <c r="B292">
        <v>0.19700000000000001</v>
      </c>
      <c r="C292">
        <v>0.41</v>
      </c>
      <c r="D292">
        <v>0.44779999999999998</v>
      </c>
      <c r="E292">
        <v>2</v>
      </c>
      <c r="F292">
        <v>81</v>
      </c>
      <c r="G292">
        <v>83</v>
      </c>
      <c r="H292" s="22">
        <v>40556</v>
      </c>
      <c r="I292">
        <v>1</v>
      </c>
      <c r="J292">
        <v>0</v>
      </c>
      <c r="K292">
        <v>1</v>
      </c>
      <c r="L292">
        <v>13</v>
      </c>
      <c r="M292" t="b">
        <v>0</v>
      </c>
      <c r="N292">
        <v>4</v>
      </c>
      <c r="O292">
        <v>1</v>
      </c>
      <c r="P292">
        <v>0.22</v>
      </c>
      <c r="Q292">
        <v>0.19700000000000001</v>
      </c>
    </row>
    <row r="293" spans="1:17">
      <c r="A293">
        <v>292</v>
      </c>
      <c r="B293">
        <v>0.19700000000000001</v>
      </c>
      <c r="C293">
        <v>0.41</v>
      </c>
      <c r="D293">
        <v>0.3881</v>
      </c>
      <c r="E293">
        <v>3</v>
      </c>
      <c r="F293">
        <v>39</v>
      </c>
      <c r="G293">
        <v>42</v>
      </c>
      <c r="H293" s="22">
        <v>40556</v>
      </c>
      <c r="I293">
        <v>1</v>
      </c>
      <c r="J293">
        <v>0</v>
      </c>
      <c r="K293">
        <v>1</v>
      </c>
      <c r="L293">
        <v>14</v>
      </c>
      <c r="M293" t="b">
        <v>0</v>
      </c>
      <c r="N293">
        <v>4</v>
      </c>
      <c r="O293">
        <v>1</v>
      </c>
      <c r="P293">
        <v>0.22</v>
      </c>
      <c r="Q293">
        <v>0.19700000000000001</v>
      </c>
    </row>
    <row r="294" spans="1:17">
      <c r="A294">
        <v>293</v>
      </c>
      <c r="B294">
        <v>0.21210000000000001</v>
      </c>
      <c r="C294">
        <v>0.38</v>
      </c>
      <c r="D294">
        <v>0.29849999999999999</v>
      </c>
      <c r="E294">
        <v>5</v>
      </c>
      <c r="F294">
        <v>55</v>
      </c>
      <c r="G294">
        <v>60</v>
      </c>
      <c r="H294" s="22">
        <v>40556</v>
      </c>
      <c r="I294">
        <v>1</v>
      </c>
      <c r="J294">
        <v>0</v>
      </c>
      <c r="K294">
        <v>1</v>
      </c>
      <c r="L294">
        <v>15</v>
      </c>
      <c r="M294" t="b">
        <v>0</v>
      </c>
      <c r="N294">
        <v>4</v>
      </c>
      <c r="O294">
        <v>1</v>
      </c>
      <c r="P294">
        <v>0.24</v>
      </c>
      <c r="Q294">
        <v>0.21210000000000001</v>
      </c>
    </row>
    <row r="295" spans="1:17">
      <c r="A295">
        <v>294</v>
      </c>
      <c r="B295">
        <v>0.21210000000000001</v>
      </c>
      <c r="C295">
        <v>0.38</v>
      </c>
      <c r="D295">
        <v>0.35820000000000002</v>
      </c>
      <c r="E295">
        <v>2</v>
      </c>
      <c r="F295">
        <v>76</v>
      </c>
      <c r="G295">
        <v>78</v>
      </c>
      <c r="H295" s="22">
        <v>40556</v>
      </c>
      <c r="I295">
        <v>1</v>
      </c>
      <c r="J295">
        <v>0</v>
      </c>
      <c r="K295">
        <v>1</v>
      </c>
      <c r="L295">
        <v>16</v>
      </c>
      <c r="M295" t="b">
        <v>0</v>
      </c>
      <c r="N295">
        <v>4</v>
      </c>
      <c r="O295">
        <v>1</v>
      </c>
      <c r="P295">
        <v>0.24</v>
      </c>
      <c r="Q295">
        <v>0.21210000000000001</v>
      </c>
    </row>
    <row r="296" spans="1:17">
      <c r="A296">
        <v>295</v>
      </c>
      <c r="B296">
        <v>0.18179999999999999</v>
      </c>
      <c r="C296">
        <v>0.4</v>
      </c>
      <c r="D296">
        <v>0.28360000000000002</v>
      </c>
      <c r="E296">
        <v>4</v>
      </c>
      <c r="F296">
        <v>158</v>
      </c>
      <c r="G296">
        <v>162</v>
      </c>
      <c r="H296" s="22">
        <v>40556</v>
      </c>
      <c r="I296">
        <v>1</v>
      </c>
      <c r="J296">
        <v>0</v>
      </c>
      <c r="K296">
        <v>1</v>
      </c>
      <c r="L296">
        <v>17</v>
      </c>
      <c r="M296" t="b">
        <v>0</v>
      </c>
      <c r="N296">
        <v>4</v>
      </c>
      <c r="O296">
        <v>1</v>
      </c>
      <c r="P296">
        <v>0.2</v>
      </c>
      <c r="Q296">
        <v>0.18179999999999999</v>
      </c>
    </row>
    <row r="297" spans="1:17">
      <c r="A297">
        <v>296</v>
      </c>
      <c r="B297">
        <v>0.18179999999999999</v>
      </c>
      <c r="C297">
        <v>0.4</v>
      </c>
      <c r="D297">
        <v>0.32840000000000003</v>
      </c>
      <c r="E297">
        <v>3</v>
      </c>
      <c r="F297">
        <v>141</v>
      </c>
      <c r="G297">
        <v>144</v>
      </c>
      <c r="H297" s="22">
        <v>40556</v>
      </c>
      <c r="I297">
        <v>1</v>
      </c>
      <c r="J297">
        <v>0</v>
      </c>
      <c r="K297">
        <v>1</v>
      </c>
      <c r="L297">
        <v>18</v>
      </c>
      <c r="M297" t="b">
        <v>0</v>
      </c>
      <c r="N297">
        <v>4</v>
      </c>
      <c r="O297">
        <v>1</v>
      </c>
      <c r="P297">
        <v>0.2</v>
      </c>
      <c r="Q297">
        <v>0.18179999999999999</v>
      </c>
    </row>
    <row r="298" spans="1:17">
      <c r="A298">
        <v>297</v>
      </c>
      <c r="B298">
        <v>0.1515</v>
      </c>
      <c r="C298">
        <v>0.47</v>
      </c>
      <c r="D298">
        <v>0.25369999999999998</v>
      </c>
      <c r="E298">
        <v>1</v>
      </c>
      <c r="F298">
        <v>98</v>
      </c>
      <c r="G298">
        <v>99</v>
      </c>
      <c r="H298" s="22">
        <v>40556</v>
      </c>
      <c r="I298">
        <v>1</v>
      </c>
      <c r="J298">
        <v>0</v>
      </c>
      <c r="K298">
        <v>1</v>
      </c>
      <c r="L298">
        <v>19</v>
      </c>
      <c r="M298" t="b">
        <v>0</v>
      </c>
      <c r="N298">
        <v>4</v>
      </c>
      <c r="O298">
        <v>1</v>
      </c>
      <c r="P298">
        <v>0.16</v>
      </c>
      <c r="Q298">
        <v>0.1515</v>
      </c>
    </row>
    <row r="299" spans="1:17">
      <c r="A299">
        <v>298</v>
      </c>
      <c r="B299">
        <v>0.1515</v>
      </c>
      <c r="C299">
        <v>0.47</v>
      </c>
      <c r="D299">
        <v>0.22389999999999999</v>
      </c>
      <c r="E299">
        <v>0</v>
      </c>
      <c r="F299">
        <v>64</v>
      </c>
      <c r="G299">
        <v>64</v>
      </c>
      <c r="H299" s="22">
        <v>40556</v>
      </c>
      <c r="I299">
        <v>1</v>
      </c>
      <c r="J299">
        <v>0</v>
      </c>
      <c r="K299">
        <v>1</v>
      </c>
      <c r="L299">
        <v>20</v>
      </c>
      <c r="M299" t="b">
        <v>0</v>
      </c>
      <c r="N299">
        <v>4</v>
      </c>
      <c r="O299">
        <v>1</v>
      </c>
      <c r="P299">
        <v>0.16</v>
      </c>
      <c r="Q299">
        <v>0.1515</v>
      </c>
    </row>
    <row r="300" spans="1:17">
      <c r="A300">
        <v>299</v>
      </c>
      <c r="B300">
        <v>0.1212</v>
      </c>
      <c r="C300">
        <v>0.46</v>
      </c>
      <c r="D300">
        <v>0.29849999999999999</v>
      </c>
      <c r="E300">
        <v>0</v>
      </c>
      <c r="F300">
        <v>40</v>
      </c>
      <c r="G300">
        <v>40</v>
      </c>
      <c r="H300" s="22">
        <v>40556</v>
      </c>
      <c r="I300">
        <v>1</v>
      </c>
      <c r="J300">
        <v>0</v>
      </c>
      <c r="K300">
        <v>1</v>
      </c>
      <c r="L300">
        <v>21</v>
      </c>
      <c r="M300" t="b">
        <v>0</v>
      </c>
      <c r="N300">
        <v>4</v>
      </c>
      <c r="O300">
        <v>1</v>
      </c>
      <c r="P300">
        <v>0.14000000000000001</v>
      </c>
      <c r="Q300">
        <v>0.1212</v>
      </c>
    </row>
    <row r="301" spans="1:17">
      <c r="A301">
        <v>300</v>
      </c>
      <c r="B301">
        <v>0.1212</v>
      </c>
      <c r="C301">
        <v>0.46</v>
      </c>
      <c r="D301">
        <v>0.32840000000000003</v>
      </c>
      <c r="E301">
        <v>0</v>
      </c>
      <c r="F301">
        <v>30</v>
      </c>
      <c r="G301">
        <v>30</v>
      </c>
      <c r="H301" s="22">
        <v>40556</v>
      </c>
      <c r="I301">
        <v>1</v>
      </c>
      <c r="J301">
        <v>0</v>
      </c>
      <c r="K301">
        <v>1</v>
      </c>
      <c r="L301">
        <v>22</v>
      </c>
      <c r="M301" t="b">
        <v>0</v>
      </c>
      <c r="N301">
        <v>4</v>
      </c>
      <c r="O301">
        <v>1</v>
      </c>
      <c r="P301">
        <v>0.14000000000000001</v>
      </c>
      <c r="Q301">
        <v>0.1212</v>
      </c>
    </row>
    <row r="302" spans="1:17">
      <c r="A302">
        <v>301</v>
      </c>
      <c r="B302">
        <v>0.13639999999999999</v>
      </c>
      <c r="C302">
        <v>0.5</v>
      </c>
      <c r="D302">
        <v>0.19400000000000001</v>
      </c>
      <c r="E302">
        <v>1</v>
      </c>
      <c r="F302">
        <v>14</v>
      </c>
      <c r="G302">
        <v>15</v>
      </c>
      <c r="H302" s="22">
        <v>40556</v>
      </c>
      <c r="I302">
        <v>1</v>
      </c>
      <c r="J302">
        <v>0</v>
      </c>
      <c r="K302">
        <v>1</v>
      </c>
      <c r="L302">
        <v>23</v>
      </c>
      <c r="M302" t="b">
        <v>0</v>
      </c>
      <c r="N302">
        <v>4</v>
      </c>
      <c r="O302">
        <v>1</v>
      </c>
      <c r="P302">
        <v>0.12</v>
      </c>
      <c r="Q302">
        <v>0.13639999999999999</v>
      </c>
    </row>
    <row r="303" spans="1:17">
      <c r="A303">
        <v>302</v>
      </c>
      <c r="B303">
        <v>0.13639999999999999</v>
      </c>
      <c r="C303">
        <v>0.5</v>
      </c>
      <c r="D303">
        <v>0.19400000000000001</v>
      </c>
      <c r="E303">
        <v>0</v>
      </c>
      <c r="F303">
        <v>14</v>
      </c>
      <c r="G303">
        <v>14</v>
      </c>
      <c r="H303" s="22">
        <v>40557</v>
      </c>
      <c r="I303">
        <v>1</v>
      </c>
      <c r="J303">
        <v>0</v>
      </c>
      <c r="K303">
        <v>1</v>
      </c>
      <c r="L303">
        <v>0</v>
      </c>
      <c r="M303" t="b">
        <v>0</v>
      </c>
      <c r="N303">
        <v>5</v>
      </c>
      <c r="O303">
        <v>1</v>
      </c>
      <c r="P303">
        <v>0.12</v>
      </c>
      <c r="Q303">
        <v>0.13639999999999999</v>
      </c>
    </row>
    <row r="304" spans="1:17">
      <c r="A304">
        <v>303</v>
      </c>
      <c r="B304">
        <v>0.1212</v>
      </c>
      <c r="C304">
        <v>0.54</v>
      </c>
      <c r="D304">
        <v>0.16420000000000001</v>
      </c>
      <c r="E304">
        <v>0</v>
      </c>
      <c r="F304">
        <v>5</v>
      </c>
      <c r="G304">
        <v>5</v>
      </c>
      <c r="H304" s="22">
        <v>40557</v>
      </c>
      <c r="I304">
        <v>1</v>
      </c>
      <c r="J304">
        <v>0</v>
      </c>
      <c r="K304">
        <v>1</v>
      </c>
      <c r="L304">
        <v>1</v>
      </c>
      <c r="M304" t="b">
        <v>0</v>
      </c>
      <c r="N304">
        <v>5</v>
      </c>
      <c r="O304">
        <v>1</v>
      </c>
      <c r="P304">
        <v>0.1</v>
      </c>
      <c r="Q304">
        <v>0.1212</v>
      </c>
    </row>
    <row r="305" spans="1:17">
      <c r="A305">
        <v>304</v>
      </c>
      <c r="B305">
        <v>0.1212</v>
      </c>
      <c r="C305">
        <v>0.54</v>
      </c>
      <c r="D305">
        <v>0.1343</v>
      </c>
      <c r="E305">
        <v>0</v>
      </c>
      <c r="F305">
        <v>1</v>
      </c>
      <c r="G305">
        <v>1</v>
      </c>
      <c r="H305" s="22">
        <v>40557</v>
      </c>
      <c r="I305">
        <v>1</v>
      </c>
      <c r="J305">
        <v>0</v>
      </c>
      <c r="K305">
        <v>1</v>
      </c>
      <c r="L305">
        <v>2</v>
      </c>
      <c r="M305" t="b">
        <v>0</v>
      </c>
      <c r="N305">
        <v>5</v>
      </c>
      <c r="O305">
        <v>1</v>
      </c>
      <c r="P305">
        <v>0.1</v>
      </c>
      <c r="Q305">
        <v>0.1212</v>
      </c>
    </row>
    <row r="306" spans="1:17">
      <c r="A306">
        <v>305</v>
      </c>
      <c r="B306">
        <v>0.13639999999999999</v>
      </c>
      <c r="C306">
        <v>0.54</v>
      </c>
      <c r="D306">
        <v>0.1045</v>
      </c>
      <c r="E306">
        <v>0</v>
      </c>
      <c r="F306">
        <v>1</v>
      </c>
      <c r="G306">
        <v>1</v>
      </c>
      <c r="H306" s="22">
        <v>40557</v>
      </c>
      <c r="I306">
        <v>1</v>
      </c>
      <c r="J306">
        <v>0</v>
      </c>
      <c r="K306">
        <v>1</v>
      </c>
      <c r="L306">
        <v>3</v>
      </c>
      <c r="M306" t="b">
        <v>0</v>
      </c>
      <c r="N306">
        <v>5</v>
      </c>
      <c r="O306">
        <v>1</v>
      </c>
      <c r="P306">
        <v>0.1</v>
      </c>
      <c r="Q306">
        <v>0.13639999999999999</v>
      </c>
    </row>
    <row r="307" spans="1:17">
      <c r="A307">
        <v>306</v>
      </c>
      <c r="B307">
        <v>0.13639999999999999</v>
      </c>
      <c r="C307">
        <v>0.54</v>
      </c>
      <c r="D307">
        <v>8.9599999999999999E-2</v>
      </c>
      <c r="E307">
        <v>0</v>
      </c>
      <c r="F307">
        <v>8</v>
      </c>
      <c r="G307">
        <v>8</v>
      </c>
      <c r="H307" s="22">
        <v>40557</v>
      </c>
      <c r="I307">
        <v>1</v>
      </c>
      <c r="J307">
        <v>0</v>
      </c>
      <c r="K307">
        <v>1</v>
      </c>
      <c r="L307">
        <v>5</v>
      </c>
      <c r="M307" t="b">
        <v>0</v>
      </c>
      <c r="N307">
        <v>5</v>
      </c>
      <c r="O307">
        <v>1</v>
      </c>
      <c r="P307">
        <v>0.1</v>
      </c>
      <c r="Q307">
        <v>0.13639999999999999</v>
      </c>
    </row>
    <row r="308" spans="1:17">
      <c r="A308">
        <v>307</v>
      </c>
      <c r="B308">
        <v>0.18179999999999999</v>
      </c>
      <c r="C308">
        <v>0.54</v>
      </c>
      <c r="D308">
        <v>0</v>
      </c>
      <c r="E308">
        <v>0</v>
      </c>
      <c r="F308">
        <v>17</v>
      </c>
      <c r="G308">
        <v>17</v>
      </c>
      <c r="H308" s="22">
        <v>40557</v>
      </c>
      <c r="I308">
        <v>1</v>
      </c>
      <c r="J308">
        <v>0</v>
      </c>
      <c r="K308">
        <v>1</v>
      </c>
      <c r="L308">
        <v>6</v>
      </c>
      <c r="M308" t="b">
        <v>0</v>
      </c>
      <c r="N308">
        <v>5</v>
      </c>
      <c r="O308">
        <v>1</v>
      </c>
      <c r="P308">
        <v>0.1</v>
      </c>
      <c r="Q308">
        <v>0.18179999999999999</v>
      </c>
    </row>
    <row r="309" spans="1:17">
      <c r="A309">
        <v>308</v>
      </c>
      <c r="B309">
        <v>0.1212</v>
      </c>
      <c r="C309">
        <v>0.74</v>
      </c>
      <c r="D309">
        <v>0.16420000000000001</v>
      </c>
      <c r="E309">
        <v>0</v>
      </c>
      <c r="F309">
        <v>70</v>
      </c>
      <c r="G309">
        <v>70</v>
      </c>
      <c r="H309" s="22">
        <v>40557</v>
      </c>
      <c r="I309">
        <v>1</v>
      </c>
      <c r="J309">
        <v>0</v>
      </c>
      <c r="K309">
        <v>1</v>
      </c>
      <c r="L309">
        <v>7</v>
      </c>
      <c r="M309" t="b">
        <v>0</v>
      </c>
      <c r="N309">
        <v>5</v>
      </c>
      <c r="O309">
        <v>1</v>
      </c>
      <c r="P309">
        <v>0.1</v>
      </c>
      <c r="Q309">
        <v>0.1212</v>
      </c>
    </row>
    <row r="310" spans="1:17">
      <c r="A310">
        <v>309</v>
      </c>
      <c r="B310">
        <v>0.16669999999999999</v>
      </c>
      <c r="C310">
        <v>0.68</v>
      </c>
      <c r="D310">
        <v>0</v>
      </c>
      <c r="E310">
        <v>2</v>
      </c>
      <c r="F310">
        <v>156</v>
      </c>
      <c r="G310">
        <v>158</v>
      </c>
      <c r="H310" s="22">
        <v>40557</v>
      </c>
      <c r="I310">
        <v>1</v>
      </c>
      <c r="J310">
        <v>0</v>
      </c>
      <c r="K310">
        <v>1</v>
      </c>
      <c r="L310">
        <v>8</v>
      </c>
      <c r="M310" t="b">
        <v>0</v>
      </c>
      <c r="N310">
        <v>5</v>
      </c>
      <c r="O310">
        <v>1</v>
      </c>
      <c r="P310">
        <v>0.12</v>
      </c>
      <c r="Q310">
        <v>0.16669999999999999</v>
      </c>
    </row>
    <row r="311" spans="1:17">
      <c r="A311">
        <v>310</v>
      </c>
      <c r="B311">
        <v>0.1515</v>
      </c>
      <c r="C311">
        <v>0.69</v>
      </c>
      <c r="D311">
        <v>0.1343</v>
      </c>
      <c r="E311">
        <v>0</v>
      </c>
      <c r="F311">
        <v>117</v>
      </c>
      <c r="G311">
        <v>117</v>
      </c>
      <c r="H311" s="22">
        <v>40557</v>
      </c>
      <c r="I311">
        <v>1</v>
      </c>
      <c r="J311">
        <v>0</v>
      </c>
      <c r="K311">
        <v>1</v>
      </c>
      <c r="L311">
        <v>9</v>
      </c>
      <c r="M311" t="b">
        <v>0</v>
      </c>
      <c r="N311">
        <v>5</v>
      </c>
      <c r="O311">
        <v>1</v>
      </c>
      <c r="P311">
        <v>0.14000000000000001</v>
      </c>
      <c r="Q311">
        <v>0.1515</v>
      </c>
    </row>
    <row r="312" spans="1:17">
      <c r="A312">
        <v>311</v>
      </c>
      <c r="B312">
        <v>0.18179999999999999</v>
      </c>
      <c r="C312">
        <v>0.55000000000000004</v>
      </c>
      <c r="D312">
        <v>0.19400000000000001</v>
      </c>
      <c r="E312">
        <v>4</v>
      </c>
      <c r="F312">
        <v>40</v>
      </c>
      <c r="G312">
        <v>44</v>
      </c>
      <c r="H312" s="22">
        <v>40557</v>
      </c>
      <c r="I312">
        <v>1</v>
      </c>
      <c r="J312">
        <v>0</v>
      </c>
      <c r="K312">
        <v>1</v>
      </c>
      <c r="L312">
        <v>10</v>
      </c>
      <c r="M312" t="b">
        <v>0</v>
      </c>
      <c r="N312">
        <v>5</v>
      </c>
      <c r="O312">
        <v>1</v>
      </c>
      <c r="P312">
        <v>0.18</v>
      </c>
      <c r="Q312">
        <v>0.18179999999999999</v>
      </c>
    </row>
    <row r="313" spans="1:17">
      <c r="A313">
        <v>312</v>
      </c>
      <c r="B313">
        <v>0.16669999999999999</v>
      </c>
      <c r="C313">
        <v>0.51</v>
      </c>
      <c r="D313">
        <v>0.28360000000000002</v>
      </c>
      <c r="E313">
        <v>6</v>
      </c>
      <c r="F313">
        <v>47</v>
      </c>
      <c r="G313">
        <v>53</v>
      </c>
      <c r="H313" s="22">
        <v>40557</v>
      </c>
      <c r="I313">
        <v>1</v>
      </c>
      <c r="J313">
        <v>0</v>
      </c>
      <c r="K313">
        <v>1</v>
      </c>
      <c r="L313">
        <v>11</v>
      </c>
      <c r="M313" t="b">
        <v>0</v>
      </c>
      <c r="N313">
        <v>5</v>
      </c>
      <c r="O313">
        <v>1</v>
      </c>
      <c r="P313">
        <v>0.18</v>
      </c>
      <c r="Q313">
        <v>0.16669999999999999</v>
      </c>
    </row>
    <row r="314" spans="1:17">
      <c r="A314">
        <v>313</v>
      </c>
      <c r="B314">
        <v>0.19700000000000001</v>
      </c>
      <c r="C314">
        <v>0.44</v>
      </c>
      <c r="D314">
        <v>0.25369999999999998</v>
      </c>
      <c r="E314">
        <v>2</v>
      </c>
      <c r="F314">
        <v>59</v>
      </c>
      <c r="G314">
        <v>61</v>
      </c>
      <c r="H314" s="22">
        <v>40557</v>
      </c>
      <c r="I314">
        <v>1</v>
      </c>
      <c r="J314">
        <v>0</v>
      </c>
      <c r="K314">
        <v>1</v>
      </c>
      <c r="L314">
        <v>12</v>
      </c>
      <c r="M314" t="b">
        <v>0</v>
      </c>
      <c r="N314">
        <v>5</v>
      </c>
      <c r="O314">
        <v>1</v>
      </c>
      <c r="P314">
        <v>0.2</v>
      </c>
      <c r="Q314">
        <v>0.19700000000000001</v>
      </c>
    </row>
    <row r="315" spans="1:17">
      <c r="A315">
        <v>314</v>
      </c>
      <c r="B315">
        <v>0.19700000000000001</v>
      </c>
      <c r="C315">
        <v>0.37</v>
      </c>
      <c r="D315">
        <v>0.3881</v>
      </c>
      <c r="E315">
        <v>4</v>
      </c>
      <c r="F315">
        <v>73</v>
      </c>
      <c r="G315">
        <v>77</v>
      </c>
      <c r="H315" s="22">
        <v>40557</v>
      </c>
      <c r="I315">
        <v>1</v>
      </c>
      <c r="J315">
        <v>0</v>
      </c>
      <c r="K315">
        <v>1</v>
      </c>
      <c r="L315">
        <v>13</v>
      </c>
      <c r="M315" t="b">
        <v>0</v>
      </c>
      <c r="N315">
        <v>5</v>
      </c>
      <c r="O315">
        <v>1</v>
      </c>
      <c r="P315">
        <v>0.22</v>
      </c>
      <c r="Q315">
        <v>0.19700000000000001</v>
      </c>
    </row>
    <row r="316" spans="1:17">
      <c r="A316">
        <v>315</v>
      </c>
      <c r="B316">
        <v>0.21210000000000001</v>
      </c>
      <c r="C316">
        <v>0.41</v>
      </c>
      <c r="D316">
        <v>0.28360000000000002</v>
      </c>
      <c r="E316">
        <v>5</v>
      </c>
      <c r="F316">
        <v>59</v>
      </c>
      <c r="G316">
        <v>64</v>
      </c>
      <c r="H316" s="22">
        <v>40557</v>
      </c>
      <c r="I316">
        <v>1</v>
      </c>
      <c r="J316">
        <v>0</v>
      </c>
      <c r="K316">
        <v>1</v>
      </c>
      <c r="L316">
        <v>14</v>
      </c>
      <c r="M316" t="b">
        <v>0</v>
      </c>
      <c r="N316">
        <v>5</v>
      </c>
      <c r="O316">
        <v>1</v>
      </c>
      <c r="P316">
        <v>0.22</v>
      </c>
      <c r="Q316">
        <v>0.21210000000000001</v>
      </c>
    </row>
    <row r="317" spans="1:17">
      <c r="A317">
        <v>316</v>
      </c>
      <c r="B317">
        <v>0.2424</v>
      </c>
      <c r="C317">
        <v>0.38</v>
      </c>
      <c r="D317">
        <v>0.16420000000000001</v>
      </c>
      <c r="E317">
        <v>9</v>
      </c>
      <c r="F317">
        <v>59</v>
      </c>
      <c r="G317">
        <v>68</v>
      </c>
      <c r="H317" s="22">
        <v>40557</v>
      </c>
      <c r="I317">
        <v>1</v>
      </c>
      <c r="J317">
        <v>0</v>
      </c>
      <c r="K317">
        <v>1</v>
      </c>
      <c r="L317">
        <v>15</v>
      </c>
      <c r="M317" t="b">
        <v>0</v>
      </c>
      <c r="N317">
        <v>5</v>
      </c>
      <c r="O317">
        <v>1</v>
      </c>
      <c r="P317">
        <v>0.24</v>
      </c>
      <c r="Q317">
        <v>0.2424</v>
      </c>
    </row>
    <row r="318" spans="1:17">
      <c r="A318">
        <v>317</v>
      </c>
      <c r="B318">
        <v>0.2424</v>
      </c>
      <c r="C318">
        <v>0.41</v>
      </c>
      <c r="D318">
        <v>0.1045</v>
      </c>
      <c r="E318">
        <v>3</v>
      </c>
      <c r="F318">
        <v>87</v>
      </c>
      <c r="G318">
        <v>90</v>
      </c>
      <c r="H318" s="22">
        <v>40557</v>
      </c>
      <c r="I318">
        <v>1</v>
      </c>
      <c r="J318">
        <v>0</v>
      </c>
      <c r="K318">
        <v>1</v>
      </c>
      <c r="L318">
        <v>16</v>
      </c>
      <c r="M318" t="b">
        <v>0</v>
      </c>
      <c r="N318">
        <v>5</v>
      </c>
      <c r="O318">
        <v>1</v>
      </c>
      <c r="P318">
        <v>0.22</v>
      </c>
      <c r="Q318">
        <v>0.2424</v>
      </c>
    </row>
    <row r="319" spans="1:17">
      <c r="A319">
        <v>318</v>
      </c>
      <c r="B319">
        <v>0.2273</v>
      </c>
      <c r="C319">
        <v>0.41</v>
      </c>
      <c r="D319">
        <v>0.16420000000000001</v>
      </c>
      <c r="E319">
        <v>4</v>
      </c>
      <c r="F319">
        <v>155</v>
      </c>
      <c r="G319">
        <v>159</v>
      </c>
      <c r="H319" s="22">
        <v>40557</v>
      </c>
      <c r="I319">
        <v>1</v>
      </c>
      <c r="J319">
        <v>0</v>
      </c>
      <c r="K319">
        <v>1</v>
      </c>
      <c r="L319">
        <v>17</v>
      </c>
      <c r="M319" t="b">
        <v>0</v>
      </c>
      <c r="N319">
        <v>5</v>
      </c>
      <c r="O319">
        <v>1</v>
      </c>
      <c r="P319">
        <v>0.22</v>
      </c>
      <c r="Q319">
        <v>0.2273</v>
      </c>
    </row>
    <row r="320" spans="1:17">
      <c r="A320">
        <v>319</v>
      </c>
      <c r="B320">
        <v>0.2576</v>
      </c>
      <c r="C320">
        <v>0.47</v>
      </c>
      <c r="D320">
        <v>0</v>
      </c>
      <c r="E320">
        <v>5</v>
      </c>
      <c r="F320">
        <v>134</v>
      </c>
      <c r="G320">
        <v>139</v>
      </c>
      <c r="H320" s="22">
        <v>40557</v>
      </c>
      <c r="I320">
        <v>1</v>
      </c>
      <c r="J320">
        <v>0</v>
      </c>
      <c r="K320">
        <v>1</v>
      </c>
      <c r="L320">
        <v>18</v>
      </c>
      <c r="M320" t="b">
        <v>0</v>
      </c>
      <c r="N320">
        <v>5</v>
      </c>
      <c r="O320">
        <v>1</v>
      </c>
      <c r="P320">
        <v>0.2</v>
      </c>
      <c r="Q320">
        <v>0.2576</v>
      </c>
    </row>
    <row r="321" spans="1:17">
      <c r="A321">
        <v>320</v>
      </c>
      <c r="B321">
        <v>0.19700000000000001</v>
      </c>
      <c r="C321">
        <v>0.59</v>
      </c>
      <c r="D321">
        <v>8.9599999999999999E-2</v>
      </c>
      <c r="E321">
        <v>3</v>
      </c>
      <c r="F321">
        <v>89</v>
      </c>
      <c r="G321">
        <v>92</v>
      </c>
      <c r="H321" s="22">
        <v>40557</v>
      </c>
      <c r="I321">
        <v>1</v>
      </c>
      <c r="J321">
        <v>0</v>
      </c>
      <c r="K321">
        <v>1</v>
      </c>
      <c r="L321">
        <v>19</v>
      </c>
      <c r="M321" t="b">
        <v>0</v>
      </c>
      <c r="N321">
        <v>5</v>
      </c>
      <c r="O321">
        <v>1</v>
      </c>
      <c r="P321">
        <v>0.16</v>
      </c>
      <c r="Q321">
        <v>0.19700000000000001</v>
      </c>
    </row>
    <row r="322" spans="1:17">
      <c r="A322">
        <v>321</v>
      </c>
      <c r="B322">
        <v>0.2424</v>
      </c>
      <c r="C322">
        <v>0.59</v>
      </c>
      <c r="D322">
        <v>0</v>
      </c>
      <c r="E322">
        <v>0</v>
      </c>
      <c r="F322">
        <v>68</v>
      </c>
      <c r="G322">
        <v>68</v>
      </c>
      <c r="H322" s="22">
        <v>40557</v>
      </c>
      <c r="I322">
        <v>1</v>
      </c>
      <c r="J322">
        <v>0</v>
      </c>
      <c r="K322">
        <v>1</v>
      </c>
      <c r="L322">
        <v>20</v>
      </c>
      <c r="M322" t="b">
        <v>0</v>
      </c>
      <c r="N322">
        <v>5</v>
      </c>
      <c r="O322">
        <v>1</v>
      </c>
      <c r="P322">
        <v>0.18</v>
      </c>
      <c r="Q322">
        <v>0.2424</v>
      </c>
    </row>
    <row r="323" spans="1:17">
      <c r="A323">
        <v>322</v>
      </c>
      <c r="B323">
        <v>0.2273</v>
      </c>
      <c r="C323">
        <v>0.69</v>
      </c>
      <c r="D323">
        <v>0</v>
      </c>
      <c r="E323">
        <v>4</v>
      </c>
      <c r="F323">
        <v>48</v>
      </c>
      <c r="G323">
        <v>52</v>
      </c>
      <c r="H323" s="22">
        <v>40557</v>
      </c>
      <c r="I323">
        <v>1</v>
      </c>
      <c r="J323">
        <v>0</v>
      </c>
      <c r="K323">
        <v>1</v>
      </c>
      <c r="L323">
        <v>21</v>
      </c>
      <c r="M323" t="b">
        <v>0</v>
      </c>
      <c r="N323">
        <v>5</v>
      </c>
      <c r="O323">
        <v>1</v>
      </c>
      <c r="P323">
        <v>0.16</v>
      </c>
      <c r="Q323">
        <v>0.2273</v>
      </c>
    </row>
    <row r="324" spans="1:17">
      <c r="A324">
        <v>323</v>
      </c>
      <c r="B324">
        <v>0.2273</v>
      </c>
      <c r="C324">
        <v>0.69</v>
      </c>
      <c r="D324">
        <v>0</v>
      </c>
      <c r="E324">
        <v>2</v>
      </c>
      <c r="F324">
        <v>34</v>
      </c>
      <c r="G324">
        <v>36</v>
      </c>
      <c r="H324" s="22">
        <v>40557</v>
      </c>
      <c r="I324">
        <v>1</v>
      </c>
      <c r="J324">
        <v>0</v>
      </c>
      <c r="K324">
        <v>1</v>
      </c>
      <c r="L324">
        <v>22</v>
      </c>
      <c r="M324" t="b">
        <v>0</v>
      </c>
      <c r="N324">
        <v>5</v>
      </c>
      <c r="O324">
        <v>2</v>
      </c>
      <c r="P324">
        <v>0.16</v>
      </c>
      <c r="Q324">
        <v>0.2273</v>
      </c>
    </row>
    <row r="325" spans="1:17">
      <c r="A325">
        <v>324</v>
      </c>
      <c r="B325">
        <v>0.2424</v>
      </c>
      <c r="C325">
        <v>0.55000000000000004</v>
      </c>
      <c r="D325">
        <v>0</v>
      </c>
      <c r="E325">
        <v>1</v>
      </c>
      <c r="F325">
        <v>26</v>
      </c>
      <c r="G325">
        <v>27</v>
      </c>
      <c r="H325" s="22">
        <v>40557</v>
      </c>
      <c r="I325">
        <v>1</v>
      </c>
      <c r="J325">
        <v>0</v>
      </c>
      <c r="K325">
        <v>1</v>
      </c>
      <c r="L325">
        <v>23</v>
      </c>
      <c r="M325" t="b">
        <v>0</v>
      </c>
      <c r="N325">
        <v>5</v>
      </c>
      <c r="O325">
        <v>2</v>
      </c>
      <c r="P325">
        <v>0.18</v>
      </c>
      <c r="Q325">
        <v>0.2424</v>
      </c>
    </row>
    <row r="326" spans="1:17">
      <c r="A326">
        <v>325</v>
      </c>
      <c r="B326">
        <v>0.2424</v>
      </c>
      <c r="C326">
        <v>0.55000000000000004</v>
      </c>
      <c r="D326">
        <v>0</v>
      </c>
      <c r="E326">
        <v>3</v>
      </c>
      <c r="F326">
        <v>25</v>
      </c>
      <c r="G326">
        <v>28</v>
      </c>
      <c r="H326" s="22">
        <v>40558</v>
      </c>
      <c r="I326">
        <v>1</v>
      </c>
      <c r="J326">
        <v>0</v>
      </c>
      <c r="K326">
        <v>1</v>
      </c>
      <c r="L326">
        <v>0</v>
      </c>
      <c r="M326" t="b">
        <v>0</v>
      </c>
      <c r="N326">
        <v>6</v>
      </c>
      <c r="O326">
        <v>1</v>
      </c>
      <c r="P326">
        <v>0.18</v>
      </c>
      <c r="Q326">
        <v>0.2424</v>
      </c>
    </row>
    <row r="327" spans="1:17">
      <c r="A327">
        <v>326</v>
      </c>
      <c r="B327">
        <v>0.19700000000000001</v>
      </c>
      <c r="C327">
        <v>0.59</v>
      </c>
      <c r="D327">
        <v>8.9599999999999999E-2</v>
      </c>
      <c r="E327">
        <v>2</v>
      </c>
      <c r="F327">
        <v>18</v>
      </c>
      <c r="G327">
        <v>20</v>
      </c>
      <c r="H327" s="22">
        <v>40558</v>
      </c>
      <c r="I327">
        <v>1</v>
      </c>
      <c r="J327">
        <v>0</v>
      </c>
      <c r="K327">
        <v>1</v>
      </c>
      <c r="L327">
        <v>1</v>
      </c>
      <c r="M327" t="b">
        <v>0</v>
      </c>
      <c r="N327">
        <v>6</v>
      </c>
      <c r="O327">
        <v>2</v>
      </c>
      <c r="P327">
        <v>0.16</v>
      </c>
      <c r="Q327">
        <v>0.19700000000000001</v>
      </c>
    </row>
    <row r="328" spans="1:17">
      <c r="A328">
        <v>327</v>
      </c>
      <c r="B328">
        <v>0.19700000000000001</v>
      </c>
      <c r="C328">
        <v>0.59</v>
      </c>
      <c r="D328">
        <v>8.9599999999999999E-2</v>
      </c>
      <c r="E328">
        <v>0</v>
      </c>
      <c r="F328">
        <v>12</v>
      </c>
      <c r="G328">
        <v>12</v>
      </c>
      <c r="H328" s="22">
        <v>40558</v>
      </c>
      <c r="I328">
        <v>1</v>
      </c>
      <c r="J328">
        <v>0</v>
      </c>
      <c r="K328">
        <v>1</v>
      </c>
      <c r="L328">
        <v>2</v>
      </c>
      <c r="M328" t="b">
        <v>0</v>
      </c>
      <c r="N328">
        <v>6</v>
      </c>
      <c r="O328">
        <v>2</v>
      </c>
      <c r="P328">
        <v>0.16</v>
      </c>
      <c r="Q328">
        <v>0.19700000000000001</v>
      </c>
    </row>
    <row r="329" spans="1:17">
      <c r="A329">
        <v>328</v>
      </c>
      <c r="B329">
        <v>0.2273</v>
      </c>
      <c r="C329">
        <v>0.59</v>
      </c>
      <c r="D329">
        <v>0</v>
      </c>
      <c r="E329">
        <v>1</v>
      </c>
      <c r="F329">
        <v>7</v>
      </c>
      <c r="G329">
        <v>8</v>
      </c>
      <c r="H329" s="22">
        <v>40558</v>
      </c>
      <c r="I329">
        <v>1</v>
      </c>
      <c r="J329">
        <v>0</v>
      </c>
      <c r="K329">
        <v>1</v>
      </c>
      <c r="L329">
        <v>3</v>
      </c>
      <c r="M329" t="b">
        <v>0</v>
      </c>
      <c r="N329">
        <v>6</v>
      </c>
      <c r="O329">
        <v>2</v>
      </c>
      <c r="P329">
        <v>0.16</v>
      </c>
      <c r="Q329">
        <v>0.2273</v>
      </c>
    </row>
    <row r="330" spans="1:17">
      <c r="A330">
        <v>329</v>
      </c>
      <c r="B330">
        <v>0.2273</v>
      </c>
      <c r="C330">
        <v>0.59</v>
      </c>
      <c r="D330">
        <v>0</v>
      </c>
      <c r="E330">
        <v>0</v>
      </c>
      <c r="F330">
        <v>5</v>
      </c>
      <c r="G330">
        <v>5</v>
      </c>
      <c r="H330" s="22">
        <v>40558</v>
      </c>
      <c r="I330">
        <v>1</v>
      </c>
      <c r="J330">
        <v>0</v>
      </c>
      <c r="K330">
        <v>1</v>
      </c>
      <c r="L330">
        <v>4</v>
      </c>
      <c r="M330" t="b">
        <v>0</v>
      </c>
      <c r="N330">
        <v>6</v>
      </c>
      <c r="O330">
        <v>2</v>
      </c>
      <c r="P330">
        <v>0.16</v>
      </c>
      <c r="Q330">
        <v>0.2273</v>
      </c>
    </row>
    <row r="331" spans="1:17">
      <c r="A331">
        <v>330</v>
      </c>
      <c r="B331">
        <v>0.2273</v>
      </c>
      <c r="C331">
        <v>0.59</v>
      </c>
      <c r="D331">
        <v>0</v>
      </c>
      <c r="E331">
        <v>0</v>
      </c>
      <c r="F331">
        <v>1</v>
      </c>
      <c r="G331">
        <v>1</v>
      </c>
      <c r="H331" s="22">
        <v>40558</v>
      </c>
      <c r="I331">
        <v>1</v>
      </c>
      <c r="J331">
        <v>0</v>
      </c>
      <c r="K331">
        <v>1</v>
      </c>
      <c r="L331">
        <v>5</v>
      </c>
      <c r="M331" t="b">
        <v>0</v>
      </c>
      <c r="N331">
        <v>6</v>
      </c>
      <c r="O331">
        <v>1</v>
      </c>
      <c r="P331">
        <v>0.16</v>
      </c>
      <c r="Q331">
        <v>0.2273</v>
      </c>
    </row>
    <row r="332" spans="1:17">
      <c r="A332">
        <v>331</v>
      </c>
      <c r="B332">
        <v>0.16669999999999999</v>
      </c>
      <c r="C332">
        <v>0.63</v>
      </c>
      <c r="D332">
        <v>0.1045</v>
      </c>
      <c r="E332">
        <v>1</v>
      </c>
      <c r="F332">
        <v>2</v>
      </c>
      <c r="G332">
        <v>3</v>
      </c>
      <c r="H332" s="22">
        <v>40558</v>
      </c>
      <c r="I332">
        <v>1</v>
      </c>
      <c r="J332">
        <v>0</v>
      </c>
      <c r="K332">
        <v>1</v>
      </c>
      <c r="L332">
        <v>6</v>
      </c>
      <c r="M332" t="b">
        <v>0</v>
      </c>
      <c r="N332">
        <v>6</v>
      </c>
      <c r="O332">
        <v>1</v>
      </c>
      <c r="P332">
        <v>0.14000000000000001</v>
      </c>
      <c r="Q332">
        <v>0.16669999999999999</v>
      </c>
    </row>
    <row r="333" spans="1:17">
      <c r="A333">
        <v>332</v>
      </c>
      <c r="B333">
        <v>0.21210000000000001</v>
      </c>
      <c r="C333">
        <v>0.63</v>
      </c>
      <c r="D333">
        <v>0</v>
      </c>
      <c r="E333">
        <v>1</v>
      </c>
      <c r="F333">
        <v>9</v>
      </c>
      <c r="G333">
        <v>10</v>
      </c>
      <c r="H333" s="22">
        <v>40558</v>
      </c>
      <c r="I333">
        <v>1</v>
      </c>
      <c r="J333">
        <v>0</v>
      </c>
      <c r="K333">
        <v>1</v>
      </c>
      <c r="L333">
        <v>7</v>
      </c>
      <c r="M333" t="b">
        <v>0</v>
      </c>
      <c r="N333">
        <v>6</v>
      </c>
      <c r="O333">
        <v>1</v>
      </c>
      <c r="P333">
        <v>0.14000000000000001</v>
      </c>
      <c r="Q333">
        <v>0.21210000000000001</v>
      </c>
    </row>
    <row r="334" spans="1:17">
      <c r="A334">
        <v>333</v>
      </c>
      <c r="B334">
        <v>0.1515</v>
      </c>
      <c r="C334">
        <v>0.63</v>
      </c>
      <c r="D334">
        <v>0.1343</v>
      </c>
      <c r="E334">
        <v>1</v>
      </c>
      <c r="F334">
        <v>22</v>
      </c>
      <c r="G334">
        <v>23</v>
      </c>
      <c r="H334" s="22">
        <v>40558</v>
      </c>
      <c r="I334">
        <v>1</v>
      </c>
      <c r="J334">
        <v>0</v>
      </c>
      <c r="K334">
        <v>1</v>
      </c>
      <c r="L334">
        <v>8</v>
      </c>
      <c r="M334" t="b">
        <v>0</v>
      </c>
      <c r="N334">
        <v>6</v>
      </c>
      <c r="O334">
        <v>1</v>
      </c>
      <c r="P334">
        <v>0.14000000000000001</v>
      </c>
      <c r="Q334">
        <v>0.1515</v>
      </c>
    </row>
    <row r="335" spans="1:17">
      <c r="A335">
        <v>334</v>
      </c>
      <c r="B335">
        <v>0.18179999999999999</v>
      </c>
      <c r="C335">
        <v>0.64</v>
      </c>
      <c r="D335">
        <v>0.1343</v>
      </c>
      <c r="E335">
        <v>2</v>
      </c>
      <c r="F335">
        <v>31</v>
      </c>
      <c r="G335">
        <v>33</v>
      </c>
      <c r="H335" s="22">
        <v>40558</v>
      </c>
      <c r="I335">
        <v>1</v>
      </c>
      <c r="J335">
        <v>0</v>
      </c>
      <c r="K335">
        <v>1</v>
      </c>
      <c r="L335">
        <v>9</v>
      </c>
      <c r="M335" t="b">
        <v>0</v>
      </c>
      <c r="N335">
        <v>6</v>
      </c>
      <c r="O335">
        <v>1</v>
      </c>
      <c r="P335">
        <v>0.16</v>
      </c>
      <c r="Q335">
        <v>0.18179999999999999</v>
      </c>
    </row>
    <row r="336" spans="1:17">
      <c r="A336">
        <v>335</v>
      </c>
      <c r="B336">
        <v>0.19700000000000001</v>
      </c>
      <c r="C336">
        <v>0.59</v>
      </c>
      <c r="D336">
        <v>0.16420000000000001</v>
      </c>
      <c r="E336">
        <v>2</v>
      </c>
      <c r="F336">
        <v>57</v>
      </c>
      <c r="G336">
        <v>59</v>
      </c>
      <c r="H336" s="22">
        <v>40558</v>
      </c>
      <c r="I336">
        <v>1</v>
      </c>
      <c r="J336">
        <v>0</v>
      </c>
      <c r="K336">
        <v>1</v>
      </c>
      <c r="L336">
        <v>10</v>
      </c>
      <c r="M336" t="b">
        <v>0</v>
      </c>
      <c r="N336">
        <v>6</v>
      </c>
      <c r="O336">
        <v>1</v>
      </c>
      <c r="P336">
        <v>0.18</v>
      </c>
      <c r="Q336">
        <v>0.19700000000000001</v>
      </c>
    </row>
    <row r="337" spans="1:17">
      <c r="A337">
        <v>336</v>
      </c>
      <c r="B337">
        <v>0.19700000000000001</v>
      </c>
      <c r="C337">
        <v>0.55000000000000004</v>
      </c>
      <c r="D337">
        <v>0.22389999999999999</v>
      </c>
      <c r="E337">
        <v>18</v>
      </c>
      <c r="F337">
        <v>54</v>
      </c>
      <c r="G337">
        <v>72</v>
      </c>
      <c r="H337" s="22">
        <v>40558</v>
      </c>
      <c r="I337">
        <v>1</v>
      </c>
      <c r="J337">
        <v>0</v>
      </c>
      <c r="K337">
        <v>1</v>
      </c>
      <c r="L337">
        <v>11</v>
      </c>
      <c r="M337" t="b">
        <v>0</v>
      </c>
      <c r="N337">
        <v>6</v>
      </c>
      <c r="O337">
        <v>1</v>
      </c>
      <c r="P337">
        <v>0.2</v>
      </c>
      <c r="Q337">
        <v>0.19700000000000001</v>
      </c>
    </row>
    <row r="338" spans="1:17">
      <c r="A338">
        <v>337</v>
      </c>
      <c r="B338">
        <v>0.2273</v>
      </c>
      <c r="C338">
        <v>0.48</v>
      </c>
      <c r="D338">
        <v>0.22389999999999999</v>
      </c>
      <c r="E338">
        <v>15</v>
      </c>
      <c r="F338">
        <v>74</v>
      </c>
      <c r="G338">
        <v>89</v>
      </c>
      <c r="H338" s="22">
        <v>40558</v>
      </c>
      <c r="I338">
        <v>1</v>
      </c>
      <c r="J338">
        <v>0</v>
      </c>
      <c r="K338">
        <v>1</v>
      </c>
      <c r="L338">
        <v>12</v>
      </c>
      <c r="M338" t="b">
        <v>0</v>
      </c>
      <c r="N338">
        <v>6</v>
      </c>
      <c r="O338">
        <v>1</v>
      </c>
      <c r="P338">
        <v>0.24</v>
      </c>
      <c r="Q338">
        <v>0.2273</v>
      </c>
    </row>
    <row r="339" spans="1:17">
      <c r="A339">
        <v>338</v>
      </c>
      <c r="B339">
        <v>0.2576</v>
      </c>
      <c r="C339">
        <v>0.38</v>
      </c>
      <c r="D339">
        <v>0.29849999999999999</v>
      </c>
      <c r="E339">
        <v>21</v>
      </c>
      <c r="F339">
        <v>80</v>
      </c>
      <c r="G339">
        <v>101</v>
      </c>
      <c r="H339" s="22">
        <v>40558</v>
      </c>
      <c r="I339">
        <v>1</v>
      </c>
      <c r="J339">
        <v>0</v>
      </c>
      <c r="K339">
        <v>1</v>
      </c>
      <c r="L339">
        <v>13</v>
      </c>
      <c r="M339" t="b">
        <v>0</v>
      </c>
      <c r="N339">
        <v>6</v>
      </c>
      <c r="O339">
        <v>1</v>
      </c>
      <c r="P339">
        <v>0.28000000000000003</v>
      </c>
      <c r="Q339">
        <v>0.2576</v>
      </c>
    </row>
    <row r="340" spans="1:17">
      <c r="A340">
        <v>339</v>
      </c>
      <c r="B340">
        <v>0.28789999999999999</v>
      </c>
      <c r="C340">
        <v>0.39</v>
      </c>
      <c r="D340">
        <v>0.28360000000000002</v>
      </c>
      <c r="E340">
        <v>26</v>
      </c>
      <c r="F340">
        <v>92</v>
      </c>
      <c r="G340">
        <v>118</v>
      </c>
      <c r="H340" s="22">
        <v>40558</v>
      </c>
      <c r="I340">
        <v>1</v>
      </c>
      <c r="J340">
        <v>0</v>
      </c>
      <c r="K340">
        <v>1</v>
      </c>
      <c r="L340">
        <v>14</v>
      </c>
      <c r="M340" t="b">
        <v>0</v>
      </c>
      <c r="N340">
        <v>6</v>
      </c>
      <c r="O340">
        <v>1</v>
      </c>
      <c r="P340">
        <v>0.3</v>
      </c>
      <c r="Q340">
        <v>0.28789999999999999</v>
      </c>
    </row>
    <row r="341" spans="1:17">
      <c r="A341">
        <v>340</v>
      </c>
      <c r="B341">
        <v>0.31819999999999998</v>
      </c>
      <c r="C341">
        <v>0.36</v>
      </c>
      <c r="D341">
        <v>0.19400000000000001</v>
      </c>
      <c r="E341">
        <v>21</v>
      </c>
      <c r="F341">
        <v>108</v>
      </c>
      <c r="G341">
        <v>129</v>
      </c>
      <c r="H341" s="22">
        <v>40558</v>
      </c>
      <c r="I341">
        <v>1</v>
      </c>
      <c r="J341">
        <v>0</v>
      </c>
      <c r="K341">
        <v>1</v>
      </c>
      <c r="L341">
        <v>15</v>
      </c>
      <c r="M341" t="b">
        <v>0</v>
      </c>
      <c r="N341">
        <v>6</v>
      </c>
      <c r="O341">
        <v>2</v>
      </c>
      <c r="P341">
        <v>0.32</v>
      </c>
      <c r="Q341">
        <v>0.31819999999999998</v>
      </c>
    </row>
    <row r="342" spans="1:17">
      <c r="A342">
        <v>341</v>
      </c>
      <c r="B342">
        <v>0.33329999999999999</v>
      </c>
      <c r="C342">
        <v>0.34</v>
      </c>
      <c r="D342">
        <v>0.19400000000000001</v>
      </c>
      <c r="E342">
        <v>33</v>
      </c>
      <c r="F342">
        <v>95</v>
      </c>
      <c r="G342">
        <v>128</v>
      </c>
      <c r="H342" s="22">
        <v>40558</v>
      </c>
      <c r="I342">
        <v>1</v>
      </c>
      <c r="J342">
        <v>0</v>
      </c>
      <c r="K342">
        <v>1</v>
      </c>
      <c r="L342">
        <v>16</v>
      </c>
      <c r="M342" t="b">
        <v>0</v>
      </c>
      <c r="N342">
        <v>6</v>
      </c>
      <c r="O342">
        <v>2</v>
      </c>
      <c r="P342">
        <v>0.34</v>
      </c>
      <c r="Q342">
        <v>0.33329999999999999</v>
      </c>
    </row>
    <row r="343" spans="1:17">
      <c r="A343">
        <v>342</v>
      </c>
      <c r="B343">
        <v>0.30299999999999999</v>
      </c>
      <c r="C343">
        <v>0.36</v>
      </c>
      <c r="D343">
        <v>0.28360000000000002</v>
      </c>
      <c r="E343">
        <v>29</v>
      </c>
      <c r="F343">
        <v>54</v>
      </c>
      <c r="G343">
        <v>83</v>
      </c>
      <c r="H343" s="22">
        <v>40558</v>
      </c>
      <c r="I343">
        <v>1</v>
      </c>
      <c r="J343">
        <v>0</v>
      </c>
      <c r="K343">
        <v>1</v>
      </c>
      <c r="L343">
        <v>17</v>
      </c>
      <c r="M343" t="b">
        <v>0</v>
      </c>
      <c r="N343">
        <v>6</v>
      </c>
      <c r="O343">
        <v>2</v>
      </c>
      <c r="P343">
        <v>0.32</v>
      </c>
      <c r="Q343">
        <v>0.30299999999999999</v>
      </c>
    </row>
    <row r="344" spans="1:17">
      <c r="A344">
        <v>343</v>
      </c>
      <c r="B344">
        <v>0.28789999999999999</v>
      </c>
      <c r="C344">
        <v>0.45</v>
      </c>
      <c r="D344">
        <v>0.25369999999999998</v>
      </c>
      <c r="E344">
        <v>15</v>
      </c>
      <c r="F344">
        <v>69</v>
      </c>
      <c r="G344">
        <v>84</v>
      </c>
      <c r="H344" s="22">
        <v>40558</v>
      </c>
      <c r="I344">
        <v>1</v>
      </c>
      <c r="J344">
        <v>0</v>
      </c>
      <c r="K344">
        <v>1</v>
      </c>
      <c r="L344">
        <v>18</v>
      </c>
      <c r="M344" t="b">
        <v>0</v>
      </c>
      <c r="N344">
        <v>6</v>
      </c>
      <c r="O344">
        <v>2</v>
      </c>
      <c r="P344">
        <v>0.3</v>
      </c>
      <c r="Q344">
        <v>0.28789999999999999</v>
      </c>
    </row>
    <row r="345" spans="1:17">
      <c r="A345">
        <v>344</v>
      </c>
      <c r="B345">
        <v>0.30299999999999999</v>
      </c>
      <c r="C345">
        <v>0.39</v>
      </c>
      <c r="D345">
        <v>0.25369999999999998</v>
      </c>
      <c r="E345">
        <v>14</v>
      </c>
      <c r="F345">
        <v>60</v>
      </c>
      <c r="G345">
        <v>74</v>
      </c>
      <c r="H345" s="22">
        <v>40558</v>
      </c>
      <c r="I345">
        <v>1</v>
      </c>
      <c r="J345">
        <v>0</v>
      </c>
      <c r="K345">
        <v>1</v>
      </c>
      <c r="L345">
        <v>19</v>
      </c>
      <c r="M345" t="b">
        <v>0</v>
      </c>
      <c r="N345">
        <v>6</v>
      </c>
      <c r="O345">
        <v>2</v>
      </c>
      <c r="P345">
        <v>0.32</v>
      </c>
      <c r="Q345">
        <v>0.30299999999999999</v>
      </c>
    </row>
    <row r="346" spans="1:17">
      <c r="A346">
        <v>345</v>
      </c>
      <c r="B346">
        <v>0.30299999999999999</v>
      </c>
      <c r="C346">
        <v>0.39</v>
      </c>
      <c r="D346">
        <v>0.25369999999999998</v>
      </c>
      <c r="E346">
        <v>6</v>
      </c>
      <c r="F346">
        <v>35</v>
      </c>
      <c r="G346">
        <v>41</v>
      </c>
      <c r="H346" s="22">
        <v>40558</v>
      </c>
      <c r="I346">
        <v>1</v>
      </c>
      <c r="J346">
        <v>0</v>
      </c>
      <c r="K346">
        <v>1</v>
      </c>
      <c r="L346">
        <v>20</v>
      </c>
      <c r="M346" t="b">
        <v>0</v>
      </c>
      <c r="N346">
        <v>6</v>
      </c>
      <c r="O346">
        <v>2</v>
      </c>
      <c r="P346">
        <v>0.32</v>
      </c>
      <c r="Q346">
        <v>0.30299999999999999</v>
      </c>
    </row>
    <row r="347" spans="1:17">
      <c r="A347">
        <v>346</v>
      </c>
      <c r="B347">
        <v>0.30299999999999999</v>
      </c>
      <c r="C347">
        <v>0.39</v>
      </c>
      <c r="D347">
        <v>0.22389999999999999</v>
      </c>
      <c r="E347">
        <v>6</v>
      </c>
      <c r="F347">
        <v>51</v>
      </c>
      <c r="G347">
        <v>57</v>
      </c>
      <c r="H347" s="22">
        <v>40558</v>
      </c>
      <c r="I347">
        <v>1</v>
      </c>
      <c r="J347">
        <v>0</v>
      </c>
      <c r="K347">
        <v>1</v>
      </c>
      <c r="L347">
        <v>21</v>
      </c>
      <c r="M347" t="b">
        <v>0</v>
      </c>
      <c r="N347">
        <v>6</v>
      </c>
      <c r="O347">
        <v>2</v>
      </c>
      <c r="P347">
        <v>0.32</v>
      </c>
      <c r="Q347">
        <v>0.30299999999999999</v>
      </c>
    </row>
    <row r="348" spans="1:17">
      <c r="A348">
        <v>347</v>
      </c>
      <c r="B348">
        <v>0.31819999999999998</v>
      </c>
      <c r="C348">
        <v>0.42</v>
      </c>
      <c r="D348">
        <v>0.1045</v>
      </c>
      <c r="E348">
        <v>0</v>
      </c>
      <c r="F348">
        <v>26</v>
      </c>
      <c r="G348">
        <v>26</v>
      </c>
      <c r="H348" s="22">
        <v>40558</v>
      </c>
      <c r="I348">
        <v>1</v>
      </c>
      <c r="J348">
        <v>0</v>
      </c>
      <c r="K348">
        <v>1</v>
      </c>
      <c r="L348">
        <v>22</v>
      </c>
      <c r="M348" t="b">
        <v>0</v>
      </c>
      <c r="N348">
        <v>6</v>
      </c>
      <c r="O348">
        <v>2</v>
      </c>
      <c r="P348">
        <v>0.3</v>
      </c>
      <c r="Q348">
        <v>0.31819999999999998</v>
      </c>
    </row>
    <row r="349" spans="1:17">
      <c r="A349">
        <v>348</v>
      </c>
      <c r="B349">
        <v>0.28789999999999999</v>
      </c>
      <c r="C349">
        <v>0.45</v>
      </c>
      <c r="D349">
        <v>0.28360000000000002</v>
      </c>
      <c r="E349">
        <v>5</v>
      </c>
      <c r="F349">
        <v>39</v>
      </c>
      <c r="G349">
        <v>44</v>
      </c>
      <c r="H349" s="22">
        <v>40558</v>
      </c>
      <c r="I349">
        <v>1</v>
      </c>
      <c r="J349">
        <v>0</v>
      </c>
      <c r="K349">
        <v>1</v>
      </c>
      <c r="L349">
        <v>23</v>
      </c>
      <c r="M349" t="b">
        <v>0</v>
      </c>
      <c r="N349">
        <v>6</v>
      </c>
      <c r="O349">
        <v>1</v>
      </c>
      <c r="P349">
        <v>0.3</v>
      </c>
      <c r="Q349">
        <v>0.28789999999999999</v>
      </c>
    </row>
    <row r="350" spans="1:17">
      <c r="A350">
        <v>349</v>
      </c>
      <c r="B350">
        <v>0.30299999999999999</v>
      </c>
      <c r="C350">
        <v>0.56000000000000005</v>
      </c>
      <c r="D350">
        <v>0</v>
      </c>
      <c r="E350">
        <v>6</v>
      </c>
      <c r="F350">
        <v>33</v>
      </c>
      <c r="G350">
        <v>39</v>
      </c>
      <c r="H350" s="22">
        <v>40559</v>
      </c>
      <c r="I350">
        <v>1</v>
      </c>
      <c r="J350">
        <v>0</v>
      </c>
      <c r="K350">
        <v>1</v>
      </c>
      <c r="L350">
        <v>0</v>
      </c>
      <c r="M350" t="b">
        <v>0</v>
      </c>
      <c r="N350">
        <v>0</v>
      </c>
      <c r="O350">
        <v>1</v>
      </c>
      <c r="P350">
        <v>0.26</v>
      </c>
      <c r="Q350">
        <v>0.30299999999999999</v>
      </c>
    </row>
    <row r="351" spans="1:17">
      <c r="A351">
        <v>350</v>
      </c>
      <c r="B351">
        <v>0.2727</v>
      </c>
      <c r="C351">
        <v>0.56000000000000005</v>
      </c>
      <c r="D351">
        <v>0.1343</v>
      </c>
      <c r="E351">
        <v>4</v>
      </c>
      <c r="F351">
        <v>19</v>
      </c>
      <c r="G351">
        <v>23</v>
      </c>
      <c r="H351" s="22">
        <v>40559</v>
      </c>
      <c r="I351">
        <v>1</v>
      </c>
      <c r="J351">
        <v>0</v>
      </c>
      <c r="K351">
        <v>1</v>
      </c>
      <c r="L351">
        <v>1</v>
      </c>
      <c r="M351" t="b">
        <v>0</v>
      </c>
      <c r="N351">
        <v>0</v>
      </c>
      <c r="O351">
        <v>1</v>
      </c>
      <c r="P351">
        <v>0.26</v>
      </c>
      <c r="Q351">
        <v>0.2727</v>
      </c>
    </row>
    <row r="352" spans="1:17">
      <c r="A352">
        <v>351</v>
      </c>
      <c r="B352">
        <v>0.28789999999999999</v>
      </c>
      <c r="C352">
        <v>0.56000000000000005</v>
      </c>
      <c r="D352">
        <v>8.9599999999999999E-2</v>
      </c>
      <c r="E352">
        <v>3</v>
      </c>
      <c r="F352">
        <v>13</v>
      </c>
      <c r="G352">
        <v>16</v>
      </c>
      <c r="H352" s="22">
        <v>40559</v>
      </c>
      <c r="I352">
        <v>1</v>
      </c>
      <c r="J352">
        <v>0</v>
      </c>
      <c r="K352">
        <v>1</v>
      </c>
      <c r="L352">
        <v>2</v>
      </c>
      <c r="M352" t="b">
        <v>0</v>
      </c>
      <c r="N352">
        <v>0</v>
      </c>
      <c r="O352">
        <v>1</v>
      </c>
      <c r="P352">
        <v>0.26</v>
      </c>
      <c r="Q352">
        <v>0.28789999999999999</v>
      </c>
    </row>
    <row r="353" spans="1:17">
      <c r="A353">
        <v>352</v>
      </c>
      <c r="B353">
        <v>0.2727</v>
      </c>
      <c r="C353">
        <v>0.69</v>
      </c>
      <c r="D353">
        <v>0</v>
      </c>
      <c r="E353">
        <v>9</v>
      </c>
      <c r="F353">
        <v>6</v>
      </c>
      <c r="G353">
        <v>15</v>
      </c>
      <c r="H353" s="22">
        <v>40559</v>
      </c>
      <c r="I353">
        <v>1</v>
      </c>
      <c r="J353">
        <v>0</v>
      </c>
      <c r="K353">
        <v>1</v>
      </c>
      <c r="L353">
        <v>3</v>
      </c>
      <c r="M353" t="b">
        <v>0</v>
      </c>
      <c r="N353">
        <v>0</v>
      </c>
      <c r="O353">
        <v>1</v>
      </c>
      <c r="P353">
        <v>0.22</v>
      </c>
      <c r="Q353">
        <v>0.2727</v>
      </c>
    </row>
    <row r="354" spans="1:17">
      <c r="A354">
        <v>353</v>
      </c>
      <c r="B354">
        <v>0.2576</v>
      </c>
      <c r="C354">
        <v>0.56000000000000005</v>
      </c>
      <c r="D354">
        <v>0.16420000000000001</v>
      </c>
      <c r="E354">
        <v>0</v>
      </c>
      <c r="F354">
        <v>1</v>
      </c>
      <c r="G354">
        <v>1</v>
      </c>
      <c r="H354" s="22">
        <v>40559</v>
      </c>
      <c r="I354">
        <v>1</v>
      </c>
      <c r="J354">
        <v>0</v>
      </c>
      <c r="K354">
        <v>1</v>
      </c>
      <c r="L354">
        <v>4</v>
      </c>
      <c r="M354" t="b">
        <v>0</v>
      </c>
      <c r="N354">
        <v>0</v>
      </c>
      <c r="O354">
        <v>1</v>
      </c>
      <c r="P354">
        <v>0.26</v>
      </c>
      <c r="Q354">
        <v>0.2576</v>
      </c>
    </row>
    <row r="355" spans="1:17">
      <c r="A355">
        <v>354</v>
      </c>
      <c r="B355">
        <v>0.2576</v>
      </c>
      <c r="C355">
        <v>0.56000000000000005</v>
      </c>
      <c r="D355">
        <v>0.16420000000000001</v>
      </c>
      <c r="E355">
        <v>1</v>
      </c>
      <c r="F355">
        <v>1</v>
      </c>
      <c r="G355">
        <v>2</v>
      </c>
      <c r="H355" s="22">
        <v>40559</v>
      </c>
      <c r="I355">
        <v>1</v>
      </c>
      <c r="J355">
        <v>0</v>
      </c>
      <c r="K355">
        <v>1</v>
      </c>
      <c r="L355">
        <v>5</v>
      </c>
      <c r="M355" t="b">
        <v>0</v>
      </c>
      <c r="N355">
        <v>0</v>
      </c>
      <c r="O355">
        <v>2</v>
      </c>
      <c r="P355">
        <v>0.26</v>
      </c>
      <c r="Q355">
        <v>0.2576</v>
      </c>
    </row>
    <row r="356" spans="1:17">
      <c r="A356">
        <v>355</v>
      </c>
      <c r="B356">
        <v>0.2576</v>
      </c>
      <c r="C356">
        <v>0.56000000000000005</v>
      </c>
      <c r="D356">
        <v>0.16420000000000001</v>
      </c>
      <c r="E356">
        <v>0</v>
      </c>
      <c r="F356">
        <v>1</v>
      </c>
      <c r="G356">
        <v>1</v>
      </c>
      <c r="H356" s="22">
        <v>40559</v>
      </c>
      <c r="I356">
        <v>1</v>
      </c>
      <c r="J356">
        <v>0</v>
      </c>
      <c r="K356">
        <v>1</v>
      </c>
      <c r="L356">
        <v>6</v>
      </c>
      <c r="M356" t="b">
        <v>0</v>
      </c>
      <c r="N356">
        <v>0</v>
      </c>
      <c r="O356">
        <v>2</v>
      </c>
      <c r="P356">
        <v>0.26</v>
      </c>
      <c r="Q356">
        <v>0.2576</v>
      </c>
    </row>
    <row r="357" spans="1:17">
      <c r="A357">
        <v>356</v>
      </c>
      <c r="B357">
        <v>0.21210000000000001</v>
      </c>
      <c r="C357">
        <v>0.56000000000000005</v>
      </c>
      <c r="D357">
        <v>0.29849999999999999</v>
      </c>
      <c r="E357">
        <v>0</v>
      </c>
      <c r="F357">
        <v>3</v>
      </c>
      <c r="G357">
        <v>3</v>
      </c>
      <c r="H357" s="22">
        <v>40559</v>
      </c>
      <c r="I357">
        <v>1</v>
      </c>
      <c r="J357">
        <v>0</v>
      </c>
      <c r="K357">
        <v>1</v>
      </c>
      <c r="L357">
        <v>7</v>
      </c>
      <c r="M357" t="b">
        <v>0</v>
      </c>
      <c r="N357">
        <v>0</v>
      </c>
      <c r="O357">
        <v>2</v>
      </c>
      <c r="P357">
        <v>0.24</v>
      </c>
      <c r="Q357">
        <v>0.21210000000000001</v>
      </c>
    </row>
    <row r="358" spans="1:17">
      <c r="A358">
        <v>357</v>
      </c>
      <c r="B358">
        <v>0.21210000000000001</v>
      </c>
      <c r="C358">
        <v>0.55000000000000004</v>
      </c>
      <c r="D358">
        <v>0.28360000000000002</v>
      </c>
      <c r="E358">
        <v>0</v>
      </c>
      <c r="F358">
        <v>18</v>
      </c>
      <c r="G358">
        <v>18</v>
      </c>
      <c r="H358" s="22">
        <v>40559</v>
      </c>
      <c r="I358">
        <v>1</v>
      </c>
      <c r="J358">
        <v>0</v>
      </c>
      <c r="K358">
        <v>1</v>
      </c>
      <c r="L358">
        <v>8</v>
      </c>
      <c r="M358" t="b">
        <v>0</v>
      </c>
      <c r="N358">
        <v>0</v>
      </c>
      <c r="O358">
        <v>1</v>
      </c>
      <c r="P358">
        <v>0.22</v>
      </c>
      <c r="Q358">
        <v>0.21210000000000001</v>
      </c>
    </row>
    <row r="359" spans="1:17">
      <c r="A359">
        <v>358</v>
      </c>
      <c r="B359">
        <v>0.21210000000000001</v>
      </c>
      <c r="C359">
        <v>0.51</v>
      </c>
      <c r="D359">
        <v>0.25369999999999998</v>
      </c>
      <c r="E359">
        <v>3</v>
      </c>
      <c r="F359">
        <v>29</v>
      </c>
      <c r="G359">
        <v>32</v>
      </c>
      <c r="H359" s="22">
        <v>40559</v>
      </c>
      <c r="I359">
        <v>1</v>
      </c>
      <c r="J359">
        <v>0</v>
      </c>
      <c r="K359">
        <v>1</v>
      </c>
      <c r="L359">
        <v>9</v>
      </c>
      <c r="M359" t="b">
        <v>0</v>
      </c>
      <c r="N359">
        <v>0</v>
      </c>
      <c r="O359">
        <v>1</v>
      </c>
      <c r="P359">
        <v>0.22</v>
      </c>
      <c r="Q359">
        <v>0.21210000000000001</v>
      </c>
    </row>
    <row r="360" spans="1:17">
      <c r="A360">
        <v>359</v>
      </c>
      <c r="B360">
        <v>0.21210000000000001</v>
      </c>
      <c r="C360">
        <v>0.51</v>
      </c>
      <c r="D360">
        <v>0.28360000000000002</v>
      </c>
      <c r="E360">
        <v>8</v>
      </c>
      <c r="F360">
        <v>71</v>
      </c>
      <c r="G360">
        <v>79</v>
      </c>
      <c r="H360" s="22">
        <v>40559</v>
      </c>
      <c r="I360">
        <v>1</v>
      </c>
      <c r="J360">
        <v>0</v>
      </c>
      <c r="K360">
        <v>1</v>
      </c>
      <c r="L360">
        <v>10</v>
      </c>
      <c r="M360" t="b">
        <v>0</v>
      </c>
      <c r="N360">
        <v>0</v>
      </c>
      <c r="O360">
        <v>1</v>
      </c>
      <c r="P360">
        <v>0.22</v>
      </c>
      <c r="Q360">
        <v>0.21210000000000001</v>
      </c>
    </row>
    <row r="361" spans="1:17">
      <c r="A361">
        <v>360</v>
      </c>
      <c r="B361">
        <v>0.2273</v>
      </c>
      <c r="C361">
        <v>0.44</v>
      </c>
      <c r="D361">
        <v>0.25369999999999998</v>
      </c>
      <c r="E361">
        <v>23</v>
      </c>
      <c r="F361">
        <v>70</v>
      </c>
      <c r="G361">
        <v>93</v>
      </c>
      <c r="H361" s="22">
        <v>40559</v>
      </c>
      <c r="I361">
        <v>1</v>
      </c>
      <c r="J361">
        <v>0</v>
      </c>
      <c r="K361">
        <v>1</v>
      </c>
      <c r="L361">
        <v>11</v>
      </c>
      <c r="M361" t="b">
        <v>0</v>
      </c>
      <c r="N361">
        <v>0</v>
      </c>
      <c r="O361">
        <v>1</v>
      </c>
      <c r="P361">
        <v>0.24</v>
      </c>
      <c r="Q361">
        <v>0.2273</v>
      </c>
    </row>
    <row r="362" spans="1:17">
      <c r="A362">
        <v>361</v>
      </c>
      <c r="B362">
        <v>0.21210000000000001</v>
      </c>
      <c r="C362">
        <v>0.41</v>
      </c>
      <c r="D362">
        <v>0.28360000000000002</v>
      </c>
      <c r="E362">
        <v>29</v>
      </c>
      <c r="F362">
        <v>75</v>
      </c>
      <c r="G362">
        <v>104</v>
      </c>
      <c r="H362" s="22">
        <v>40559</v>
      </c>
      <c r="I362">
        <v>1</v>
      </c>
      <c r="J362">
        <v>0</v>
      </c>
      <c r="K362">
        <v>1</v>
      </c>
      <c r="L362">
        <v>12</v>
      </c>
      <c r="M362" t="b">
        <v>0</v>
      </c>
      <c r="N362">
        <v>0</v>
      </c>
      <c r="O362">
        <v>1</v>
      </c>
      <c r="P362">
        <v>0.24</v>
      </c>
      <c r="Q362">
        <v>0.21210000000000001</v>
      </c>
    </row>
    <row r="363" spans="1:17">
      <c r="A363">
        <v>362</v>
      </c>
      <c r="B363">
        <v>0.2273</v>
      </c>
      <c r="C363">
        <v>0.35</v>
      </c>
      <c r="D363">
        <v>0.29849999999999999</v>
      </c>
      <c r="E363">
        <v>23</v>
      </c>
      <c r="F363">
        <v>95</v>
      </c>
      <c r="G363">
        <v>118</v>
      </c>
      <c r="H363" s="22">
        <v>40559</v>
      </c>
      <c r="I363">
        <v>1</v>
      </c>
      <c r="J363">
        <v>0</v>
      </c>
      <c r="K363">
        <v>1</v>
      </c>
      <c r="L363">
        <v>13</v>
      </c>
      <c r="M363" t="b">
        <v>0</v>
      </c>
      <c r="N363">
        <v>0</v>
      </c>
      <c r="O363">
        <v>1</v>
      </c>
      <c r="P363">
        <v>0.26</v>
      </c>
      <c r="Q363">
        <v>0.2273</v>
      </c>
    </row>
    <row r="364" spans="1:17">
      <c r="A364">
        <v>363</v>
      </c>
      <c r="B364">
        <v>0.2727</v>
      </c>
      <c r="C364">
        <v>0.36</v>
      </c>
      <c r="D364">
        <v>0.25369999999999998</v>
      </c>
      <c r="E364">
        <v>22</v>
      </c>
      <c r="F364">
        <v>69</v>
      </c>
      <c r="G364">
        <v>91</v>
      </c>
      <c r="H364" s="22">
        <v>40559</v>
      </c>
      <c r="I364">
        <v>1</v>
      </c>
      <c r="J364">
        <v>0</v>
      </c>
      <c r="K364">
        <v>1</v>
      </c>
      <c r="L364">
        <v>14</v>
      </c>
      <c r="M364" t="b">
        <v>0</v>
      </c>
      <c r="N364">
        <v>0</v>
      </c>
      <c r="O364">
        <v>1</v>
      </c>
      <c r="P364">
        <v>0.28000000000000003</v>
      </c>
      <c r="Q364">
        <v>0.2727</v>
      </c>
    </row>
    <row r="365" spans="1:17">
      <c r="A365">
        <v>364</v>
      </c>
      <c r="B365">
        <v>0.2424</v>
      </c>
      <c r="C365">
        <v>0.38</v>
      </c>
      <c r="D365">
        <v>0.25369999999999998</v>
      </c>
      <c r="E365">
        <v>35</v>
      </c>
      <c r="F365">
        <v>78</v>
      </c>
      <c r="G365">
        <v>113</v>
      </c>
      <c r="H365" s="22">
        <v>40559</v>
      </c>
      <c r="I365">
        <v>1</v>
      </c>
      <c r="J365">
        <v>0</v>
      </c>
      <c r="K365">
        <v>1</v>
      </c>
      <c r="L365">
        <v>15</v>
      </c>
      <c r="M365" t="b">
        <v>0</v>
      </c>
      <c r="N365">
        <v>0</v>
      </c>
      <c r="O365">
        <v>1</v>
      </c>
      <c r="P365">
        <v>0.26</v>
      </c>
      <c r="Q365">
        <v>0.2424</v>
      </c>
    </row>
    <row r="366" spans="1:17">
      <c r="A366">
        <v>365</v>
      </c>
      <c r="B366">
        <v>0.2273</v>
      </c>
      <c r="C366">
        <v>0.38</v>
      </c>
      <c r="D366">
        <v>0.22389999999999999</v>
      </c>
      <c r="E366">
        <v>22</v>
      </c>
      <c r="F366">
        <v>77</v>
      </c>
      <c r="G366">
        <v>99</v>
      </c>
      <c r="H366" s="22">
        <v>40559</v>
      </c>
      <c r="I366">
        <v>1</v>
      </c>
      <c r="J366">
        <v>0</v>
      </c>
      <c r="K366">
        <v>1</v>
      </c>
      <c r="L366">
        <v>16</v>
      </c>
      <c r="M366" t="b">
        <v>0</v>
      </c>
      <c r="N366">
        <v>0</v>
      </c>
      <c r="O366">
        <v>1</v>
      </c>
      <c r="P366">
        <v>0.24</v>
      </c>
      <c r="Q366">
        <v>0.2273</v>
      </c>
    </row>
    <row r="367" spans="1:17">
      <c r="A367">
        <v>366</v>
      </c>
      <c r="B367">
        <v>0.21210000000000001</v>
      </c>
      <c r="C367">
        <v>0.37</v>
      </c>
      <c r="D367">
        <v>0.25369999999999998</v>
      </c>
      <c r="E367">
        <v>23</v>
      </c>
      <c r="F367">
        <v>82</v>
      </c>
      <c r="G367">
        <v>105</v>
      </c>
      <c r="H367" s="22">
        <v>40559</v>
      </c>
      <c r="I367">
        <v>1</v>
      </c>
      <c r="J367">
        <v>0</v>
      </c>
      <c r="K367">
        <v>1</v>
      </c>
      <c r="L367">
        <v>17</v>
      </c>
      <c r="M367" t="b">
        <v>0</v>
      </c>
      <c r="N367">
        <v>0</v>
      </c>
      <c r="O367">
        <v>1</v>
      </c>
      <c r="P367">
        <v>0.22</v>
      </c>
      <c r="Q367">
        <v>0.21210000000000001</v>
      </c>
    </row>
    <row r="368" spans="1:17">
      <c r="A368">
        <v>367</v>
      </c>
      <c r="B368">
        <v>0.21210000000000001</v>
      </c>
      <c r="C368">
        <v>0.4</v>
      </c>
      <c r="D368">
        <v>0.16420000000000001</v>
      </c>
      <c r="E368">
        <v>11</v>
      </c>
      <c r="F368">
        <v>56</v>
      </c>
      <c r="G368">
        <v>67</v>
      </c>
      <c r="H368" s="22">
        <v>40559</v>
      </c>
      <c r="I368">
        <v>1</v>
      </c>
      <c r="J368">
        <v>0</v>
      </c>
      <c r="K368">
        <v>1</v>
      </c>
      <c r="L368">
        <v>18</v>
      </c>
      <c r="M368" t="b">
        <v>0</v>
      </c>
      <c r="N368">
        <v>0</v>
      </c>
      <c r="O368">
        <v>1</v>
      </c>
      <c r="P368">
        <v>0.2</v>
      </c>
      <c r="Q368">
        <v>0.21210000000000001</v>
      </c>
    </row>
    <row r="369" spans="1:17">
      <c r="A369">
        <v>368</v>
      </c>
      <c r="B369">
        <v>0.19700000000000001</v>
      </c>
      <c r="C369">
        <v>0.47</v>
      </c>
      <c r="D369">
        <v>0.1343</v>
      </c>
      <c r="E369">
        <v>14</v>
      </c>
      <c r="F369">
        <v>47</v>
      </c>
      <c r="G369">
        <v>61</v>
      </c>
      <c r="H369" s="22">
        <v>40559</v>
      </c>
      <c r="I369">
        <v>1</v>
      </c>
      <c r="J369">
        <v>0</v>
      </c>
      <c r="K369">
        <v>1</v>
      </c>
      <c r="L369">
        <v>19</v>
      </c>
      <c r="M369" t="b">
        <v>0</v>
      </c>
      <c r="N369">
        <v>0</v>
      </c>
      <c r="O369">
        <v>1</v>
      </c>
      <c r="P369">
        <v>0.18</v>
      </c>
      <c r="Q369">
        <v>0.19700000000000001</v>
      </c>
    </row>
    <row r="370" spans="1:17">
      <c r="A370">
        <v>369</v>
      </c>
      <c r="B370">
        <v>0.19700000000000001</v>
      </c>
      <c r="C370">
        <v>0.47</v>
      </c>
      <c r="D370">
        <v>0.16420000000000001</v>
      </c>
      <c r="E370">
        <v>7</v>
      </c>
      <c r="F370">
        <v>50</v>
      </c>
      <c r="G370">
        <v>57</v>
      </c>
      <c r="H370" s="22">
        <v>40559</v>
      </c>
      <c r="I370">
        <v>1</v>
      </c>
      <c r="J370">
        <v>0</v>
      </c>
      <c r="K370">
        <v>1</v>
      </c>
      <c r="L370">
        <v>20</v>
      </c>
      <c r="M370" t="b">
        <v>0</v>
      </c>
      <c r="N370">
        <v>0</v>
      </c>
      <c r="O370">
        <v>1</v>
      </c>
      <c r="P370">
        <v>0.18</v>
      </c>
      <c r="Q370">
        <v>0.19700000000000001</v>
      </c>
    </row>
    <row r="371" spans="1:17">
      <c r="A371">
        <v>370</v>
      </c>
      <c r="B371">
        <v>0.19700000000000001</v>
      </c>
      <c r="C371">
        <v>0.51</v>
      </c>
      <c r="D371">
        <v>0.16420000000000001</v>
      </c>
      <c r="E371">
        <v>6</v>
      </c>
      <c r="F371">
        <v>22</v>
      </c>
      <c r="G371">
        <v>28</v>
      </c>
      <c r="H371" s="22">
        <v>40559</v>
      </c>
      <c r="I371">
        <v>1</v>
      </c>
      <c r="J371">
        <v>0</v>
      </c>
      <c r="K371">
        <v>1</v>
      </c>
      <c r="L371">
        <v>21</v>
      </c>
      <c r="M371" t="b">
        <v>0</v>
      </c>
      <c r="N371">
        <v>0</v>
      </c>
      <c r="O371">
        <v>1</v>
      </c>
      <c r="P371">
        <v>0.18</v>
      </c>
      <c r="Q371">
        <v>0.19700000000000001</v>
      </c>
    </row>
    <row r="372" spans="1:17">
      <c r="A372">
        <v>371</v>
      </c>
      <c r="B372">
        <v>0.21210000000000001</v>
      </c>
      <c r="C372">
        <v>0.49</v>
      </c>
      <c r="D372">
        <v>0.1343</v>
      </c>
      <c r="E372">
        <v>2</v>
      </c>
      <c r="F372">
        <v>19</v>
      </c>
      <c r="G372">
        <v>21</v>
      </c>
      <c r="H372" s="22">
        <v>40559</v>
      </c>
      <c r="I372">
        <v>1</v>
      </c>
      <c r="J372">
        <v>0</v>
      </c>
      <c r="K372">
        <v>1</v>
      </c>
      <c r="L372">
        <v>22</v>
      </c>
      <c r="M372" t="b">
        <v>0</v>
      </c>
      <c r="N372">
        <v>0</v>
      </c>
      <c r="O372">
        <v>2</v>
      </c>
      <c r="P372">
        <v>0.2</v>
      </c>
      <c r="Q372">
        <v>0.21210000000000001</v>
      </c>
    </row>
    <row r="373" spans="1:17">
      <c r="A373">
        <v>372</v>
      </c>
      <c r="B373">
        <v>0.2273</v>
      </c>
      <c r="C373">
        <v>0.4</v>
      </c>
      <c r="D373">
        <v>0.1045</v>
      </c>
      <c r="E373">
        <v>0</v>
      </c>
      <c r="F373">
        <v>18</v>
      </c>
      <c r="G373">
        <v>18</v>
      </c>
      <c r="H373" s="22">
        <v>40559</v>
      </c>
      <c r="I373">
        <v>1</v>
      </c>
      <c r="J373">
        <v>0</v>
      </c>
      <c r="K373">
        <v>1</v>
      </c>
      <c r="L373">
        <v>23</v>
      </c>
      <c r="M373" t="b">
        <v>0</v>
      </c>
      <c r="N373">
        <v>0</v>
      </c>
      <c r="O373">
        <v>2</v>
      </c>
      <c r="P373">
        <v>0.2</v>
      </c>
      <c r="Q373">
        <v>0.2273</v>
      </c>
    </row>
    <row r="374" spans="1:17">
      <c r="A374">
        <v>373</v>
      </c>
      <c r="B374">
        <v>0.19700000000000001</v>
      </c>
      <c r="C374">
        <v>0.47</v>
      </c>
      <c r="D374">
        <v>0.22389999999999999</v>
      </c>
      <c r="E374">
        <v>1</v>
      </c>
      <c r="F374">
        <v>16</v>
      </c>
      <c r="G374">
        <v>17</v>
      </c>
      <c r="H374" s="22">
        <v>40560</v>
      </c>
      <c r="I374">
        <v>1</v>
      </c>
      <c r="J374">
        <v>0</v>
      </c>
      <c r="K374">
        <v>1</v>
      </c>
      <c r="L374">
        <v>0</v>
      </c>
      <c r="M374" t="b">
        <v>1</v>
      </c>
      <c r="N374">
        <v>1</v>
      </c>
      <c r="O374">
        <v>2</v>
      </c>
      <c r="P374">
        <v>0.2</v>
      </c>
      <c r="Q374">
        <v>0.19700000000000001</v>
      </c>
    </row>
    <row r="375" spans="1:17">
      <c r="A375">
        <v>374</v>
      </c>
      <c r="B375">
        <v>0.19700000000000001</v>
      </c>
      <c r="C375">
        <v>0.44</v>
      </c>
      <c r="D375">
        <v>0.19400000000000001</v>
      </c>
      <c r="E375">
        <v>1</v>
      </c>
      <c r="F375">
        <v>15</v>
      </c>
      <c r="G375">
        <v>16</v>
      </c>
      <c r="H375" s="22">
        <v>40560</v>
      </c>
      <c r="I375">
        <v>1</v>
      </c>
      <c r="J375">
        <v>0</v>
      </c>
      <c r="K375">
        <v>1</v>
      </c>
      <c r="L375">
        <v>1</v>
      </c>
      <c r="M375" t="b">
        <v>1</v>
      </c>
      <c r="N375">
        <v>1</v>
      </c>
      <c r="O375">
        <v>2</v>
      </c>
      <c r="P375">
        <v>0.2</v>
      </c>
      <c r="Q375">
        <v>0.19700000000000001</v>
      </c>
    </row>
    <row r="376" spans="1:17">
      <c r="A376">
        <v>375</v>
      </c>
      <c r="B376">
        <v>0.16669999999999999</v>
      </c>
      <c r="C376">
        <v>0.43</v>
      </c>
      <c r="D376">
        <v>0.25369999999999998</v>
      </c>
      <c r="E376">
        <v>0</v>
      </c>
      <c r="F376">
        <v>8</v>
      </c>
      <c r="G376">
        <v>8</v>
      </c>
      <c r="H376" s="22">
        <v>40560</v>
      </c>
      <c r="I376">
        <v>1</v>
      </c>
      <c r="J376">
        <v>0</v>
      </c>
      <c r="K376">
        <v>1</v>
      </c>
      <c r="L376">
        <v>2</v>
      </c>
      <c r="M376" t="b">
        <v>1</v>
      </c>
      <c r="N376">
        <v>1</v>
      </c>
      <c r="O376">
        <v>2</v>
      </c>
      <c r="P376">
        <v>0.18</v>
      </c>
      <c r="Q376">
        <v>0.16669999999999999</v>
      </c>
    </row>
    <row r="377" spans="1:17">
      <c r="A377">
        <v>376</v>
      </c>
      <c r="B377">
        <v>0.18179999999999999</v>
      </c>
      <c r="C377">
        <v>0.43</v>
      </c>
      <c r="D377">
        <v>0.19400000000000001</v>
      </c>
      <c r="E377">
        <v>0</v>
      </c>
      <c r="F377">
        <v>2</v>
      </c>
      <c r="G377">
        <v>2</v>
      </c>
      <c r="H377" s="22">
        <v>40560</v>
      </c>
      <c r="I377">
        <v>1</v>
      </c>
      <c r="J377">
        <v>0</v>
      </c>
      <c r="K377">
        <v>1</v>
      </c>
      <c r="L377">
        <v>3</v>
      </c>
      <c r="M377" t="b">
        <v>1</v>
      </c>
      <c r="N377">
        <v>1</v>
      </c>
      <c r="O377">
        <v>2</v>
      </c>
      <c r="P377">
        <v>0.18</v>
      </c>
      <c r="Q377">
        <v>0.18179999999999999</v>
      </c>
    </row>
    <row r="378" spans="1:17">
      <c r="A378">
        <v>377</v>
      </c>
      <c r="B378">
        <v>0.19700000000000001</v>
      </c>
      <c r="C378">
        <v>0.43</v>
      </c>
      <c r="D378">
        <v>0.1343</v>
      </c>
      <c r="E378">
        <v>1</v>
      </c>
      <c r="F378">
        <v>2</v>
      </c>
      <c r="G378">
        <v>3</v>
      </c>
      <c r="H378" s="22">
        <v>40560</v>
      </c>
      <c r="I378">
        <v>1</v>
      </c>
      <c r="J378">
        <v>0</v>
      </c>
      <c r="K378">
        <v>1</v>
      </c>
      <c r="L378">
        <v>4</v>
      </c>
      <c r="M378" t="b">
        <v>1</v>
      </c>
      <c r="N378">
        <v>1</v>
      </c>
      <c r="O378">
        <v>2</v>
      </c>
      <c r="P378">
        <v>0.18</v>
      </c>
      <c r="Q378">
        <v>0.19700000000000001</v>
      </c>
    </row>
    <row r="379" spans="1:17">
      <c r="A379">
        <v>378</v>
      </c>
      <c r="B379">
        <v>0.19700000000000001</v>
      </c>
      <c r="C379">
        <v>0.43</v>
      </c>
      <c r="D379">
        <v>0.16420000000000001</v>
      </c>
      <c r="E379">
        <v>0</v>
      </c>
      <c r="F379">
        <v>1</v>
      </c>
      <c r="G379">
        <v>1</v>
      </c>
      <c r="H379" s="22">
        <v>40560</v>
      </c>
      <c r="I379">
        <v>1</v>
      </c>
      <c r="J379">
        <v>0</v>
      </c>
      <c r="K379">
        <v>1</v>
      </c>
      <c r="L379">
        <v>5</v>
      </c>
      <c r="M379" t="b">
        <v>1</v>
      </c>
      <c r="N379">
        <v>1</v>
      </c>
      <c r="O379">
        <v>2</v>
      </c>
      <c r="P379">
        <v>0.18</v>
      </c>
      <c r="Q379">
        <v>0.19700000000000001</v>
      </c>
    </row>
    <row r="380" spans="1:17">
      <c r="A380">
        <v>379</v>
      </c>
      <c r="B380">
        <v>0.18179999999999999</v>
      </c>
      <c r="C380">
        <v>0.43</v>
      </c>
      <c r="D380">
        <v>0.19400000000000001</v>
      </c>
      <c r="E380">
        <v>0</v>
      </c>
      <c r="F380">
        <v>5</v>
      </c>
      <c r="G380">
        <v>5</v>
      </c>
      <c r="H380" s="22">
        <v>40560</v>
      </c>
      <c r="I380">
        <v>1</v>
      </c>
      <c r="J380">
        <v>0</v>
      </c>
      <c r="K380">
        <v>1</v>
      </c>
      <c r="L380">
        <v>6</v>
      </c>
      <c r="M380" t="b">
        <v>1</v>
      </c>
      <c r="N380">
        <v>1</v>
      </c>
      <c r="O380">
        <v>2</v>
      </c>
      <c r="P380">
        <v>0.18</v>
      </c>
      <c r="Q380">
        <v>0.18179999999999999</v>
      </c>
    </row>
    <row r="381" spans="1:17">
      <c r="A381">
        <v>380</v>
      </c>
      <c r="B381">
        <v>0.18179999999999999</v>
      </c>
      <c r="C381">
        <v>0.5</v>
      </c>
      <c r="D381">
        <v>0.1343</v>
      </c>
      <c r="E381">
        <v>4</v>
      </c>
      <c r="F381">
        <v>9</v>
      </c>
      <c r="G381">
        <v>13</v>
      </c>
      <c r="H381" s="22">
        <v>40560</v>
      </c>
      <c r="I381">
        <v>1</v>
      </c>
      <c r="J381">
        <v>0</v>
      </c>
      <c r="K381">
        <v>1</v>
      </c>
      <c r="L381">
        <v>7</v>
      </c>
      <c r="M381" t="b">
        <v>1</v>
      </c>
      <c r="N381">
        <v>1</v>
      </c>
      <c r="O381">
        <v>2</v>
      </c>
      <c r="P381">
        <v>0.16</v>
      </c>
      <c r="Q381">
        <v>0.18179999999999999</v>
      </c>
    </row>
    <row r="382" spans="1:17">
      <c r="A382">
        <v>381</v>
      </c>
      <c r="B382">
        <v>0.1515</v>
      </c>
      <c r="C382">
        <v>0.47</v>
      </c>
      <c r="D382">
        <v>0.22389999999999999</v>
      </c>
      <c r="E382">
        <v>3</v>
      </c>
      <c r="F382">
        <v>30</v>
      </c>
      <c r="G382">
        <v>33</v>
      </c>
      <c r="H382" s="22">
        <v>40560</v>
      </c>
      <c r="I382">
        <v>1</v>
      </c>
      <c r="J382">
        <v>0</v>
      </c>
      <c r="K382">
        <v>1</v>
      </c>
      <c r="L382">
        <v>8</v>
      </c>
      <c r="M382" t="b">
        <v>1</v>
      </c>
      <c r="N382">
        <v>1</v>
      </c>
      <c r="O382">
        <v>2</v>
      </c>
      <c r="P382">
        <v>0.16</v>
      </c>
      <c r="Q382">
        <v>0.1515</v>
      </c>
    </row>
    <row r="383" spans="1:17">
      <c r="A383">
        <v>382</v>
      </c>
      <c r="B383">
        <v>0.1515</v>
      </c>
      <c r="C383">
        <v>0.47</v>
      </c>
      <c r="D383">
        <v>0.22389999999999999</v>
      </c>
      <c r="E383">
        <v>8</v>
      </c>
      <c r="F383">
        <v>39</v>
      </c>
      <c r="G383">
        <v>47</v>
      </c>
      <c r="H383" s="22">
        <v>40560</v>
      </c>
      <c r="I383">
        <v>1</v>
      </c>
      <c r="J383">
        <v>0</v>
      </c>
      <c r="K383">
        <v>1</v>
      </c>
      <c r="L383">
        <v>9</v>
      </c>
      <c r="M383" t="b">
        <v>1</v>
      </c>
      <c r="N383">
        <v>1</v>
      </c>
      <c r="O383">
        <v>2</v>
      </c>
      <c r="P383">
        <v>0.16</v>
      </c>
      <c r="Q383">
        <v>0.1515</v>
      </c>
    </row>
    <row r="384" spans="1:17">
      <c r="A384">
        <v>383</v>
      </c>
      <c r="B384">
        <v>0.1515</v>
      </c>
      <c r="C384">
        <v>0.5</v>
      </c>
      <c r="D384">
        <v>0.25369999999999998</v>
      </c>
      <c r="E384">
        <v>7</v>
      </c>
      <c r="F384">
        <v>50</v>
      </c>
      <c r="G384">
        <v>57</v>
      </c>
      <c r="H384" s="22">
        <v>40560</v>
      </c>
      <c r="I384">
        <v>1</v>
      </c>
      <c r="J384">
        <v>0</v>
      </c>
      <c r="K384">
        <v>1</v>
      </c>
      <c r="L384">
        <v>10</v>
      </c>
      <c r="M384" t="b">
        <v>1</v>
      </c>
      <c r="N384">
        <v>1</v>
      </c>
      <c r="O384">
        <v>2</v>
      </c>
      <c r="P384">
        <v>0.16</v>
      </c>
      <c r="Q384">
        <v>0.1515</v>
      </c>
    </row>
    <row r="385" spans="1:17">
      <c r="A385">
        <v>384</v>
      </c>
      <c r="B385">
        <v>0.1515</v>
      </c>
      <c r="C385">
        <v>0.55000000000000004</v>
      </c>
      <c r="D385">
        <v>0.19400000000000001</v>
      </c>
      <c r="E385">
        <v>9</v>
      </c>
      <c r="F385">
        <v>55</v>
      </c>
      <c r="G385">
        <v>64</v>
      </c>
      <c r="H385" s="22">
        <v>40560</v>
      </c>
      <c r="I385">
        <v>1</v>
      </c>
      <c r="J385">
        <v>0</v>
      </c>
      <c r="K385">
        <v>1</v>
      </c>
      <c r="L385">
        <v>11</v>
      </c>
      <c r="M385" t="b">
        <v>1</v>
      </c>
      <c r="N385">
        <v>1</v>
      </c>
      <c r="O385">
        <v>2</v>
      </c>
      <c r="P385">
        <v>0.16</v>
      </c>
      <c r="Q385">
        <v>0.1515</v>
      </c>
    </row>
    <row r="386" spans="1:17">
      <c r="A386">
        <v>385</v>
      </c>
      <c r="B386">
        <v>0.19700000000000001</v>
      </c>
      <c r="C386">
        <v>0.47</v>
      </c>
      <c r="D386">
        <v>0.1343</v>
      </c>
      <c r="E386">
        <v>10</v>
      </c>
      <c r="F386">
        <v>70</v>
      </c>
      <c r="G386">
        <v>80</v>
      </c>
      <c r="H386" s="22">
        <v>40560</v>
      </c>
      <c r="I386">
        <v>1</v>
      </c>
      <c r="J386">
        <v>0</v>
      </c>
      <c r="K386">
        <v>1</v>
      </c>
      <c r="L386">
        <v>12</v>
      </c>
      <c r="M386" t="b">
        <v>1</v>
      </c>
      <c r="N386">
        <v>1</v>
      </c>
      <c r="O386">
        <v>2</v>
      </c>
      <c r="P386">
        <v>0.18</v>
      </c>
      <c r="Q386">
        <v>0.19700000000000001</v>
      </c>
    </row>
    <row r="387" spans="1:17">
      <c r="A387">
        <v>386</v>
      </c>
      <c r="B387">
        <v>0.19700000000000001</v>
      </c>
      <c r="C387">
        <v>0.47</v>
      </c>
      <c r="D387">
        <v>0.1343</v>
      </c>
      <c r="E387">
        <v>13</v>
      </c>
      <c r="F387">
        <v>80</v>
      </c>
      <c r="G387">
        <v>93</v>
      </c>
      <c r="H387" s="22">
        <v>40560</v>
      </c>
      <c r="I387">
        <v>1</v>
      </c>
      <c r="J387">
        <v>0</v>
      </c>
      <c r="K387">
        <v>1</v>
      </c>
      <c r="L387">
        <v>13</v>
      </c>
      <c r="M387" t="b">
        <v>1</v>
      </c>
      <c r="N387">
        <v>1</v>
      </c>
      <c r="O387">
        <v>2</v>
      </c>
      <c r="P387">
        <v>0.18</v>
      </c>
      <c r="Q387">
        <v>0.19700000000000001</v>
      </c>
    </row>
    <row r="388" spans="1:17">
      <c r="A388">
        <v>387</v>
      </c>
      <c r="B388">
        <v>0.21210000000000001</v>
      </c>
      <c r="C388">
        <v>0.43</v>
      </c>
      <c r="D388">
        <v>0.1045</v>
      </c>
      <c r="E388">
        <v>12</v>
      </c>
      <c r="F388">
        <v>74</v>
      </c>
      <c r="G388">
        <v>86</v>
      </c>
      <c r="H388" s="22">
        <v>40560</v>
      </c>
      <c r="I388">
        <v>1</v>
      </c>
      <c r="J388">
        <v>0</v>
      </c>
      <c r="K388">
        <v>1</v>
      </c>
      <c r="L388">
        <v>14</v>
      </c>
      <c r="M388" t="b">
        <v>1</v>
      </c>
      <c r="N388">
        <v>1</v>
      </c>
      <c r="O388">
        <v>2</v>
      </c>
      <c r="P388">
        <v>0.18</v>
      </c>
      <c r="Q388">
        <v>0.21210000000000001</v>
      </c>
    </row>
    <row r="389" spans="1:17">
      <c r="A389">
        <v>388</v>
      </c>
      <c r="B389">
        <v>0.21210000000000001</v>
      </c>
      <c r="C389">
        <v>0.47</v>
      </c>
      <c r="D389">
        <v>0.16420000000000001</v>
      </c>
      <c r="E389">
        <v>21</v>
      </c>
      <c r="F389">
        <v>72</v>
      </c>
      <c r="G389">
        <v>93</v>
      </c>
      <c r="H389" s="22">
        <v>40560</v>
      </c>
      <c r="I389">
        <v>1</v>
      </c>
      <c r="J389">
        <v>0</v>
      </c>
      <c r="K389">
        <v>1</v>
      </c>
      <c r="L389">
        <v>15</v>
      </c>
      <c r="M389" t="b">
        <v>1</v>
      </c>
      <c r="N389">
        <v>1</v>
      </c>
      <c r="O389">
        <v>2</v>
      </c>
      <c r="P389">
        <v>0.2</v>
      </c>
      <c r="Q389">
        <v>0.21210000000000001</v>
      </c>
    </row>
    <row r="390" spans="1:17">
      <c r="A390">
        <v>389</v>
      </c>
      <c r="B390">
        <v>0.21210000000000001</v>
      </c>
      <c r="C390">
        <v>0.47</v>
      </c>
      <c r="D390">
        <v>0.16420000000000001</v>
      </c>
      <c r="E390">
        <v>6</v>
      </c>
      <c r="F390">
        <v>76</v>
      </c>
      <c r="G390">
        <v>82</v>
      </c>
      <c r="H390" s="22">
        <v>40560</v>
      </c>
      <c r="I390">
        <v>1</v>
      </c>
      <c r="J390">
        <v>0</v>
      </c>
      <c r="K390">
        <v>1</v>
      </c>
      <c r="L390">
        <v>16</v>
      </c>
      <c r="M390" t="b">
        <v>1</v>
      </c>
      <c r="N390">
        <v>1</v>
      </c>
      <c r="O390">
        <v>2</v>
      </c>
      <c r="P390">
        <v>0.2</v>
      </c>
      <c r="Q390">
        <v>0.21210000000000001</v>
      </c>
    </row>
    <row r="391" spans="1:17">
      <c r="A391">
        <v>390</v>
      </c>
      <c r="B391">
        <v>0.19700000000000001</v>
      </c>
      <c r="C391">
        <v>0.51</v>
      </c>
      <c r="D391">
        <v>0.19400000000000001</v>
      </c>
      <c r="E391">
        <v>4</v>
      </c>
      <c r="F391">
        <v>67</v>
      </c>
      <c r="G391">
        <v>71</v>
      </c>
      <c r="H391" s="22">
        <v>40560</v>
      </c>
      <c r="I391">
        <v>1</v>
      </c>
      <c r="J391">
        <v>0</v>
      </c>
      <c r="K391">
        <v>1</v>
      </c>
      <c r="L391">
        <v>17</v>
      </c>
      <c r="M391" t="b">
        <v>1</v>
      </c>
      <c r="N391">
        <v>1</v>
      </c>
      <c r="O391">
        <v>1</v>
      </c>
      <c r="P391">
        <v>0.2</v>
      </c>
      <c r="Q391">
        <v>0.19700000000000001</v>
      </c>
    </row>
    <row r="392" spans="1:17">
      <c r="A392">
        <v>391</v>
      </c>
      <c r="B392">
        <v>0.16669999999999999</v>
      </c>
      <c r="C392">
        <v>0.55000000000000004</v>
      </c>
      <c r="D392">
        <v>0.25369999999999998</v>
      </c>
      <c r="E392">
        <v>7</v>
      </c>
      <c r="F392">
        <v>85</v>
      </c>
      <c r="G392">
        <v>92</v>
      </c>
      <c r="H392" s="22">
        <v>40560</v>
      </c>
      <c r="I392">
        <v>1</v>
      </c>
      <c r="J392">
        <v>0</v>
      </c>
      <c r="K392">
        <v>1</v>
      </c>
      <c r="L392">
        <v>18</v>
      </c>
      <c r="M392" t="b">
        <v>1</v>
      </c>
      <c r="N392">
        <v>1</v>
      </c>
      <c r="O392">
        <v>2</v>
      </c>
      <c r="P392">
        <v>0.18</v>
      </c>
      <c r="Q392">
        <v>0.16669999999999999</v>
      </c>
    </row>
    <row r="393" spans="1:17">
      <c r="A393">
        <v>392</v>
      </c>
      <c r="B393">
        <v>0.18179999999999999</v>
      </c>
      <c r="C393">
        <v>0.59</v>
      </c>
      <c r="D393">
        <v>0.19400000000000001</v>
      </c>
      <c r="E393">
        <v>2</v>
      </c>
      <c r="F393">
        <v>58</v>
      </c>
      <c r="G393">
        <v>60</v>
      </c>
      <c r="H393" s="22">
        <v>40560</v>
      </c>
      <c r="I393">
        <v>1</v>
      </c>
      <c r="J393">
        <v>0</v>
      </c>
      <c r="K393">
        <v>1</v>
      </c>
      <c r="L393">
        <v>19</v>
      </c>
      <c r="M393" t="b">
        <v>1</v>
      </c>
      <c r="N393">
        <v>1</v>
      </c>
      <c r="O393">
        <v>3</v>
      </c>
      <c r="P393">
        <v>0.18</v>
      </c>
      <c r="Q393">
        <v>0.18179999999999999</v>
      </c>
    </row>
    <row r="394" spans="1:17">
      <c r="A394">
        <v>393</v>
      </c>
      <c r="B394">
        <v>0.1515</v>
      </c>
      <c r="C394">
        <v>0.8</v>
      </c>
      <c r="D394">
        <v>0.19400000000000001</v>
      </c>
      <c r="E394">
        <v>4</v>
      </c>
      <c r="F394">
        <v>29</v>
      </c>
      <c r="G394">
        <v>33</v>
      </c>
      <c r="H394" s="22">
        <v>40560</v>
      </c>
      <c r="I394">
        <v>1</v>
      </c>
      <c r="J394">
        <v>0</v>
      </c>
      <c r="K394">
        <v>1</v>
      </c>
      <c r="L394">
        <v>20</v>
      </c>
      <c r="M394" t="b">
        <v>1</v>
      </c>
      <c r="N394">
        <v>1</v>
      </c>
      <c r="O394">
        <v>3</v>
      </c>
      <c r="P394">
        <v>0.16</v>
      </c>
      <c r="Q394">
        <v>0.1515</v>
      </c>
    </row>
    <row r="395" spans="1:17">
      <c r="A395">
        <v>394</v>
      </c>
      <c r="B395">
        <v>0.1515</v>
      </c>
      <c r="C395">
        <v>0.8</v>
      </c>
      <c r="D395">
        <v>0.19400000000000001</v>
      </c>
      <c r="E395">
        <v>3</v>
      </c>
      <c r="F395">
        <v>24</v>
      </c>
      <c r="G395">
        <v>27</v>
      </c>
      <c r="H395" s="22">
        <v>40560</v>
      </c>
      <c r="I395">
        <v>1</v>
      </c>
      <c r="J395">
        <v>0</v>
      </c>
      <c r="K395">
        <v>1</v>
      </c>
      <c r="L395">
        <v>21</v>
      </c>
      <c r="M395" t="b">
        <v>1</v>
      </c>
      <c r="N395">
        <v>1</v>
      </c>
      <c r="O395">
        <v>3</v>
      </c>
      <c r="P395">
        <v>0.16</v>
      </c>
      <c r="Q395">
        <v>0.1515</v>
      </c>
    </row>
    <row r="396" spans="1:17">
      <c r="A396">
        <v>395</v>
      </c>
      <c r="B396">
        <v>0.1212</v>
      </c>
      <c r="C396">
        <v>0.93</v>
      </c>
      <c r="D396">
        <v>0.25369999999999998</v>
      </c>
      <c r="E396">
        <v>0</v>
      </c>
      <c r="F396">
        <v>13</v>
      </c>
      <c r="G396">
        <v>13</v>
      </c>
      <c r="H396" s="22">
        <v>40560</v>
      </c>
      <c r="I396">
        <v>1</v>
      </c>
      <c r="J396">
        <v>0</v>
      </c>
      <c r="K396">
        <v>1</v>
      </c>
      <c r="L396">
        <v>22</v>
      </c>
      <c r="M396" t="b">
        <v>1</v>
      </c>
      <c r="N396">
        <v>1</v>
      </c>
      <c r="O396">
        <v>3</v>
      </c>
      <c r="P396">
        <v>0.14000000000000001</v>
      </c>
      <c r="Q396">
        <v>0.1212</v>
      </c>
    </row>
    <row r="397" spans="1:17">
      <c r="A397">
        <v>396</v>
      </c>
      <c r="B397">
        <v>0.13639999999999999</v>
      </c>
      <c r="C397">
        <v>0.86</v>
      </c>
      <c r="D397">
        <v>0.28360000000000002</v>
      </c>
      <c r="E397">
        <v>1</v>
      </c>
      <c r="F397">
        <v>3</v>
      </c>
      <c r="G397">
        <v>4</v>
      </c>
      <c r="H397" s="22">
        <v>40560</v>
      </c>
      <c r="I397">
        <v>1</v>
      </c>
      <c r="J397">
        <v>0</v>
      </c>
      <c r="K397">
        <v>1</v>
      </c>
      <c r="L397">
        <v>23</v>
      </c>
      <c r="M397" t="b">
        <v>1</v>
      </c>
      <c r="N397">
        <v>1</v>
      </c>
      <c r="O397">
        <v>3</v>
      </c>
      <c r="P397">
        <v>0.16</v>
      </c>
      <c r="Q397">
        <v>0.13639999999999999</v>
      </c>
    </row>
    <row r="398" spans="1:17">
      <c r="A398">
        <v>397</v>
      </c>
      <c r="B398">
        <v>0.18179999999999999</v>
      </c>
      <c r="C398">
        <v>0.86</v>
      </c>
      <c r="D398">
        <v>0.32840000000000003</v>
      </c>
      <c r="E398">
        <v>0</v>
      </c>
      <c r="F398">
        <v>3</v>
      </c>
      <c r="G398">
        <v>3</v>
      </c>
      <c r="H398" s="22">
        <v>40561</v>
      </c>
      <c r="I398">
        <v>1</v>
      </c>
      <c r="J398">
        <v>0</v>
      </c>
      <c r="K398">
        <v>1</v>
      </c>
      <c r="L398">
        <v>12</v>
      </c>
      <c r="M398" t="b">
        <v>0</v>
      </c>
      <c r="N398">
        <v>2</v>
      </c>
      <c r="O398">
        <v>2</v>
      </c>
      <c r="P398">
        <v>0.2</v>
      </c>
      <c r="Q398">
        <v>0.18179999999999999</v>
      </c>
    </row>
    <row r="399" spans="1:17">
      <c r="A399">
        <v>398</v>
      </c>
      <c r="B399">
        <v>0.19700000000000001</v>
      </c>
      <c r="C399">
        <v>0.86</v>
      </c>
      <c r="D399">
        <v>0.22389999999999999</v>
      </c>
      <c r="E399">
        <v>0</v>
      </c>
      <c r="F399">
        <v>22</v>
      </c>
      <c r="G399">
        <v>22</v>
      </c>
      <c r="H399" s="22">
        <v>40561</v>
      </c>
      <c r="I399">
        <v>1</v>
      </c>
      <c r="J399">
        <v>0</v>
      </c>
      <c r="K399">
        <v>1</v>
      </c>
      <c r="L399">
        <v>13</v>
      </c>
      <c r="M399" t="b">
        <v>0</v>
      </c>
      <c r="N399">
        <v>2</v>
      </c>
      <c r="O399">
        <v>2</v>
      </c>
      <c r="P399">
        <v>0.2</v>
      </c>
      <c r="Q399">
        <v>0.19700000000000001</v>
      </c>
    </row>
    <row r="400" spans="1:17">
      <c r="A400">
        <v>399</v>
      </c>
      <c r="B400">
        <v>0.2273</v>
      </c>
      <c r="C400">
        <v>0.8</v>
      </c>
      <c r="D400">
        <v>0.16420000000000001</v>
      </c>
      <c r="E400">
        <v>2</v>
      </c>
      <c r="F400">
        <v>26</v>
      </c>
      <c r="G400">
        <v>28</v>
      </c>
      <c r="H400" s="22">
        <v>40561</v>
      </c>
      <c r="I400">
        <v>1</v>
      </c>
      <c r="J400">
        <v>0</v>
      </c>
      <c r="K400">
        <v>1</v>
      </c>
      <c r="L400">
        <v>14</v>
      </c>
      <c r="M400" t="b">
        <v>0</v>
      </c>
      <c r="N400">
        <v>2</v>
      </c>
      <c r="O400">
        <v>2</v>
      </c>
      <c r="P400">
        <v>0.22</v>
      </c>
      <c r="Q400">
        <v>0.2273</v>
      </c>
    </row>
    <row r="401" spans="1:17">
      <c r="A401">
        <v>400</v>
      </c>
      <c r="B401">
        <v>0.2273</v>
      </c>
      <c r="C401">
        <v>0.87</v>
      </c>
      <c r="D401">
        <v>0.16420000000000001</v>
      </c>
      <c r="E401">
        <v>3</v>
      </c>
      <c r="F401">
        <v>32</v>
      </c>
      <c r="G401">
        <v>35</v>
      </c>
      <c r="H401" s="22">
        <v>40561</v>
      </c>
      <c r="I401">
        <v>1</v>
      </c>
      <c r="J401">
        <v>0</v>
      </c>
      <c r="K401">
        <v>1</v>
      </c>
      <c r="L401">
        <v>15</v>
      </c>
      <c r="M401" t="b">
        <v>0</v>
      </c>
      <c r="N401">
        <v>2</v>
      </c>
      <c r="O401">
        <v>2</v>
      </c>
      <c r="P401">
        <v>0.22</v>
      </c>
      <c r="Q401">
        <v>0.2273</v>
      </c>
    </row>
    <row r="402" spans="1:17">
      <c r="A402">
        <v>401</v>
      </c>
      <c r="B402">
        <v>0.2273</v>
      </c>
      <c r="C402">
        <v>0.87</v>
      </c>
      <c r="D402">
        <v>0.19400000000000001</v>
      </c>
      <c r="E402">
        <v>0</v>
      </c>
      <c r="F402">
        <v>61</v>
      </c>
      <c r="G402">
        <v>61</v>
      </c>
      <c r="H402" s="22">
        <v>40561</v>
      </c>
      <c r="I402">
        <v>1</v>
      </c>
      <c r="J402">
        <v>0</v>
      </c>
      <c r="K402">
        <v>1</v>
      </c>
      <c r="L402">
        <v>16</v>
      </c>
      <c r="M402" t="b">
        <v>0</v>
      </c>
      <c r="N402">
        <v>2</v>
      </c>
      <c r="O402">
        <v>2</v>
      </c>
      <c r="P402">
        <v>0.22</v>
      </c>
      <c r="Q402">
        <v>0.2273</v>
      </c>
    </row>
    <row r="403" spans="1:17">
      <c r="A403">
        <v>402</v>
      </c>
      <c r="B403">
        <v>0.2273</v>
      </c>
      <c r="C403">
        <v>0.82</v>
      </c>
      <c r="D403">
        <v>0.19400000000000001</v>
      </c>
      <c r="E403">
        <v>1</v>
      </c>
      <c r="F403">
        <v>124</v>
      </c>
      <c r="G403">
        <v>125</v>
      </c>
      <c r="H403" s="22">
        <v>40561</v>
      </c>
      <c r="I403">
        <v>1</v>
      </c>
      <c r="J403">
        <v>0</v>
      </c>
      <c r="K403">
        <v>1</v>
      </c>
      <c r="L403">
        <v>17</v>
      </c>
      <c r="M403" t="b">
        <v>0</v>
      </c>
      <c r="N403">
        <v>2</v>
      </c>
      <c r="O403">
        <v>2</v>
      </c>
      <c r="P403">
        <v>0.22</v>
      </c>
      <c r="Q403">
        <v>0.2273</v>
      </c>
    </row>
    <row r="404" spans="1:17">
      <c r="A404">
        <v>403</v>
      </c>
      <c r="B404">
        <v>0.2273</v>
      </c>
      <c r="C404">
        <v>0.8</v>
      </c>
      <c r="D404">
        <v>0.16420000000000001</v>
      </c>
      <c r="E404">
        <v>1</v>
      </c>
      <c r="F404">
        <v>132</v>
      </c>
      <c r="G404">
        <v>133</v>
      </c>
      <c r="H404" s="22">
        <v>40561</v>
      </c>
      <c r="I404">
        <v>1</v>
      </c>
      <c r="J404">
        <v>0</v>
      </c>
      <c r="K404">
        <v>1</v>
      </c>
      <c r="L404">
        <v>18</v>
      </c>
      <c r="M404" t="b">
        <v>0</v>
      </c>
      <c r="N404">
        <v>2</v>
      </c>
      <c r="O404">
        <v>2</v>
      </c>
      <c r="P404">
        <v>0.22</v>
      </c>
      <c r="Q404">
        <v>0.2273</v>
      </c>
    </row>
    <row r="405" spans="1:17">
      <c r="A405">
        <v>404</v>
      </c>
      <c r="B405">
        <v>0.2273</v>
      </c>
      <c r="C405">
        <v>0.8</v>
      </c>
      <c r="D405">
        <v>0.1343</v>
      </c>
      <c r="E405">
        <v>1</v>
      </c>
      <c r="F405">
        <v>98</v>
      </c>
      <c r="G405">
        <v>99</v>
      </c>
      <c r="H405" s="22">
        <v>40561</v>
      </c>
      <c r="I405">
        <v>1</v>
      </c>
      <c r="J405">
        <v>0</v>
      </c>
      <c r="K405">
        <v>1</v>
      </c>
      <c r="L405">
        <v>19</v>
      </c>
      <c r="M405" t="b">
        <v>0</v>
      </c>
      <c r="N405">
        <v>2</v>
      </c>
      <c r="O405">
        <v>2</v>
      </c>
      <c r="P405">
        <v>0.22</v>
      </c>
      <c r="Q405">
        <v>0.2273</v>
      </c>
    </row>
    <row r="406" spans="1:17">
      <c r="A406">
        <v>405</v>
      </c>
      <c r="B406">
        <v>0.2727</v>
      </c>
      <c r="C406">
        <v>0.87</v>
      </c>
      <c r="D406">
        <v>0</v>
      </c>
      <c r="E406">
        <v>0</v>
      </c>
      <c r="F406">
        <v>83</v>
      </c>
      <c r="G406">
        <v>83</v>
      </c>
      <c r="H406" s="22">
        <v>40561</v>
      </c>
      <c r="I406">
        <v>1</v>
      </c>
      <c r="J406">
        <v>0</v>
      </c>
      <c r="K406">
        <v>1</v>
      </c>
      <c r="L406">
        <v>20</v>
      </c>
      <c r="M406" t="b">
        <v>0</v>
      </c>
      <c r="N406">
        <v>2</v>
      </c>
      <c r="O406">
        <v>2</v>
      </c>
      <c r="P406">
        <v>0.22</v>
      </c>
      <c r="Q406">
        <v>0.2727</v>
      </c>
    </row>
    <row r="407" spans="1:17">
      <c r="A407">
        <v>406</v>
      </c>
      <c r="B407">
        <v>0.2424</v>
      </c>
      <c r="C407">
        <v>0.93</v>
      </c>
      <c r="D407">
        <v>0.1045</v>
      </c>
      <c r="E407">
        <v>0</v>
      </c>
      <c r="F407">
        <v>41</v>
      </c>
      <c r="G407">
        <v>41</v>
      </c>
      <c r="H407" s="22">
        <v>40561</v>
      </c>
      <c r="I407">
        <v>1</v>
      </c>
      <c r="J407">
        <v>0</v>
      </c>
      <c r="K407">
        <v>1</v>
      </c>
      <c r="L407">
        <v>21</v>
      </c>
      <c r="M407" t="b">
        <v>0</v>
      </c>
      <c r="N407">
        <v>2</v>
      </c>
      <c r="O407">
        <v>2</v>
      </c>
      <c r="P407">
        <v>0.22</v>
      </c>
      <c r="Q407">
        <v>0.2424</v>
      </c>
    </row>
    <row r="408" spans="1:17">
      <c r="A408">
        <v>407</v>
      </c>
      <c r="B408">
        <v>0.2576</v>
      </c>
      <c r="C408">
        <v>0.93</v>
      </c>
      <c r="D408">
        <v>8.9599999999999999E-2</v>
      </c>
      <c r="E408">
        <v>0</v>
      </c>
      <c r="F408">
        <v>33</v>
      </c>
      <c r="G408">
        <v>33</v>
      </c>
      <c r="H408" s="22">
        <v>40561</v>
      </c>
      <c r="I408">
        <v>1</v>
      </c>
      <c r="J408">
        <v>0</v>
      </c>
      <c r="K408">
        <v>1</v>
      </c>
      <c r="L408">
        <v>22</v>
      </c>
      <c r="M408" t="b">
        <v>0</v>
      </c>
      <c r="N408">
        <v>2</v>
      </c>
      <c r="O408">
        <v>2</v>
      </c>
      <c r="P408">
        <v>0.22</v>
      </c>
      <c r="Q408">
        <v>0.2576</v>
      </c>
    </row>
    <row r="409" spans="1:17">
      <c r="A409">
        <v>408</v>
      </c>
      <c r="B409">
        <v>0.2727</v>
      </c>
      <c r="C409">
        <v>0.93</v>
      </c>
      <c r="D409">
        <v>0</v>
      </c>
      <c r="E409">
        <v>1</v>
      </c>
      <c r="F409">
        <v>19</v>
      </c>
      <c r="G409">
        <v>20</v>
      </c>
      <c r="H409" s="22">
        <v>40561</v>
      </c>
      <c r="I409">
        <v>1</v>
      </c>
      <c r="J409">
        <v>0</v>
      </c>
      <c r="K409">
        <v>1</v>
      </c>
      <c r="L409">
        <v>23</v>
      </c>
      <c r="M409" t="b">
        <v>0</v>
      </c>
      <c r="N409">
        <v>2</v>
      </c>
      <c r="O409">
        <v>2</v>
      </c>
      <c r="P409">
        <v>0.22</v>
      </c>
      <c r="Q409">
        <v>0.2727</v>
      </c>
    </row>
    <row r="410" spans="1:17">
      <c r="A410">
        <v>409</v>
      </c>
      <c r="B410">
        <v>0.2727</v>
      </c>
      <c r="C410">
        <v>0.93</v>
      </c>
      <c r="D410">
        <v>0</v>
      </c>
      <c r="E410">
        <v>0</v>
      </c>
      <c r="F410">
        <v>3</v>
      </c>
      <c r="G410">
        <v>3</v>
      </c>
      <c r="H410" s="22">
        <v>40562</v>
      </c>
      <c r="I410">
        <v>1</v>
      </c>
      <c r="J410">
        <v>0</v>
      </c>
      <c r="K410">
        <v>1</v>
      </c>
      <c r="L410">
        <v>0</v>
      </c>
      <c r="M410" t="b">
        <v>0</v>
      </c>
      <c r="N410">
        <v>3</v>
      </c>
      <c r="O410">
        <v>2</v>
      </c>
      <c r="P410">
        <v>0.22</v>
      </c>
      <c r="Q410">
        <v>0.2727</v>
      </c>
    </row>
    <row r="411" spans="1:17">
      <c r="A411">
        <v>410</v>
      </c>
      <c r="B411">
        <v>0.2273</v>
      </c>
      <c r="C411">
        <v>0.93</v>
      </c>
      <c r="D411">
        <v>0.1343</v>
      </c>
      <c r="E411">
        <v>1</v>
      </c>
      <c r="F411">
        <v>6</v>
      </c>
      <c r="G411">
        <v>7</v>
      </c>
      <c r="H411" s="22">
        <v>40562</v>
      </c>
      <c r="I411">
        <v>1</v>
      </c>
      <c r="J411">
        <v>0</v>
      </c>
      <c r="K411">
        <v>1</v>
      </c>
      <c r="L411">
        <v>1</v>
      </c>
      <c r="M411" t="b">
        <v>0</v>
      </c>
      <c r="N411">
        <v>3</v>
      </c>
      <c r="O411">
        <v>3</v>
      </c>
      <c r="P411">
        <v>0.22</v>
      </c>
      <c r="Q411">
        <v>0.2273</v>
      </c>
    </row>
    <row r="412" spans="1:17">
      <c r="A412">
        <v>411</v>
      </c>
      <c r="B412">
        <v>0.2273</v>
      </c>
      <c r="C412">
        <v>0.93</v>
      </c>
      <c r="D412">
        <v>0.1343</v>
      </c>
      <c r="E412">
        <v>0</v>
      </c>
      <c r="F412">
        <v>3</v>
      </c>
      <c r="G412">
        <v>3</v>
      </c>
      <c r="H412" s="22">
        <v>40562</v>
      </c>
      <c r="I412">
        <v>1</v>
      </c>
      <c r="J412">
        <v>0</v>
      </c>
      <c r="K412">
        <v>1</v>
      </c>
      <c r="L412">
        <v>2</v>
      </c>
      <c r="M412" t="b">
        <v>0</v>
      </c>
      <c r="N412">
        <v>3</v>
      </c>
      <c r="O412">
        <v>3</v>
      </c>
      <c r="P412">
        <v>0.22</v>
      </c>
      <c r="Q412">
        <v>0.2273</v>
      </c>
    </row>
    <row r="413" spans="1:17">
      <c r="A413">
        <v>412</v>
      </c>
      <c r="B413">
        <v>0.2273</v>
      </c>
      <c r="C413">
        <v>0.93</v>
      </c>
      <c r="D413">
        <v>0.1343</v>
      </c>
      <c r="E413">
        <v>1</v>
      </c>
      <c r="F413">
        <v>1</v>
      </c>
      <c r="G413">
        <v>2</v>
      </c>
      <c r="H413" s="22">
        <v>40562</v>
      </c>
      <c r="I413">
        <v>1</v>
      </c>
      <c r="J413">
        <v>0</v>
      </c>
      <c r="K413">
        <v>1</v>
      </c>
      <c r="L413">
        <v>4</v>
      </c>
      <c r="M413" t="b">
        <v>0</v>
      </c>
      <c r="N413">
        <v>3</v>
      </c>
      <c r="O413">
        <v>3</v>
      </c>
      <c r="P413">
        <v>0.22</v>
      </c>
      <c r="Q413">
        <v>0.2273</v>
      </c>
    </row>
    <row r="414" spans="1:17">
      <c r="A414">
        <v>413</v>
      </c>
      <c r="B414">
        <v>0.2576</v>
      </c>
      <c r="C414">
        <v>0.93</v>
      </c>
      <c r="D414">
        <v>8.9599999999999999E-2</v>
      </c>
      <c r="E414">
        <v>0</v>
      </c>
      <c r="F414">
        <v>7</v>
      </c>
      <c r="G414">
        <v>7</v>
      </c>
      <c r="H414" s="22">
        <v>40562</v>
      </c>
      <c r="I414">
        <v>1</v>
      </c>
      <c r="J414">
        <v>0</v>
      </c>
      <c r="K414">
        <v>1</v>
      </c>
      <c r="L414">
        <v>5</v>
      </c>
      <c r="M414" t="b">
        <v>0</v>
      </c>
      <c r="N414">
        <v>3</v>
      </c>
      <c r="O414">
        <v>2</v>
      </c>
      <c r="P414">
        <v>0.22</v>
      </c>
      <c r="Q414">
        <v>0.2576</v>
      </c>
    </row>
    <row r="415" spans="1:17">
      <c r="A415">
        <v>414</v>
      </c>
      <c r="B415">
        <v>0.2576</v>
      </c>
      <c r="C415">
        <v>0.93</v>
      </c>
      <c r="D415">
        <v>8.9599999999999999E-2</v>
      </c>
      <c r="E415">
        <v>0</v>
      </c>
      <c r="F415">
        <v>32</v>
      </c>
      <c r="G415">
        <v>32</v>
      </c>
      <c r="H415" s="22">
        <v>40562</v>
      </c>
      <c r="I415">
        <v>1</v>
      </c>
      <c r="J415">
        <v>0</v>
      </c>
      <c r="K415">
        <v>1</v>
      </c>
      <c r="L415">
        <v>6</v>
      </c>
      <c r="M415" t="b">
        <v>0</v>
      </c>
      <c r="N415">
        <v>3</v>
      </c>
      <c r="O415">
        <v>2</v>
      </c>
      <c r="P415">
        <v>0.22</v>
      </c>
      <c r="Q415">
        <v>0.2576</v>
      </c>
    </row>
    <row r="416" spans="1:17">
      <c r="A416">
        <v>415</v>
      </c>
      <c r="B416">
        <v>0.2576</v>
      </c>
      <c r="C416">
        <v>0.92</v>
      </c>
      <c r="D416">
        <v>0.1045</v>
      </c>
      <c r="E416">
        <v>1</v>
      </c>
      <c r="F416">
        <v>89</v>
      </c>
      <c r="G416">
        <v>90</v>
      </c>
      <c r="H416" s="22">
        <v>40562</v>
      </c>
      <c r="I416">
        <v>1</v>
      </c>
      <c r="J416">
        <v>0</v>
      </c>
      <c r="K416">
        <v>1</v>
      </c>
      <c r="L416">
        <v>7</v>
      </c>
      <c r="M416" t="b">
        <v>0</v>
      </c>
      <c r="N416">
        <v>3</v>
      </c>
      <c r="O416">
        <v>2</v>
      </c>
      <c r="P416">
        <v>0.24</v>
      </c>
      <c r="Q416">
        <v>0.2576</v>
      </c>
    </row>
    <row r="417" spans="1:17">
      <c r="A417">
        <v>416</v>
      </c>
      <c r="B417">
        <v>0.2576</v>
      </c>
      <c r="C417">
        <v>0.93</v>
      </c>
      <c r="D417">
        <v>0.1045</v>
      </c>
      <c r="E417">
        <v>1</v>
      </c>
      <c r="F417">
        <v>196</v>
      </c>
      <c r="G417">
        <v>197</v>
      </c>
      <c r="H417" s="22">
        <v>40562</v>
      </c>
      <c r="I417">
        <v>1</v>
      </c>
      <c r="J417">
        <v>0</v>
      </c>
      <c r="K417">
        <v>1</v>
      </c>
      <c r="L417">
        <v>8</v>
      </c>
      <c r="M417" t="b">
        <v>0</v>
      </c>
      <c r="N417">
        <v>3</v>
      </c>
      <c r="O417">
        <v>2</v>
      </c>
      <c r="P417">
        <v>0.24</v>
      </c>
      <c r="Q417">
        <v>0.2576</v>
      </c>
    </row>
    <row r="418" spans="1:17">
      <c r="A418">
        <v>417</v>
      </c>
      <c r="B418">
        <v>0.2576</v>
      </c>
      <c r="C418">
        <v>0.93</v>
      </c>
      <c r="D418">
        <v>0.1045</v>
      </c>
      <c r="E418">
        <v>2</v>
      </c>
      <c r="F418">
        <v>107</v>
      </c>
      <c r="G418">
        <v>109</v>
      </c>
      <c r="H418" s="22">
        <v>40562</v>
      </c>
      <c r="I418">
        <v>1</v>
      </c>
      <c r="J418">
        <v>0</v>
      </c>
      <c r="K418">
        <v>1</v>
      </c>
      <c r="L418">
        <v>9</v>
      </c>
      <c r="M418" t="b">
        <v>0</v>
      </c>
      <c r="N418">
        <v>3</v>
      </c>
      <c r="O418">
        <v>2</v>
      </c>
      <c r="P418">
        <v>0.24</v>
      </c>
      <c r="Q418">
        <v>0.2576</v>
      </c>
    </row>
    <row r="419" spans="1:17">
      <c r="A419">
        <v>418</v>
      </c>
      <c r="B419">
        <v>0.2727</v>
      </c>
      <c r="C419">
        <v>0.93</v>
      </c>
      <c r="D419">
        <v>0.1343</v>
      </c>
      <c r="E419">
        <v>1</v>
      </c>
      <c r="F419">
        <v>46</v>
      </c>
      <c r="G419">
        <v>47</v>
      </c>
      <c r="H419" s="22">
        <v>40562</v>
      </c>
      <c r="I419">
        <v>1</v>
      </c>
      <c r="J419">
        <v>0</v>
      </c>
      <c r="K419">
        <v>1</v>
      </c>
      <c r="L419">
        <v>10</v>
      </c>
      <c r="M419" t="b">
        <v>0</v>
      </c>
      <c r="N419">
        <v>3</v>
      </c>
      <c r="O419">
        <v>2</v>
      </c>
      <c r="P419">
        <v>0.26</v>
      </c>
      <c r="Q419">
        <v>0.2727</v>
      </c>
    </row>
    <row r="420" spans="1:17">
      <c r="A420">
        <v>419</v>
      </c>
      <c r="B420">
        <v>0.30299999999999999</v>
      </c>
      <c r="C420">
        <v>0.87</v>
      </c>
      <c r="D420">
        <v>8.9599999999999999E-2</v>
      </c>
      <c r="E420">
        <v>5</v>
      </c>
      <c r="F420">
        <v>47</v>
      </c>
      <c r="G420">
        <v>52</v>
      </c>
      <c r="H420" s="22">
        <v>40562</v>
      </c>
      <c r="I420">
        <v>1</v>
      </c>
      <c r="J420">
        <v>0</v>
      </c>
      <c r="K420">
        <v>1</v>
      </c>
      <c r="L420">
        <v>11</v>
      </c>
      <c r="M420" t="b">
        <v>0</v>
      </c>
      <c r="N420">
        <v>3</v>
      </c>
      <c r="O420">
        <v>2</v>
      </c>
      <c r="P420">
        <v>0.28000000000000003</v>
      </c>
      <c r="Q420">
        <v>0.30299999999999999</v>
      </c>
    </row>
    <row r="421" spans="1:17">
      <c r="A421">
        <v>420</v>
      </c>
      <c r="B421">
        <v>0.31819999999999998</v>
      </c>
      <c r="C421">
        <v>0.81</v>
      </c>
      <c r="D421">
        <v>8.9599999999999999E-2</v>
      </c>
      <c r="E421">
        <v>5</v>
      </c>
      <c r="F421">
        <v>65</v>
      </c>
      <c r="G421">
        <v>70</v>
      </c>
      <c r="H421" s="22">
        <v>40562</v>
      </c>
      <c r="I421">
        <v>1</v>
      </c>
      <c r="J421">
        <v>0</v>
      </c>
      <c r="K421">
        <v>1</v>
      </c>
      <c r="L421">
        <v>12</v>
      </c>
      <c r="M421" t="b">
        <v>0</v>
      </c>
      <c r="N421">
        <v>3</v>
      </c>
      <c r="O421">
        <v>2</v>
      </c>
      <c r="P421">
        <v>0.3</v>
      </c>
      <c r="Q421">
        <v>0.31819999999999998</v>
      </c>
    </row>
    <row r="422" spans="1:17">
      <c r="A422">
        <v>421</v>
      </c>
      <c r="B422">
        <v>0.40910000000000002</v>
      </c>
      <c r="C422">
        <v>0.62</v>
      </c>
      <c r="D422">
        <v>0.28360000000000002</v>
      </c>
      <c r="E422">
        <v>11</v>
      </c>
      <c r="F422">
        <v>67</v>
      </c>
      <c r="G422">
        <v>78</v>
      </c>
      <c r="H422" s="22">
        <v>40562</v>
      </c>
      <c r="I422">
        <v>1</v>
      </c>
      <c r="J422">
        <v>0</v>
      </c>
      <c r="K422">
        <v>1</v>
      </c>
      <c r="L422">
        <v>13</v>
      </c>
      <c r="M422" t="b">
        <v>0</v>
      </c>
      <c r="N422">
        <v>3</v>
      </c>
      <c r="O422">
        <v>1</v>
      </c>
      <c r="P422">
        <v>0.4</v>
      </c>
      <c r="Q422">
        <v>0.40910000000000002</v>
      </c>
    </row>
    <row r="423" spans="1:17">
      <c r="A423">
        <v>422</v>
      </c>
      <c r="B423">
        <v>0.40910000000000002</v>
      </c>
      <c r="C423">
        <v>0.57999999999999996</v>
      </c>
      <c r="D423">
        <v>0.25369999999999998</v>
      </c>
      <c r="E423">
        <v>7</v>
      </c>
      <c r="F423">
        <v>68</v>
      </c>
      <c r="G423">
        <v>75</v>
      </c>
      <c r="H423" s="22">
        <v>40562</v>
      </c>
      <c r="I423">
        <v>1</v>
      </c>
      <c r="J423">
        <v>0</v>
      </c>
      <c r="K423">
        <v>1</v>
      </c>
      <c r="L423">
        <v>14</v>
      </c>
      <c r="M423" t="b">
        <v>0</v>
      </c>
      <c r="N423">
        <v>3</v>
      </c>
      <c r="O423">
        <v>1</v>
      </c>
      <c r="P423">
        <v>0.4</v>
      </c>
      <c r="Q423">
        <v>0.40910000000000002</v>
      </c>
    </row>
    <row r="424" spans="1:17">
      <c r="A424">
        <v>423</v>
      </c>
      <c r="B424">
        <v>0.40910000000000002</v>
      </c>
      <c r="C424">
        <v>0.54</v>
      </c>
      <c r="D424">
        <v>0.28360000000000002</v>
      </c>
      <c r="E424">
        <v>4</v>
      </c>
      <c r="F424">
        <v>78</v>
      </c>
      <c r="G424">
        <v>82</v>
      </c>
      <c r="H424" s="22">
        <v>40562</v>
      </c>
      <c r="I424">
        <v>1</v>
      </c>
      <c r="J424">
        <v>0</v>
      </c>
      <c r="K424">
        <v>1</v>
      </c>
      <c r="L424">
        <v>15</v>
      </c>
      <c r="M424" t="b">
        <v>0</v>
      </c>
      <c r="N424">
        <v>3</v>
      </c>
      <c r="O424">
        <v>1</v>
      </c>
      <c r="P424">
        <v>0.4</v>
      </c>
      <c r="Q424">
        <v>0.40910000000000002</v>
      </c>
    </row>
    <row r="425" spans="1:17">
      <c r="A425">
        <v>424</v>
      </c>
      <c r="B425">
        <v>0.39389999999999997</v>
      </c>
      <c r="C425">
        <v>0.57999999999999996</v>
      </c>
      <c r="D425">
        <v>0.3881</v>
      </c>
      <c r="E425">
        <v>10</v>
      </c>
      <c r="F425">
        <v>94</v>
      </c>
      <c r="G425">
        <v>104</v>
      </c>
      <c r="H425" s="22">
        <v>40562</v>
      </c>
      <c r="I425">
        <v>1</v>
      </c>
      <c r="J425">
        <v>0</v>
      </c>
      <c r="K425">
        <v>1</v>
      </c>
      <c r="L425">
        <v>16</v>
      </c>
      <c r="M425" t="b">
        <v>0</v>
      </c>
      <c r="N425">
        <v>3</v>
      </c>
      <c r="O425">
        <v>1</v>
      </c>
      <c r="P425">
        <v>0.38</v>
      </c>
      <c r="Q425">
        <v>0.39389999999999997</v>
      </c>
    </row>
    <row r="426" spans="1:17">
      <c r="A426">
        <v>425</v>
      </c>
      <c r="B426">
        <v>0.33329999999999999</v>
      </c>
      <c r="C426">
        <v>0.56999999999999995</v>
      </c>
      <c r="D426">
        <v>0.32840000000000003</v>
      </c>
      <c r="E426">
        <v>7</v>
      </c>
      <c r="F426">
        <v>190</v>
      </c>
      <c r="G426">
        <v>197</v>
      </c>
      <c r="H426" s="22">
        <v>40562</v>
      </c>
      <c r="I426">
        <v>1</v>
      </c>
      <c r="J426">
        <v>0</v>
      </c>
      <c r="K426">
        <v>1</v>
      </c>
      <c r="L426">
        <v>17</v>
      </c>
      <c r="M426" t="b">
        <v>0</v>
      </c>
      <c r="N426">
        <v>3</v>
      </c>
      <c r="O426">
        <v>1</v>
      </c>
      <c r="P426">
        <v>0.36</v>
      </c>
      <c r="Q426">
        <v>0.33329999999999999</v>
      </c>
    </row>
    <row r="427" spans="1:17">
      <c r="A427">
        <v>426</v>
      </c>
      <c r="B427">
        <v>0.31819999999999998</v>
      </c>
      <c r="C427">
        <v>0.61</v>
      </c>
      <c r="D427">
        <v>0.28360000000000002</v>
      </c>
      <c r="E427">
        <v>5</v>
      </c>
      <c r="F427">
        <v>156</v>
      </c>
      <c r="G427">
        <v>161</v>
      </c>
      <c r="H427" s="22">
        <v>40562</v>
      </c>
      <c r="I427">
        <v>1</v>
      </c>
      <c r="J427">
        <v>0</v>
      </c>
      <c r="K427">
        <v>1</v>
      </c>
      <c r="L427">
        <v>18</v>
      </c>
      <c r="M427" t="b">
        <v>0</v>
      </c>
      <c r="N427">
        <v>3</v>
      </c>
      <c r="O427">
        <v>1</v>
      </c>
      <c r="P427">
        <v>0.34</v>
      </c>
      <c r="Q427">
        <v>0.31819999999999998</v>
      </c>
    </row>
    <row r="428" spans="1:17">
      <c r="A428">
        <v>427</v>
      </c>
      <c r="B428">
        <v>0.28789999999999999</v>
      </c>
      <c r="C428">
        <v>0.56999999999999995</v>
      </c>
      <c r="D428">
        <v>0.41789999999999999</v>
      </c>
      <c r="E428">
        <v>4</v>
      </c>
      <c r="F428">
        <v>108</v>
      </c>
      <c r="G428">
        <v>112</v>
      </c>
      <c r="H428" s="22">
        <v>40562</v>
      </c>
      <c r="I428">
        <v>1</v>
      </c>
      <c r="J428">
        <v>0</v>
      </c>
      <c r="K428">
        <v>1</v>
      </c>
      <c r="L428">
        <v>19</v>
      </c>
      <c r="M428" t="b">
        <v>0</v>
      </c>
      <c r="N428">
        <v>3</v>
      </c>
      <c r="O428">
        <v>1</v>
      </c>
      <c r="P428">
        <v>0.32</v>
      </c>
      <c r="Q428">
        <v>0.28789999999999999</v>
      </c>
    </row>
    <row r="429" spans="1:17">
      <c r="A429">
        <v>428</v>
      </c>
      <c r="B429">
        <v>0.30299999999999999</v>
      </c>
      <c r="C429">
        <v>0.49</v>
      </c>
      <c r="D429">
        <v>0.29849999999999999</v>
      </c>
      <c r="E429">
        <v>2</v>
      </c>
      <c r="F429">
        <v>74</v>
      </c>
      <c r="G429">
        <v>76</v>
      </c>
      <c r="H429" s="22">
        <v>40562</v>
      </c>
      <c r="I429">
        <v>1</v>
      </c>
      <c r="J429">
        <v>0</v>
      </c>
      <c r="K429">
        <v>1</v>
      </c>
      <c r="L429">
        <v>20</v>
      </c>
      <c r="M429" t="b">
        <v>0</v>
      </c>
      <c r="N429">
        <v>3</v>
      </c>
      <c r="O429">
        <v>1</v>
      </c>
      <c r="P429">
        <v>0.32</v>
      </c>
      <c r="Q429">
        <v>0.30299999999999999</v>
      </c>
    </row>
    <row r="430" spans="1:17">
      <c r="A430">
        <v>429</v>
      </c>
      <c r="B430">
        <v>0.28789999999999999</v>
      </c>
      <c r="C430">
        <v>0.49</v>
      </c>
      <c r="D430">
        <v>0.41789999999999999</v>
      </c>
      <c r="E430">
        <v>4</v>
      </c>
      <c r="F430">
        <v>55</v>
      </c>
      <c r="G430">
        <v>59</v>
      </c>
      <c r="H430" s="22">
        <v>40562</v>
      </c>
      <c r="I430">
        <v>1</v>
      </c>
      <c r="J430">
        <v>0</v>
      </c>
      <c r="K430">
        <v>1</v>
      </c>
      <c r="L430">
        <v>21</v>
      </c>
      <c r="M430" t="b">
        <v>0</v>
      </c>
      <c r="N430">
        <v>3</v>
      </c>
      <c r="O430">
        <v>1</v>
      </c>
      <c r="P430">
        <v>0.32</v>
      </c>
      <c r="Q430">
        <v>0.28789999999999999</v>
      </c>
    </row>
    <row r="431" spans="1:17">
      <c r="A431">
        <v>430</v>
      </c>
      <c r="B431">
        <v>0.30299999999999999</v>
      </c>
      <c r="C431">
        <v>0.52</v>
      </c>
      <c r="D431">
        <v>0.16420000000000001</v>
      </c>
      <c r="E431">
        <v>6</v>
      </c>
      <c r="F431">
        <v>53</v>
      </c>
      <c r="G431">
        <v>59</v>
      </c>
      <c r="H431" s="22">
        <v>40562</v>
      </c>
      <c r="I431">
        <v>1</v>
      </c>
      <c r="J431">
        <v>0</v>
      </c>
      <c r="K431">
        <v>1</v>
      </c>
      <c r="L431">
        <v>22</v>
      </c>
      <c r="M431" t="b">
        <v>0</v>
      </c>
      <c r="N431">
        <v>3</v>
      </c>
      <c r="O431">
        <v>1</v>
      </c>
      <c r="P431">
        <v>0.3</v>
      </c>
      <c r="Q431">
        <v>0.30299999999999999</v>
      </c>
    </row>
    <row r="432" spans="1:17">
      <c r="A432">
        <v>431</v>
      </c>
      <c r="B432">
        <v>0.2727</v>
      </c>
      <c r="C432">
        <v>0.52</v>
      </c>
      <c r="D432">
        <v>0.4627</v>
      </c>
      <c r="E432">
        <v>1</v>
      </c>
      <c r="F432">
        <v>27</v>
      </c>
      <c r="G432">
        <v>28</v>
      </c>
      <c r="H432" s="22">
        <v>40562</v>
      </c>
      <c r="I432">
        <v>1</v>
      </c>
      <c r="J432">
        <v>0</v>
      </c>
      <c r="K432">
        <v>1</v>
      </c>
      <c r="L432">
        <v>23</v>
      </c>
      <c r="M432" t="b">
        <v>0</v>
      </c>
      <c r="N432">
        <v>3</v>
      </c>
      <c r="O432">
        <v>1</v>
      </c>
      <c r="P432">
        <v>0.3</v>
      </c>
      <c r="Q432">
        <v>0.2727</v>
      </c>
    </row>
    <row r="433" spans="1:17">
      <c r="A433">
        <v>432</v>
      </c>
      <c r="B433">
        <v>0.2273</v>
      </c>
      <c r="C433">
        <v>0.56000000000000005</v>
      </c>
      <c r="D433">
        <v>0.3881</v>
      </c>
      <c r="E433">
        <v>5</v>
      </c>
      <c r="F433">
        <v>8</v>
      </c>
      <c r="G433">
        <v>13</v>
      </c>
      <c r="H433" s="22">
        <v>40563</v>
      </c>
      <c r="I433">
        <v>1</v>
      </c>
      <c r="J433">
        <v>0</v>
      </c>
      <c r="K433">
        <v>1</v>
      </c>
      <c r="L433">
        <v>0</v>
      </c>
      <c r="M433" t="b">
        <v>0</v>
      </c>
      <c r="N433">
        <v>4</v>
      </c>
      <c r="O433">
        <v>1</v>
      </c>
      <c r="P433">
        <v>0.26</v>
      </c>
      <c r="Q433">
        <v>0.2273</v>
      </c>
    </row>
    <row r="434" spans="1:17">
      <c r="A434">
        <v>433</v>
      </c>
      <c r="B434">
        <v>0.2727</v>
      </c>
      <c r="C434">
        <v>0.56000000000000005</v>
      </c>
      <c r="D434">
        <v>0</v>
      </c>
      <c r="E434">
        <v>2</v>
      </c>
      <c r="F434">
        <v>3</v>
      </c>
      <c r="G434">
        <v>5</v>
      </c>
      <c r="H434" s="22">
        <v>40563</v>
      </c>
      <c r="I434">
        <v>1</v>
      </c>
      <c r="J434">
        <v>0</v>
      </c>
      <c r="K434">
        <v>1</v>
      </c>
      <c r="L434">
        <v>1</v>
      </c>
      <c r="M434" t="b">
        <v>0</v>
      </c>
      <c r="N434">
        <v>4</v>
      </c>
      <c r="O434">
        <v>1</v>
      </c>
      <c r="P434">
        <v>0.26</v>
      </c>
      <c r="Q434">
        <v>0.2727</v>
      </c>
    </row>
    <row r="435" spans="1:17">
      <c r="A435">
        <v>434</v>
      </c>
      <c r="B435">
        <v>0.2727</v>
      </c>
      <c r="C435">
        <v>0.56000000000000005</v>
      </c>
      <c r="D435">
        <v>0</v>
      </c>
      <c r="E435">
        <v>0</v>
      </c>
      <c r="F435">
        <v>2</v>
      </c>
      <c r="G435">
        <v>2</v>
      </c>
      <c r="H435" s="22">
        <v>40563</v>
      </c>
      <c r="I435">
        <v>1</v>
      </c>
      <c r="J435">
        <v>0</v>
      </c>
      <c r="K435">
        <v>1</v>
      </c>
      <c r="L435">
        <v>2</v>
      </c>
      <c r="M435" t="b">
        <v>0</v>
      </c>
      <c r="N435">
        <v>4</v>
      </c>
      <c r="O435">
        <v>1</v>
      </c>
      <c r="P435">
        <v>0.26</v>
      </c>
      <c r="Q435">
        <v>0.2727</v>
      </c>
    </row>
    <row r="436" spans="1:17">
      <c r="A436">
        <v>435</v>
      </c>
      <c r="B436">
        <v>0.2576</v>
      </c>
      <c r="C436">
        <v>0.56000000000000005</v>
      </c>
      <c r="D436">
        <v>0.16420000000000001</v>
      </c>
      <c r="E436">
        <v>0</v>
      </c>
      <c r="F436">
        <v>1</v>
      </c>
      <c r="G436">
        <v>1</v>
      </c>
      <c r="H436" s="22">
        <v>40563</v>
      </c>
      <c r="I436">
        <v>1</v>
      </c>
      <c r="J436">
        <v>0</v>
      </c>
      <c r="K436">
        <v>1</v>
      </c>
      <c r="L436">
        <v>3</v>
      </c>
      <c r="M436" t="b">
        <v>0</v>
      </c>
      <c r="N436">
        <v>4</v>
      </c>
      <c r="O436">
        <v>1</v>
      </c>
      <c r="P436">
        <v>0.26</v>
      </c>
      <c r="Q436">
        <v>0.2576</v>
      </c>
    </row>
    <row r="437" spans="1:17">
      <c r="A437">
        <v>436</v>
      </c>
      <c r="B437">
        <v>0.2576</v>
      </c>
      <c r="C437">
        <v>0.56000000000000005</v>
      </c>
      <c r="D437">
        <v>0.16420000000000001</v>
      </c>
      <c r="E437">
        <v>0</v>
      </c>
      <c r="F437">
        <v>1</v>
      </c>
      <c r="G437">
        <v>1</v>
      </c>
      <c r="H437" s="22">
        <v>40563</v>
      </c>
      <c r="I437">
        <v>1</v>
      </c>
      <c r="J437">
        <v>0</v>
      </c>
      <c r="K437">
        <v>1</v>
      </c>
      <c r="L437">
        <v>4</v>
      </c>
      <c r="M437" t="b">
        <v>0</v>
      </c>
      <c r="N437">
        <v>4</v>
      </c>
      <c r="O437">
        <v>1</v>
      </c>
      <c r="P437">
        <v>0.26</v>
      </c>
      <c r="Q437">
        <v>0.2576</v>
      </c>
    </row>
    <row r="438" spans="1:17">
      <c r="A438">
        <v>437</v>
      </c>
      <c r="B438">
        <v>0.2273</v>
      </c>
      <c r="C438">
        <v>0.6</v>
      </c>
      <c r="D438">
        <v>0.22389999999999999</v>
      </c>
      <c r="E438">
        <v>0</v>
      </c>
      <c r="F438">
        <v>6</v>
      </c>
      <c r="G438">
        <v>6</v>
      </c>
      <c r="H438" s="22">
        <v>40563</v>
      </c>
      <c r="I438">
        <v>1</v>
      </c>
      <c r="J438">
        <v>0</v>
      </c>
      <c r="K438">
        <v>1</v>
      </c>
      <c r="L438">
        <v>5</v>
      </c>
      <c r="M438" t="b">
        <v>0</v>
      </c>
      <c r="N438">
        <v>4</v>
      </c>
      <c r="O438">
        <v>1</v>
      </c>
      <c r="P438">
        <v>0.24</v>
      </c>
      <c r="Q438">
        <v>0.2273</v>
      </c>
    </row>
    <row r="439" spans="1:17">
      <c r="A439">
        <v>438</v>
      </c>
      <c r="B439">
        <v>0.21210000000000001</v>
      </c>
      <c r="C439">
        <v>0.6</v>
      </c>
      <c r="D439">
        <v>0.22389999999999999</v>
      </c>
      <c r="E439">
        <v>0</v>
      </c>
      <c r="F439">
        <v>35</v>
      </c>
      <c r="G439">
        <v>35</v>
      </c>
      <c r="H439" s="22">
        <v>40563</v>
      </c>
      <c r="I439">
        <v>1</v>
      </c>
      <c r="J439">
        <v>0</v>
      </c>
      <c r="K439">
        <v>1</v>
      </c>
      <c r="L439">
        <v>6</v>
      </c>
      <c r="M439" t="b">
        <v>0</v>
      </c>
      <c r="N439">
        <v>4</v>
      </c>
      <c r="O439">
        <v>1</v>
      </c>
      <c r="P439">
        <v>0.22</v>
      </c>
      <c r="Q439">
        <v>0.21210000000000001</v>
      </c>
    </row>
    <row r="440" spans="1:17">
      <c r="A440">
        <v>439</v>
      </c>
      <c r="B440">
        <v>0.21210000000000001</v>
      </c>
      <c r="C440">
        <v>0.55000000000000004</v>
      </c>
      <c r="D440">
        <v>0.22389999999999999</v>
      </c>
      <c r="E440">
        <v>1</v>
      </c>
      <c r="F440">
        <v>100</v>
      </c>
      <c r="G440">
        <v>101</v>
      </c>
      <c r="H440" s="22">
        <v>40563</v>
      </c>
      <c r="I440">
        <v>1</v>
      </c>
      <c r="J440">
        <v>0</v>
      </c>
      <c r="K440">
        <v>1</v>
      </c>
      <c r="L440">
        <v>7</v>
      </c>
      <c r="M440" t="b">
        <v>0</v>
      </c>
      <c r="N440">
        <v>4</v>
      </c>
      <c r="O440">
        <v>1</v>
      </c>
      <c r="P440">
        <v>0.22</v>
      </c>
      <c r="Q440">
        <v>0.21210000000000001</v>
      </c>
    </row>
    <row r="441" spans="1:17">
      <c r="A441">
        <v>440</v>
      </c>
      <c r="B441">
        <v>0.21210000000000001</v>
      </c>
      <c r="C441">
        <v>0.55000000000000004</v>
      </c>
      <c r="D441">
        <v>0.28360000000000002</v>
      </c>
      <c r="E441">
        <v>2</v>
      </c>
      <c r="F441">
        <v>247</v>
      </c>
      <c r="G441">
        <v>249</v>
      </c>
      <c r="H441" s="22">
        <v>40563</v>
      </c>
      <c r="I441">
        <v>1</v>
      </c>
      <c r="J441">
        <v>0</v>
      </c>
      <c r="K441">
        <v>1</v>
      </c>
      <c r="L441">
        <v>8</v>
      </c>
      <c r="M441" t="b">
        <v>0</v>
      </c>
      <c r="N441">
        <v>4</v>
      </c>
      <c r="O441">
        <v>1</v>
      </c>
      <c r="P441">
        <v>0.22</v>
      </c>
      <c r="Q441">
        <v>0.21210000000000001</v>
      </c>
    </row>
    <row r="442" spans="1:17">
      <c r="A442">
        <v>441</v>
      </c>
      <c r="B442">
        <v>0.2273</v>
      </c>
      <c r="C442">
        <v>0.52</v>
      </c>
      <c r="D442">
        <v>0.22389999999999999</v>
      </c>
      <c r="E442">
        <v>3</v>
      </c>
      <c r="F442">
        <v>140</v>
      </c>
      <c r="G442">
        <v>143</v>
      </c>
      <c r="H442" s="22">
        <v>40563</v>
      </c>
      <c r="I442">
        <v>1</v>
      </c>
      <c r="J442">
        <v>0</v>
      </c>
      <c r="K442">
        <v>1</v>
      </c>
      <c r="L442">
        <v>9</v>
      </c>
      <c r="M442" t="b">
        <v>0</v>
      </c>
      <c r="N442">
        <v>4</v>
      </c>
      <c r="O442">
        <v>2</v>
      </c>
      <c r="P442">
        <v>0.24</v>
      </c>
      <c r="Q442">
        <v>0.2273</v>
      </c>
    </row>
    <row r="443" spans="1:17">
      <c r="A443">
        <v>442</v>
      </c>
      <c r="B443">
        <v>0.2273</v>
      </c>
      <c r="C443">
        <v>0.48</v>
      </c>
      <c r="D443">
        <v>0.29849999999999999</v>
      </c>
      <c r="E443">
        <v>1</v>
      </c>
      <c r="F443">
        <v>56</v>
      </c>
      <c r="G443">
        <v>57</v>
      </c>
      <c r="H443" s="22">
        <v>40563</v>
      </c>
      <c r="I443">
        <v>1</v>
      </c>
      <c r="J443">
        <v>0</v>
      </c>
      <c r="K443">
        <v>1</v>
      </c>
      <c r="L443">
        <v>10</v>
      </c>
      <c r="M443" t="b">
        <v>0</v>
      </c>
      <c r="N443">
        <v>4</v>
      </c>
      <c r="O443">
        <v>1</v>
      </c>
      <c r="P443">
        <v>0.26</v>
      </c>
      <c r="Q443">
        <v>0.2273</v>
      </c>
    </row>
    <row r="444" spans="1:17">
      <c r="A444">
        <v>443</v>
      </c>
      <c r="B444">
        <v>0.2727</v>
      </c>
      <c r="C444">
        <v>0.45</v>
      </c>
      <c r="D444">
        <v>0.16420000000000001</v>
      </c>
      <c r="E444">
        <v>5</v>
      </c>
      <c r="F444">
        <v>63</v>
      </c>
      <c r="G444">
        <v>68</v>
      </c>
      <c r="H444" s="22">
        <v>40563</v>
      </c>
      <c r="I444">
        <v>1</v>
      </c>
      <c r="J444">
        <v>0</v>
      </c>
      <c r="K444">
        <v>1</v>
      </c>
      <c r="L444">
        <v>11</v>
      </c>
      <c r="M444" t="b">
        <v>0</v>
      </c>
      <c r="N444">
        <v>4</v>
      </c>
      <c r="O444">
        <v>2</v>
      </c>
      <c r="P444">
        <v>0.28000000000000003</v>
      </c>
      <c r="Q444">
        <v>0.2727</v>
      </c>
    </row>
    <row r="445" spans="1:17">
      <c r="A445">
        <v>444</v>
      </c>
      <c r="B445">
        <v>0.33329999999999999</v>
      </c>
      <c r="C445">
        <v>0.42</v>
      </c>
      <c r="D445">
        <v>0</v>
      </c>
      <c r="E445">
        <v>7</v>
      </c>
      <c r="F445">
        <v>77</v>
      </c>
      <c r="G445">
        <v>84</v>
      </c>
      <c r="H445" s="22">
        <v>40563</v>
      </c>
      <c r="I445">
        <v>1</v>
      </c>
      <c r="J445">
        <v>0</v>
      </c>
      <c r="K445">
        <v>1</v>
      </c>
      <c r="L445">
        <v>12</v>
      </c>
      <c r="M445" t="b">
        <v>0</v>
      </c>
      <c r="N445">
        <v>4</v>
      </c>
      <c r="O445">
        <v>2</v>
      </c>
      <c r="P445">
        <v>0.3</v>
      </c>
      <c r="Q445">
        <v>0.33329999999999999</v>
      </c>
    </row>
    <row r="446" spans="1:17">
      <c r="A446">
        <v>445</v>
      </c>
      <c r="B446">
        <v>0.28789999999999999</v>
      </c>
      <c r="C446">
        <v>0.45</v>
      </c>
      <c r="D446">
        <v>0.1045</v>
      </c>
      <c r="E446">
        <v>12</v>
      </c>
      <c r="F446">
        <v>86</v>
      </c>
      <c r="G446">
        <v>98</v>
      </c>
      <c r="H446" s="22">
        <v>40563</v>
      </c>
      <c r="I446">
        <v>1</v>
      </c>
      <c r="J446">
        <v>0</v>
      </c>
      <c r="K446">
        <v>1</v>
      </c>
      <c r="L446">
        <v>13</v>
      </c>
      <c r="M446" t="b">
        <v>0</v>
      </c>
      <c r="N446">
        <v>4</v>
      </c>
      <c r="O446">
        <v>2</v>
      </c>
      <c r="P446">
        <v>0.28000000000000003</v>
      </c>
      <c r="Q446">
        <v>0.28789999999999999</v>
      </c>
    </row>
    <row r="447" spans="1:17">
      <c r="A447">
        <v>446</v>
      </c>
      <c r="B447">
        <v>0.30299999999999999</v>
      </c>
      <c r="C447">
        <v>0.45</v>
      </c>
      <c r="D447">
        <v>0.1343</v>
      </c>
      <c r="E447">
        <v>6</v>
      </c>
      <c r="F447">
        <v>75</v>
      </c>
      <c r="G447">
        <v>81</v>
      </c>
      <c r="H447" s="22">
        <v>40563</v>
      </c>
      <c r="I447">
        <v>1</v>
      </c>
      <c r="J447">
        <v>0</v>
      </c>
      <c r="K447">
        <v>1</v>
      </c>
      <c r="L447">
        <v>14</v>
      </c>
      <c r="M447" t="b">
        <v>0</v>
      </c>
      <c r="N447">
        <v>4</v>
      </c>
      <c r="O447">
        <v>2</v>
      </c>
      <c r="P447">
        <v>0.3</v>
      </c>
      <c r="Q447">
        <v>0.30299999999999999</v>
      </c>
    </row>
    <row r="448" spans="1:17">
      <c r="A448">
        <v>447</v>
      </c>
      <c r="B448">
        <v>0.31819999999999998</v>
      </c>
      <c r="C448">
        <v>0.45</v>
      </c>
      <c r="D448">
        <v>0.19400000000000001</v>
      </c>
      <c r="E448">
        <v>8</v>
      </c>
      <c r="F448">
        <v>62</v>
      </c>
      <c r="G448">
        <v>70</v>
      </c>
      <c r="H448" s="22">
        <v>40563</v>
      </c>
      <c r="I448">
        <v>1</v>
      </c>
      <c r="J448">
        <v>0</v>
      </c>
      <c r="K448">
        <v>1</v>
      </c>
      <c r="L448">
        <v>15</v>
      </c>
      <c r="M448" t="b">
        <v>0</v>
      </c>
      <c r="N448">
        <v>4</v>
      </c>
      <c r="O448">
        <v>2</v>
      </c>
      <c r="P448">
        <v>0.32</v>
      </c>
      <c r="Q448">
        <v>0.31819999999999998</v>
      </c>
    </row>
    <row r="449" spans="1:17">
      <c r="A449">
        <v>448</v>
      </c>
      <c r="B449">
        <v>0.30299999999999999</v>
      </c>
      <c r="C449">
        <v>0.49</v>
      </c>
      <c r="D449">
        <v>0.1343</v>
      </c>
      <c r="E449">
        <v>8</v>
      </c>
      <c r="F449">
        <v>83</v>
      </c>
      <c r="G449">
        <v>91</v>
      </c>
      <c r="H449" s="22">
        <v>40563</v>
      </c>
      <c r="I449">
        <v>1</v>
      </c>
      <c r="J449">
        <v>0</v>
      </c>
      <c r="K449">
        <v>1</v>
      </c>
      <c r="L449">
        <v>16</v>
      </c>
      <c r="M449" t="b">
        <v>0</v>
      </c>
      <c r="N449">
        <v>4</v>
      </c>
      <c r="O449">
        <v>2</v>
      </c>
      <c r="P449">
        <v>0.3</v>
      </c>
      <c r="Q449">
        <v>0.30299999999999999</v>
      </c>
    </row>
    <row r="450" spans="1:17">
      <c r="A450">
        <v>449</v>
      </c>
      <c r="B450">
        <v>0.31819999999999998</v>
      </c>
      <c r="C450">
        <v>0.49</v>
      </c>
      <c r="D450">
        <v>0.1045</v>
      </c>
      <c r="E450">
        <v>8</v>
      </c>
      <c r="F450">
        <v>207</v>
      </c>
      <c r="G450">
        <v>215</v>
      </c>
      <c r="H450" s="22">
        <v>40563</v>
      </c>
      <c r="I450">
        <v>1</v>
      </c>
      <c r="J450">
        <v>0</v>
      </c>
      <c r="K450">
        <v>1</v>
      </c>
      <c r="L450">
        <v>17</v>
      </c>
      <c r="M450" t="b">
        <v>0</v>
      </c>
      <c r="N450">
        <v>4</v>
      </c>
      <c r="O450">
        <v>2</v>
      </c>
      <c r="P450">
        <v>0.3</v>
      </c>
      <c r="Q450">
        <v>0.31819999999999998</v>
      </c>
    </row>
    <row r="451" spans="1:17">
      <c r="A451">
        <v>450</v>
      </c>
      <c r="B451">
        <v>0.2576</v>
      </c>
      <c r="C451">
        <v>0.56000000000000005</v>
      </c>
      <c r="D451">
        <v>0.19400000000000001</v>
      </c>
      <c r="E451">
        <v>1</v>
      </c>
      <c r="F451">
        <v>184</v>
      </c>
      <c r="G451">
        <v>185</v>
      </c>
      <c r="H451" s="22">
        <v>40563</v>
      </c>
      <c r="I451">
        <v>1</v>
      </c>
      <c r="J451">
        <v>0</v>
      </c>
      <c r="K451">
        <v>1</v>
      </c>
      <c r="L451">
        <v>18</v>
      </c>
      <c r="M451" t="b">
        <v>0</v>
      </c>
      <c r="N451">
        <v>4</v>
      </c>
      <c r="O451">
        <v>2</v>
      </c>
      <c r="P451">
        <v>0.26</v>
      </c>
      <c r="Q451">
        <v>0.2576</v>
      </c>
    </row>
    <row r="452" spans="1:17">
      <c r="A452">
        <v>451</v>
      </c>
      <c r="B452">
        <v>0.2273</v>
      </c>
      <c r="C452">
        <v>0.56000000000000005</v>
      </c>
      <c r="D452">
        <v>0.32840000000000003</v>
      </c>
      <c r="E452">
        <v>6</v>
      </c>
      <c r="F452">
        <v>146</v>
      </c>
      <c r="G452">
        <v>152</v>
      </c>
      <c r="H452" s="22">
        <v>40563</v>
      </c>
      <c r="I452">
        <v>1</v>
      </c>
      <c r="J452">
        <v>0</v>
      </c>
      <c r="K452">
        <v>1</v>
      </c>
      <c r="L452">
        <v>19</v>
      </c>
      <c r="M452" t="b">
        <v>0</v>
      </c>
      <c r="N452">
        <v>4</v>
      </c>
      <c r="O452">
        <v>1</v>
      </c>
      <c r="P452">
        <v>0.26</v>
      </c>
      <c r="Q452">
        <v>0.2273</v>
      </c>
    </row>
    <row r="453" spans="1:17">
      <c r="A453">
        <v>452</v>
      </c>
      <c r="B453">
        <v>0.2424</v>
      </c>
      <c r="C453">
        <v>0.6</v>
      </c>
      <c r="D453">
        <v>0.28360000000000002</v>
      </c>
      <c r="E453">
        <v>2</v>
      </c>
      <c r="F453">
        <v>124</v>
      </c>
      <c r="G453">
        <v>126</v>
      </c>
      <c r="H453" s="22">
        <v>40563</v>
      </c>
      <c r="I453">
        <v>1</v>
      </c>
      <c r="J453">
        <v>0</v>
      </c>
      <c r="K453">
        <v>1</v>
      </c>
      <c r="L453">
        <v>20</v>
      </c>
      <c r="M453" t="b">
        <v>0</v>
      </c>
      <c r="N453">
        <v>4</v>
      </c>
      <c r="O453">
        <v>2</v>
      </c>
      <c r="P453">
        <v>0.26</v>
      </c>
      <c r="Q453">
        <v>0.2424</v>
      </c>
    </row>
    <row r="454" spans="1:17">
      <c r="A454">
        <v>453</v>
      </c>
      <c r="B454">
        <v>0.2273</v>
      </c>
      <c r="C454">
        <v>0.6</v>
      </c>
      <c r="D454">
        <v>0.25369999999999998</v>
      </c>
      <c r="E454">
        <v>3</v>
      </c>
      <c r="F454">
        <v>54</v>
      </c>
      <c r="G454">
        <v>57</v>
      </c>
      <c r="H454" s="22">
        <v>40563</v>
      </c>
      <c r="I454">
        <v>1</v>
      </c>
      <c r="J454">
        <v>0</v>
      </c>
      <c r="K454">
        <v>1</v>
      </c>
      <c r="L454">
        <v>21</v>
      </c>
      <c r="M454" t="b">
        <v>0</v>
      </c>
      <c r="N454">
        <v>4</v>
      </c>
      <c r="O454">
        <v>2</v>
      </c>
      <c r="P454">
        <v>0.24</v>
      </c>
      <c r="Q454">
        <v>0.2273</v>
      </c>
    </row>
    <row r="455" spans="1:17">
      <c r="A455">
        <v>454</v>
      </c>
      <c r="B455">
        <v>0.21210000000000001</v>
      </c>
      <c r="C455">
        <v>0.65</v>
      </c>
      <c r="D455">
        <v>0.28360000000000002</v>
      </c>
      <c r="E455">
        <v>0</v>
      </c>
      <c r="F455">
        <v>56</v>
      </c>
      <c r="G455">
        <v>56</v>
      </c>
      <c r="H455" s="22">
        <v>40563</v>
      </c>
      <c r="I455">
        <v>1</v>
      </c>
      <c r="J455">
        <v>0</v>
      </c>
      <c r="K455">
        <v>1</v>
      </c>
      <c r="L455">
        <v>22</v>
      </c>
      <c r="M455" t="b">
        <v>0</v>
      </c>
      <c r="N455">
        <v>4</v>
      </c>
      <c r="O455">
        <v>2</v>
      </c>
      <c r="P455">
        <v>0.24</v>
      </c>
      <c r="Q455">
        <v>0.21210000000000001</v>
      </c>
    </row>
    <row r="456" spans="1:17">
      <c r="A456">
        <v>455</v>
      </c>
      <c r="B456">
        <v>0.21210000000000001</v>
      </c>
      <c r="C456">
        <v>0.65</v>
      </c>
      <c r="D456">
        <v>0.32840000000000003</v>
      </c>
      <c r="E456">
        <v>3</v>
      </c>
      <c r="F456">
        <v>28</v>
      </c>
      <c r="G456">
        <v>31</v>
      </c>
      <c r="H456" s="22">
        <v>40563</v>
      </c>
      <c r="I456">
        <v>1</v>
      </c>
      <c r="J456">
        <v>0</v>
      </c>
      <c r="K456">
        <v>1</v>
      </c>
      <c r="L456">
        <v>23</v>
      </c>
      <c r="M456" t="b">
        <v>0</v>
      </c>
      <c r="N456">
        <v>4</v>
      </c>
      <c r="O456">
        <v>2</v>
      </c>
      <c r="P456">
        <v>0.24</v>
      </c>
      <c r="Q456">
        <v>0.21210000000000001</v>
      </c>
    </row>
    <row r="457" spans="1:17">
      <c r="A457">
        <v>456</v>
      </c>
      <c r="B457">
        <v>0.2273</v>
      </c>
      <c r="C457">
        <v>0.7</v>
      </c>
      <c r="D457">
        <v>0.25369999999999998</v>
      </c>
      <c r="E457">
        <v>1</v>
      </c>
      <c r="F457">
        <v>20</v>
      </c>
      <c r="G457">
        <v>21</v>
      </c>
      <c r="H457" s="22">
        <v>40564</v>
      </c>
      <c r="I457">
        <v>1</v>
      </c>
      <c r="J457">
        <v>0</v>
      </c>
      <c r="K457">
        <v>1</v>
      </c>
      <c r="L457">
        <v>0</v>
      </c>
      <c r="M457" t="b">
        <v>0</v>
      </c>
      <c r="N457">
        <v>5</v>
      </c>
      <c r="O457">
        <v>2</v>
      </c>
      <c r="P457">
        <v>0.24</v>
      </c>
      <c r="Q457">
        <v>0.2273</v>
      </c>
    </row>
    <row r="458" spans="1:17">
      <c r="A458">
        <v>457</v>
      </c>
      <c r="B458">
        <v>0.2273</v>
      </c>
      <c r="C458">
        <v>0.7</v>
      </c>
      <c r="D458">
        <v>0.25369999999999998</v>
      </c>
      <c r="E458">
        <v>0</v>
      </c>
      <c r="F458">
        <v>6</v>
      </c>
      <c r="G458">
        <v>6</v>
      </c>
      <c r="H458" s="22">
        <v>40564</v>
      </c>
      <c r="I458">
        <v>1</v>
      </c>
      <c r="J458">
        <v>0</v>
      </c>
      <c r="K458">
        <v>1</v>
      </c>
      <c r="L458">
        <v>1</v>
      </c>
      <c r="M458" t="b">
        <v>0</v>
      </c>
      <c r="N458">
        <v>5</v>
      </c>
      <c r="O458">
        <v>2</v>
      </c>
      <c r="P458">
        <v>0.24</v>
      </c>
      <c r="Q458">
        <v>0.2273</v>
      </c>
    </row>
    <row r="459" spans="1:17">
      <c r="A459">
        <v>458</v>
      </c>
      <c r="B459">
        <v>0.2424</v>
      </c>
      <c r="C459">
        <v>0.75</v>
      </c>
      <c r="D459">
        <v>0.16420000000000001</v>
      </c>
      <c r="E459">
        <v>0</v>
      </c>
      <c r="F459">
        <v>2</v>
      </c>
      <c r="G459">
        <v>2</v>
      </c>
      <c r="H459" s="22">
        <v>40564</v>
      </c>
      <c r="I459">
        <v>1</v>
      </c>
      <c r="J459">
        <v>0</v>
      </c>
      <c r="K459">
        <v>1</v>
      </c>
      <c r="L459">
        <v>2</v>
      </c>
      <c r="M459" t="b">
        <v>0</v>
      </c>
      <c r="N459">
        <v>5</v>
      </c>
      <c r="O459">
        <v>3</v>
      </c>
      <c r="P459">
        <v>0.24</v>
      </c>
      <c r="Q459">
        <v>0.2424</v>
      </c>
    </row>
    <row r="460" spans="1:17">
      <c r="A460">
        <v>459</v>
      </c>
      <c r="B460">
        <v>0.21210000000000001</v>
      </c>
      <c r="C460">
        <v>0.8</v>
      </c>
      <c r="D460">
        <v>0.29849999999999999</v>
      </c>
      <c r="E460">
        <v>0</v>
      </c>
      <c r="F460">
        <v>1</v>
      </c>
      <c r="G460">
        <v>1</v>
      </c>
      <c r="H460" s="22">
        <v>40564</v>
      </c>
      <c r="I460">
        <v>1</v>
      </c>
      <c r="J460">
        <v>0</v>
      </c>
      <c r="K460">
        <v>1</v>
      </c>
      <c r="L460">
        <v>3</v>
      </c>
      <c r="M460" t="b">
        <v>0</v>
      </c>
      <c r="N460">
        <v>5</v>
      </c>
      <c r="O460">
        <v>3</v>
      </c>
      <c r="P460">
        <v>0.22</v>
      </c>
      <c r="Q460">
        <v>0.21210000000000001</v>
      </c>
    </row>
    <row r="461" spans="1:17">
      <c r="A461">
        <v>460</v>
      </c>
      <c r="B461">
        <v>0.2576</v>
      </c>
      <c r="C461">
        <v>0.87</v>
      </c>
      <c r="D461">
        <v>8.9599999999999999E-2</v>
      </c>
      <c r="E461">
        <v>0</v>
      </c>
      <c r="F461">
        <v>1</v>
      </c>
      <c r="G461">
        <v>1</v>
      </c>
      <c r="H461" s="22">
        <v>40564</v>
      </c>
      <c r="I461">
        <v>1</v>
      </c>
      <c r="J461">
        <v>0</v>
      </c>
      <c r="K461">
        <v>1</v>
      </c>
      <c r="L461">
        <v>4</v>
      </c>
      <c r="M461" t="b">
        <v>0</v>
      </c>
      <c r="N461">
        <v>5</v>
      </c>
      <c r="O461">
        <v>2</v>
      </c>
      <c r="P461">
        <v>0.22</v>
      </c>
      <c r="Q461">
        <v>0.2576</v>
      </c>
    </row>
    <row r="462" spans="1:17">
      <c r="A462">
        <v>461</v>
      </c>
      <c r="B462">
        <v>0.19700000000000001</v>
      </c>
      <c r="C462">
        <v>0.6</v>
      </c>
      <c r="D462">
        <v>0.41789999999999999</v>
      </c>
      <c r="E462">
        <v>1</v>
      </c>
      <c r="F462">
        <v>4</v>
      </c>
      <c r="G462">
        <v>5</v>
      </c>
      <c r="H462" s="22">
        <v>40564</v>
      </c>
      <c r="I462">
        <v>1</v>
      </c>
      <c r="J462">
        <v>0</v>
      </c>
      <c r="K462">
        <v>1</v>
      </c>
      <c r="L462">
        <v>5</v>
      </c>
      <c r="M462" t="b">
        <v>0</v>
      </c>
      <c r="N462">
        <v>5</v>
      </c>
      <c r="O462">
        <v>1</v>
      </c>
      <c r="P462">
        <v>0.24</v>
      </c>
      <c r="Q462">
        <v>0.19700000000000001</v>
      </c>
    </row>
    <row r="463" spans="1:17">
      <c r="A463">
        <v>462</v>
      </c>
      <c r="B463">
        <v>0.21210000000000001</v>
      </c>
      <c r="C463">
        <v>0.55000000000000004</v>
      </c>
      <c r="D463">
        <v>0.25369999999999998</v>
      </c>
      <c r="E463">
        <v>0</v>
      </c>
      <c r="F463">
        <v>27</v>
      </c>
      <c r="G463">
        <v>27</v>
      </c>
      <c r="H463" s="22">
        <v>40564</v>
      </c>
      <c r="I463">
        <v>1</v>
      </c>
      <c r="J463">
        <v>0</v>
      </c>
      <c r="K463">
        <v>1</v>
      </c>
      <c r="L463">
        <v>6</v>
      </c>
      <c r="M463" t="b">
        <v>0</v>
      </c>
      <c r="N463">
        <v>5</v>
      </c>
      <c r="O463">
        <v>1</v>
      </c>
      <c r="P463">
        <v>0.22</v>
      </c>
      <c r="Q463">
        <v>0.21210000000000001</v>
      </c>
    </row>
    <row r="464" spans="1:17">
      <c r="A464">
        <v>463</v>
      </c>
      <c r="B464">
        <v>0.18179999999999999</v>
      </c>
      <c r="C464">
        <v>0.51</v>
      </c>
      <c r="D464">
        <v>0.28360000000000002</v>
      </c>
      <c r="E464">
        <v>2</v>
      </c>
      <c r="F464">
        <v>66</v>
      </c>
      <c r="G464">
        <v>68</v>
      </c>
      <c r="H464" s="22">
        <v>40564</v>
      </c>
      <c r="I464">
        <v>1</v>
      </c>
      <c r="J464">
        <v>0</v>
      </c>
      <c r="K464">
        <v>1</v>
      </c>
      <c r="L464">
        <v>7</v>
      </c>
      <c r="M464" t="b">
        <v>0</v>
      </c>
      <c r="N464">
        <v>5</v>
      </c>
      <c r="O464">
        <v>1</v>
      </c>
      <c r="P464">
        <v>0.2</v>
      </c>
      <c r="Q464">
        <v>0.18179999999999999</v>
      </c>
    </row>
    <row r="465" spans="1:17">
      <c r="A465">
        <v>464</v>
      </c>
      <c r="B465">
        <v>0.18179999999999999</v>
      </c>
      <c r="C465">
        <v>0.47</v>
      </c>
      <c r="D465">
        <v>0.32840000000000003</v>
      </c>
      <c r="E465">
        <v>7</v>
      </c>
      <c r="F465">
        <v>210</v>
      </c>
      <c r="G465">
        <v>217</v>
      </c>
      <c r="H465" s="22">
        <v>40564</v>
      </c>
      <c r="I465">
        <v>1</v>
      </c>
      <c r="J465">
        <v>0</v>
      </c>
      <c r="K465">
        <v>1</v>
      </c>
      <c r="L465">
        <v>8</v>
      </c>
      <c r="M465" t="b">
        <v>0</v>
      </c>
      <c r="N465">
        <v>5</v>
      </c>
      <c r="O465">
        <v>1</v>
      </c>
      <c r="P465">
        <v>0.2</v>
      </c>
      <c r="Q465">
        <v>0.18179999999999999</v>
      </c>
    </row>
    <row r="466" spans="1:17">
      <c r="A466">
        <v>465</v>
      </c>
      <c r="B466">
        <v>0.18179999999999999</v>
      </c>
      <c r="C466">
        <v>0.51</v>
      </c>
      <c r="D466">
        <v>0.35820000000000002</v>
      </c>
      <c r="E466">
        <v>7</v>
      </c>
      <c r="F466">
        <v>159</v>
      </c>
      <c r="G466">
        <v>166</v>
      </c>
      <c r="H466" s="22">
        <v>40564</v>
      </c>
      <c r="I466">
        <v>1</v>
      </c>
      <c r="J466">
        <v>0</v>
      </c>
      <c r="K466">
        <v>1</v>
      </c>
      <c r="L466">
        <v>9</v>
      </c>
      <c r="M466" t="b">
        <v>0</v>
      </c>
      <c r="N466">
        <v>5</v>
      </c>
      <c r="O466">
        <v>1</v>
      </c>
      <c r="P466">
        <v>0.2</v>
      </c>
      <c r="Q466">
        <v>0.18179999999999999</v>
      </c>
    </row>
    <row r="467" spans="1:17">
      <c r="A467">
        <v>466</v>
      </c>
      <c r="B467">
        <v>0.16669999999999999</v>
      </c>
      <c r="C467">
        <v>0.47</v>
      </c>
      <c r="D467">
        <v>0.4627</v>
      </c>
      <c r="E467">
        <v>6</v>
      </c>
      <c r="F467">
        <v>57</v>
      </c>
      <c r="G467">
        <v>63</v>
      </c>
      <c r="H467" s="22">
        <v>40564</v>
      </c>
      <c r="I467">
        <v>1</v>
      </c>
      <c r="J467">
        <v>0</v>
      </c>
      <c r="K467">
        <v>1</v>
      </c>
      <c r="L467">
        <v>10</v>
      </c>
      <c r="M467" t="b">
        <v>0</v>
      </c>
      <c r="N467">
        <v>5</v>
      </c>
      <c r="O467">
        <v>1</v>
      </c>
      <c r="P467">
        <v>0.2</v>
      </c>
      <c r="Q467">
        <v>0.16669999999999999</v>
      </c>
    </row>
    <row r="468" spans="1:17">
      <c r="A468">
        <v>467</v>
      </c>
      <c r="B468">
        <v>0.18179999999999999</v>
      </c>
      <c r="C468">
        <v>0.41</v>
      </c>
      <c r="D468">
        <v>0.4627</v>
      </c>
      <c r="E468">
        <v>6</v>
      </c>
      <c r="F468">
        <v>53</v>
      </c>
      <c r="G468">
        <v>59</v>
      </c>
      <c r="H468" s="22">
        <v>40564</v>
      </c>
      <c r="I468">
        <v>1</v>
      </c>
      <c r="J468">
        <v>0</v>
      </c>
      <c r="K468">
        <v>1</v>
      </c>
      <c r="L468">
        <v>11</v>
      </c>
      <c r="M468" t="b">
        <v>0</v>
      </c>
      <c r="N468">
        <v>5</v>
      </c>
      <c r="O468">
        <v>1</v>
      </c>
      <c r="P468">
        <v>0.22</v>
      </c>
      <c r="Q468">
        <v>0.18179999999999999</v>
      </c>
    </row>
    <row r="469" spans="1:17">
      <c r="A469">
        <v>468</v>
      </c>
      <c r="B469">
        <v>0.18179999999999999</v>
      </c>
      <c r="C469">
        <v>0.27</v>
      </c>
      <c r="D469">
        <v>0.58209999999999995</v>
      </c>
      <c r="E469">
        <v>11</v>
      </c>
      <c r="F469">
        <v>67</v>
      </c>
      <c r="G469">
        <v>78</v>
      </c>
      <c r="H469" s="22">
        <v>40564</v>
      </c>
      <c r="I469">
        <v>1</v>
      </c>
      <c r="J469">
        <v>0</v>
      </c>
      <c r="K469">
        <v>1</v>
      </c>
      <c r="L469">
        <v>12</v>
      </c>
      <c r="M469" t="b">
        <v>0</v>
      </c>
      <c r="N469">
        <v>5</v>
      </c>
      <c r="O469">
        <v>1</v>
      </c>
      <c r="P469">
        <v>0.22</v>
      </c>
      <c r="Q469">
        <v>0.18179999999999999</v>
      </c>
    </row>
    <row r="470" spans="1:17">
      <c r="A470">
        <v>469</v>
      </c>
      <c r="B470">
        <v>0.1515</v>
      </c>
      <c r="C470">
        <v>0.21</v>
      </c>
      <c r="D470">
        <v>0.58209999999999995</v>
      </c>
      <c r="E470">
        <v>8</v>
      </c>
      <c r="F470">
        <v>65</v>
      </c>
      <c r="G470">
        <v>73</v>
      </c>
      <c r="H470" s="22">
        <v>40564</v>
      </c>
      <c r="I470">
        <v>1</v>
      </c>
      <c r="J470">
        <v>0</v>
      </c>
      <c r="K470">
        <v>1</v>
      </c>
      <c r="L470">
        <v>13</v>
      </c>
      <c r="M470" t="b">
        <v>0</v>
      </c>
      <c r="N470">
        <v>5</v>
      </c>
      <c r="O470">
        <v>1</v>
      </c>
      <c r="P470">
        <v>0.2</v>
      </c>
      <c r="Q470">
        <v>0.1515</v>
      </c>
    </row>
    <row r="471" spans="1:17">
      <c r="A471">
        <v>470</v>
      </c>
      <c r="B471">
        <v>0.1515</v>
      </c>
      <c r="C471">
        <v>0.25</v>
      </c>
      <c r="D471">
        <v>0.52239999999999998</v>
      </c>
      <c r="E471">
        <v>6</v>
      </c>
      <c r="F471">
        <v>56</v>
      </c>
      <c r="G471">
        <v>62</v>
      </c>
      <c r="H471" s="22">
        <v>40564</v>
      </c>
      <c r="I471">
        <v>1</v>
      </c>
      <c r="J471">
        <v>0</v>
      </c>
      <c r="K471">
        <v>1</v>
      </c>
      <c r="L471">
        <v>14</v>
      </c>
      <c r="M471" t="b">
        <v>0</v>
      </c>
      <c r="N471">
        <v>5</v>
      </c>
      <c r="O471">
        <v>1</v>
      </c>
      <c r="P471">
        <v>0.2</v>
      </c>
      <c r="Q471">
        <v>0.1515</v>
      </c>
    </row>
    <row r="472" spans="1:17">
      <c r="A472">
        <v>471</v>
      </c>
      <c r="B472">
        <v>0.1212</v>
      </c>
      <c r="C472">
        <v>0.26</v>
      </c>
      <c r="D472">
        <v>0.44779999999999998</v>
      </c>
      <c r="E472">
        <v>4</v>
      </c>
      <c r="F472">
        <v>61</v>
      </c>
      <c r="G472">
        <v>65</v>
      </c>
      <c r="H472" s="22">
        <v>40564</v>
      </c>
      <c r="I472">
        <v>1</v>
      </c>
      <c r="J472">
        <v>0</v>
      </c>
      <c r="K472">
        <v>1</v>
      </c>
      <c r="L472">
        <v>15</v>
      </c>
      <c r="M472" t="b">
        <v>0</v>
      </c>
      <c r="N472">
        <v>5</v>
      </c>
      <c r="O472">
        <v>1</v>
      </c>
      <c r="P472">
        <v>0.16</v>
      </c>
      <c r="Q472">
        <v>0.1212</v>
      </c>
    </row>
    <row r="473" spans="1:17">
      <c r="A473">
        <v>472</v>
      </c>
      <c r="B473">
        <v>0.13639999999999999</v>
      </c>
      <c r="C473">
        <v>0.26</v>
      </c>
      <c r="D473">
        <v>0.35820000000000002</v>
      </c>
      <c r="E473">
        <v>0</v>
      </c>
      <c r="F473">
        <v>97</v>
      </c>
      <c r="G473">
        <v>97</v>
      </c>
      <c r="H473" s="22">
        <v>40564</v>
      </c>
      <c r="I473">
        <v>1</v>
      </c>
      <c r="J473">
        <v>0</v>
      </c>
      <c r="K473">
        <v>1</v>
      </c>
      <c r="L473">
        <v>16</v>
      </c>
      <c r="M473" t="b">
        <v>0</v>
      </c>
      <c r="N473">
        <v>5</v>
      </c>
      <c r="O473">
        <v>1</v>
      </c>
      <c r="P473">
        <v>0.16</v>
      </c>
      <c r="Q473">
        <v>0.13639999999999999</v>
      </c>
    </row>
    <row r="474" spans="1:17">
      <c r="A474">
        <v>473</v>
      </c>
      <c r="B474">
        <v>0.1212</v>
      </c>
      <c r="C474">
        <v>0.28000000000000003</v>
      </c>
      <c r="D474">
        <v>0.35820000000000002</v>
      </c>
      <c r="E474">
        <v>10</v>
      </c>
      <c r="F474">
        <v>151</v>
      </c>
      <c r="G474">
        <v>161</v>
      </c>
      <c r="H474" s="22">
        <v>40564</v>
      </c>
      <c r="I474">
        <v>1</v>
      </c>
      <c r="J474">
        <v>0</v>
      </c>
      <c r="K474">
        <v>1</v>
      </c>
      <c r="L474">
        <v>17</v>
      </c>
      <c r="M474" t="b">
        <v>0</v>
      </c>
      <c r="N474">
        <v>5</v>
      </c>
      <c r="O474">
        <v>1</v>
      </c>
      <c r="P474">
        <v>0.14000000000000001</v>
      </c>
      <c r="Q474">
        <v>0.1212</v>
      </c>
    </row>
    <row r="475" spans="1:17">
      <c r="A475">
        <v>474</v>
      </c>
      <c r="B475">
        <v>0.1212</v>
      </c>
      <c r="C475">
        <v>0.3</v>
      </c>
      <c r="D475">
        <v>0.25369999999999998</v>
      </c>
      <c r="E475">
        <v>1</v>
      </c>
      <c r="F475">
        <v>119</v>
      </c>
      <c r="G475">
        <v>120</v>
      </c>
      <c r="H475" s="22">
        <v>40564</v>
      </c>
      <c r="I475">
        <v>1</v>
      </c>
      <c r="J475">
        <v>0</v>
      </c>
      <c r="K475">
        <v>1</v>
      </c>
      <c r="L475">
        <v>18</v>
      </c>
      <c r="M475" t="b">
        <v>0</v>
      </c>
      <c r="N475">
        <v>5</v>
      </c>
      <c r="O475">
        <v>1</v>
      </c>
      <c r="P475">
        <v>0.12</v>
      </c>
      <c r="Q475">
        <v>0.1212</v>
      </c>
    </row>
    <row r="476" spans="1:17">
      <c r="A476">
        <v>475</v>
      </c>
      <c r="B476">
        <v>0.1061</v>
      </c>
      <c r="C476">
        <v>0.3</v>
      </c>
      <c r="D476">
        <v>0.32840000000000003</v>
      </c>
      <c r="E476">
        <v>3</v>
      </c>
      <c r="F476">
        <v>93</v>
      </c>
      <c r="G476">
        <v>96</v>
      </c>
      <c r="H476" s="22">
        <v>40564</v>
      </c>
      <c r="I476">
        <v>1</v>
      </c>
      <c r="J476">
        <v>0</v>
      </c>
      <c r="K476">
        <v>1</v>
      </c>
      <c r="L476">
        <v>19</v>
      </c>
      <c r="M476" t="b">
        <v>0</v>
      </c>
      <c r="N476">
        <v>5</v>
      </c>
      <c r="O476">
        <v>1</v>
      </c>
      <c r="P476">
        <v>0.12</v>
      </c>
      <c r="Q476">
        <v>0.1061</v>
      </c>
    </row>
    <row r="477" spans="1:17">
      <c r="A477">
        <v>476</v>
      </c>
      <c r="B477">
        <v>7.5800000000000006E-2</v>
      </c>
      <c r="C477">
        <v>0.33</v>
      </c>
      <c r="D477">
        <v>0.41789999999999999</v>
      </c>
      <c r="E477">
        <v>1</v>
      </c>
      <c r="F477">
        <v>52</v>
      </c>
      <c r="G477">
        <v>53</v>
      </c>
      <c r="H477" s="22">
        <v>40564</v>
      </c>
      <c r="I477">
        <v>1</v>
      </c>
      <c r="J477">
        <v>0</v>
      </c>
      <c r="K477">
        <v>1</v>
      </c>
      <c r="L477">
        <v>20</v>
      </c>
      <c r="M477" t="b">
        <v>0</v>
      </c>
      <c r="N477">
        <v>5</v>
      </c>
      <c r="O477">
        <v>1</v>
      </c>
      <c r="P477">
        <v>0.1</v>
      </c>
      <c r="Q477">
        <v>7.5800000000000006E-2</v>
      </c>
    </row>
    <row r="478" spans="1:17">
      <c r="A478">
        <v>477</v>
      </c>
      <c r="B478">
        <v>7.5800000000000006E-2</v>
      </c>
      <c r="C478">
        <v>0.38</v>
      </c>
      <c r="D478">
        <v>0.28360000000000002</v>
      </c>
      <c r="E478">
        <v>0</v>
      </c>
      <c r="F478">
        <v>41</v>
      </c>
      <c r="G478">
        <v>41</v>
      </c>
      <c r="H478" s="22">
        <v>40564</v>
      </c>
      <c r="I478">
        <v>1</v>
      </c>
      <c r="J478">
        <v>0</v>
      </c>
      <c r="K478">
        <v>1</v>
      </c>
      <c r="L478">
        <v>21</v>
      </c>
      <c r="M478" t="b">
        <v>0</v>
      </c>
      <c r="N478">
        <v>5</v>
      </c>
      <c r="O478">
        <v>1</v>
      </c>
      <c r="P478">
        <v>0.08</v>
      </c>
      <c r="Q478">
        <v>7.5800000000000006E-2</v>
      </c>
    </row>
    <row r="479" spans="1:17">
      <c r="A479">
        <v>478</v>
      </c>
      <c r="B479">
        <v>3.0300000000000001E-2</v>
      </c>
      <c r="C479">
        <v>0.41</v>
      </c>
      <c r="D479">
        <v>0.3881</v>
      </c>
      <c r="E479">
        <v>1</v>
      </c>
      <c r="F479">
        <v>33</v>
      </c>
      <c r="G479">
        <v>34</v>
      </c>
      <c r="H479" s="22">
        <v>40564</v>
      </c>
      <c r="I479">
        <v>1</v>
      </c>
      <c r="J479">
        <v>0</v>
      </c>
      <c r="K479">
        <v>1</v>
      </c>
      <c r="L479">
        <v>22</v>
      </c>
      <c r="M479" t="b">
        <v>0</v>
      </c>
      <c r="N479">
        <v>5</v>
      </c>
      <c r="O479">
        <v>1</v>
      </c>
      <c r="P479">
        <v>0.06</v>
      </c>
      <c r="Q479">
        <v>3.0300000000000001E-2</v>
      </c>
    </row>
    <row r="480" spans="1:17">
      <c r="A480">
        <v>479</v>
      </c>
      <c r="B480">
        <v>4.5499999999999999E-2</v>
      </c>
      <c r="C480">
        <v>0.38</v>
      </c>
      <c r="D480">
        <v>0.32840000000000003</v>
      </c>
      <c r="E480">
        <v>0</v>
      </c>
      <c r="F480">
        <v>27</v>
      </c>
      <c r="G480">
        <v>27</v>
      </c>
      <c r="H480" s="22">
        <v>40564</v>
      </c>
      <c r="I480">
        <v>1</v>
      </c>
      <c r="J480">
        <v>0</v>
      </c>
      <c r="K480">
        <v>1</v>
      </c>
      <c r="L480">
        <v>23</v>
      </c>
      <c r="M480" t="b">
        <v>0</v>
      </c>
      <c r="N480">
        <v>5</v>
      </c>
      <c r="O480">
        <v>1</v>
      </c>
      <c r="P480">
        <v>0.06</v>
      </c>
      <c r="Q480">
        <v>4.5499999999999999E-2</v>
      </c>
    </row>
    <row r="481" spans="1:17">
      <c r="A481">
        <v>480</v>
      </c>
      <c r="B481">
        <v>3.0300000000000001E-2</v>
      </c>
      <c r="C481">
        <v>0.45</v>
      </c>
      <c r="D481">
        <v>0.25369999999999998</v>
      </c>
      <c r="E481">
        <v>0</v>
      </c>
      <c r="F481">
        <v>13</v>
      </c>
      <c r="G481">
        <v>13</v>
      </c>
      <c r="H481" s="22">
        <v>40565</v>
      </c>
      <c r="I481">
        <v>1</v>
      </c>
      <c r="J481">
        <v>0</v>
      </c>
      <c r="K481">
        <v>1</v>
      </c>
      <c r="L481">
        <v>0</v>
      </c>
      <c r="M481" t="b">
        <v>0</v>
      </c>
      <c r="N481">
        <v>6</v>
      </c>
      <c r="O481">
        <v>1</v>
      </c>
      <c r="P481">
        <v>0.04</v>
      </c>
      <c r="Q481">
        <v>3.0300000000000001E-2</v>
      </c>
    </row>
    <row r="482" spans="1:17">
      <c r="A482">
        <v>481</v>
      </c>
      <c r="B482">
        <v>0</v>
      </c>
      <c r="C482">
        <v>0.41</v>
      </c>
      <c r="D482">
        <v>0.3881</v>
      </c>
      <c r="E482">
        <v>3</v>
      </c>
      <c r="F482">
        <v>9</v>
      </c>
      <c r="G482">
        <v>12</v>
      </c>
      <c r="H482" s="22">
        <v>40565</v>
      </c>
      <c r="I482">
        <v>1</v>
      </c>
      <c r="J482">
        <v>0</v>
      </c>
      <c r="K482">
        <v>1</v>
      </c>
      <c r="L482">
        <v>1</v>
      </c>
      <c r="M482" t="b">
        <v>0</v>
      </c>
      <c r="N482">
        <v>6</v>
      </c>
      <c r="O482">
        <v>2</v>
      </c>
      <c r="P482">
        <v>0.04</v>
      </c>
      <c r="Q482">
        <v>0</v>
      </c>
    </row>
    <row r="483" spans="1:17">
      <c r="A483">
        <v>482</v>
      </c>
      <c r="B483">
        <v>3.0300000000000001E-2</v>
      </c>
      <c r="C483">
        <v>0.41</v>
      </c>
      <c r="D483">
        <v>0.25369999999999998</v>
      </c>
      <c r="E483">
        <v>0</v>
      </c>
      <c r="F483">
        <v>11</v>
      </c>
      <c r="G483">
        <v>11</v>
      </c>
      <c r="H483" s="22">
        <v>40565</v>
      </c>
      <c r="I483">
        <v>1</v>
      </c>
      <c r="J483">
        <v>0</v>
      </c>
      <c r="K483">
        <v>1</v>
      </c>
      <c r="L483">
        <v>2</v>
      </c>
      <c r="M483" t="b">
        <v>0</v>
      </c>
      <c r="N483">
        <v>6</v>
      </c>
      <c r="O483">
        <v>2</v>
      </c>
      <c r="P483">
        <v>0.04</v>
      </c>
      <c r="Q483">
        <v>3.0300000000000001E-2</v>
      </c>
    </row>
    <row r="484" spans="1:17">
      <c r="A484">
        <v>483</v>
      </c>
      <c r="B484">
        <v>3.0300000000000001E-2</v>
      </c>
      <c r="C484">
        <v>0.41</v>
      </c>
      <c r="D484">
        <v>0.28360000000000002</v>
      </c>
      <c r="E484">
        <v>1</v>
      </c>
      <c r="F484">
        <v>6</v>
      </c>
      <c r="G484">
        <v>7</v>
      </c>
      <c r="H484" s="22">
        <v>40565</v>
      </c>
      <c r="I484">
        <v>1</v>
      </c>
      <c r="J484">
        <v>0</v>
      </c>
      <c r="K484">
        <v>1</v>
      </c>
      <c r="L484">
        <v>3</v>
      </c>
      <c r="M484" t="b">
        <v>0</v>
      </c>
      <c r="N484">
        <v>6</v>
      </c>
      <c r="O484">
        <v>2</v>
      </c>
      <c r="P484">
        <v>0.04</v>
      </c>
      <c r="Q484">
        <v>3.0300000000000001E-2</v>
      </c>
    </row>
    <row r="485" spans="1:17">
      <c r="A485">
        <v>484</v>
      </c>
      <c r="B485">
        <v>1.52E-2</v>
      </c>
      <c r="C485">
        <v>0.48</v>
      </c>
      <c r="D485">
        <v>0.29849999999999999</v>
      </c>
      <c r="E485">
        <v>0</v>
      </c>
      <c r="F485">
        <v>3</v>
      </c>
      <c r="G485">
        <v>3</v>
      </c>
      <c r="H485" s="22">
        <v>40565</v>
      </c>
      <c r="I485">
        <v>1</v>
      </c>
      <c r="J485">
        <v>0</v>
      </c>
      <c r="K485">
        <v>1</v>
      </c>
      <c r="L485">
        <v>4</v>
      </c>
      <c r="M485" t="b">
        <v>0</v>
      </c>
      <c r="N485">
        <v>6</v>
      </c>
      <c r="O485">
        <v>2</v>
      </c>
      <c r="P485">
        <v>0.02</v>
      </c>
      <c r="Q485">
        <v>1.52E-2</v>
      </c>
    </row>
    <row r="486" spans="1:17">
      <c r="A486">
        <v>485</v>
      </c>
      <c r="B486">
        <v>3.0300000000000001E-2</v>
      </c>
      <c r="C486">
        <v>0.44</v>
      </c>
      <c r="D486">
        <v>0.22389999999999999</v>
      </c>
      <c r="E486">
        <v>0</v>
      </c>
      <c r="F486">
        <v>2</v>
      </c>
      <c r="G486">
        <v>2</v>
      </c>
      <c r="H486" s="22">
        <v>40565</v>
      </c>
      <c r="I486">
        <v>1</v>
      </c>
      <c r="J486">
        <v>0</v>
      </c>
      <c r="K486">
        <v>1</v>
      </c>
      <c r="L486">
        <v>6</v>
      </c>
      <c r="M486" t="b">
        <v>0</v>
      </c>
      <c r="N486">
        <v>6</v>
      </c>
      <c r="O486">
        <v>2</v>
      </c>
      <c r="P486">
        <v>0.02</v>
      </c>
      <c r="Q486">
        <v>3.0300000000000001E-2</v>
      </c>
    </row>
    <row r="487" spans="1:17">
      <c r="A487">
        <v>486</v>
      </c>
      <c r="B487">
        <v>1.52E-2</v>
      </c>
      <c r="C487">
        <v>0.44</v>
      </c>
      <c r="D487">
        <v>0.28360000000000002</v>
      </c>
      <c r="E487">
        <v>0</v>
      </c>
      <c r="F487">
        <v>8</v>
      </c>
      <c r="G487">
        <v>8</v>
      </c>
      <c r="H487" s="22">
        <v>40565</v>
      </c>
      <c r="I487">
        <v>1</v>
      </c>
      <c r="J487">
        <v>0</v>
      </c>
      <c r="K487">
        <v>1</v>
      </c>
      <c r="L487">
        <v>7</v>
      </c>
      <c r="M487" t="b">
        <v>0</v>
      </c>
      <c r="N487">
        <v>6</v>
      </c>
      <c r="O487">
        <v>1</v>
      </c>
      <c r="P487">
        <v>0.02</v>
      </c>
      <c r="Q487">
        <v>1.52E-2</v>
      </c>
    </row>
    <row r="488" spans="1:17">
      <c r="A488">
        <v>487</v>
      </c>
      <c r="B488">
        <v>0</v>
      </c>
      <c r="C488">
        <v>0.44</v>
      </c>
      <c r="D488">
        <v>0.32840000000000003</v>
      </c>
      <c r="E488">
        <v>1</v>
      </c>
      <c r="F488">
        <v>26</v>
      </c>
      <c r="G488">
        <v>27</v>
      </c>
      <c r="H488" s="22">
        <v>40565</v>
      </c>
      <c r="I488">
        <v>1</v>
      </c>
      <c r="J488">
        <v>0</v>
      </c>
      <c r="K488">
        <v>1</v>
      </c>
      <c r="L488">
        <v>8</v>
      </c>
      <c r="M488" t="b">
        <v>0</v>
      </c>
      <c r="N488">
        <v>6</v>
      </c>
      <c r="O488">
        <v>1</v>
      </c>
      <c r="P488">
        <v>0.02</v>
      </c>
      <c r="Q488">
        <v>0</v>
      </c>
    </row>
    <row r="489" spans="1:17">
      <c r="A489">
        <v>488</v>
      </c>
      <c r="B489">
        <v>3.0300000000000001E-2</v>
      </c>
      <c r="C489">
        <v>0.41</v>
      </c>
      <c r="D489">
        <v>0.25369999999999998</v>
      </c>
      <c r="E489">
        <v>3</v>
      </c>
      <c r="F489">
        <v>37</v>
      </c>
      <c r="G489">
        <v>40</v>
      </c>
      <c r="H489" s="22">
        <v>40565</v>
      </c>
      <c r="I489">
        <v>1</v>
      </c>
      <c r="J489">
        <v>0</v>
      </c>
      <c r="K489">
        <v>1</v>
      </c>
      <c r="L489">
        <v>9</v>
      </c>
      <c r="M489" t="b">
        <v>0</v>
      </c>
      <c r="N489">
        <v>6</v>
      </c>
      <c r="O489">
        <v>1</v>
      </c>
      <c r="P489">
        <v>0.04</v>
      </c>
      <c r="Q489">
        <v>3.0300000000000001E-2</v>
      </c>
    </row>
    <row r="490" spans="1:17">
      <c r="A490">
        <v>489</v>
      </c>
      <c r="B490">
        <v>6.0600000000000001E-2</v>
      </c>
      <c r="C490">
        <v>0.41</v>
      </c>
      <c r="D490">
        <v>0.16420000000000001</v>
      </c>
      <c r="E490">
        <v>3</v>
      </c>
      <c r="F490">
        <v>50</v>
      </c>
      <c r="G490">
        <v>53</v>
      </c>
      <c r="H490" s="22">
        <v>40565</v>
      </c>
      <c r="I490">
        <v>1</v>
      </c>
      <c r="J490">
        <v>0</v>
      </c>
      <c r="K490">
        <v>1</v>
      </c>
      <c r="L490">
        <v>10</v>
      </c>
      <c r="M490" t="b">
        <v>0</v>
      </c>
      <c r="N490">
        <v>6</v>
      </c>
      <c r="O490">
        <v>2</v>
      </c>
      <c r="P490">
        <v>0.04</v>
      </c>
      <c r="Q490">
        <v>6.0600000000000001E-2</v>
      </c>
    </row>
    <row r="491" spans="1:17">
      <c r="A491">
        <v>490</v>
      </c>
      <c r="B491">
        <v>7.5800000000000006E-2</v>
      </c>
      <c r="C491">
        <v>0.38</v>
      </c>
      <c r="D491">
        <v>0.1343</v>
      </c>
      <c r="E491">
        <v>4</v>
      </c>
      <c r="F491">
        <v>59</v>
      </c>
      <c r="G491">
        <v>63</v>
      </c>
      <c r="H491" s="22">
        <v>40565</v>
      </c>
      <c r="I491">
        <v>1</v>
      </c>
      <c r="J491">
        <v>0</v>
      </c>
      <c r="K491">
        <v>1</v>
      </c>
      <c r="L491">
        <v>11</v>
      </c>
      <c r="M491" t="b">
        <v>0</v>
      </c>
      <c r="N491">
        <v>6</v>
      </c>
      <c r="O491">
        <v>2</v>
      </c>
      <c r="P491">
        <v>0.06</v>
      </c>
      <c r="Q491">
        <v>7.5800000000000006E-2</v>
      </c>
    </row>
    <row r="492" spans="1:17">
      <c r="A492">
        <v>491</v>
      </c>
      <c r="B492">
        <v>0.1061</v>
      </c>
      <c r="C492">
        <v>0.38</v>
      </c>
      <c r="D492">
        <v>0.1045</v>
      </c>
      <c r="E492">
        <v>10</v>
      </c>
      <c r="F492">
        <v>60</v>
      </c>
      <c r="G492">
        <v>70</v>
      </c>
      <c r="H492" s="22">
        <v>40565</v>
      </c>
      <c r="I492">
        <v>1</v>
      </c>
      <c r="J492">
        <v>0</v>
      </c>
      <c r="K492">
        <v>1</v>
      </c>
      <c r="L492">
        <v>12</v>
      </c>
      <c r="M492" t="b">
        <v>0</v>
      </c>
      <c r="N492">
        <v>6</v>
      </c>
      <c r="O492">
        <v>2</v>
      </c>
      <c r="P492">
        <v>0.06</v>
      </c>
      <c r="Q492">
        <v>0.1061</v>
      </c>
    </row>
    <row r="493" spans="1:17">
      <c r="A493">
        <v>492</v>
      </c>
      <c r="B493">
        <v>0.16669999999999999</v>
      </c>
      <c r="C493">
        <v>0.35</v>
      </c>
      <c r="D493">
        <v>0</v>
      </c>
      <c r="E493">
        <v>12</v>
      </c>
      <c r="F493">
        <v>72</v>
      </c>
      <c r="G493">
        <v>84</v>
      </c>
      <c r="H493" s="22">
        <v>40565</v>
      </c>
      <c r="I493">
        <v>1</v>
      </c>
      <c r="J493">
        <v>0</v>
      </c>
      <c r="K493">
        <v>1</v>
      </c>
      <c r="L493">
        <v>13</v>
      </c>
      <c r="M493" t="b">
        <v>0</v>
      </c>
      <c r="N493">
        <v>6</v>
      </c>
      <c r="O493">
        <v>1</v>
      </c>
      <c r="P493">
        <v>0.08</v>
      </c>
      <c r="Q493">
        <v>0.16669999999999999</v>
      </c>
    </row>
    <row r="494" spans="1:17">
      <c r="A494">
        <v>493</v>
      </c>
      <c r="B494">
        <v>0.13639999999999999</v>
      </c>
      <c r="C494">
        <v>0.33</v>
      </c>
      <c r="D494">
        <v>0.1045</v>
      </c>
      <c r="E494">
        <v>11</v>
      </c>
      <c r="F494">
        <v>64</v>
      </c>
      <c r="G494">
        <v>75</v>
      </c>
      <c r="H494" s="22">
        <v>40565</v>
      </c>
      <c r="I494">
        <v>1</v>
      </c>
      <c r="J494">
        <v>0</v>
      </c>
      <c r="K494">
        <v>1</v>
      </c>
      <c r="L494">
        <v>14</v>
      </c>
      <c r="M494" t="b">
        <v>0</v>
      </c>
      <c r="N494">
        <v>6</v>
      </c>
      <c r="O494">
        <v>1</v>
      </c>
      <c r="P494">
        <v>0.1</v>
      </c>
      <c r="Q494">
        <v>0.13639999999999999</v>
      </c>
    </row>
    <row r="495" spans="1:17">
      <c r="A495">
        <v>494</v>
      </c>
      <c r="B495">
        <v>0.1515</v>
      </c>
      <c r="C495">
        <v>0.28000000000000003</v>
      </c>
      <c r="D495">
        <v>0</v>
      </c>
      <c r="E495">
        <v>10</v>
      </c>
      <c r="F495">
        <v>93</v>
      </c>
      <c r="G495">
        <v>103</v>
      </c>
      <c r="H495" s="22">
        <v>40565</v>
      </c>
      <c r="I495">
        <v>1</v>
      </c>
      <c r="J495">
        <v>0</v>
      </c>
      <c r="K495">
        <v>1</v>
      </c>
      <c r="L495">
        <v>15</v>
      </c>
      <c r="M495" t="b">
        <v>0</v>
      </c>
      <c r="N495">
        <v>6</v>
      </c>
      <c r="O495">
        <v>1</v>
      </c>
      <c r="P495">
        <v>0.12</v>
      </c>
      <c r="Q495">
        <v>0.1515</v>
      </c>
    </row>
    <row r="496" spans="1:17">
      <c r="A496">
        <v>495</v>
      </c>
      <c r="B496">
        <v>0.13639999999999999</v>
      </c>
      <c r="C496">
        <v>0.28000000000000003</v>
      </c>
      <c r="D496">
        <v>0.19400000000000001</v>
      </c>
      <c r="E496">
        <v>11</v>
      </c>
      <c r="F496">
        <v>72</v>
      </c>
      <c r="G496">
        <v>83</v>
      </c>
      <c r="H496" s="22">
        <v>40565</v>
      </c>
      <c r="I496">
        <v>1</v>
      </c>
      <c r="J496">
        <v>0</v>
      </c>
      <c r="K496">
        <v>1</v>
      </c>
      <c r="L496">
        <v>16</v>
      </c>
      <c r="M496" t="b">
        <v>0</v>
      </c>
      <c r="N496">
        <v>6</v>
      </c>
      <c r="O496">
        <v>1</v>
      </c>
      <c r="P496">
        <v>0.12</v>
      </c>
      <c r="Q496">
        <v>0.13639999999999999</v>
      </c>
    </row>
    <row r="497" spans="1:17">
      <c r="A497">
        <v>496</v>
      </c>
      <c r="B497">
        <v>0.19700000000000001</v>
      </c>
      <c r="C497">
        <v>0.28000000000000003</v>
      </c>
      <c r="D497">
        <v>0</v>
      </c>
      <c r="E497">
        <v>8</v>
      </c>
      <c r="F497">
        <v>59</v>
      </c>
      <c r="G497">
        <v>67</v>
      </c>
      <c r="H497" s="22">
        <v>40565</v>
      </c>
      <c r="I497">
        <v>1</v>
      </c>
      <c r="J497">
        <v>0</v>
      </c>
      <c r="K497">
        <v>1</v>
      </c>
      <c r="L497">
        <v>17</v>
      </c>
      <c r="M497" t="b">
        <v>0</v>
      </c>
      <c r="N497">
        <v>6</v>
      </c>
      <c r="O497">
        <v>1</v>
      </c>
      <c r="P497">
        <v>0.12</v>
      </c>
      <c r="Q497">
        <v>0.19700000000000001</v>
      </c>
    </row>
    <row r="498" spans="1:17">
      <c r="A498">
        <v>497</v>
      </c>
      <c r="B498">
        <v>9.0899999999999995E-2</v>
      </c>
      <c r="C498">
        <v>0.35</v>
      </c>
      <c r="D498">
        <v>0.19400000000000001</v>
      </c>
      <c r="E498">
        <v>0</v>
      </c>
      <c r="F498">
        <v>54</v>
      </c>
      <c r="G498">
        <v>54</v>
      </c>
      <c r="H498" s="22">
        <v>40565</v>
      </c>
      <c r="I498">
        <v>1</v>
      </c>
      <c r="J498">
        <v>0</v>
      </c>
      <c r="K498">
        <v>1</v>
      </c>
      <c r="L498">
        <v>18</v>
      </c>
      <c r="M498" t="b">
        <v>0</v>
      </c>
      <c r="N498">
        <v>6</v>
      </c>
      <c r="O498">
        <v>1</v>
      </c>
      <c r="P498">
        <v>0.08</v>
      </c>
      <c r="Q498">
        <v>9.0899999999999995E-2</v>
      </c>
    </row>
    <row r="499" spans="1:17">
      <c r="A499">
        <v>498</v>
      </c>
      <c r="B499">
        <v>0.1061</v>
      </c>
      <c r="C499">
        <v>0.35</v>
      </c>
      <c r="D499">
        <v>0.1343</v>
      </c>
      <c r="E499">
        <v>6</v>
      </c>
      <c r="F499">
        <v>53</v>
      </c>
      <c r="G499">
        <v>59</v>
      </c>
      <c r="H499" s="22">
        <v>40565</v>
      </c>
      <c r="I499">
        <v>1</v>
      </c>
      <c r="J499">
        <v>0</v>
      </c>
      <c r="K499">
        <v>1</v>
      </c>
      <c r="L499">
        <v>19</v>
      </c>
      <c r="M499" t="b">
        <v>0</v>
      </c>
      <c r="N499">
        <v>6</v>
      </c>
      <c r="O499">
        <v>1</v>
      </c>
      <c r="P499">
        <v>0.08</v>
      </c>
      <c r="Q499">
        <v>0.1061</v>
      </c>
    </row>
    <row r="500" spans="1:17">
      <c r="A500">
        <v>499</v>
      </c>
      <c r="B500">
        <v>7.5800000000000006E-2</v>
      </c>
      <c r="C500">
        <v>0.45</v>
      </c>
      <c r="D500">
        <v>0.16420000000000001</v>
      </c>
      <c r="E500">
        <v>1</v>
      </c>
      <c r="F500">
        <v>44</v>
      </c>
      <c r="G500">
        <v>45</v>
      </c>
      <c r="H500" s="22">
        <v>40565</v>
      </c>
      <c r="I500">
        <v>1</v>
      </c>
      <c r="J500">
        <v>0</v>
      </c>
      <c r="K500">
        <v>1</v>
      </c>
      <c r="L500">
        <v>20</v>
      </c>
      <c r="M500" t="b">
        <v>0</v>
      </c>
      <c r="N500">
        <v>6</v>
      </c>
      <c r="O500">
        <v>1</v>
      </c>
      <c r="P500">
        <v>0.06</v>
      </c>
      <c r="Q500">
        <v>7.5800000000000006E-2</v>
      </c>
    </row>
    <row r="501" spans="1:17">
      <c r="A501">
        <v>500</v>
      </c>
      <c r="B501">
        <v>0.1061</v>
      </c>
      <c r="C501">
        <v>0.41</v>
      </c>
      <c r="D501">
        <v>8.9599999999999999E-2</v>
      </c>
      <c r="E501">
        <v>0</v>
      </c>
      <c r="F501">
        <v>39</v>
      </c>
      <c r="G501">
        <v>39</v>
      </c>
      <c r="H501" s="22">
        <v>40565</v>
      </c>
      <c r="I501">
        <v>1</v>
      </c>
      <c r="J501">
        <v>0</v>
      </c>
      <c r="K501">
        <v>1</v>
      </c>
      <c r="L501">
        <v>21</v>
      </c>
      <c r="M501" t="b">
        <v>0</v>
      </c>
      <c r="N501">
        <v>6</v>
      </c>
      <c r="O501">
        <v>1</v>
      </c>
      <c r="P501">
        <v>0.06</v>
      </c>
      <c r="Q501">
        <v>0.1061</v>
      </c>
    </row>
    <row r="502" spans="1:17">
      <c r="A502">
        <v>501</v>
      </c>
      <c r="B502">
        <v>0.1515</v>
      </c>
      <c r="C502">
        <v>0.49</v>
      </c>
      <c r="D502">
        <v>0</v>
      </c>
      <c r="E502">
        <v>7</v>
      </c>
      <c r="F502">
        <v>23</v>
      </c>
      <c r="G502">
        <v>30</v>
      </c>
      <c r="H502" s="22">
        <v>40565</v>
      </c>
      <c r="I502">
        <v>1</v>
      </c>
      <c r="J502">
        <v>0</v>
      </c>
      <c r="K502">
        <v>1</v>
      </c>
      <c r="L502">
        <v>22</v>
      </c>
      <c r="M502" t="b">
        <v>0</v>
      </c>
      <c r="N502">
        <v>6</v>
      </c>
      <c r="O502">
        <v>1</v>
      </c>
      <c r="P502">
        <v>0.06</v>
      </c>
      <c r="Q502">
        <v>0.1515</v>
      </c>
    </row>
    <row r="503" spans="1:17">
      <c r="A503">
        <v>502</v>
      </c>
      <c r="B503">
        <v>7.5800000000000006E-2</v>
      </c>
      <c r="C503">
        <v>0.56999999999999995</v>
      </c>
      <c r="D503">
        <v>0.1045</v>
      </c>
      <c r="E503">
        <v>2</v>
      </c>
      <c r="F503">
        <v>31</v>
      </c>
      <c r="G503">
        <v>33</v>
      </c>
      <c r="H503" s="22">
        <v>40565</v>
      </c>
      <c r="I503">
        <v>1</v>
      </c>
      <c r="J503">
        <v>0</v>
      </c>
      <c r="K503">
        <v>1</v>
      </c>
      <c r="L503">
        <v>23</v>
      </c>
      <c r="M503" t="b">
        <v>0</v>
      </c>
      <c r="N503">
        <v>6</v>
      </c>
      <c r="O503">
        <v>1</v>
      </c>
      <c r="P503">
        <v>0.04</v>
      </c>
      <c r="Q503">
        <v>7.5800000000000006E-2</v>
      </c>
    </row>
    <row r="504" spans="1:17">
      <c r="A504">
        <v>503</v>
      </c>
      <c r="B504">
        <v>7.5800000000000006E-2</v>
      </c>
      <c r="C504">
        <v>0.56999999999999995</v>
      </c>
      <c r="D504">
        <v>0.1045</v>
      </c>
      <c r="E504">
        <v>2</v>
      </c>
      <c r="F504">
        <v>20</v>
      </c>
      <c r="G504">
        <v>22</v>
      </c>
      <c r="H504" s="22">
        <v>40566</v>
      </c>
      <c r="I504">
        <v>1</v>
      </c>
      <c r="J504">
        <v>0</v>
      </c>
      <c r="K504">
        <v>1</v>
      </c>
      <c r="L504">
        <v>0</v>
      </c>
      <c r="M504" t="b">
        <v>0</v>
      </c>
      <c r="N504">
        <v>0</v>
      </c>
      <c r="O504">
        <v>1</v>
      </c>
      <c r="P504">
        <v>0.04</v>
      </c>
      <c r="Q504">
        <v>7.5800000000000006E-2</v>
      </c>
    </row>
    <row r="505" spans="1:17">
      <c r="A505">
        <v>504</v>
      </c>
      <c r="B505">
        <v>7.5800000000000006E-2</v>
      </c>
      <c r="C505">
        <v>0.56999999999999995</v>
      </c>
      <c r="D505">
        <v>0.1045</v>
      </c>
      <c r="E505">
        <v>1</v>
      </c>
      <c r="F505">
        <v>12</v>
      </c>
      <c r="G505">
        <v>13</v>
      </c>
      <c r="H505" s="22">
        <v>40566</v>
      </c>
      <c r="I505">
        <v>1</v>
      </c>
      <c r="J505">
        <v>0</v>
      </c>
      <c r="K505">
        <v>1</v>
      </c>
      <c r="L505">
        <v>1</v>
      </c>
      <c r="M505" t="b">
        <v>0</v>
      </c>
      <c r="N505">
        <v>0</v>
      </c>
      <c r="O505">
        <v>1</v>
      </c>
      <c r="P505">
        <v>0.04</v>
      </c>
      <c r="Q505">
        <v>7.5800000000000006E-2</v>
      </c>
    </row>
    <row r="506" spans="1:17">
      <c r="A506">
        <v>505</v>
      </c>
      <c r="B506">
        <v>6.0600000000000001E-2</v>
      </c>
      <c r="C506">
        <v>0.62</v>
      </c>
      <c r="D506">
        <v>0.1343</v>
      </c>
      <c r="E506">
        <v>3</v>
      </c>
      <c r="F506">
        <v>15</v>
      </c>
      <c r="G506">
        <v>18</v>
      </c>
      <c r="H506" s="22">
        <v>40566</v>
      </c>
      <c r="I506">
        <v>1</v>
      </c>
      <c r="J506">
        <v>0</v>
      </c>
      <c r="K506">
        <v>1</v>
      </c>
      <c r="L506">
        <v>2</v>
      </c>
      <c r="M506" t="b">
        <v>0</v>
      </c>
      <c r="N506">
        <v>0</v>
      </c>
      <c r="O506">
        <v>1</v>
      </c>
      <c r="P506">
        <v>0.02</v>
      </c>
      <c r="Q506">
        <v>6.0600000000000001E-2</v>
      </c>
    </row>
    <row r="507" spans="1:17">
      <c r="A507">
        <v>506</v>
      </c>
      <c r="B507">
        <v>6.0600000000000001E-2</v>
      </c>
      <c r="C507">
        <v>0.62</v>
      </c>
      <c r="D507">
        <v>0.1343</v>
      </c>
      <c r="E507">
        <v>1</v>
      </c>
      <c r="F507">
        <v>4</v>
      </c>
      <c r="G507">
        <v>5</v>
      </c>
      <c r="H507" s="22">
        <v>40566</v>
      </c>
      <c r="I507">
        <v>1</v>
      </c>
      <c r="J507">
        <v>0</v>
      </c>
      <c r="K507">
        <v>1</v>
      </c>
      <c r="L507">
        <v>3</v>
      </c>
      <c r="M507" t="b">
        <v>0</v>
      </c>
      <c r="N507">
        <v>0</v>
      </c>
      <c r="O507">
        <v>1</v>
      </c>
      <c r="P507">
        <v>0.02</v>
      </c>
      <c r="Q507">
        <v>6.0600000000000001E-2</v>
      </c>
    </row>
    <row r="508" spans="1:17">
      <c r="A508">
        <v>507</v>
      </c>
      <c r="B508">
        <v>7.5800000000000006E-2</v>
      </c>
      <c r="C508">
        <v>0.56999999999999995</v>
      </c>
      <c r="D508">
        <v>0.1045</v>
      </c>
      <c r="E508">
        <v>0</v>
      </c>
      <c r="F508">
        <v>3</v>
      </c>
      <c r="G508">
        <v>3</v>
      </c>
      <c r="H508" s="22">
        <v>40566</v>
      </c>
      <c r="I508">
        <v>1</v>
      </c>
      <c r="J508">
        <v>0</v>
      </c>
      <c r="K508">
        <v>1</v>
      </c>
      <c r="L508">
        <v>5</v>
      </c>
      <c r="M508" t="b">
        <v>0</v>
      </c>
      <c r="N508">
        <v>0</v>
      </c>
      <c r="O508">
        <v>2</v>
      </c>
      <c r="P508">
        <v>0.04</v>
      </c>
      <c r="Q508">
        <v>7.5800000000000006E-2</v>
      </c>
    </row>
    <row r="509" spans="1:17">
      <c r="A509">
        <v>508</v>
      </c>
      <c r="B509">
        <v>7.5800000000000006E-2</v>
      </c>
      <c r="C509">
        <v>0.56999999999999995</v>
      </c>
      <c r="D509">
        <v>0.1045</v>
      </c>
      <c r="E509">
        <v>0</v>
      </c>
      <c r="F509">
        <v>1</v>
      </c>
      <c r="G509">
        <v>1</v>
      </c>
      <c r="H509" s="22">
        <v>40566</v>
      </c>
      <c r="I509">
        <v>1</v>
      </c>
      <c r="J509">
        <v>0</v>
      </c>
      <c r="K509">
        <v>1</v>
      </c>
      <c r="L509">
        <v>6</v>
      </c>
      <c r="M509" t="b">
        <v>0</v>
      </c>
      <c r="N509">
        <v>0</v>
      </c>
      <c r="O509">
        <v>2</v>
      </c>
      <c r="P509">
        <v>0.04</v>
      </c>
      <c r="Q509">
        <v>7.5800000000000006E-2</v>
      </c>
    </row>
    <row r="510" spans="1:17">
      <c r="A510">
        <v>509</v>
      </c>
      <c r="B510">
        <v>0.1061</v>
      </c>
      <c r="C510">
        <v>0.57999999999999996</v>
      </c>
      <c r="D510">
        <v>0.16420000000000001</v>
      </c>
      <c r="E510">
        <v>1</v>
      </c>
      <c r="F510">
        <v>1</v>
      </c>
      <c r="G510">
        <v>2</v>
      </c>
      <c r="H510" s="22">
        <v>40566</v>
      </c>
      <c r="I510">
        <v>1</v>
      </c>
      <c r="J510">
        <v>0</v>
      </c>
      <c r="K510">
        <v>1</v>
      </c>
      <c r="L510">
        <v>7</v>
      </c>
      <c r="M510" t="b">
        <v>0</v>
      </c>
      <c r="N510">
        <v>0</v>
      </c>
      <c r="O510">
        <v>1</v>
      </c>
      <c r="P510">
        <v>0.08</v>
      </c>
      <c r="Q510">
        <v>0.1061</v>
      </c>
    </row>
    <row r="511" spans="1:17">
      <c r="A511">
        <v>510</v>
      </c>
      <c r="B511">
        <v>7.5800000000000006E-2</v>
      </c>
      <c r="C511">
        <v>0.62</v>
      </c>
      <c r="D511">
        <v>0.16420000000000001</v>
      </c>
      <c r="E511">
        <v>2</v>
      </c>
      <c r="F511">
        <v>17</v>
      </c>
      <c r="G511">
        <v>19</v>
      </c>
      <c r="H511" s="22">
        <v>40566</v>
      </c>
      <c r="I511">
        <v>1</v>
      </c>
      <c r="J511">
        <v>0</v>
      </c>
      <c r="K511">
        <v>1</v>
      </c>
      <c r="L511">
        <v>8</v>
      </c>
      <c r="M511" t="b">
        <v>0</v>
      </c>
      <c r="N511">
        <v>0</v>
      </c>
      <c r="O511">
        <v>1</v>
      </c>
      <c r="P511">
        <v>0.06</v>
      </c>
      <c r="Q511">
        <v>7.5800000000000006E-2</v>
      </c>
    </row>
    <row r="512" spans="1:17">
      <c r="A512">
        <v>511</v>
      </c>
      <c r="B512">
        <v>7.5800000000000006E-2</v>
      </c>
      <c r="C512">
        <v>0.54</v>
      </c>
      <c r="D512">
        <v>0.35820000000000002</v>
      </c>
      <c r="E512">
        <v>3</v>
      </c>
      <c r="F512">
        <v>25</v>
      </c>
      <c r="G512">
        <v>28</v>
      </c>
      <c r="H512" s="22">
        <v>40566</v>
      </c>
      <c r="I512">
        <v>1</v>
      </c>
      <c r="J512">
        <v>0</v>
      </c>
      <c r="K512">
        <v>1</v>
      </c>
      <c r="L512">
        <v>9</v>
      </c>
      <c r="M512" t="b">
        <v>0</v>
      </c>
      <c r="N512">
        <v>0</v>
      </c>
      <c r="O512">
        <v>1</v>
      </c>
      <c r="P512">
        <v>0.1</v>
      </c>
      <c r="Q512">
        <v>7.5800000000000006E-2</v>
      </c>
    </row>
    <row r="513" spans="1:17">
      <c r="A513">
        <v>512</v>
      </c>
      <c r="B513">
        <v>0.1061</v>
      </c>
      <c r="C513">
        <v>0.46</v>
      </c>
      <c r="D513">
        <v>0.3881</v>
      </c>
      <c r="E513">
        <v>7</v>
      </c>
      <c r="F513">
        <v>51</v>
      </c>
      <c r="G513">
        <v>58</v>
      </c>
      <c r="H513" s="22">
        <v>40566</v>
      </c>
      <c r="I513">
        <v>1</v>
      </c>
      <c r="J513">
        <v>0</v>
      </c>
      <c r="K513">
        <v>1</v>
      </c>
      <c r="L513">
        <v>10</v>
      </c>
      <c r="M513" t="b">
        <v>0</v>
      </c>
      <c r="N513">
        <v>0</v>
      </c>
      <c r="O513">
        <v>1</v>
      </c>
      <c r="P513">
        <v>0.14000000000000001</v>
      </c>
      <c r="Q513">
        <v>0.1061</v>
      </c>
    </row>
    <row r="514" spans="1:17">
      <c r="A514">
        <v>513</v>
      </c>
      <c r="B514">
        <v>0.13639999999999999</v>
      </c>
      <c r="C514">
        <v>0.43</v>
      </c>
      <c r="D514">
        <v>0.22389999999999999</v>
      </c>
      <c r="E514">
        <v>22</v>
      </c>
      <c r="F514">
        <v>77</v>
      </c>
      <c r="G514">
        <v>99</v>
      </c>
      <c r="H514" s="22">
        <v>40566</v>
      </c>
      <c r="I514">
        <v>1</v>
      </c>
      <c r="J514">
        <v>0</v>
      </c>
      <c r="K514">
        <v>1</v>
      </c>
      <c r="L514">
        <v>11</v>
      </c>
      <c r="M514" t="b">
        <v>0</v>
      </c>
      <c r="N514">
        <v>0</v>
      </c>
      <c r="O514">
        <v>1</v>
      </c>
      <c r="P514">
        <v>0.14000000000000001</v>
      </c>
      <c r="Q514">
        <v>0.13639999999999999</v>
      </c>
    </row>
    <row r="515" spans="1:17">
      <c r="A515">
        <v>514</v>
      </c>
      <c r="B515">
        <v>0.1212</v>
      </c>
      <c r="C515">
        <v>0.37</v>
      </c>
      <c r="D515">
        <v>0.4627</v>
      </c>
      <c r="E515">
        <v>24</v>
      </c>
      <c r="F515">
        <v>92</v>
      </c>
      <c r="G515">
        <v>116</v>
      </c>
      <c r="H515" s="22">
        <v>40566</v>
      </c>
      <c r="I515">
        <v>1</v>
      </c>
      <c r="J515">
        <v>0</v>
      </c>
      <c r="K515">
        <v>1</v>
      </c>
      <c r="L515">
        <v>12</v>
      </c>
      <c r="M515" t="b">
        <v>0</v>
      </c>
      <c r="N515">
        <v>0</v>
      </c>
      <c r="O515">
        <v>1</v>
      </c>
      <c r="P515">
        <v>0.16</v>
      </c>
      <c r="Q515">
        <v>0.1212</v>
      </c>
    </row>
    <row r="516" spans="1:17">
      <c r="A516">
        <v>515</v>
      </c>
      <c r="B516">
        <v>0.1061</v>
      </c>
      <c r="C516">
        <v>0.33</v>
      </c>
      <c r="D516">
        <v>0.3881</v>
      </c>
      <c r="E516">
        <v>12</v>
      </c>
      <c r="F516">
        <v>75</v>
      </c>
      <c r="G516">
        <v>87</v>
      </c>
      <c r="H516" s="22">
        <v>40566</v>
      </c>
      <c r="I516">
        <v>1</v>
      </c>
      <c r="J516">
        <v>0</v>
      </c>
      <c r="K516">
        <v>1</v>
      </c>
      <c r="L516">
        <v>13</v>
      </c>
      <c r="M516" t="b">
        <v>0</v>
      </c>
      <c r="N516">
        <v>0</v>
      </c>
      <c r="O516">
        <v>1</v>
      </c>
      <c r="P516">
        <v>0.14000000000000001</v>
      </c>
      <c r="Q516">
        <v>0.1061</v>
      </c>
    </row>
    <row r="517" spans="1:17">
      <c r="A517">
        <v>516</v>
      </c>
      <c r="B517">
        <v>0.13639999999999999</v>
      </c>
      <c r="C517">
        <v>0.28000000000000003</v>
      </c>
      <c r="D517">
        <v>0.35820000000000002</v>
      </c>
      <c r="E517">
        <v>17</v>
      </c>
      <c r="F517">
        <v>93</v>
      </c>
      <c r="G517">
        <v>110</v>
      </c>
      <c r="H517" s="22">
        <v>40566</v>
      </c>
      <c r="I517">
        <v>1</v>
      </c>
      <c r="J517">
        <v>0</v>
      </c>
      <c r="K517">
        <v>1</v>
      </c>
      <c r="L517">
        <v>14</v>
      </c>
      <c r="M517" t="b">
        <v>0</v>
      </c>
      <c r="N517">
        <v>0</v>
      </c>
      <c r="O517">
        <v>1</v>
      </c>
      <c r="P517">
        <v>0.16</v>
      </c>
      <c r="Q517">
        <v>0.13639999999999999</v>
      </c>
    </row>
    <row r="518" spans="1:17">
      <c r="A518">
        <v>517</v>
      </c>
      <c r="B518">
        <v>0.13639999999999999</v>
      </c>
      <c r="C518">
        <v>0.28000000000000003</v>
      </c>
      <c r="D518">
        <v>0.35820000000000002</v>
      </c>
      <c r="E518">
        <v>13</v>
      </c>
      <c r="F518">
        <v>64</v>
      </c>
      <c r="G518">
        <v>77</v>
      </c>
      <c r="H518" s="22">
        <v>40566</v>
      </c>
      <c r="I518">
        <v>1</v>
      </c>
      <c r="J518">
        <v>0</v>
      </c>
      <c r="K518">
        <v>1</v>
      </c>
      <c r="L518">
        <v>15</v>
      </c>
      <c r="M518" t="b">
        <v>0</v>
      </c>
      <c r="N518">
        <v>0</v>
      </c>
      <c r="O518">
        <v>1</v>
      </c>
      <c r="P518">
        <v>0.16</v>
      </c>
      <c r="Q518">
        <v>0.13639999999999999</v>
      </c>
    </row>
    <row r="519" spans="1:17">
      <c r="A519">
        <v>518</v>
      </c>
      <c r="B519">
        <v>0.13639999999999999</v>
      </c>
      <c r="C519">
        <v>0.26</v>
      </c>
      <c r="D519">
        <v>0.32840000000000003</v>
      </c>
      <c r="E519">
        <v>9</v>
      </c>
      <c r="F519">
        <v>56</v>
      </c>
      <c r="G519">
        <v>65</v>
      </c>
      <c r="H519" s="22">
        <v>40566</v>
      </c>
      <c r="I519">
        <v>1</v>
      </c>
      <c r="J519">
        <v>0</v>
      </c>
      <c r="K519">
        <v>1</v>
      </c>
      <c r="L519">
        <v>16</v>
      </c>
      <c r="M519" t="b">
        <v>0</v>
      </c>
      <c r="N519">
        <v>0</v>
      </c>
      <c r="O519">
        <v>1</v>
      </c>
      <c r="P519">
        <v>0.16</v>
      </c>
      <c r="Q519">
        <v>0.13639999999999999</v>
      </c>
    </row>
    <row r="520" spans="1:17">
      <c r="A520">
        <v>519</v>
      </c>
      <c r="B520">
        <v>0.1061</v>
      </c>
      <c r="C520">
        <v>0.26</v>
      </c>
      <c r="D520">
        <v>0.3881</v>
      </c>
      <c r="E520">
        <v>5</v>
      </c>
      <c r="F520">
        <v>50</v>
      </c>
      <c r="G520">
        <v>55</v>
      </c>
      <c r="H520" s="22">
        <v>40566</v>
      </c>
      <c r="I520">
        <v>1</v>
      </c>
      <c r="J520">
        <v>0</v>
      </c>
      <c r="K520">
        <v>1</v>
      </c>
      <c r="L520">
        <v>17</v>
      </c>
      <c r="M520" t="b">
        <v>0</v>
      </c>
      <c r="N520">
        <v>0</v>
      </c>
      <c r="O520">
        <v>1</v>
      </c>
      <c r="P520">
        <v>0.14000000000000001</v>
      </c>
      <c r="Q520">
        <v>0.1061</v>
      </c>
    </row>
    <row r="521" spans="1:17">
      <c r="A521">
        <v>520</v>
      </c>
      <c r="B521">
        <v>0.1212</v>
      </c>
      <c r="C521">
        <v>0.3</v>
      </c>
      <c r="D521">
        <v>0.25369999999999998</v>
      </c>
      <c r="E521">
        <v>5</v>
      </c>
      <c r="F521">
        <v>44</v>
      </c>
      <c r="G521">
        <v>49</v>
      </c>
      <c r="H521" s="22">
        <v>40566</v>
      </c>
      <c r="I521">
        <v>1</v>
      </c>
      <c r="J521">
        <v>0</v>
      </c>
      <c r="K521">
        <v>1</v>
      </c>
      <c r="L521">
        <v>18</v>
      </c>
      <c r="M521" t="b">
        <v>0</v>
      </c>
      <c r="N521">
        <v>0</v>
      </c>
      <c r="O521">
        <v>1</v>
      </c>
      <c r="P521">
        <v>0.12</v>
      </c>
      <c r="Q521">
        <v>0.1212</v>
      </c>
    </row>
    <row r="522" spans="1:17">
      <c r="A522">
        <v>521</v>
      </c>
      <c r="B522">
        <v>0.1212</v>
      </c>
      <c r="C522">
        <v>0.3</v>
      </c>
      <c r="D522">
        <v>0.28360000000000002</v>
      </c>
      <c r="E522">
        <v>5</v>
      </c>
      <c r="F522">
        <v>45</v>
      </c>
      <c r="G522">
        <v>50</v>
      </c>
      <c r="H522" s="22">
        <v>40566</v>
      </c>
      <c r="I522">
        <v>1</v>
      </c>
      <c r="J522">
        <v>0</v>
      </c>
      <c r="K522">
        <v>1</v>
      </c>
      <c r="L522">
        <v>19</v>
      </c>
      <c r="M522" t="b">
        <v>0</v>
      </c>
      <c r="N522">
        <v>0</v>
      </c>
      <c r="O522">
        <v>1</v>
      </c>
      <c r="P522">
        <v>0.12</v>
      </c>
      <c r="Q522">
        <v>0.1212</v>
      </c>
    </row>
    <row r="523" spans="1:17">
      <c r="A523">
        <v>522</v>
      </c>
      <c r="B523">
        <v>0.1061</v>
      </c>
      <c r="C523">
        <v>0.36</v>
      </c>
      <c r="D523">
        <v>0.25369999999999998</v>
      </c>
      <c r="E523">
        <v>4</v>
      </c>
      <c r="F523">
        <v>31</v>
      </c>
      <c r="G523">
        <v>35</v>
      </c>
      <c r="H523" s="22">
        <v>40566</v>
      </c>
      <c r="I523">
        <v>1</v>
      </c>
      <c r="J523">
        <v>0</v>
      </c>
      <c r="K523">
        <v>1</v>
      </c>
      <c r="L523">
        <v>20</v>
      </c>
      <c r="M523" t="b">
        <v>0</v>
      </c>
      <c r="N523">
        <v>0</v>
      </c>
      <c r="O523">
        <v>1</v>
      </c>
      <c r="P523">
        <v>0.1</v>
      </c>
      <c r="Q523">
        <v>0.1061</v>
      </c>
    </row>
    <row r="524" spans="1:17">
      <c r="A524">
        <v>523</v>
      </c>
      <c r="B524">
        <v>0.1061</v>
      </c>
      <c r="C524">
        <v>0.36</v>
      </c>
      <c r="D524">
        <v>0.19400000000000001</v>
      </c>
      <c r="E524">
        <v>5</v>
      </c>
      <c r="F524">
        <v>20</v>
      </c>
      <c r="G524">
        <v>25</v>
      </c>
      <c r="H524" s="22">
        <v>40566</v>
      </c>
      <c r="I524">
        <v>1</v>
      </c>
      <c r="J524">
        <v>0</v>
      </c>
      <c r="K524">
        <v>1</v>
      </c>
      <c r="L524">
        <v>21</v>
      </c>
      <c r="M524" t="b">
        <v>0</v>
      </c>
      <c r="N524">
        <v>0</v>
      </c>
      <c r="O524">
        <v>1</v>
      </c>
      <c r="P524">
        <v>0.1</v>
      </c>
      <c r="Q524">
        <v>0.1061</v>
      </c>
    </row>
    <row r="525" spans="1:17">
      <c r="A525">
        <v>524</v>
      </c>
      <c r="B525">
        <v>9.0899999999999995E-2</v>
      </c>
      <c r="C525">
        <v>0.38</v>
      </c>
      <c r="D525">
        <v>0.19400000000000001</v>
      </c>
      <c r="E525">
        <v>5</v>
      </c>
      <c r="F525">
        <v>23</v>
      </c>
      <c r="G525">
        <v>28</v>
      </c>
      <c r="H525" s="22">
        <v>40566</v>
      </c>
      <c r="I525">
        <v>1</v>
      </c>
      <c r="J525">
        <v>0</v>
      </c>
      <c r="K525">
        <v>1</v>
      </c>
      <c r="L525">
        <v>22</v>
      </c>
      <c r="M525" t="b">
        <v>0</v>
      </c>
      <c r="N525">
        <v>0</v>
      </c>
      <c r="O525">
        <v>1</v>
      </c>
      <c r="P525">
        <v>0.08</v>
      </c>
      <c r="Q525">
        <v>9.0899999999999995E-2</v>
      </c>
    </row>
    <row r="526" spans="1:17">
      <c r="A526">
        <v>525</v>
      </c>
      <c r="B526">
        <v>6.0600000000000001E-2</v>
      </c>
      <c r="C526">
        <v>0.41</v>
      </c>
      <c r="D526">
        <v>0.22389999999999999</v>
      </c>
      <c r="E526">
        <v>4</v>
      </c>
      <c r="F526">
        <v>17</v>
      </c>
      <c r="G526">
        <v>21</v>
      </c>
      <c r="H526" s="22">
        <v>40566</v>
      </c>
      <c r="I526">
        <v>1</v>
      </c>
      <c r="J526">
        <v>0</v>
      </c>
      <c r="K526">
        <v>1</v>
      </c>
      <c r="L526">
        <v>23</v>
      </c>
      <c r="M526" t="b">
        <v>0</v>
      </c>
      <c r="N526">
        <v>0</v>
      </c>
      <c r="O526">
        <v>1</v>
      </c>
      <c r="P526">
        <v>0.06</v>
      </c>
      <c r="Q526">
        <v>6.0600000000000001E-2</v>
      </c>
    </row>
    <row r="527" spans="1:17">
      <c r="A527">
        <v>526</v>
      </c>
      <c r="B527">
        <v>6.0600000000000001E-2</v>
      </c>
      <c r="C527">
        <v>0.41</v>
      </c>
      <c r="D527">
        <v>0.19400000000000001</v>
      </c>
      <c r="E527">
        <v>0</v>
      </c>
      <c r="F527">
        <v>7</v>
      </c>
      <c r="G527">
        <v>7</v>
      </c>
      <c r="H527" s="22">
        <v>40567</v>
      </c>
      <c r="I527">
        <v>1</v>
      </c>
      <c r="J527">
        <v>0</v>
      </c>
      <c r="K527">
        <v>1</v>
      </c>
      <c r="L527">
        <v>0</v>
      </c>
      <c r="M527" t="b">
        <v>0</v>
      </c>
      <c r="N527">
        <v>1</v>
      </c>
      <c r="O527">
        <v>1</v>
      </c>
      <c r="P527">
        <v>0.06</v>
      </c>
      <c r="Q527">
        <v>6.0600000000000001E-2</v>
      </c>
    </row>
    <row r="528" spans="1:17">
      <c r="A528">
        <v>527</v>
      </c>
      <c r="B528">
        <v>4.5499999999999999E-2</v>
      </c>
      <c r="C528">
        <v>0.45</v>
      </c>
      <c r="D528">
        <v>0.19400000000000001</v>
      </c>
      <c r="E528">
        <v>0</v>
      </c>
      <c r="F528">
        <v>1</v>
      </c>
      <c r="G528">
        <v>1</v>
      </c>
      <c r="H528" s="22">
        <v>40567</v>
      </c>
      <c r="I528">
        <v>1</v>
      </c>
      <c r="J528">
        <v>0</v>
      </c>
      <c r="K528">
        <v>1</v>
      </c>
      <c r="L528">
        <v>1</v>
      </c>
      <c r="M528" t="b">
        <v>0</v>
      </c>
      <c r="N528">
        <v>1</v>
      </c>
      <c r="O528">
        <v>1</v>
      </c>
      <c r="P528">
        <v>0.04</v>
      </c>
      <c r="Q528">
        <v>4.5499999999999999E-2</v>
      </c>
    </row>
    <row r="529" spans="1:17">
      <c r="A529">
        <v>528</v>
      </c>
      <c r="B529">
        <v>3.0300000000000001E-2</v>
      </c>
      <c r="C529">
        <v>0.45</v>
      </c>
      <c r="D529">
        <v>0.25369999999999998</v>
      </c>
      <c r="E529">
        <v>0</v>
      </c>
      <c r="F529">
        <v>1</v>
      </c>
      <c r="G529">
        <v>1</v>
      </c>
      <c r="H529" s="22">
        <v>40567</v>
      </c>
      <c r="I529">
        <v>1</v>
      </c>
      <c r="J529">
        <v>0</v>
      </c>
      <c r="K529">
        <v>1</v>
      </c>
      <c r="L529">
        <v>3</v>
      </c>
      <c r="M529" t="b">
        <v>0</v>
      </c>
      <c r="N529">
        <v>1</v>
      </c>
      <c r="O529">
        <v>1</v>
      </c>
      <c r="P529">
        <v>0.04</v>
      </c>
      <c r="Q529">
        <v>3.0300000000000001E-2</v>
      </c>
    </row>
    <row r="530" spans="1:17">
      <c r="A530">
        <v>529</v>
      </c>
      <c r="B530">
        <v>6.0600000000000001E-2</v>
      </c>
      <c r="C530">
        <v>0.48</v>
      </c>
      <c r="D530">
        <v>0.1343</v>
      </c>
      <c r="E530">
        <v>0</v>
      </c>
      <c r="F530">
        <v>1</v>
      </c>
      <c r="G530">
        <v>1</v>
      </c>
      <c r="H530" s="22">
        <v>40567</v>
      </c>
      <c r="I530">
        <v>1</v>
      </c>
      <c r="J530">
        <v>0</v>
      </c>
      <c r="K530">
        <v>1</v>
      </c>
      <c r="L530">
        <v>4</v>
      </c>
      <c r="M530" t="b">
        <v>0</v>
      </c>
      <c r="N530">
        <v>1</v>
      </c>
      <c r="O530">
        <v>1</v>
      </c>
      <c r="P530">
        <v>0.02</v>
      </c>
      <c r="Q530">
        <v>6.0600000000000001E-2</v>
      </c>
    </row>
    <row r="531" spans="1:17">
      <c r="A531">
        <v>530</v>
      </c>
      <c r="B531">
        <v>6.0600000000000001E-2</v>
      </c>
      <c r="C531">
        <v>0.48</v>
      </c>
      <c r="D531">
        <v>0.1343</v>
      </c>
      <c r="E531">
        <v>0</v>
      </c>
      <c r="F531">
        <v>5</v>
      </c>
      <c r="G531">
        <v>5</v>
      </c>
      <c r="H531" s="22">
        <v>40567</v>
      </c>
      <c r="I531">
        <v>1</v>
      </c>
      <c r="J531">
        <v>0</v>
      </c>
      <c r="K531">
        <v>1</v>
      </c>
      <c r="L531">
        <v>5</v>
      </c>
      <c r="M531" t="b">
        <v>0</v>
      </c>
      <c r="N531">
        <v>1</v>
      </c>
      <c r="O531">
        <v>1</v>
      </c>
      <c r="P531">
        <v>0.02</v>
      </c>
      <c r="Q531">
        <v>6.0600000000000001E-2</v>
      </c>
    </row>
    <row r="532" spans="1:17">
      <c r="A532">
        <v>531</v>
      </c>
      <c r="B532">
        <v>7.5800000000000006E-2</v>
      </c>
      <c r="C532">
        <v>0.48</v>
      </c>
      <c r="D532">
        <v>8.9599999999999999E-2</v>
      </c>
      <c r="E532">
        <v>0</v>
      </c>
      <c r="F532">
        <v>15</v>
      </c>
      <c r="G532">
        <v>15</v>
      </c>
      <c r="H532" s="22">
        <v>40567</v>
      </c>
      <c r="I532">
        <v>1</v>
      </c>
      <c r="J532">
        <v>0</v>
      </c>
      <c r="K532">
        <v>1</v>
      </c>
      <c r="L532">
        <v>6</v>
      </c>
      <c r="M532" t="b">
        <v>0</v>
      </c>
      <c r="N532">
        <v>1</v>
      </c>
      <c r="O532">
        <v>1</v>
      </c>
      <c r="P532">
        <v>0.02</v>
      </c>
      <c r="Q532">
        <v>7.5800000000000006E-2</v>
      </c>
    </row>
    <row r="533" spans="1:17">
      <c r="A533">
        <v>532</v>
      </c>
      <c r="B533">
        <v>0.1212</v>
      </c>
      <c r="C533">
        <v>0.48</v>
      </c>
      <c r="D533">
        <v>0</v>
      </c>
      <c r="E533">
        <v>5</v>
      </c>
      <c r="F533">
        <v>79</v>
      </c>
      <c r="G533">
        <v>84</v>
      </c>
      <c r="H533" s="22">
        <v>40567</v>
      </c>
      <c r="I533">
        <v>1</v>
      </c>
      <c r="J533">
        <v>0</v>
      </c>
      <c r="K533">
        <v>1</v>
      </c>
      <c r="L533">
        <v>7</v>
      </c>
      <c r="M533" t="b">
        <v>0</v>
      </c>
      <c r="N533">
        <v>1</v>
      </c>
      <c r="O533">
        <v>1</v>
      </c>
      <c r="P533">
        <v>0.02</v>
      </c>
      <c r="Q533">
        <v>0.1212</v>
      </c>
    </row>
    <row r="534" spans="1:17">
      <c r="A534">
        <v>533</v>
      </c>
      <c r="B534">
        <v>0.13639999999999999</v>
      </c>
      <c r="C534">
        <v>0.49</v>
      </c>
      <c r="D534">
        <v>0</v>
      </c>
      <c r="E534">
        <v>6</v>
      </c>
      <c r="F534">
        <v>171</v>
      </c>
      <c r="G534">
        <v>177</v>
      </c>
      <c r="H534" s="22">
        <v>40567</v>
      </c>
      <c r="I534">
        <v>1</v>
      </c>
      <c r="J534">
        <v>0</v>
      </c>
      <c r="K534">
        <v>1</v>
      </c>
      <c r="L534">
        <v>8</v>
      </c>
      <c r="M534" t="b">
        <v>0</v>
      </c>
      <c r="N534">
        <v>1</v>
      </c>
      <c r="O534">
        <v>1</v>
      </c>
      <c r="P534">
        <v>0.04</v>
      </c>
      <c r="Q534">
        <v>0.13639999999999999</v>
      </c>
    </row>
    <row r="535" spans="1:17">
      <c r="A535">
        <v>534</v>
      </c>
      <c r="B535">
        <v>0.1515</v>
      </c>
      <c r="C535">
        <v>0.41</v>
      </c>
      <c r="D535">
        <v>0</v>
      </c>
      <c r="E535">
        <v>4</v>
      </c>
      <c r="F535">
        <v>98</v>
      </c>
      <c r="G535">
        <v>102</v>
      </c>
      <c r="H535" s="22">
        <v>40567</v>
      </c>
      <c r="I535">
        <v>1</v>
      </c>
      <c r="J535">
        <v>0</v>
      </c>
      <c r="K535">
        <v>1</v>
      </c>
      <c r="L535">
        <v>9</v>
      </c>
      <c r="M535" t="b">
        <v>0</v>
      </c>
      <c r="N535">
        <v>1</v>
      </c>
      <c r="O535">
        <v>1</v>
      </c>
      <c r="P535">
        <v>0.06</v>
      </c>
      <c r="Q535">
        <v>0.1515</v>
      </c>
    </row>
    <row r="536" spans="1:17">
      <c r="A536">
        <v>535</v>
      </c>
      <c r="B536">
        <v>0.13639999999999999</v>
      </c>
      <c r="C536">
        <v>0.42</v>
      </c>
      <c r="D536">
        <v>0</v>
      </c>
      <c r="E536">
        <v>6</v>
      </c>
      <c r="F536">
        <v>34</v>
      </c>
      <c r="G536">
        <v>40</v>
      </c>
      <c r="H536" s="22">
        <v>40567</v>
      </c>
      <c r="I536">
        <v>1</v>
      </c>
      <c r="J536">
        <v>0</v>
      </c>
      <c r="K536">
        <v>1</v>
      </c>
      <c r="L536">
        <v>10</v>
      </c>
      <c r="M536" t="b">
        <v>0</v>
      </c>
      <c r="N536">
        <v>1</v>
      </c>
      <c r="O536">
        <v>1</v>
      </c>
      <c r="P536">
        <v>0.1</v>
      </c>
      <c r="Q536">
        <v>0.13639999999999999</v>
      </c>
    </row>
    <row r="537" spans="1:17">
      <c r="A537">
        <v>536</v>
      </c>
      <c r="B537">
        <v>0.1212</v>
      </c>
      <c r="C537">
        <v>0.46</v>
      </c>
      <c r="D537">
        <v>0.1343</v>
      </c>
      <c r="E537">
        <v>3</v>
      </c>
      <c r="F537">
        <v>43</v>
      </c>
      <c r="G537">
        <v>46</v>
      </c>
      <c r="H537" s="22">
        <v>40567</v>
      </c>
      <c r="I537">
        <v>1</v>
      </c>
      <c r="J537">
        <v>0</v>
      </c>
      <c r="K537">
        <v>1</v>
      </c>
      <c r="L537">
        <v>11</v>
      </c>
      <c r="M537" t="b">
        <v>0</v>
      </c>
      <c r="N537">
        <v>1</v>
      </c>
      <c r="O537">
        <v>1</v>
      </c>
      <c r="P537">
        <v>0.1</v>
      </c>
      <c r="Q537">
        <v>0.1212</v>
      </c>
    </row>
    <row r="538" spans="1:17">
      <c r="A538">
        <v>537</v>
      </c>
      <c r="B538">
        <v>0.13639999999999999</v>
      </c>
      <c r="C538">
        <v>0.42</v>
      </c>
      <c r="D538">
        <v>0.19400000000000001</v>
      </c>
      <c r="E538">
        <v>11</v>
      </c>
      <c r="F538">
        <v>52</v>
      </c>
      <c r="G538">
        <v>63</v>
      </c>
      <c r="H538" s="22">
        <v>40567</v>
      </c>
      <c r="I538">
        <v>1</v>
      </c>
      <c r="J538">
        <v>0</v>
      </c>
      <c r="K538">
        <v>1</v>
      </c>
      <c r="L538">
        <v>12</v>
      </c>
      <c r="M538" t="b">
        <v>0</v>
      </c>
      <c r="N538">
        <v>1</v>
      </c>
      <c r="O538">
        <v>2</v>
      </c>
      <c r="P538">
        <v>0.12</v>
      </c>
      <c r="Q538">
        <v>0.13639999999999999</v>
      </c>
    </row>
    <row r="539" spans="1:17">
      <c r="A539">
        <v>538</v>
      </c>
      <c r="B539">
        <v>0.13639999999999999</v>
      </c>
      <c r="C539">
        <v>0.43</v>
      </c>
      <c r="D539">
        <v>0.22389999999999999</v>
      </c>
      <c r="E539">
        <v>6</v>
      </c>
      <c r="F539">
        <v>54</v>
      </c>
      <c r="G539">
        <v>60</v>
      </c>
      <c r="H539" s="22">
        <v>40567</v>
      </c>
      <c r="I539">
        <v>1</v>
      </c>
      <c r="J539">
        <v>0</v>
      </c>
      <c r="K539">
        <v>1</v>
      </c>
      <c r="L539">
        <v>13</v>
      </c>
      <c r="M539" t="b">
        <v>0</v>
      </c>
      <c r="N539">
        <v>1</v>
      </c>
      <c r="O539">
        <v>2</v>
      </c>
      <c r="P539">
        <v>0.14000000000000001</v>
      </c>
      <c r="Q539">
        <v>0.13639999999999999</v>
      </c>
    </row>
    <row r="540" spans="1:17">
      <c r="A540">
        <v>539</v>
      </c>
      <c r="B540">
        <v>0.13639999999999999</v>
      </c>
      <c r="C540">
        <v>0.46</v>
      </c>
      <c r="D540">
        <v>0.22389999999999999</v>
      </c>
      <c r="E540">
        <v>2</v>
      </c>
      <c r="F540">
        <v>43</v>
      </c>
      <c r="G540">
        <v>45</v>
      </c>
      <c r="H540" s="22">
        <v>40567</v>
      </c>
      <c r="I540">
        <v>1</v>
      </c>
      <c r="J540">
        <v>0</v>
      </c>
      <c r="K540">
        <v>1</v>
      </c>
      <c r="L540">
        <v>14</v>
      </c>
      <c r="M540" t="b">
        <v>0</v>
      </c>
      <c r="N540">
        <v>1</v>
      </c>
      <c r="O540">
        <v>2</v>
      </c>
      <c r="P540">
        <v>0.14000000000000001</v>
      </c>
      <c r="Q540">
        <v>0.13639999999999999</v>
      </c>
    </row>
    <row r="541" spans="1:17">
      <c r="A541">
        <v>540</v>
      </c>
      <c r="B541">
        <v>0.16669999999999999</v>
      </c>
      <c r="C541">
        <v>0.4</v>
      </c>
      <c r="D541">
        <v>0.16420000000000001</v>
      </c>
      <c r="E541">
        <v>7</v>
      </c>
      <c r="F541">
        <v>50</v>
      </c>
      <c r="G541">
        <v>57</v>
      </c>
      <c r="H541" s="22">
        <v>40567</v>
      </c>
      <c r="I541">
        <v>1</v>
      </c>
      <c r="J541">
        <v>0</v>
      </c>
      <c r="K541">
        <v>1</v>
      </c>
      <c r="L541">
        <v>15</v>
      </c>
      <c r="M541" t="b">
        <v>0</v>
      </c>
      <c r="N541">
        <v>1</v>
      </c>
      <c r="O541">
        <v>1</v>
      </c>
      <c r="P541">
        <v>0.16</v>
      </c>
      <c r="Q541">
        <v>0.16669999999999999</v>
      </c>
    </row>
    <row r="542" spans="1:17">
      <c r="A542">
        <v>541</v>
      </c>
      <c r="B542">
        <v>0.1515</v>
      </c>
      <c r="C542">
        <v>0.47</v>
      </c>
      <c r="D542">
        <v>0.25369999999999998</v>
      </c>
      <c r="E542">
        <v>4</v>
      </c>
      <c r="F542">
        <v>66</v>
      </c>
      <c r="G542">
        <v>70</v>
      </c>
      <c r="H542" s="22">
        <v>40567</v>
      </c>
      <c r="I542">
        <v>1</v>
      </c>
      <c r="J542">
        <v>0</v>
      </c>
      <c r="K542">
        <v>1</v>
      </c>
      <c r="L542">
        <v>16</v>
      </c>
      <c r="M542" t="b">
        <v>0</v>
      </c>
      <c r="N542">
        <v>1</v>
      </c>
      <c r="O542">
        <v>1</v>
      </c>
      <c r="P542">
        <v>0.16</v>
      </c>
      <c r="Q542">
        <v>0.1515</v>
      </c>
    </row>
    <row r="543" spans="1:17">
      <c r="A543">
        <v>542</v>
      </c>
      <c r="B543">
        <v>0.1212</v>
      </c>
      <c r="C543">
        <v>0.5</v>
      </c>
      <c r="D543">
        <v>0.25369999999999998</v>
      </c>
      <c r="E543">
        <v>6</v>
      </c>
      <c r="F543">
        <v>178</v>
      </c>
      <c r="G543">
        <v>184</v>
      </c>
      <c r="H543" s="22">
        <v>40567</v>
      </c>
      <c r="I543">
        <v>1</v>
      </c>
      <c r="J543">
        <v>0</v>
      </c>
      <c r="K543">
        <v>1</v>
      </c>
      <c r="L543">
        <v>17</v>
      </c>
      <c r="M543" t="b">
        <v>0</v>
      </c>
      <c r="N543">
        <v>1</v>
      </c>
      <c r="O543">
        <v>1</v>
      </c>
      <c r="P543">
        <v>0.14000000000000001</v>
      </c>
      <c r="Q543">
        <v>0.1212</v>
      </c>
    </row>
    <row r="544" spans="1:17">
      <c r="A544">
        <v>543</v>
      </c>
      <c r="B544">
        <v>0.13639999999999999</v>
      </c>
      <c r="C544">
        <v>0.59</v>
      </c>
      <c r="D544">
        <v>0.19400000000000001</v>
      </c>
      <c r="E544">
        <v>8</v>
      </c>
      <c r="F544">
        <v>145</v>
      </c>
      <c r="G544">
        <v>153</v>
      </c>
      <c r="H544" s="22">
        <v>40567</v>
      </c>
      <c r="I544">
        <v>1</v>
      </c>
      <c r="J544">
        <v>0</v>
      </c>
      <c r="K544">
        <v>1</v>
      </c>
      <c r="L544">
        <v>18</v>
      </c>
      <c r="M544" t="b">
        <v>0</v>
      </c>
      <c r="N544">
        <v>1</v>
      </c>
      <c r="O544">
        <v>1</v>
      </c>
      <c r="P544">
        <v>0.14000000000000001</v>
      </c>
      <c r="Q544">
        <v>0.13639999999999999</v>
      </c>
    </row>
    <row r="545" spans="1:17">
      <c r="A545">
        <v>544</v>
      </c>
      <c r="B545">
        <v>0.1515</v>
      </c>
      <c r="C545">
        <v>0.54</v>
      </c>
      <c r="D545">
        <v>0.16420000000000001</v>
      </c>
      <c r="E545">
        <v>5</v>
      </c>
      <c r="F545">
        <v>101</v>
      </c>
      <c r="G545">
        <v>106</v>
      </c>
      <c r="H545" s="22">
        <v>40567</v>
      </c>
      <c r="I545">
        <v>1</v>
      </c>
      <c r="J545">
        <v>0</v>
      </c>
      <c r="K545">
        <v>1</v>
      </c>
      <c r="L545">
        <v>19</v>
      </c>
      <c r="M545" t="b">
        <v>0</v>
      </c>
      <c r="N545">
        <v>1</v>
      </c>
      <c r="O545">
        <v>1</v>
      </c>
      <c r="P545">
        <v>0.14000000000000001</v>
      </c>
      <c r="Q545">
        <v>0.1515</v>
      </c>
    </row>
    <row r="546" spans="1:17">
      <c r="A546">
        <v>545</v>
      </c>
      <c r="B546">
        <v>0.13639999999999999</v>
      </c>
      <c r="C546">
        <v>0.59</v>
      </c>
      <c r="D546">
        <v>0.19400000000000001</v>
      </c>
      <c r="E546">
        <v>1</v>
      </c>
      <c r="F546">
        <v>80</v>
      </c>
      <c r="G546">
        <v>81</v>
      </c>
      <c r="H546" s="22">
        <v>40567</v>
      </c>
      <c r="I546">
        <v>1</v>
      </c>
      <c r="J546">
        <v>0</v>
      </c>
      <c r="K546">
        <v>1</v>
      </c>
      <c r="L546">
        <v>20</v>
      </c>
      <c r="M546" t="b">
        <v>0</v>
      </c>
      <c r="N546">
        <v>1</v>
      </c>
      <c r="O546">
        <v>1</v>
      </c>
      <c r="P546">
        <v>0.14000000000000001</v>
      </c>
      <c r="Q546">
        <v>0.13639999999999999</v>
      </c>
    </row>
    <row r="547" spans="1:17">
      <c r="A547">
        <v>546</v>
      </c>
      <c r="B547">
        <v>0.1515</v>
      </c>
      <c r="C547">
        <v>0.63</v>
      </c>
      <c r="D547">
        <v>0.16420000000000001</v>
      </c>
      <c r="E547">
        <v>6</v>
      </c>
      <c r="F547">
        <v>53</v>
      </c>
      <c r="G547">
        <v>59</v>
      </c>
      <c r="H547" s="22">
        <v>40567</v>
      </c>
      <c r="I547">
        <v>1</v>
      </c>
      <c r="J547">
        <v>0</v>
      </c>
      <c r="K547">
        <v>1</v>
      </c>
      <c r="L547">
        <v>21</v>
      </c>
      <c r="M547" t="b">
        <v>0</v>
      </c>
      <c r="N547">
        <v>1</v>
      </c>
      <c r="O547">
        <v>1</v>
      </c>
      <c r="P547">
        <v>0.14000000000000001</v>
      </c>
      <c r="Q547">
        <v>0.1515</v>
      </c>
    </row>
    <row r="548" spans="1:17">
      <c r="A548">
        <v>547</v>
      </c>
      <c r="B548">
        <v>0.13639999999999999</v>
      </c>
      <c r="C548">
        <v>0.63</v>
      </c>
      <c r="D548">
        <v>0.22389999999999999</v>
      </c>
      <c r="E548">
        <v>3</v>
      </c>
      <c r="F548">
        <v>32</v>
      </c>
      <c r="G548">
        <v>35</v>
      </c>
      <c r="H548" s="22">
        <v>40567</v>
      </c>
      <c r="I548">
        <v>1</v>
      </c>
      <c r="J548">
        <v>0</v>
      </c>
      <c r="K548">
        <v>1</v>
      </c>
      <c r="L548">
        <v>22</v>
      </c>
      <c r="M548" t="b">
        <v>0</v>
      </c>
      <c r="N548">
        <v>1</v>
      </c>
      <c r="O548">
        <v>2</v>
      </c>
      <c r="P548">
        <v>0.14000000000000001</v>
      </c>
      <c r="Q548">
        <v>0.13639999999999999</v>
      </c>
    </row>
    <row r="549" spans="1:17">
      <c r="A549">
        <v>548</v>
      </c>
      <c r="B549">
        <v>0.1515</v>
      </c>
      <c r="C549">
        <v>0.64</v>
      </c>
      <c r="D549">
        <v>0.25369999999999998</v>
      </c>
      <c r="E549">
        <v>3</v>
      </c>
      <c r="F549">
        <v>21</v>
      </c>
      <c r="G549">
        <v>24</v>
      </c>
      <c r="H549" s="22">
        <v>40567</v>
      </c>
      <c r="I549">
        <v>1</v>
      </c>
      <c r="J549">
        <v>0</v>
      </c>
      <c r="K549">
        <v>1</v>
      </c>
      <c r="L549">
        <v>23</v>
      </c>
      <c r="M549" t="b">
        <v>0</v>
      </c>
      <c r="N549">
        <v>1</v>
      </c>
      <c r="O549">
        <v>2</v>
      </c>
      <c r="P549">
        <v>0.16</v>
      </c>
      <c r="Q549">
        <v>0.1515</v>
      </c>
    </row>
    <row r="550" spans="1:17">
      <c r="A550">
        <v>549</v>
      </c>
      <c r="B550">
        <v>0.13639999999999999</v>
      </c>
      <c r="C550">
        <v>0.69</v>
      </c>
      <c r="D550">
        <v>0.28360000000000002</v>
      </c>
      <c r="E550">
        <v>3</v>
      </c>
      <c r="F550">
        <v>6</v>
      </c>
      <c r="G550">
        <v>9</v>
      </c>
      <c r="H550" s="22">
        <v>40568</v>
      </c>
      <c r="I550">
        <v>1</v>
      </c>
      <c r="J550">
        <v>0</v>
      </c>
      <c r="K550">
        <v>1</v>
      </c>
      <c r="L550">
        <v>0</v>
      </c>
      <c r="M550" t="b">
        <v>0</v>
      </c>
      <c r="N550">
        <v>2</v>
      </c>
      <c r="O550">
        <v>2</v>
      </c>
      <c r="P550">
        <v>0.16</v>
      </c>
      <c r="Q550">
        <v>0.13639999999999999</v>
      </c>
    </row>
    <row r="551" spans="1:17">
      <c r="A551">
        <v>550</v>
      </c>
      <c r="B551">
        <v>0.16669999999999999</v>
      </c>
      <c r="C551">
        <v>0.69</v>
      </c>
      <c r="D551">
        <v>0.16420000000000001</v>
      </c>
      <c r="E551">
        <v>0</v>
      </c>
      <c r="F551">
        <v>5</v>
      </c>
      <c r="G551">
        <v>5</v>
      </c>
      <c r="H551" s="22">
        <v>40568</v>
      </c>
      <c r="I551">
        <v>1</v>
      </c>
      <c r="J551">
        <v>0</v>
      </c>
      <c r="K551">
        <v>1</v>
      </c>
      <c r="L551">
        <v>1</v>
      </c>
      <c r="M551" t="b">
        <v>0</v>
      </c>
      <c r="N551">
        <v>2</v>
      </c>
      <c r="O551">
        <v>2</v>
      </c>
      <c r="P551">
        <v>0.16</v>
      </c>
      <c r="Q551">
        <v>0.16669999999999999</v>
      </c>
    </row>
    <row r="552" spans="1:17">
      <c r="A552">
        <v>551</v>
      </c>
      <c r="B552">
        <v>0.1515</v>
      </c>
      <c r="C552">
        <v>0.69</v>
      </c>
      <c r="D552">
        <v>0.22389999999999999</v>
      </c>
      <c r="E552">
        <v>0</v>
      </c>
      <c r="F552">
        <v>2</v>
      </c>
      <c r="G552">
        <v>2</v>
      </c>
      <c r="H552" s="22">
        <v>40568</v>
      </c>
      <c r="I552">
        <v>1</v>
      </c>
      <c r="J552">
        <v>0</v>
      </c>
      <c r="K552">
        <v>1</v>
      </c>
      <c r="L552">
        <v>2</v>
      </c>
      <c r="M552" t="b">
        <v>0</v>
      </c>
      <c r="N552">
        <v>2</v>
      </c>
      <c r="O552">
        <v>1</v>
      </c>
      <c r="P552">
        <v>0.16</v>
      </c>
      <c r="Q552">
        <v>0.1515</v>
      </c>
    </row>
    <row r="553" spans="1:17">
      <c r="A553">
        <v>552</v>
      </c>
      <c r="B553">
        <v>0.16669999999999999</v>
      </c>
      <c r="C553">
        <v>0.74</v>
      </c>
      <c r="D553">
        <v>0.1045</v>
      </c>
      <c r="E553">
        <v>0</v>
      </c>
      <c r="F553">
        <v>1</v>
      </c>
      <c r="G553">
        <v>1</v>
      </c>
      <c r="H553" s="22">
        <v>40568</v>
      </c>
      <c r="I553">
        <v>1</v>
      </c>
      <c r="J553">
        <v>0</v>
      </c>
      <c r="K553">
        <v>1</v>
      </c>
      <c r="L553">
        <v>4</v>
      </c>
      <c r="M553" t="b">
        <v>0</v>
      </c>
      <c r="N553">
        <v>2</v>
      </c>
      <c r="O553">
        <v>1</v>
      </c>
      <c r="P553">
        <v>0.14000000000000001</v>
      </c>
      <c r="Q553">
        <v>0.16669999999999999</v>
      </c>
    </row>
    <row r="554" spans="1:17">
      <c r="A554">
        <v>553</v>
      </c>
      <c r="B554">
        <v>0.13639999999999999</v>
      </c>
      <c r="C554">
        <v>0.74</v>
      </c>
      <c r="D554">
        <v>0.22389999999999999</v>
      </c>
      <c r="E554">
        <v>0</v>
      </c>
      <c r="F554">
        <v>9</v>
      </c>
      <c r="G554">
        <v>9</v>
      </c>
      <c r="H554" s="22">
        <v>40568</v>
      </c>
      <c r="I554">
        <v>1</v>
      </c>
      <c r="J554">
        <v>0</v>
      </c>
      <c r="K554">
        <v>1</v>
      </c>
      <c r="L554">
        <v>5</v>
      </c>
      <c r="M554" t="b">
        <v>0</v>
      </c>
      <c r="N554">
        <v>2</v>
      </c>
      <c r="O554">
        <v>1</v>
      </c>
      <c r="P554">
        <v>0.14000000000000001</v>
      </c>
      <c r="Q554">
        <v>0.13639999999999999</v>
      </c>
    </row>
    <row r="555" spans="1:17">
      <c r="A555">
        <v>554</v>
      </c>
      <c r="B555">
        <v>0.18179999999999999</v>
      </c>
      <c r="C555">
        <v>0.74</v>
      </c>
      <c r="D555">
        <v>0.1045</v>
      </c>
      <c r="E555">
        <v>1</v>
      </c>
      <c r="F555">
        <v>35</v>
      </c>
      <c r="G555">
        <v>36</v>
      </c>
      <c r="H555" s="22">
        <v>40568</v>
      </c>
      <c r="I555">
        <v>1</v>
      </c>
      <c r="J555">
        <v>0</v>
      </c>
      <c r="K555">
        <v>1</v>
      </c>
      <c r="L555">
        <v>6</v>
      </c>
      <c r="M555" t="b">
        <v>0</v>
      </c>
      <c r="N555">
        <v>2</v>
      </c>
      <c r="O555">
        <v>1</v>
      </c>
      <c r="P555">
        <v>0.16</v>
      </c>
      <c r="Q555">
        <v>0.18179999999999999</v>
      </c>
    </row>
    <row r="556" spans="1:17">
      <c r="A556">
        <v>555</v>
      </c>
      <c r="B556">
        <v>0.1515</v>
      </c>
      <c r="C556">
        <v>0.74</v>
      </c>
      <c r="D556">
        <v>0.22389999999999999</v>
      </c>
      <c r="E556">
        <v>5</v>
      </c>
      <c r="F556">
        <v>103</v>
      </c>
      <c r="G556">
        <v>108</v>
      </c>
      <c r="H556" s="22">
        <v>40568</v>
      </c>
      <c r="I556">
        <v>1</v>
      </c>
      <c r="J556">
        <v>0</v>
      </c>
      <c r="K556">
        <v>1</v>
      </c>
      <c r="L556">
        <v>7</v>
      </c>
      <c r="M556" t="b">
        <v>0</v>
      </c>
      <c r="N556">
        <v>2</v>
      </c>
      <c r="O556">
        <v>1</v>
      </c>
      <c r="P556">
        <v>0.16</v>
      </c>
      <c r="Q556">
        <v>0.1515</v>
      </c>
    </row>
    <row r="557" spans="1:17">
      <c r="A557">
        <v>556</v>
      </c>
      <c r="B557">
        <v>0.18179999999999999</v>
      </c>
      <c r="C557">
        <v>0.74</v>
      </c>
      <c r="D557">
        <v>0.1343</v>
      </c>
      <c r="E557">
        <v>5</v>
      </c>
      <c r="F557">
        <v>233</v>
      </c>
      <c r="G557">
        <v>238</v>
      </c>
      <c r="H557" s="22">
        <v>40568</v>
      </c>
      <c r="I557">
        <v>1</v>
      </c>
      <c r="J557">
        <v>0</v>
      </c>
      <c r="K557">
        <v>1</v>
      </c>
      <c r="L557">
        <v>8</v>
      </c>
      <c r="M557" t="b">
        <v>0</v>
      </c>
      <c r="N557">
        <v>2</v>
      </c>
      <c r="O557">
        <v>2</v>
      </c>
      <c r="P557">
        <v>0.16</v>
      </c>
      <c r="Q557">
        <v>0.18179999999999999</v>
      </c>
    </row>
    <row r="558" spans="1:17">
      <c r="A558">
        <v>557</v>
      </c>
      <c r="B558">
        <v>0.2273</v>
      </c>
      <c r="C558">
        <v>0.64</v>
      </c>
      <c r="D558">
        <v>8.9599999999999999E-2</v>
      </c>
      <c r="E558">
        <v>10</v>
      </c>
      <c r="F558">
        <v>134</v>
      </c>
      <c r="G558">
        <v>144</v>
      </c>
      <c r="H558" s="22">
        <v>40568</v>
      </c>
      <c r="I558">
        <v>1</v>
      </c>
      <c r="J558">
        <v>0</v>
      </c>
      <c r="K558">
        <v>1</v>
      </c>
      <c r="L558">
        <v>9</v>
      </c>
      <c r="M558" t="b">
        <v>0</v>
      </c>
      <c r="N558">
        <v>2</v>
      </c>
      <c r="O558">
        <v>2</v>
      </c>
      <c r="P558">
        <v>0.2</v>
      </c>
      <c r="Q558">
        <v>0.2273</v>
      </c>
    </row>
    <row r="559" spans="1:17">
      <c r="A559">
        <v>558</v>
      </c>
      <c r="B559">
        <v>0.2424</v>
      </c>
      <c r="C559">
        <v>0.6</v>
      </c>
      <c r="D559">
        <v>0.1045</v>
      </c>
      <c r="E559">
        <v>6</v>
      </c>
      <c r="F559">
        <v>49</v>
      </c>
      <c r="G559">
        <v>55</v>
      </c>
      <c r="H559" s="22">
        <v>40568</v>
      </c>
      <c r="I559">
        <v>1</v>
      </c>
      <c r="J559">
        <v>0</v>
      </c>
      <c r="K559">
        <v>1</v>
      </c>
      <c r="L559">
        <v>10</v>
      </c>
      <c r="M559" t="b">
        <v>0</v>
      </c>
      <c r="N559">
        <v>2</v>
      </c>
      <c r="O559">
        <v>2</v>
      </c>
      <c r="P559">
        <v>0.22</v>
      </c>
      <c r="Q559">
        <v>0.2424</v>
      </c>
    </row>
    <row r="560" spans="1:17">
      <c r="A560">
        <v>559</v>
      </c>
      <c r="B560">
        <v>0.2424</v>
      </c>
      <c r="C560">
        <v>0.6</v>
      </c>
      <c r="D560">
        <v>0.1343</v>
      </c>
      <c r="E560">
        <v>6</v>
      </c>
      <c r="F560">
        <v>55</v>
      </c>
      <c r="G560">
        <v>61</v>
      </c>
      <c r="H560" s="22">
        <v>40568</v>
      </c>
      <c r="I560">
        <v>1</v>
      </c>
      <c r="J560">
        <v>0</v>
      </c>
      <c r="K560">
        <v>1</v>
      </c>
      <c r="L560">
        <v>11</v>
      </c>
      <c r="M560" t="b">
        <v>0</v>
      </c>
      <c r="N560">
        <v>2</v>
      </c>
      <c r="O560">
        <v>2</v>
      </c>
      <c r="P560">
        <v>0.24</v>
      </c>
      <c r="Q560">
        <v>0.2424</v>
      </c>
    </row>
    <row r="561" spans="1:17">
      <c r="A561">
        <v>560</v>
      </c>
      <c r="B561">
        <v>0.28789999999999999</v>
      </c>
      <c r="C561">
        <v>0.56000000000000005</v>
      </c>
      <c r="D561">
        <v>8.9599999999999999E-2</v>
      </c>
      <c r="E561">
        <v>21</v>
      </c>
      <c r="F561">
        <v>85</v>
      </c>
      <c r="G561">
        <v>106</v>
      </c>
      <c r="H561" s="22">
        <v>40568</v>
      </c>
      <c r="I561">
        <v>1</v>
      </c>
      <c r="J561">
        <v>0</v>
      </c>
      <c r="K561">
        <v>1</v>
      </c>
      <c r="L561">
        <v>12</v>
      </c>
      <c r="M561" t="b">
        <v>0</v>
      </c>
      <c r="N561">
        <v>2</v>
      </c>
      <c r="O561">
        <v>2</v>
      </c>
      <c r="P561">
        <v>0.26</v>
      </c>
      <c r="Q561">
        <v>0.28789999999999999</v>
      </c>
    </row>
    <row r="562" spans="1:17">
      <c r="A562">
        <v>561</v>
      </c>
      <c r="B562">
        <v>0.2727</v>
      </c>
      <c r="C562">
        <v>0.56000000000000005</v>
      </c>
      <c r="D562">
        <v>0.1343</v>
      </c>
      <c r="E562">
        <v>21</v>
      </c>
      <c r="F562">
        <v>72</v>
      </c>
      <c r="G562">
        <v>93</v>
      </c>
      <c r="H562" s="22">
        <v>40568</v>
      </c>
      <c r="I562">
        <v>1</v>
      </c>
      <c r="J562">
        <v>0</v>
      </c>
      <c r="K562">
        <v>1</v>
      </c>
      <c r="L562">
        <v>13</v>
      </c>
      <c r="M562" t="b">
        <v>0</v>
      </c>
      <c r="N562">
        <v>2</v>
      </c>
      <c r="O562">
        <v>2</v>
      </c>
      <c r="P562">
        <v>0.26</v>
      </c>
      <c r="Q562">
        <v>0.2727</v>
      </c>
    </row>
    <row r="563" spans="1:17">
      <c r="A563">
        <v>562</v>
      </c>
      <c r="B563">
        <v>0.33329999999999999</v>
      </c>
      <c r="C563">
        <v>0.45</v>
      </c>
      <c r="D563">
        <v>0</v>
      </c>
      <c r="E563">
        <v>11</v>
      </c>
      <c r="F563">
        <v>57</v>
      </c>
      <c r="G563">
        <v>68</v>
      </c>
      <c r="H563" s="22">
        <v>40568</v>
      </c>
      <c r="I563">
        <v>1</v>
      </c>
      <c r="J563">
        <v>0</v>
      </c>
      <c r="K563">
        <v>1</v>
      </c>
      <c r="L563">
        <v>14</v>
      </c>
      <c r="M563" t="b">
        <v>0</v>
      </c>
      <c r="N563">
        <v>2</v>
      </c>
      <c r="O563">
        <v>2</v>
      </c>
      <c r="P563">
        <v>0.3</v>
      </c>
      <c r="Q563">
        <v>0.33329999999999999</v>
      </c>
    </row>
    <row r="564" spans="1:17">
      <c r="A564">
        <v>563</v>
      </c>
      <c r="B564">
        <v>0.34849999999999998</v>
      </c>
      <c r="C564">
        <v>0.42</v>
      </c>
      <c r="D564">
        <v>0</v>
      </c>
      <c r="E564">
        <v>21</v>
      </c>
      <c r="F564">
        <v>63</v>
      </c>
      <c r="G564">
        <v>84</v>
      </c>
      <c r="H564" s="22">
        <v>40568</v>
      </c>
      <c r="I564">
        <v>1</v>
      </c>
      <c r="J564">
        <v>0</v>
      </c>
      <c r="K564">
        <v>1</v>
      </c>
      <c r="L564">
        <v>15</v>
      </c>
      <c r="M564" t="b">
        <v>0</v>
      </c>
      <c r="N564">
        <v>2</v>
      </c>
      <c r="O564">
        <v>2</v>
      </c>
      <c r="P564">
        <v>0.32</v>
      </c>
      <c r="Q564">
        <v>0.34849999999999998</v>
      </c>
    </row>
    <row r="565" spans="1:17">
      <c r="A565">
        <v>564</v>
      </c>
      <c r="B565">
        <v>0.34849999999999998</v>
      </c>
      <c r="C565">
        <v>0.42</v>
      </c>
      <c r="D565">
        <v>0</v>
      </c>
      <c r="E565">
        <v>14</v>
      </c>
      <c r="F565">
        <v>102</v>
      </c>
      <c r="G565">
        <v>116</v>
      </c>
      <c r="H565" s="22">
        <v>40568</v>
      </c>
      <c r="I565">
        <v>1</v>
      </c>
      <c r="J565">
        <v>0</v>
      </c>
      <c r="K565">
        <v>1</v>
      </c>
      <c r="L565">
        <v>16</v>
      </c>
      <c r="M565" t="b">
        <v>0</v>
      </c>
      <c r="N565">
        <v>2</v>
      </c>
      <c r="O565">
        <v>2</v>
      </c>
      <c r="P565">
        <v>0.32</v>
      </c>
      <c r="Q565">
        <v>0.34849999999999998</v>
      </c>
    </row>
    <row r="566" spans="1:17">
      <c r="A566">
        <v>565</v>
      </c>
      <c r="B566">
        <v>0.33329999999999999</v>
      </c>
      <c r="C566">
        <v>0.45</v>
      </c>
      <c r="D566">
        <v>0</v>
      </c>
      <c r="E566">
        <v>14</v>
      </c>
      <c r="F566">
        <v>208</v>
      </c>
      <c r="G566">
        <v>222</v>
      </c>
      <c r="H566" s="22">
        <v>40568</v>
      </c>
      <c r="I566">
        <v>1</v>
      </c>
      <c r="J566">
        <v>0</v>
      </c>
      <c r="K566">
        <v>1</v>
      </c>
      <c r="L566">
        <v>17</v>
      </c>
      <c r="M566" t="b">
        <v>0</v>
      </c>
      <c r="N566">
        <v>2</v>
      </c>
      <c r="O566">
        <v>1</v>
      </c>
      <c r="P566">
        <v>0.3</v>
      </c>
      <c r="Q566">
        <v>0.33329999999999999</v>
      </c>
    </row>
    <row r="567" spans="1:17">
      <c r="A567">
        <v>566</v>
      </c>
      <c r="B567">
        <v>0.31819999999999998</v>
      </c>
      <c r="C567">
        <v>0.49</v>
      </c>
      <c r="D567">
        <v>8.9599999999999999E-2</v>
      </c>
      <c r="E567">
        <v>7</v>
      </c>
      <c r="F567">
        <v>218</v>
      </c>
      <c r="G567">
        <v>225</v>
      </c>
      <c r="H567" s="22">
        <v>40568</v>
      </c>
      <c r="I567">
        <v>1</v>
      </c>
      <c r="J567">
        <v>0</v>
      </c>
      <c r="K567">
        <v>1</v>
      </c>
      <c r="L567">
        <v>18</v>
      </c>
      <c r="M567" t="b">
        <v>0</v>
      </c>
      <c r="N567">
        <v>2</v>
      </c>
      <c r="O567">
        <v>2</v>
      </c>
      <c r="P567">
        <v>0.3</v>
      </c>
      <c r="Q567">
        <v>0.31819999999999998</v>
      </c>
    </row>
    <row r="568" spans="1:17">
      <c r="A568">
        <v>567</v>
      </c>
      <c r="B568">
        <v>0.2576</v>
      </c>
      <c r="C568">
        <v>0.65</v>
      </c>
      <c r="D568">
        <v>0.16420000000000001</v>
      </c>
      <c r="E568">
        <v>13</v>
      </c>
      <c r="F568">
        <v>133</v>
      </c>
      <c r="G568">
        <v>146</v>
      </c>
      <c r="H568" s="22">
        <v>40568</v>
      </c>
      <c r="I568">
        <v>1</v>
      </c>
      <c r="J568">
        <v>0</v>
      </c>
      <c r="K568">
        <v>1</v>
      </c>
      <c r="L568">
        <v>19</v>
      </c>
      <c r="M568" t="b">
        <v>0</v>
      </c>
      <c r="N568">
        <v>2</v>
      </c>
      <c r="O568">
        <v>2</v>
      </c>
      <c r="P568">
        <v>0.26</v>
      </c>
      <c r="Q568">
        <v>0.2576</v>
      </c>
    </row>
    <row r="569" spans="1:17">
      <c r="A569">
        <v>568</v>
      </c>
      <c r="B569">
        <v>0.2273</v>
      </c>
      <c r="C569">
        <v>0.65</v>
      </c>
      <c r="D569">
        <v>0.19400000000000001</v>
      </c>
      <c r="E569">
        <v>16</v>
      </c>
      <c r="F569">
        <v>103</v>
      </c>
      <c r="G569">
        <v>119</v>
      </c>
      <c r="H569" s="22">
        <v>40568</v>
      </c>
      <c r="I569">
        <v>1</v>
      </c>
      <c r="J569">
        <v>0</v>
      </c>
      <c r="K569">
        <v>1</v>
      </c>
      <c r="L569">
        <v>20</v>
      </c>
      <c r="M569" t="b">
        <v>0</v>
      </c>
      <c r="N569">
        <v>2</v>
      </c>
      <c r="O569">
        <v>1</v>
      </c>
      <c r="P569">
        <v>0.24</v>
      </c>
      <c r="Q569">
        <v>0.2273</v>
      </c>
    </row>
    <row r="570" spans="1:17">
      <c r="A570">
        <v>569</v>
      </c>
      <c r="B570">
        <v>0.2273</v>
      </c>
      <c r="C570">
        <v>0.65</v>
      </c>
      <c r="D570">
        <v>0.19400000000000001</v>
      </c>
      <c r="E570">
        <v>5</v>
      </c>
      <c r="F570">
        <v>40</v>
      </c>
      <c r="G570">
        <v>45</v>
      </c>
      <c r="H570" s="22">
        <v>40568</v>
      </c>
      <c r="I570">
        <v>1</v>
      </c>
      <c r="J570">
        <v>0</v>
      </c>
      <c r="K570">
        <v>1</v>
      </c>
      <c r="L570">
        <v>21</v>
      </c>
      <c r="M570" t="b">
        <v>0</v>
      </c>
      <c r="N570">
        <v>2</v>
      </c>
      <c r="O570">
        <v>1</v>
      </c>
      <c r="P570">
        <v>0.24</v>
      </c>
      <c r="Q570">
        <v>0.2273</v>
      </c>
    </row>
    <row r="571" spans="1:17">
      <c r="A571">
        <v>570</v>
      </c>
      <c r="B571">
        <v>0.2273</v>
      </c>
      <c r="C571">
        <v>0.64</v>
      </c>
      <c r="D571">
        <v>0.16420000000000001</v>
      </c>
      <c r="E571">
        <v>4</v>
      </c>
      <c r="F571">
        <v>49</v>
      </c>
      <c r="G571">
        <v>53</v>
      </c>
      <c r="H571" s="22">
        <v>40568</v>
      </c>
      <c r="I571">
        <v>1</v>
      </c>
      <c r="J571">
        <v>0</v>
      </c>
      <c r="K571">
        <v>1</v>
      </c>
      <c r="L571">
        <v>22</v>
      </c>
      <c r="M571" t="b">
        <v>0</v>
      </c>
      <c r="N571">
        <v>2</v>
      </c>
      <c r="O571">
        <v>1</v>
      </c>
      <c r="P571">
        <v>0.22</v>
      </c>
      <c r="Q571">
        <v>0.2273</v>
      </c>
    </row>
    <row r="572" spans="1:17">
      <c r="A572">
        <v>571</v>
      </c>
      <c r="B572">
        <v>0.2273</v>
      </c>
      <c r="C572">
        <v>0.64</v>
      </c>
      <c r="D572">
        <v>0.16420000000000001</v>
      </c>
      <c r="E572">
        <v>3</v>
      </c>
      <c r="F572">
        <v>37</v>
      </c>
      <c r="G572">
        <v>40</v>
      </c>
      <c r="H572" s="22">
        <v>40568</v>
      </c>
      <c r="I572">
        <v>1</v>
      </c>
      <c r="J572">
        <v>0</v>
      </c>
      <c r="K572">
        <v>1</v>
      </c>
      <c r="L572">
        <v>23</v>
      </c>
      <c r="M572" t="b">
        <v>0</v>
      </c>
      <c r="N572">
        <v>2</v>
      </c>
      <c r="O572">
        <v>2</v>
      </c>
      <c r="P572">
        <v>0.22</v>
      </c>
      <c r="Q572">
        <v>0.2273</v>
      </c>
    </row>
    <row r="573" spans="1:17">
      <c r="A573">
        <v>572</v>
      </c>
      <c r="B573">
        <v>0.2273</v>
      </c>
      <c r="C573">
        <v>0.69</v>
      </c>
      <c r="D573">
        <v>0.1343</v>
      </c>
      <c r="E573">
        <v>3</v>
      </c>
      <c r="F573">
        <v>14</v>
      </c>
      <c r="G573">
        <v>17</v>
      </c>
      <c r="H573" s="22">
        <v>40569</v>
      </c>
      <c r="I573">
        <v>1</v>
      </c>
      <c r="J573">
        <v>0</v>
      </c>
      <c r="K573">
        <v>1</v>
      </c>
      <c r="L573">
        <v>0</v>
      </c>
      <c r="M573" t="b">
        <v>0</v>
      </c>
      <c r="N573">
        <v>3</v>
      </c>
      <c r="O573">
        <v>2</v>
      </c>
      <c r="P573">
        <v>0.22</v>
      </c>
      <c r="Q573">
        <v>0.2273</v>
      </c>
    </row>
    <row r="574" spans="1:17">
      <c r="A574">
        <v>573</v>
      </c>
      <c r="B574">
        <v>0.2424</v>
      </c>
      <c r="C574">
        <v>0.65</v>
      </c>
      <c r="D574">
        <v>0.1343</v>
      </c>
      <c r="E574">
        <v>0</v>
      </c>
      <c r="F574">
        <v>5</v>
      </c>
      <c r="G574">
        <v>5</v>
      </c>
      <c r="H574" s="22">
        <v>40569</v>
      </c>
      <c r="I574">
        <v>1</v>
      </c>
      <c r="J574">
        <v>0</v>
      </c>
      <c r="K574">
        <v>1</v>
      </c>
      <c r="L574">
        <v>1</v>
      </c>
      <c r="M574" t="b">
        <v>0</v>
      </c>
      <c r="N574">
        <v>3</v>
      </c>
      <c r="O574">
        <v>2</v>
      </c>
      <c r="P574">
        <v>0.24</v>
      </c>
      <c r="Q574">
        <v>0.2424</v>
      </c>
    </row>
    <row r="575" spans="1:17">
      <c r="A575">
        <v>574</v>
      </c>
      <c r="B575">
        <v>0.2273</v>
      </c>
      <c r="C575">
        <v>0.69</v>
      </c>
      <c r="D575">
        <v>0.19400000000000001</v>
      </c>
      <c r="E575">
        <v>3</v>
      </c>
      <c r="F575">
        <v>7</v>
      </c>
      <c r="G575">
        <v>10</v>
      </c>
      <c r="H575" s="22">
        <v>40569</v>
      </c>
      <c r="I575">
        <v>1</v>
      </c>
      <c r="J575">
        <v>0</v>
      </c>
      <c r="K575">
        <v>1</v>
      </c>
      <c r="L575">
        <v>2</v>
      </c>
      <c r="M575" t="b">
        <v>0</v>
      </c>
      <c r="N575">
        <v>3</v>
      </c>
      <c r="O575">
        <v>3</v>
      </c>
      <c r="P575">
        <v>0.22</v>
      </c>
      <c r="Q575">
        <v>0.2273</v>
      </c>
    </row>
    <row r="576" spans="1:17">
      <c r="A576">
        <v>575</v>
      </c>
      <c r="B576">
        <v>0.18179999999999999</v>
      </c>
      <c r="C576">
        <v>0.86</v>
      </c>
      <c r="D576">
        <v>0.28360000000000002</v>
      </c>
      <c r="E576">
        <v>0</v>
      </c>
      <c r="F576">
        <v>1</v>
      </c>
      <c r="G576">
        <v>1</v>
      </c>
      <c r="H576" s="22">
        <v>40569</v>
      </c>
      <c r="I576">
        <v>1</v>
      </c>
      <c r="J576">
        <v>0</v>
      </c>
      <c r="K576">
        <v>1</v>
      </c>
      <c r="L576">
        <v>5</v>
      </c>
      <c r="M576" t="b">
        <v>0</v>
      </c>
      <c r="N576">
        <v>3</v>
      </c>
      <c r="O576">
        <v>3</v>
      </c>
      <c r="P576">
        <v>0.2</v>
      </c>
      <c r="Q576">
        <v>0.18179999999999999</v>
      </c>
    </row>
    <row r="577" spans="1:17">
      <c r="A577">
        <v>576</v>
      </c>
      <c r="B577">
        <v>0.18179999999999999</v>
      </c>
      <c r="C577">
        <v>0.86</v>
      </c>
      <c r="D577">
        <v>0.28360000000000002</v>
      </c>
      <c r="E577">
        <v>0</v>
      </c>
      <c r="F577">
        <v>8</v>
      </c>
      <c r="G577">
        <v>8</v>
      </c>
      <c r="H577" s="22">
        <v>40569</v>
      </c>
      <c r="I577">
        <v>1</v>
      </c>
      <c r="J577">
        <v>0</v>
      </c>
      <c r="K577">
        <v>1</v>
      </c>
      <c r="L577">
        <v>6</v>
      </c>
      <c r="M577" t="b">
        <v>0</v>
      </c>
      <c r="N577">
        <v>3</v>
      </c>
      <c r="O577">
        <v>3</v>
      </c>
      <c r="P577">
        <v>0.2</v>
      </c>
      <c r="Q577">
        <v>0.18179999999999999</v>
      </c>
    </row>
    <row r="578" spans="1:17">
      <c r="A578">
        <v>577</v>
      </c>
      <c r="B578">
        <v>0.21210000000000001</v>
      </c>
      <c r="C578">
        <v>0.87</v>
      </c>
      <c r="D578">
        <v>0.29849999999999999</v>
      </c>
      <c r="E578">
        <v>1</v>
      </c>
      <c r="F578">
        <v>29</v>
      </c>
      <c r="G578">
        <v>30</v>
      </c>
      <c r="H578" s="22">
        <v>40569</v>
      </c>
      <c r="I578">
        <v>1</v>
      </c>
      <c r="J578">
        <v>0</v>
      </c>
      <c r="K578">
        <v>1</v>
      </c>
      <c r="L578">
        <v>7</v>
      </c>
      <c r="M578" t="b">
        <v>0</v>
      </c>
      <c r="N578">
        <v>3</v>
      </c>
      <c r="O578">
        <v>3</v>
      </c>
      <c r="P578">
        <v>0.22</v>
      </c>
      <c r="Q578">
        <v>0.21210000000000001</v>
      </c>
    </row>
    <row r="579" spans="1:17">
      <c r="A579">
        <v>578</v>
      </c>
      <c r="B579">
        <v>0.21210000000000001</v>
      </c>
      <c r="C579">
        <v>0.87</v>
      </c>
      <c r="D579">
        <v>0.29849999999999999</v>
      </c>
      <c r="E579">
        <v>3</v>
      </c>
      <c r="F579">
        <v>69</v>
      </c>
      <c r="G579">
        <v>72</v>
      </c>
      <c r="H579" s="22">
        <v>40569</v>
      </c>
      <c r="I579">
        <v>1</v>
      </c>
      <c r="J579">
        <v>0</v>
      </c>
      <c r="K579">
        <v>1</v>
      </c>
      <c r="L579">
        <v>8</v>
      </c>
      <c r="M579" t="b">
        <v>0</v>
      </c>
      <c r="N579">
        <v>3</v>
      </c>
      <c r="O579">
        <v>3</v>
      </c>
      <c r="P579">
        <v>0.22</v>
      </c>
      <c r="Q579">
        <v>0.21210000000000001</v>
      </c>
    </row>
    <row r="580" spans="1:17">
      <c r="A580">
        <v>579</v>
      </c>
      <c r="B580">
        <v>0.21210000000000001</v>
      </c>
      <c r="C580">
        <v>0.87</v>
      </c>
      <c r="D580">
        <v>0.29849999999999999</v>
      </c>
      <c r="E580">
        <v>3</v>
      </c>
      <c r="F580">
        <v>55</v>
      </c>
      <c r="G580">
        <v>58</v>
      </c>
      <c r="H580" s="22">
        <v>40569</v>
      </c>
      <c r="I580">
        <v>1</v>
      </c>
      <c r="J580">
        <v>0</v>
      </c>
      <c r="K580">
        <v>1</v>
      </c>
      <c r="L580">
        <v>9</v>
      </c>
      <c r="M580" t="b">
        <v>0</v>
      </c>
      <c r="N580">
        <v>3</v>
      </c>
      <c r="O580">
        <v>3</v>
      </c>
      <c r="P580">
        <v>0.22</v>
      </c>
      <c r="Q580">
        <v>0.21210000000000001</v>
      </c>
    </row>
    <row r="581" spans="1:17">
      <c r="A581">
        <v>580</v>
      </c>
      <c r="B581">
        <v>0.21210000000000001</v>
      </c>
      <c r="C581">
        <v>0.93</v>
      </c>
      <c r="D581">
        <v>0.28360000000000002</v>
      </c>
      <c r="E581">
        <v>2</v>
      </c>
      <c r="F581">
        <v>26</v>
      </c>
      <c r="G581">
        <v>28</v>
      </c>
      <c r="H581" s="22">
        <v>40569</v>
      </c>
      <c r="I581">
        <v>1</v>
      </c>
      <c r="J581">
        <v>0</v>
      </c>
      <c r="K581">
        <v>1</v>
      </c>
      <c r="L581">
        <v>10</v>
      </c>
      <c r="M581" t="b">
        <v>0</v>
      </c>
      <c r="N581">
        <v>3</v>
      </c>
      <c r="O581">
        <v>3</v>
      </c>
      <c r="P581">
        <v>0.22</v>
      </c>
      <c r="Q581">
        <v>0.21210000000000001</v>
      </c>
    </row>
    <row r="582" spans="1:17">
      <c r="A582">
        <v>581</v>
      </c>
      <c r="B582">
        <v>0.19700000000000001</v>
      </c>
      <c r="C582">
        <v>0.93</v>
      </c>
      <c r="D582">
        <v>0.32840000000000003</v>
      </c>
      <c r="E582">
        <v>6</v>
      </c>
      <c r="F582">
        <v>35</v>
      </c>
      <c r="G582">
        <v>41</v>
      </c>
      <c r="H582" s="22">
        <v>40569</v>
      </c>
      <c r="I582">
        <v>1</v>
      </c>
      <c r="J582">
        <v>0</v>
      </c>
      <c r="K582">
        <v>1</v>
      </c>
      <c r="L582">
        <v>11</v>
      </c>
      <c r="M582" t="b">
        <v>0</v>
      </c>
      <c r="N582">
        <v>3</v>
      </c>
      <c r="O582">
        <v>3</v>
      </c>
      <c r="P582">
        <v>0.22</v>
      </c>
      <c r="Q582">
        <v>0.19700000000000001</v>
      </c>
    </row>
    <row r="583" spans="1:17">
      <c r="A583">
        <v>582</v>
      </c>
      <c r="B583">
        <v>0.19700000000000001</v>
      </c>
      <c r="C583">
        <v>0.93</v>
      </c>
      <c r="D583">
        <v>0.32840000000000003</v>
      </c>
      <c r="E583">
        <v>7</v>
      </c>
      <c r="F583">
        <v>41</v>
      </c>
      <c r="G583">
        <v>48</v>
      </c>
      <c r="H583" s="22">
        <v>40569</v>
      </c>
      <c r="I583">
        <v>1</v>
      </c>
      <c r="J583">
        <v>0</v>
      </c>
      <c r="K583">
        <v>1</v>
      </c>
      <c r="L583">
        <v>12</v>
      </c>
      <c r="M583" t="b">
        <v>0</v>
      </c>
      <c r="N583">
        <v>3</v>
      </c>
      <c r="O583">
        <v>3</v>
      </c>
      <c r="P583">
        <v>0.22</v>
      </c>
      <c r="Q583">
        <v>0.19700000000000001</v>
      </c>
    </row>
    <row r="584" spans="1:17">
      <c r="A584">
        <v>583</v>
      </c>
      <c r="B584">
        <v>0.19700000000000001</v>
      </c>
      <c r="C584">
        <v>0.93</v>
      </c>
      <c r="D584">
        <v>0.32840000000000003</v>
      </c>
      <c r="E584">
        <v>4</v>
      </c>
      <c r="F584">
        <v>43</v>
      </c>
      <c r="G584">
        <v>47</v>
      </c>
      <c r="H584" s="22">
        <v>40569</v>
      </c>
      <c r="I584">
        <v>1</v>
      </c>
      <c r="J584">
        <v>0</v>
      </c>
      <c r="K584">
        <v>1</v>
      </c>
      <c r="L584">
        <v>13</v>
      </c>
      <c r="M584" t="b">
        <v>0</v>
      </c>
      <c r="N584">
        <v>3</v>
      </c>
      <c r="O584">
        <v>3</v>
      </c>
      <c r="P584">
        <v>0.22</v>
      </c>
      <c r="Q584">
        <v>0.19700000000000001</v>
      </c>
    </row>
    <row r="585" spans="1:17">
      <c r="A585">
        <v>584</v>
      </c>
      <c r="B585">
        <v>0.19700000000000001</v>
      </c>
      <c r="C585">
        <v>0.93</v>
      </c>
      <c r="D585">
        <v>0.35820000000000002</v>
      </c>
      <c r="E585">
        <v>0</v>
      </c>
      <c r="F585">
        <v>36</v>
      </c>
      <c r="G585">
        <v>36</v>
      </c>
      <c r="H585" s="22">
        <v>40569</v>
      </c>
      <c r="I585">
        <v>1</v>
      </c>
      <c r="J585">
        <v>0</v>
      </c>
      <c r="K585">
        <v>1</v>
      </c>
      <c r="L585">
        <v>14</v>
      </c>
      <c r="M585" t="b">
        <v>0</v>
      </c>
      <c r="N585">
        <v>3</v>
      </c>
      <c r="O585">
        <v>3</v>
      </c>
      <c r="P585">
        <v>0.22</v>
      </c>
      <c r="Q585">
        <v>0.19700000000000001</v>
      </c>
    </row>
    <row r="586" spans="1:17">
      <c r="A586">
        <v>585</v>
      </c>
      <c r="B586">
        <v>0.18179999999999999</v>
      </c>
      <c r="C586">
        <v>0.93</v>
      </c>
      <c r="D586">
        <v>0.4627</v>
      </c>
      <c r="E586">
        <v>1</v>
      </c>
      <c r="F586">
        <v>42</v>
      </c>
      <c r="G586">
        <v>43</v>
      </c>
      <c r="H586" s="22">
        <v>40569</v>
      </c>
      <c r="I586">
        <v>1</v>
      </c>
      <c r="J586">
        <v>0</v>
      </c>
      <c r="K586">
        <v>1</v>
      </c>
      <c r="L586">
        <v>15</v>
      </c>
      <c r="M586" t="b">
        <v>0</v>
      </c>
      <c r="N586">
        <v>3</v>
      </c>
      <c r="O586">
        <v>3</v>
      </c>
      <c r="P586">
        <v>0.22</v>
      </c>
      <c r="Q586">
        <v>0.18179999999999999</v>
      </c>
    </row>
    <row r="587" spans="1:17">
      <c r="A587">
        <v>586</v>
      </c>
      <c r="B587">
        <v>0.19700000000000001</v>
      </c>
      <c r="C587">
        <v>0.93</v>
      </c>
      <c r="D587">
        <v>0.32840000000000003</v>
      </c>
      <c r="E587">
        <v>1</v>
      </c>
      <c r="F587">
        <v>35</v>
      </c>
      <c r="G587">
        <v>36</v>
      </c>
      <c r="H587" s="22">
        <v>40569</v>
      </c>
      <c r="I587">
        <v>1</v>
      </c>
      <c r="J587">
        <v>0</v>
      </c>
      <c r="K587">
        <v>1</v>
      </c>
      <c r="L587">
        <v>16</v>
      </c>
      <c r="M587" t="b">
        <v>0</v>
      </c>
      <c r="N587">
        <v>3</v>
      </c>
      <c r="O587">
        <v>4</v>
      </c>
      <c r="P587">
        <v>0.22</v>
      </c>
      <c r="Q587">
        <v>0.19700000000000001</v>
      </c>
    </row>
    <row r="588" spans="1:17">
      <c r="A588">
        <v>587</v>
      </c>
      <c r="B588">
        <v>0.18179999999999999</v>
      </c>
      <c r="C588">
        <v>0.93</v>
      </c>
      <c r="D588">
        <v>0.35820000000000002</v>
      </c>
      <c r="E588">
        <v>0</v>
      </c>
      <c r="F588">
        <v>26</v>
      </c>
      <c r="G588">
        <v>26</v>
      </c>
      <c r="H588" s="22">
        <v>40569</v>
      </c>
      <c r="I588">
        <v>1</v>
      </c>
      <c r="J588">
        <v>0</v>
      </c>
      <c r="K588">
        <v>1</v>
      </c>
      <c r="L588">
        <v>17</v>
      </c>
      <c r="M588" t="b">
        <v>0</v>
      </c>
      <c r="N588">
        <v>3</v>
      </c>
      <c r="O588">
        <v>3</v>
      </c>
      <c r="P588">
        <v>0.2</v>
      </c>
      <c r="Q588">
        <v>0.18179999999999999</v>
      </c>
    </row>
    <row r="589" spans="1:17">
      <c r="A589">
        <v>588</v>
      </c>
      <c r="B589">
        <v>0.2273</v>
      </c>
      <c r="C589">
        <v>0.55000000000000004</v>
      </c>
      <c r="D589">
        <v>0.19400000000000001</v>
      </c>
      <c r="E589">
        <v>1</v>
      </c>
      <c r="F589">
        <v>23</v>
      </c>
      <c r="G589">
        <v>24</v>
      </c>
      <c r="H589" s="22">
        <v>40570</v>
      </c>
      <c r="I589">
        <v>1</v>
      </c>
      <c r="J589">
        <v>0</v>
      </c>
      <c r="K589">
        <v>1</v>
      </c>
      <c r="L589">
        <v>16</v>
      </c>
      <c r="M589" t="b">
        <v>0</v>
      </c>
      <c r="N589">
        <v>4</v>
      </c>
      <c r="O589">
        <v>1</v>
      </c>
      <c r="P589">
        <v>0.22</v>
      </c>
      <c r="Q589">
        <v>0.2273</v>
      </c>
    </row>
    <row r="590" spans="1:17">
      <c r="A590">
        <v>589</v>
      </c>
      <c r="B590">
        <v>0.2424</v>
      </c>
      <c r="C590">
        <v>0.55000000000000004</v>
      </c>
      <c r="D590">
        <v>0.1045</v>
      </c>
      <c r="E590">
        <v>2</v>
      </c>
      <c r="F590">
        <v>82</v>
      </c>
      <c r="G590">
        <v>84</v>
      </c>
      <c r="H590" s="22">
        <v>40570</v>
      </c>
      <c r="I590">
        <v>1</v>
      </c>
      <c r="J590">
        <v>0</v>
      </c>
      <c r="K590">
        <v>1</v>
      </c>
      <c r="L590">
        <v>17</v>
      </c>
      <c r="M590" t="b">
        <v>0</v>
      </c>
      <c r="N590">
        <v>4</v>
      </c>
      <c r="O590">
        <v>1</v>
      </c>
      <c r="P590">
        <v>0.22</v>
      </c>
      <c r="Q590">
        <v>0.2424</v>
      </c>
    </row>
    <row r="591" spans="1:17">
      <c r="A591">
        <v>590</v>
      </c>
      <c r="B591">
        <v>0.2273</v>
      </c>
      <c r="C591">
        <v>0.69</v>
      </c>
      <c r="D591">
        <v>8.9599999999999999E-2</v>
      </c>
      <c r="E591">
        <v>3</v>
      </c>
      <c r="F591">
        <v>101</v>
      </c>
      <c r="G591">
        <v>104</v>
      </c>
      <c r="H591" s="22">
        <v>40570</v>
      </c>
      <c r="I591">
        <v>1</v>
      </c>
      <c r="J591">
        <v>0</v>
      </c>
      <c r="K591">
        <v>1</v>
      </c>
      <c r="L591">
        <v>18</v>
      </c>
      <c r="M591" t="b">
        <v>0</v>
      </c>
      <c r="N591">
        <v>4</v>
      </c>
      <c r="O591">
        <v>1</v>
      </c>
      <c r="P591">
        <v>0.2</v>
      </c>
      <c r="Q591">
        <v>0.2273</v>
      </c>
    </row>
    <row r="592" spans="1:17">
      <c r="A592">
        <v>591</v>
      </c>
      <c r="B592">
        <v>0.2273</v>
      </c>
      <c r="C592">
        <v>0.69</v>
      </c>
      <c r="D592">
        <v>8.9599999999999999E-2</v>
      </c>
      <c r="E592">
        <v>3</v>
      </c>
      <c r="F592">
        <v>76</v>
      </c>
      <c r="G592">
        <v>79</v>
      </c>
      <c r="H592" s="22">
        <v>40570</v>
      </c>
      <c r="I592">
        <v>1</v>
      </c>
      <c r="J592">
        <v>0</v>
      </c>
      <c r="K592">
        <v>1</v>
      </c>
      <c r="L592">
        <v>19</v>
      </c>
      <c r="M592" t="b">
        <v>0</v>
      </c>
      <c r="N592">
        <v>4</v>
      </c>
      <c r="O592">
        <v>1</v>
      </c>
      <c r="P592">
        <v>0.2</v>
      </c>
      <c r="Q592">
        <v>0.2273</v>
      </c>
    </row>
    <row r="593" spans="1:17">
      <c r="A593">
        <v>592</v>
      </c>
      <c r="B593">
        <v>0.21210000000000001</v>
      </c>
      <c r="C593">
        <v>0.74</v>
      </c>
      <c r="D593">
        <v>8.9599999999999999E-2</v>
      </c>
      <c r="E593">
        <v>4</v>
      </c>
      <c r="F593">
        <v>55</v>
      </c>
      <c r="G593">
        <v>59</v>
      </c>
      <c r="H593" s="22">
        <v>40570</v>
      </c>
      <c r="I593">
        <v>1</v>
      </c>
      <c r="J593">
        <v>0</v>
      </c>
      <c r="K593">
        <v>1</v>
      </c>
      <c r="L593">
        <v>20</v>
      </c>
      <c r="M593" t="b">
        <v>0</v>
      </c>
      <c r="N593">
        <v>4</v>
      </c>
      <c r="O593">
        <v>1</v>
      </c>
      <c r="P593">
        <v>0.18</v>
      </c>
      <c r="Q593">
        <v>0.21210000000000001</v>
      </c>
    </row>
    <row r="594" spans="1:17">
      <c r="A594">
        <v>593</v>
      </c>
      <c r="B594">
        <v>0.21210000000000001</v>
      </c>
      <c r="C594">
        <v>0.74</v>
      </c>
      <c r="D594">
        <v>8.9599999999999999E-2</v>
      </c>
      <c r="E594">
        <v>2</v>
      </c>
      <c r="F594">
        <v>36</v>
      </c>
      <c r="G594">
        <v>38</v>
      </c>
      <c r="H594" s="22">
        <v>40570</v>
      </c>
      <c r="I594">
        <v>1</v>
      </c>
      <c r="J594">
        <v>0</v>
      </c>
      <c r="K594">
        <v>1</v>
      </c>
      <c r="L594">
        <v>21</v>
      </c>
      <c r="M594" t="b">
        <v>0</v>
      </c>
      <c r="N594">
        <v>4</v>
      </c>
      <c r="O594">
        <v>1</v>
      </c>
      <c r="P594">
        <v>0.18</v>
      </c>
      <c r="Q594">
        <v>0.21210000000000001</v>
      </c>
    </row>
    <row r="595" spans="1:17">
      <c r="A595">
        <v>594</v>
      </c>
      <c r="B595">
        <v>0.21210000000000001</v>
      </c>
      <c r="C595">
        <v>0.74</v>
      </c>
      <c r="D595">
        <v>8.9599999999999999E-2</v>
      </c>
      <c r="E595">
        <v>0</v>
      </c>
      <c r="F595">
        <v>27</v>
      </c>
      <c r="G595">
        <v>27</v>
      </c>
      <c r="H595" s="22">
        <v>40570</v>
      </c>
      <c r="I595">
        <v>1</v>
      </c>
      <c r="J595">
        <v>0</v>
      </c>
      <c r="K595">
        <v>1</v>
      </c>
      <c r="L595">
        <v>22</v>
      </c>
      <c r="M595" t="b">
        <v>0</v>
      </c>
      <c r="N595">
        <v>4</v>
      </c>
      <c r="O595">
        <v>1</v>
      </c>
      <c r="P595">
        <v>0.18</v>
      </c>
      <c r="Q595">
        <v>0.21210000000000001</v>
      </c>
    </row>
    <row r="596" spans="1:17">
      <c r="A596">
        <v>595</v>
      </c>
      <c r="B596">
        <v>0.19700000000000001</v>
      </c>
      <c r="C596">
        <v>0.8</v>
      </c>
      <c r="D596">
        <v>0.16420000000000001</v>
      </c>
      <c r="E596">
        <v>0</v>
      </c>
      <c r="F596">
        <v>16</v>
      </c>
      <c r="G596">
        <v>16</v>
      </c>
      <c r="H596" s="22">
        <v>40570</v>
      </c>
      <c r="I596">
        <v>1</v>
      </c>
      <c r="J596">
        <v>0</v>
      </c>
      <c r="K596">
        <v>1</v>
      </c>
      <c r="L596">
        <v>23</v>
      </c>
      <c r="M596" t="b">
        <v>0</v>
      </c>
      <c r="N596">
        <v>4</v>
      </c>
      <c r="O596">
        <v>1</v>
      </c>
      <c r="P596">
        <v>0.18</v>
      </c>
      <c r="Q596">
        <v>0.19700000000000001</v>
      </c>
    </row>
    <row r="597" spans="1:17">
      <c r="A597">
        <v>596</v>
      </c>
      <c r="B597">
        <v>0.21210000000000001</v>
      </c>
      <c r="C597">
        <v>0.75</v>
      </c>
      <c r="D597">
        <v>0.1343</v>
      </c>
      <c r="E597">
        <v>0</v>
      </c>
      <c r="F597">
        <v>9</v>
      </c>
      <c r="G597">
        <v>9</v>
      </c>
      <c r="H597" s="22">
        <v>40571</v>
      </c>
      <c r="I597">
        <v>1</v>
      </c>
      <c r="J597">
        <v>0</v>
      </c>
      <c r="K597">
        <v>1</v>
      </c>
      <c r="L597">
        <v>0</v>
      </c>
      <c r="M597" t="b">
        <v>0</v>
      </c>
      <c r="N597">
        <v>5</v>
      </c>
      <c r="O597">
        <v>2</v>
      </c>
      <c r="P597">
        <v>0.2</v>
      </c>
      <c r="Q597">
        <v>0.21210000000000001</v>
      </c>
    </row>
    <row r="598" spans="1:17">
      <c r="A598">
        <v>597</v>
      </c>
      <c r="B598">
        <v>0.21210000000000001</v>
      </c>
      <c r="C598">
        <v>0.75</v>
      </c>
      <c r="D598">
        <v>0.1343</v>
      </c>
      <c r="E598">
        <v>1</v>
      </c>
      <c r="F598">
        <v>2</v>
      </c>
      <c r="G598">
        <v>3</v>
      </c>
      <c r="H598" s="22">
        <v>40571</v>
      </c>
      <c r="I598">
        <v>1</v>
      </c>
      <c r="J598">
        <v>0</v>
      </c>
      <c r="K598">
        <v>1</v>
      </c>
      <c r="L598">
        <v>1</v>
      </c>
      <c r="M598" t="b">
        <v>0</v>
      </c>
      <c r="N598">
        <v>5</v>
      </c>
      <c r="O598">
        <v>2</v>
      </c>
      <c r="P598">
        <v>0.2</v>
      </c>
      <c r="Q598">
        <v>0.21210000000000001</v>
      </c>
    </row>
    <row r="599" spans="1:17">
      <c r="A599">
        <v>598</v>
      </c>
      <c r="B599">
        <v>0.21210000000000001</v>
      </c>
      <c r="C599">
        <v>0.75</v>
      </c>
      <c r="D599">
        <v>0.16420000000000001</v>
      </c>
      <c r="E599">
        <v>0</v>
      </c>
      <c r="F599">
        <v>2</v>
      </c>
      <c r="G599">
        <v>2</v>
      </c>
      <c r="H599" s="22">
        <v>40571</v>
      </c>
      <c r="I599">
        <v>1</v>
      </c>
      <c r="J599">
        <v>0</v>
      </c>
      <c r="K599">
        <v>1</v>
      </c>
      <c r="L599">
        <v>2</v>
      </c>
      <c r="M599" t="b">
        <v>0</v>
      </c>
      <c r="N599">
        <v>5</v>
      </c>
      <c r="O599">
        <v>2</v>
      </c>
      <c r="P599">
        <v>0.2</v>
      </c>
      <c r="Q599">
        <v>0.21210000000000001</v>
      </c>
    </row>
    <row r="600" spans="1:17">
      <c r="A600">
        <v>599</v>
      </c>
      <c r="B600">
        <v>0.2273</v>
      </c>
      <c r="C600">
        <v>0.75</v>
      </c>
      <c r="D600">
        <v>0.1045</v>
      </c>
      <c r="E600">
        <v>1</v>
      </c>
      <c r="F600">
        <v>0</v>
      </c>
      <c r="G600">
        <v>1</v>
      </c>
      <c r="H600" s="22">
        <v>40571</v>
      </c>
      <c r="I600">
        <v>1</v>
      </c>
      <c r="J600">
        <v>0</v>
      </c>
      <c r="K600">
        <v>1</v>
      </c>
      <c r="L600">
        <v>3</v>
      </c>
      <c r="M600" t="b">
        <v>0</v>
      </c>
      <c r="N600">
        <v>5</v>
      </c>
      <c r="O600">
        <v>2</v>
      </c>
      <c r="P600">
        <v>0.2</v>
      </c>
      <c r="Q600">
        <v>0.2273</v>
      </c>
    </row>
    <row r="601" spans="1:17">
      <c r="A601">
        <v>600</v>
      </c>
      <c r="B601">
        <v>0.21210000000000001</v>
      </c>
      <c r="C601">
        <v>0.8</v>
      </c>
      <c r="D601">
        <v>0.1045</v>
      </c>
      <c r="E601">
        <v>0</v>
      </c>
      <c r="F601">
        <v>4</v>
      </c>
      <c r="G601">
        <v>4</v>
      </c>
      <c r="H601" s="22">
        <v>40571</v>
      </c>
      <c r="I601">
        <v>1</v>
      </c>
      <c r="J601">
        <v>0</v>
      </c>
      <c r="K601">
        <v>1</v>
      </c>
      <c r="L601">
        <v>5</v>
      </c>
      <c r="M601" t="b">
        <v>0</v>
      </c>
      <c r="N601">
        <v>5</v>
      </c>
      <c r="O601">
        <v>2</v>
      </c>
      <c r="P601">
        <v>0.18</v>
      </c>
      <c r="Q601">
        <v>0.21210000000000001</v>
      </c>
    </row>
    <row r="602" spans="1:17">
      <c r="A602">
        <v>601</v>
      </c>
      <c r="B602">
        <v>0.19700000000000001</v>
      </c>
      <c r="C602">
        <v>0.8</v>
      </c>
      <c r="D602">
        <v>0.1343</v>
      </c>
      <c r="E602">
        <v>0</v>
      </c>
      <c r="F602">
        <v>16</v>
      </c>
      <c r="G602">
        <v>16</v>
      </c>
      <c r="H602" s="22">
        <v>40571</v>
      </c>
      <c r="I602">
        <v>1</v>
      </c>
      <c r="J602">
        <v>0</v>
      </c>
      <c r="K602">
        <v>1</v>
      </c>
      <c r="L602">
        <v>6</v>
      </c>
      <c r="M602" t="b">
        <v>0</v>
      </c>
      <c r="N602">
        <v>5</v>
      </c>
      <c r="O602">
        <v>2</v>
      </c>
      <c r="P602">
        <v>0.18</v>
      </c>
      <c r="Q602">
        <v>0.19700000000000001</v>
      </c>
    </row>
    <row r="603" spans="1:17">
      <c r="A603">
        <v>602</v>
      </c>
      <c r="B603">
        <v>0.19700000000000001</v>
      </c>
      <c r="C603">
        <v>0.86</v>
      </c>
      <c r="D603">
        <v>8.9599999999999999E-2</v>
      </c>
      <c r="E603">
        <v>2</v>
      </c>
      <c r="F603">
        <v>58</v>
      </c>
      <c r="G603">
        <v>60</v>
      </c>
      <c r="H603" s="22">
        <v>40571</v>
      </c>
      <c r="I603">
        <v>1</v>
      </c>
      <c r="J603">
        <v>0</v>
      </c>
      <c r="K603">
        <v>1</v>
      </c>
      <c r="L603">
        <v>7</v>
      </c>
      <c r="M603" t="b">
        <v>0</v>
      </c>
      <c r="N603">
        <v>5</v>
      </c>
      <c r="O603">
        <v>2</v>
      </c>
      <c r="P603">
        <v>0.16</v>
      </c>
      <c r="Q603">
        <v>0.19700000000000001</v>
      </c>
    </row>
    <row r="604" spans="1:17">
      <c r="A604">
        <v>603</v>
      </c>
      <c r="B604">
        <v>0.19700000000000001</v>
      </c>
      <c r="C604">
        <v>0.86</v>
      </c>
      <c r="D604">
        <v>8.9599999999999999E-2</v>
      </c>
      <c r="E604">
        <v>2</v>
      </c>
      <c r="F604">
        <v>155</v>
      </c>
      <c r="G604">
        <v>157</v>
      </c>
      <c r="H604" s="22">
        <v>40571</v>
      </c>
      <c r="I604">
        <v>1</v>
      </c>
      <c r="J604">
        <v>0</v>
      </c>
      <c r="K604">
        <v>1</v>
      </c>
      <c r="L604">
        <v>8</v>
      </c>
      <c r="M604" t="b">
        <v>0</v>
      </c>
      <c r="N604">
        <v>5</v>
      </c>
      <c r="O604">
        <v>2</v>
      </c>
      <c r="P604">
        <v>0.16</v>
      </c>
      <c r="Q604">
        <v>0.19700000000000001</v>
      </c>
    </row>
    <row r="605" spans="1:17">
      <c r="A605">
        <v>604</v>
      </c>
      <c r="B605">
        <v>0.21210000000000001</v>
      </c>
      <c r="C605">
        <v>0.86</v>
      </c>
      <c r="D605">
        <v>8.9599999999999999E-2</v>
      </c>
      <c r="E605">
        <v>6</v>
      </c>
      <c r="F605">
        <v>95</v>
      </c>
      <c r="G605">
        <v>101</v>
      </c>
      <c r="H605" s="22">
        <v>40571</v>
      </c>
      <c r="I605">
        <v>1</v>
      </c>
      <c r="J605">
        <v>0</v>
      </c>
      <c r="K605">
        <v>1</v>
      </c>
      <c r="L605">
        <v>9</v>
      </c>
      <c r="M605" t="b">
        <v>0</v>
      </c>
      <c r="N605">
        <v>5</v>
      </c>
      <c r="O605">
        <v>3</v>
      </c>
      <c r="P605">
        <v>0.18</v>
      </c>
      <c r="Q605">
        <v>0.21210000000000001</v>
      </c>
    </row>
    <row r="606" spans="1:17">
      <c r="A606">
        <v>605</v>
      </c>
      <c r="B606">
        <v>0.21210000000000001</v>
      </c>
      <c r="C606">
        <v>0.86</v>
      </c>
      <c r="D606">
        <v>0.1045</v>
      </c>
      <c r="E606">
        <v>0</v>
      </c>
      <c r="F606">
        <v>49</v>
      </c>
      <c r="G606">
        <v>49</v>
      </c>
      <c r="H606" s="22">
        <v>40571</v>
      </c>
      <c r="I606">
        <v>1</v>
      </c>
      <c r="J606">
        <v>0</v>
      </c>
      <c r="K606">
        <v>1</v>
      </c>
      <c r="L606">
        <v>10</v>
      </c>
      <c r="M606" t="b">
        <v>0</v>
      </c>
      <c r="N606">
        <v>5</v>
      </c>
      <c r="O606">
        <v>3</v>
      </c>
      <c r="P606">
        <v>0.18</v>
      </c>
      <c r="Q606">
        <v>0.21210000000000001</v>
      </c>
    </row>
    <row r="607" spans="1:17">
      <c r="A607">
        <v>606</v>
      </c>
      <c r="B607">
        <v>0.21210000000000001</v>
      </c>
      <c r="C607">
        <v>0.93</v>
      </c>
      <c r="D607">
        <v>0.1045</v>
      </c>
      <c r="E607">
        <v>0</v>
      </c>
      <c r="F607">
        <v>30</v>
      </c>
      <c r="G607">
        <v>30</v>
      </c>
      <c r="H607" s="22">
        <v>40571</v>
      </c>
      <c r="I607">
        <v>1</v>
      </c>
      <c r="J607">
        <v>0</v>
      </c>
      <c r="K607">
        <v>1</v>
      </c>
      <c r="L607">
        <v>11</v>
      </c>
      <c r="M607" t="b">
        <v>0</v>
      </c>
      <c r="N607">
        <v>5</v>
      </c>
      <c r="O607">
        <v>3</v>
      </c>
      <c r="P607">
        <v>0.18</v>
      </c>
      <c r="Q607">
        <v>0.21210000000000001</v>
      </c>
    </row>
    <row r="608" spans="1:17">
      <c r="A608">
        <v>607</v>
      </c>
      <c r="B608">
        <v>0.21210000000000001</v>
      </c>
      <c r="C608">
        <v>0.93</v>
      </c>
      <c r="D608">
        <v>0.1045</v>
      </c>
      <c r="E608">
        <v>1</v>
      </c>
      <c r="F608">
        <v>28</v>
      </c>
      <c r="G608">
        <v>29</v>
      </c>
      <c r="H608" s="22">
        <v>40571</v>
      </c>
      <c r="I608">
        <v>1</v>
      </c>
      <c r="J608">
        <v>0</v>
      </c>
      <c r="K608">
        <v>1</v>
      </c>
      <c r="L608">
        <v>12</v>
      </c>
      <c r="M608" t="b">
        <v>0</v>
      </c>
      <c r="N608">
        <v>5</v>
      </c>
      <c r="O608">
        <v>3</v>
      </c>
      <c r="P608">
        <v>0.18</v>
      </c>
      <c r="Q608">
        <v>0.21210000000000001</v>
      </c>
    </row>
    <row r="609" spans="1:17">
      <c r="A609">
        <v>608</v>
      </c>
      <c r="B609">
        <v>0.21210000000000001</v>
      </c>
      <c r="C609">
        <v>0.93</v>
      </c>
      <c r="D609">
        <v>0.1045</v>
      </c>
      <c r="E609">
        <v>0</v>
      </c>
      <c r="F609">
        <v>31</v>
      </c>
      <c r="G609">
        <v>31</v>
      </c>
      <c r="H609" s="22">
        <v>40571</v>
      </c>
      <c r="I609">
        <v>1</v>
      </c>
      <c r="J609">
        <v>0</v>
      </c>
      <c r="K609">
        <v>1</v>
      </c>
      <c r="L609">
        <v>13</v>
      </c>
      <c r="M609" t="b">
        <v>0</v>
      </c>
      <c r="N609">
        <v>5</v>
      </c>
      <c r="O609">
        <v>3</v>
      </c>
      <c r="P609">
        <v>0.18</v>
      </c>
      <c r="Q609">
        <v>0.21210000000000001</v>
      </c>
    </row>
    <row r="610" spans="1:17">
      <c r="A610">
        <v>609</v>
      </c>
      <c r="B610">
        <v>0.2727</v>
      </c>
      <c r="C610">
        <v>0.8</v>
      </c>
      <c r="D610">
        <v>0</v>
      </c>
      <c r="E610">
        <v>2</v>
      </c>
      <c r="F610">
        <v>36</v>
      </c>
      <c r="G610">
        <v>38</v>
      </c>
      <c r="H610" s="22">
        <v>40571</v>
      </c>
      <c r="I610">
        <v>1</v>
      </c>
      <c r="J610">
        <v>0</v>
      </c>
      <c r="K610">
        <v>1</v>
      </c>
      <c r="L610">
        <v>14</v>
      </c>
      <c r="M610" t="b">
        <v>0</v>
      </c>
      <c r="N610">
        <v>5</v>
      </c>
      <c r="O610">
        <v>3</v>
      </c>
      <c r="P610">
        <v>0.22</v>
      </c>
      <c r="Q610">
        <v>0.2727</v>
      </c>
    </row>
    <row r="611" spans="1:17">
      <c r="A611">
        <v>610</v>
      </c>
      <c r="B611">
        <v>0.2576</v>
      </c>
      <c r="C611">
        <v>0.86</v>
      </c>
      <c r="D611">
        <v>0</v>
      </c>
      <c r="E611">
        <v>1</v>
      </c>
      <c r="F611">
        <v>40</v>
      </c>
      <c r="G611">
        <v>41</v>
      </c>
      <c r="H611" s="22">
        <v>40571</v>
      </c>
      <c r="I611">
        <v>1</v>
      </c>
      <c r="J611">
        <v>0</v>
      </c>
      <c r="K611">
        <v>1</v>
      </c>
      <c r="L611">
        <v>15</v>
      </c>
      <c r="M611" t="b">
        <v>0</v>
      </c>
      <c r="N611">
        <v>5</v>
      </c>
      <c r="O611">
        <v>2</v>
      </c>
      <c r="P611">
        <v>0.2</v>
      </c>
      <c r="Q611">
        <v>0.2576</v>
      </c>
    </row>
    <row r="612" spans="1:17">
      <c r="A612">
        <v>611</v>
      </c>
      <c r="B612">
        <v>0.2727</v>
      </c>
      <c r="C612">
        <v>0.8</v>
      </c>
      <c r="D612">
        <v>0</v>
      </c>
      <c r="E612">
        <v>10</v>
      </c>
      <c r="F612">
        <v>70</v>
      </c>
      <c r="G612">
        <v>80</v>
      </c>
      <c r="H612" s="22">
        <v>40571</v>
      </c>
      <c r="I612">
        <v>1</v>
      </c>
      <c r="J612">
        <v>0</v>
      </c>
      <c r="K612">
        <v>1</v>
      </c>
      <c r="L612">
        <v>16</v>
      </c>
      <c r="M612" t="b">
        <v>0</v>
      </c>
      <c r="N612">
        <v>5</v>
      </c>
      <c r="O612">
        <v>1</v>
      </c>
      <c r="P612">
        <v>0.22</v>
      </c>
      <c r="Q612">
        <v>0.2727</v>
      </c>
    </row>
    <row r="613" spans="1:17">
      <c r="A613">
        <v>612</v>
      </c>
      <c r="B613">
        <v>0.2424</v>
      </c>
      <c r="C613">
        <v>0.75</v>
      </c>
      <c r="D613">
        <v>0.1343</v>
      </c>
      <c r="E613">
        <v>2</v>
      </c>
      <c r="F613">
        <v>147</v>
      </c>
      <c r="G613">
        <v>149</v>
      </c>
      <c r="H613" s="22">
        <v>40571</v>
      </c>
      <c r="I613">
        <v>1</v>
      </c>
      <c r="J613">
        <v>0</v>
      </c>
      <c r="K613">
        <v>1</v>
      </c>
      <c r="L613">
        <v>17</v>
      </c>
      <c r="M613" t="b">
        <v>0</v>
      </c>
      <c r="N613">
        <v>5</v>
      </c>
      <c r="O613">
        <v>1</v>
      </c>
      <c r="P613">
        <v>0.24</v>
      </c>
      <c r="Q613">
        <v>0.2424</v>
      </c>
    </row>
    <row r="614" spans="1:17">
      <c r="A614">
        <v>613</v>
      </c>
      <c r="B614">
        <v>0.2273</v>
      </c>
      <c r="C614">
        <v>0.75</v>
      </c>
      <c r="D614">
        <v>0.19400000000000001</v>
      </c>
      <c r="E614">
        <v>2</v>
      </c>
      <c r="F614">
        <v>107</v>
      </c>
      <c r="G614">
        <v>109</v>
      </c>
      <c r="H614" s="22">
        <v>40571</v>
      </c>
      <c r="I614">
        <v>1</v>
      </c>
      <c r="J614">
        <v>0</v>
      </c>
      <c r="K614">
        <v>1</v>
      </c>
      <c r="L614">
        <v>18</v>
      </c>
      <c r="M614" t="b">
        <v>0</v>
      </c>
      <c r="N614">
        <v>5</v>
      </c>
      <c r="O614">
        <v>1</v>
      </c>
      <c r="P614">
        <v>0.24</v>
      </c>
      <c r="Q614">
        <v>0.2273</v>
      </c>
    </row>
    <row r="615" spans="1:17">
      <c r="A615">
        <v>614</v>
      </c>
      <c r="B615">
        <v>0.2424</v>
      </c>
      <c r="C615">
        <v>0.75</v>
      </c>
      <c r="D615">
        <v>0.1343</v>
      </c>
      <c r="E615">
        <v>5</v>
      </c>
      <c r="F615">
        <v>84</v>
      </c>
      <c r="G615">
        <v>89</v>
      </c>
      <c r="H615" s="22">
        <v>40571</v>
      </c>
      <c r="I615">
        <v>1</v>
      </c>
      <c r="J615">
        <v>0</v>
      </c>
      <c r="K615">
        <v>1</v>
      </c>
      <c r="L615">
        <v>19</v>
      </c>
      <c r="M615" t="b">
        <v>0</v>
      </c>
      <c r="N615">
        <v>5</v>
      </c>
      <c r="O615">
        <v>2</v>
      </c>
      <c r="P615">
        <v>0.24</v>
      </c>
      <c r="Q615">
        <v>0.2424</v>
      </c>
    </row>
    <row r="616" spans="1:17">
      <c r="A616">
        <v>615</v>
      </c>
      <c r="B616">
        <v>0.2273</v>
      </c>
      <c r="C616">
        <v>0.7</v>
      </c>
      <c r="D616">
        <v>0.19400000000000001</v>
      </c>
      <c r="E616">
        <v>1</v>
      </c>
      <c r="F616">
        <v>61</v>
      </c>
      <c r="G616">
        <v>62</v>
      </c>
      <c r="H616" s="22">
        <v>40571</v>
      </c>
      <c r="I616">
        <v>1</v>
      </c>
      <c r="J616">
        <v>0</v>
      </c>
      <c r="K616">
        <v>1</v>
      </c>
      <c r="L616">
        <v>20</v>
      </c>
      <c r="M616" t="b">
        <v>0</v>
      </c>
      <c r="N616">
        <v>5</v>
      </c>
      <c r="O616">
        <v>2</v>
      </c>
      <c r="P616">
        <v>0.24</v>
      </c>
      <c r="Q616">
        <v>0.2273</v>
      </c>
    </row>
    <row r="617" spans="1:17">
      <c r="A617">
        <v>616</v>
      </c>
      <c r="B617">
        <v>0.2273</v>
      </c>
      <c r="C617">
        <v>0.75</v>
      </c>
      <c r="D617">
        <v>0.1343</v>
      </c>
      <c r="E617">
        <v>1</v>
      </c>
      <c r="F617">
        <v>57</v>
      </c>
      <c r="G617">
        <v>58</v>
      </c>
      <c r="H617" s="22">
        <v>40571</v>
      </c>
      <c r="I617">
        <v>1</v>
      </c>
      <c r="J617">
        <v>0</v>
      </c>
      <c r="K617">
        <v>1</v>
      </c>
      <c r="L617">
        <v>21</v>
      </c>
      <c r="M617" t="b">
        <v>0</v>
      </c>
      <c r="N617">
        <v>5</v>
      </c>
      <c r="O617">
        <v>2</v>
      </c>
      <c r="P617">
        <v>0.22</v>
      </c>
      <c r="Q617">
        <v>0.2273</v>
      </c>
    </row>
    <row r="618" spans="1:17">
      <c r="A618">
        <v>617</v>
      </c>
      <c r="B618">
        <v>0.21210000000000001</v>
      </c>
      <c r="C618">
        <v>0.65</v>
      </c>
      <c r="D618">
        <v>0.35820000000000002</v>
      </c>
      <c r="E618">
        <v>0</v>
      </c>
      <c r="F618">
        <v>26</v>
      </c>
      <c r="G618">
        <v>26</v>
      </c>
      <c r="H618" s="22">
        <v>40571</v>
      </c>
      <c r="I618">
        <v>1</v>
      </c>
      <c r="J618">
        <v>0</v>
      </c>
      <c r="K618">
        <v>1</v>
      </c>
      <c r="L618">
        <v>22</v>
      </c>
      <c r="M618" t="b">
        <v>0</v>
      </c>
      <c r="N618">
        <v>5</v>
      </c>
      <c r="O618">
        <v>1</v>
      </c>
      <c r="P618">
        <v>0.24</v>
      </c>
      <c r="Q618">
        <v>0.21210000000000001</v>
      </c>
    </row>
    <row r="619" spans="1:17">
      <c r="A619">
        <v>618</v>
      </c>
      <c r="B619">
        <v>0.2273</v>
      </c>
      <c r="C619">
        <v>0.6</v>
      </c>
      <c r="D619">
        <v>0.22389999999999999</v>
      </c>
      <c r="E619">
        <v>1</v>
      </c>
      <c r="F619">
        <v>22</v>
      </c>
      <c r="G619">
        <v>23</v>
      </c>
      <c r="H619" s="22">
        <v>40571</v>
      </c>
      <c r="I619">
        <v>1</v>
      </c>
      <c r="J619">
        <v>0</v>
      </c>
      <c r="K619">
        <v>1</v>
      </c>
      <c r="L619">
        <v>23</v>
      </c>
      <c r="M619" t="b">
        <v>0</v>
      </c>
      <c r="N619">
        <v>5</v>
      </c>
      <c r="O619">
        <v>1</v>
      </c>
      <c r="P619">
        <v>0.24</v>
      </c>
      <c r="Q619">
        <v>0.2273</v>
      </c>
    </row>
    <row r="620" spans="1:17">
      <c r="A620">
        <v>619</v>
      </c>
      <c r="B620">
        <v>0.19700000000000001</v>
      </c>
      <c r="C620">
        <v>0.64</v>
      </c>
      <c r="D620">
        <v>0.35820000000000002</v>
      </c>
      <c r="E620">
        <v>2</v>
      </c>
      <c r="F620">
        <v>26</v>
      </c>
      <c r="G620">
        <v>28</v>
      </c>
      <c r="H620" s="22">
        <v>40572</v>
      </c>
      <c r="I620">
        <v>1</v>
      </c>
      <c r="J620">
        <v>0</v>
      </c>
      <c r="K620">
        <v>1</v>
      </c>
      <c r="L620">
        <v>0</v>
      </c>
      <c r="M620" t="b">
        <v>0</v>
      </c>
      <c r="N620">
        <v>6</v>
      </c>
      <c r="O620">
        <v>1</v>
      </c>
      <c r="P620">
        <v>0.22</v>
      </c>
      <c r="Q620">
        <v>0.19700000000000001</v>
      </c>
    </row>
    <row r="621" spans="1:17">
      <c r="A621">
        <v>620</v>
      </c>
      <c r="B621">
        <v>0.2273</v>
      </c>
      <c r="C621">
        <v>0.64</v>
      </c>
      <c r="D621">
        <v>0.19400000000000001</v>
      </c>
      <c r="E621">
        <v>0</v>
      </c>
      <c r="F621">
        <v>20</v>
      </c>
      <c r="G621">
        <v>20</v>
      </c>
      <c r="H621" s="22">
        <v>40572</v>
      </c>
      <c r="I621">
        <v>1</v>
      </c>
      <c r="J621">
        <v>0</v>
      </c>
      <c r="K621">
        <v>1</v>
      </c>
      <c r="L621">
        <v>1</v>
      </c>
      <c r="M621" t="b">
        <v>0</v>
      </c>
      <c r="N621">
        <v>6</v>
      </c>
      <c r="O621">
        <v>1</v>
      </c>
      <c r="P621">
        <v>0.22</v>
      </c>
      <c r="Q621">
        <v>0.2273</v>
      </c>
    </row>
    <row r="622" spans="1:17">
      <c r="A622">
        <v>621</v>
      </c>
      <c r="B622">
        <v>0.2273</v>
      </c>
      <c r="C622">
        <v>0.64</v>
      </c>
      <c r="D622">
        <v>0.16420000000000001</v>
      </c>
      <c r="E622">
        <v>0</v>
      </c>
      <c r="F622">
        <v>15</v>
      </c>
      <c r="G622">
        <v>15</v>
      </c>
      <c r="H622" s="22">
        <v>40572</v>
      </c>
      <c r="I622">
        <v>1</v>
      </c>
      <c r="J622">
        <v>0</v>
      </c>
      <c r="K622">
        <v>1</v>
      </c>
      <c r="L622">
        <v>2</v>
      </c>
      <c r="M622" t="b">
        <v>0</v>
      </c>
      <c r="N622">
        <v>6</v>
      </c>
      <c r="O622">
        <v>1</v>
      </c>
      <c r="P622">
        <v>0.22</v>
      </c>
      <c r="Q622">
        <v>0.2273</v>
      </c>
    </row>
    <row r="623" spans="1:17">
      <c r="A623">
        <v>622</v>
      </c>
      <c r="B623">
        <v>0.21210000000000001</v>
      </c>
      <c r="C623">
        <v>0.64</v>
      </c>
      <c r="D623">
        <v>0.1343</v>
      </c>
      <c r="E623">
        <v>3</v>
      </c>
      <c r="F623">
        <v>5</v>
      </c>
      <c r="G623">
        <v>8</v>
      </c>
      <c r="H623" s="22">
        <v>40572</v>
      </c>
      <c r="I623">
        <v>1</v>
      </c>
      <c r="J623">
        <v>0</v>
      </c>
      <c r="K623">
        <v>1</v>
      </c>
      <c r="L623">
        <v>3</v>
      </c>
      <c r="M623" t="b">
        <v>0</v>
      </c>
      <c r="N623">
        <v>6</v>
      </c>
      <c r="O623">
        <v>1</v>
      </c>
      <c r="P623">
        <v>0.2</v>
      </c>
      <c r="Q623">
        <v>0.21210000000000001</v>
      </c>
    </row>
    <row r="624" spans="1:17">
      <c r="A624">
        <v>623</v>
      </c>
      <c r="B624">
        <v>0.18179999999999999</v>
      </c>
      <c r="C624">
        <v>0.69</v>
      </c>
      <c r="D624">
        <v>0.1045</v>
      </c>
      <c r="E624">
        <v>1</v>
      </c>
      <c r="F624">
        <v>2</v>
      </c>
      <c r="G624">
        <v>3</v>
      </c>
      <c r="H624" s="22">
        <v>40572</v>
      </c>
      <c r="I624">
        <v>1</v>
      </c>
      <c r="J624">
        <v>0</v>
      </c>
      <c r="K624">
        <v>1</v>
      </c>
      <c r="L624">
        <v>4</v>
      </c>
      <c r="M624" t="b">
        <v>0</v>
      </c>
      <c r="N624">
        <v>6</v>
      </c>
      <c r="O624">
        <v>1</v>
      </c>
      <c r="P624">
        <v>0.16</v>
      </c>
      <c r="Q624">
        <v>0.18179999999999999</v>
      </c>
    </row>
    <row r="625" spans="1:17">
      <c r="A625">
        <v>624</v>
      </c>
      <c r="B625">
        <v>0.18179999999999999</v>
      </c>
      <c r="C625">
        <v>0.64</v>
      </c>
      <c r="D625">
        <v>0.1343</v>
      </c>
      <c r="E625">
        <v>0</v>
      </c>
      <c r="F625">
        <v>2</v>
      </c>
      <c r="G625">
        <v>2</v>
      </c>
      <c r="H625" s="22">
        <v>40572</v>
      </c>
      <c r="I625">
        <v>1</v>
      </c>
      <c r="J625">
        <v>0</v>
      </c>
      <c r="K625">
        <v>1</v>
      </c>
      <c r="L625">
        <v>6</v>
      </c>
      <c r="M625" t="b">
        <v>0</v>
      </c>
      <c r="N625">
        <v>6</v>
      </c>
      <c r="O625">
        <v>1</v>
      </c>
      <c r="P625">
        <v>0.16</v>
      </c>
      <c r="Q625">
        <v>0.18179999999999999</v>
      </c>
    </row>
    <row r="626" spans="1:17">
      <c r="A626">
        <v>625</v>
      </c>
      <c r="B626">
        <v>0.18179999999999999</v>
      </c>
      <c r="C626">
        <v>0.59</v>
      </c>
      <c r="D626">
        <v>0.1045</v>
      </c>
      <c r="E626">
        <v>1</v>
      </c>
      <c r="F626">
        <v>4</v>
      </c>
      <c r="G626">
        <v>5</v>
      </c>
      <c r="H626" s="22">
        <v>40572</v>
      </c>
      <c r="I626">
        <v>1</v>
      </c>
      <c r="J626">
        <v>0</v>
      </c>
      <c r="K626">
        <v>1</v>
      </c>
      <c r="L626">
        <v>7</v>
      </c>
      <c r="M626" t="b">
        <v>0</v>
      </c>
      <c r="N626">
        <v>6</v>
      </c>
      <c r="O626">
        <v>1</v>
      </c>
      <c r="P626">
        <v>0.16</v>
      </c>
      <c r="Q626">
        <v>0.18179999999999999</v>
      </c>
    </row>
    <row r="627" spans="1:17">
      <c r="A627">
        <v>626</v>
      </c>
      <c r="B627">
        <v>0.19700000000000001</v>
      </c>
      <c r="C627">
        <v>0.55000000000000004</v>
      </c>
      <c r="D627">
        <v>0.16420000000000001</v>
      </c>
      <c r="E627">
        <v>3</v>
      </c>
      <c r="F627">
        <v>31</v>
      </c>
      <c r="G627">
        <v>34</v>
      </c>
      <c r="H627" s="22">
        <v>40572</v>
      </c>
      <c r="I627">
        <v>1</v>
      </c>
      <c r="J627">
        <v>0</v>
      </c>
      <c r="K627">
        <v>1</v>
      </c>
      <c r="L627">
        <v>8</v>
      </c>
      <c r="M627" t="b">
        <v>0</v>
      </c>
      <c r="N627">
        <v>6</v>
      </c>
      <c r="O627">
        <v>1</v>
      </c>
      <c r="P627">
        <v>0.18</v>
      </c>
      <c r="Q627">
        <v>0.19700000000000001</v>
      </c>
    </row>
    <row r="628" spans="1:17">
      <c r="A628">
        <v>627</v>
      </c>
      <c r="B628">
        <v>0.21210000000000001</v>
      </c>
      <c r="C628">
        <v>0.59</v>
      </c>
      <c r="D628">
        <v>8.9599999999999999E-2</v>
      </c>
      <c r="E628">
        <v>0</v>
      </c>
      <c r="F628">
        <v>34</v>
      </c>
      <c r="G628">
        <v>34</v>
      </c>
      <c r="H628" s="22">
        <v>40572</v>
      </c>
      <c r="I628">
        <v>1</v>
      </c>
      <c r="J628">
        <v>0</v>
      </c>
      <c r="K628">
        <v>1</v>
      </c>
      <c r="L628">
        <v>9</v>
      </c>
      <c r="M628" t="b">
        <v>0</v>
      </c>
      <c r="N628">
        <v>6</v>
      </c>
      <c r="O628">
        <v>1</v>
      </c>
      <c r="P628">
        <v>0.18</v>
      </c>
      <c r="Q628">
        <v>0.21210000000000001</v>
      </c>
    </row>
    <row r="629" spans="1:17">
      <c r="A629">
        <v>628</v>
      </c>
      <c r="B629">
        <v>0.21210000000000001</v>
      </c>
      <c r="C629">
        <v>0.64</v>
      </c>
      <c r="D629">
        <v>0.1045</v>
      </c>
      <c r="E629">
        <v>4</v>
      </c>
      <c r="F629">
        <v>51</v>
      </c>
      <c r="G629">
        <v>55</v>
      </c>
      <c r="H629" s="22">
        <v>40572</v>
      </c>
      <c r="I629">
        <v>1</v>
      </c>
      <c r="J629">
        <v>0</v>
      </c>
      <c r="K629">
        <v>1</v>
      </c>
      <c r="L629">
        <v>10</v>
      </c>
      <c r="M629" t="b">
        <v>0</v>
      </c>
      <c r="N629">
        <v>6</v>
      </c>
      <c r="O629">
        <v>2</v>
      </c>
      <c r="P629">
        <v>0.18</v>
      </c>
      <c r="Q629">
        <v>0.21210000000000001</v>
      </c>
    </row>
    <row r="630" spans="1:17">
      <c r="A630">
        <v>629</v>
      </c>
      <c r="B630">
        <v>0.19700000000000001</v>
      </c>
      <c r="C630">
        <v>0.64</v>
      </c>
      <c r="D630">
        <v>0.1343</v>
      </c>
      <c r="E630">
        <v>4</v>
      </c>
      <c r="F630">
        <v>60</v>
      </c>
      <c r="G630">
        <v>64</v>
      </c>
      <c r="H630" s="22">
        <v>40572</v>
      </c>
      <c r="I630">
        <v>1</v>
      </c>
      <c r="J630">
        <v>0</v>
      </c>
      <c r="K630">
        <v>1</v>
      </c>
      <c r="L630">
        <v>11</v>
      </c>
      <c r="M630" t="b">
        <v>0</v>
      </c>
      <c r="N630">
        <v>6</v>
      </c>
      <c r="O630">
        <v>2</v>
      </c>
      <c r="P630">
        <v>0.18</v>
      </c>
      <c r="Q630">
        <v>0.19700000000000001</v>
      </c>
    </row>
    <row r="631" spans="1:17">
      <c r="A631">
        <v>630</v>
      </c>
      <c r="B631">
        <v>0.19700000000000001</v>
      </c>
      <c r="C631">
        <v>0.59</v>
      </c>
      <c r="D631">
        <v>0.19400000000000001</v>
      </c>
      <c r="E631">
        <v>12</v>
      </c>
      <c r="F631">
        <v>66</v>
      </c>
      <c r="G631">
        <v>78</v>
      </c>
      <c r="H631" s="22">
        <v>40572</v>
      </c>
      <c r="I631">
        <v>1</v>
      </c>
      <c r="J631">
        <v>0</v>
      </c>
      <c r="K631">
        <v>1</v>
      </c>
      <c r="L631">
        <v>12</v>
      </c>
      <c r="M631" t="b">
        <v>0</v>
      </c>
      <c r="N631">
        <v>6</v>
      </c>
      <c r="O631">
        <v>2</v>
      </c>
      <c r="P631">
        <v>0.2</v>
      </c>
      <c r="Q631">
        <v>0.19700000000000001</v>
      </c>
    </row>
    <row r="632" spans="1:17">
      <c r="A632">
        <v>631</v>
      </c>
      <c r="B632">
        <v>0.2273</v>
      </c>
      <c r="C632">
        <v>0.55000000000000004</v>
      </c>
      <c r="D632">
        <v>0.16420000000000001</v>
      </c>
      <c r="E632">
        <v>9</v>
      </c>
      <c r="F632">
        <v>56</v>
      </c>
      <c r="G632">
        <v>65</v>
      </c>
      <c r="H632" s="22">
        <v>40572</v>
      </c>
      <c r="I632">
        <v>1</v>
      </c>
      <c r="J632">
        <v>0</v>
      </c>
      <c r="K632">
        <v>1</v>
      </c>
      <c r="L632">
        <v>13</v>
      </c>
      <c r="M632" t="b">
        <v>0</v>
      </c>
      <c r="N632">
        <v>6</v>
      </c>
      <c r="O632">
        <v>2</v>
      </c>
      <c r="P632">
        <v>0.22</v>
      </c>
      <c r="Q632">
        <v>0.2273</v>
      </c>
    </row>
    <row r="633" spans="1:17">
      <c r="A633">
        <v>632</v>
      </c>
      <c r="B633">
        <v>0.2273</v>
      </c>
      <c r="C633">
        <v>0.6</v>
      </c>
      <c r="D633">
        <v>0.1343</v>
      </c>
      <c r="E633">
        <v>10</v>
      </c>
      <c r="F633">
        <v>89</v>
      </c>
      <c r="G633">
        <v>99</v>
      </c>
      <c r="H633" s="22">
        <v>40572</v>
      </c>
      <c r="I633">
        <v>1</v>
      </c>
      <c r="J633">
        <v>0</v>
      </c>
      <c r="K633">
        <v>1</v>
      </c>
      <c r="L633">
        <v>14</v>
      </c>
      <c r="M633" t="b">
        <v>0</v>
      </c>
      <c r="N633">
        <v>6</v>
      </c>
      <c r="O633">
        <v>2</v>
      </c>
      <c r="P633">
        <v>0.22</v>
      </c>
      <c r="Q633">
        <v>0.2273</v>
      </c>
    </row>
    <row r="634" spans="1:17">
      <c r="A634">
        <v>633</v>
      </c>
      <c r="B634">
        <v>0.21210000000000001</v>
      </c>
      <c r="C634">
        <v>0.69</v>
      </c>
      <c r="D634">
        <v>0.25369999999999998</v>
      </c>
      <c r="E634">
        <v>22</v>
      </c>
      <c r="F634">
        <v>98</v>
      </c>
      <c r="G634">
        <v>120</v>
      </c>
      <c r="H634" s="22">
        <v>40572</v>
      </c>
      <c r="I634">
        <v>1</v>
      </c>
      <c r="J634">
        <v>0</v>
      </c>
      <c r="K634">
        <v>1</v>
      </c>
      <c r="L634">
        <v>15</v>
      </c>
      <c r="M634" t="b">
        <v>0</v>
      </c>
      <c r="N634">
        <v>6</v>
      </c>
      <c r="O634">
        <v>1</v>
      </c>
      <c r="P634">
        <v>0.22</v>
      </c>
      <c r="Q634">
        <v>0.21210000000000001</v>
      </c>
    </row>
    <row r="635" spans="1:17">
      <c r="A635">
        <v>634</v>
      </c>
      <c r="B635">
        <v>0.2424</v>
      </c>
      <c r="C635">
        <v>0.6</v>
      </c>
      <c r="D635">
        <v>0.16420000000000001</v>
      </c>
      <c r="E635">
        <v>19</v>
      </c>
      <c r="F635">
        <v>88</v>
      </c>
      <c r="G635">
        <v>107</v>
      </c>
      <c r="H635" s="22">
        <v>40572</v>
      </c>
      <c r="I635">
        <v>1</v>
      </c>
      <c r="J635">
        <v>0</v>
      </c>
      <c r="K635">
        <v>1</v>
      </c>
      <c r="L635">
        <v>16</v>
      </c>
      <c r="M635" t="b">
        <v>0</v>
      </c>
      <c r="N635">
        <v>6</v>
      </c>
      <c r="O635">
        <v>1</v>
      </c>
      <c r="P635">
        <v>0.24</v>
      </c>
      <c r="Q635">
        <v>0.2424</v>
      </c>
    </row>
    <row r="636" spans="1:17">
      <c r="A636">
        <v>635</v>
      </c>
      <c r="B636">
        <v>0.28789999999999999</v>
      </c>
      <c r="C636">
        <v>0.6</v>
      </c>
      <c r="D636">
        <v>0</v>
      </c>
      <c r="E636">
        <v>9</v>
      </c>
      <c r="F636">
        <v>82</v>
      </c>
      <c r="G636">
        <v>91</v>
      </c>
      <c r="H636" s="22">
        <v>40572</v>
      </c>
      <c r="I636">
        <v>1</v>
      </c>
      <c r="J636">
        <v>0</v>
      </c>
      <c r="K636">
        <v>1</v>
      </c>
      <c r="L636">
        <v>17</v>
      </c>
      <c r="M636" t="b">
        <v>0</v>
      </c>
      <c r="N636">
        <v>6</v>
      </c>
      <c r="O636">
        <v>1</v>
      </c>
      <c r="P636">
        <v>0.24</v>
      </c>
      <c r="Q636">
        <v>0.28789999999999999</v>
      </c>
    </row>
    <row r="637" spans="1:17">
      <c r="A637">
        <v>636</v>
      </c>
      <c r="B637">
        <v>0.2273</v>
      </c>
      <c r="C637">
        <v>0.69</v>
      </c>
      <c r="D637">
        <v>0.1343</v>
      </c>
      <c r="E637">
        <v>9</v>
      </c>
      <c r="F637">
        <v>59</v>
      </c>
      <c r="G637">
        <v>68</v>
      </c>
      <c r="H637" s="22">
        <v>40572</v>
      </c>
      <c r="I637">
        <v>1</v>
      </c>
      <c r="J637">
        <v>0</v>
      </c>
      <c r="K637">
        <v>1</v>
      </c>
      <c r="L637">
        <v>18</v>
      </c>
      <c r="M637" t="b">
        <v>0</v>
      </c>
      <c r="N637">
        <v>6</v>
      </c>
      <c r="O637">
        <v>1</v>
      </c>
      <c r="P637">
        <v>0.22</v>
      </c>
      <c r="Q637">
        <v>0.2273</v>
      </c>
    </row>
    <row r="638" spans="1:17">
      <c r="A638">
        <v>637</v>
      </c>
      <c r="B638">
        <v>0.21210000000000001</v>
      </c>
      <c r="C638">
        <v>0.69</v>
      </c>
      <c r="D638">
        <v>0.25369999999999998</v>
      </c>
      <c r="E638">
        <v>6</v>
      </c>
      <c r="F638">
        <v>52</v>
      </c>
      <c r="G638">
        <v>58</v>
      </c>
      <c r="H638" s="22">
        <v>40572</v>
      </c>
      <c r="I638">
        <v>1</v>
      </c>
      <c r="J638">
        <v>0</v>
      </c>
      <c r="K638">
        <v>1</v>
      </c>
      <c r="L638">
        <v>19</v>
      </c>
      <c r="M638" t="b">
        <v>0</v>
      </c>
      <c r="N638">
        <v>6</v>
      </c>
      <c r="O638">
        <v>2</v>
      </c>
      <c r="P638">
        <v>0.22</v>
      </c>
      <c r="Q638">
        <v>0.21210000000000001</v>
      </c>
    </row>
    <row r="639" spans="1:17">
      <c r="A639">
        <v>638</v>
      </c>
      <c r="B639">
        <v>0.21210000000000001</v>
      </c>
      <c r="C639">
        <v>0.74</v>
      </c>
      <c r="D639">
        <v>8.9599999999999999E-2</v>
      </c>
      <c r="E639">
        <v>1</v>
      </c>
      <c r="F639">
        <v>42</v>
      </c>
      <c r="G639">
        <v>43</v>
      </c>
      <c r="H639" s="22">
        <v>40572</v>
      </c>
      <c r="I639">
        <v>1</v>
      </c>
      <c r="J639">
        <v>0</v>
      </c>
      <c r="K639">
        <v>1</v>
      </c>
      <c r="L639">
        <v>20</v>
      </c>
      <c r="M639" t="b">
        <v>0</v>
      </c>
      <c r="N639">
        <v>6</v>
      </c>
      <c r="O639">
        <v>1</v>
      </c>
      <c r="P639">
        <v>0.18</v>
      </c>
      <c r="Q639">
        <v>0.21210000000000001</v>
      </c>
    </row>
    <row r="640" spans="1:17">
      <c r="A640">
        <v>639</v>
      </c>
      <c r="B640">
        <v>0.21210000000000001</v>
      </c>
      <c r="C640">
        <v>0.74</v>
      </c>
      <c r="D640">
        <v>8.9599999999999999E-2</v>
      </c>
      <c r="E640">
        <v>1</v>
      </c>
      <c r="F640">
        <v>35</v>
      </c>
      <c r="G640">
        <v>36</v>
      </c>
      <c r="H640" s="22">
        <v>40572</v>
      </c>
      <c r="I640">
        <v>1</v>
      </c>
      <c r="J640">
        <v>0</v>
      </c>
      <c r="K640">
        <v>1</v>
      </c>
      <c r="L640">
        <v>21</v>
      </c>
      <c r="M640" t="b">
        <v>0</v>
      </c>
      <c r="N640">
        <v>6</v>
      </c>
      <c r="O640">
        <v>1</v>
      </c>
      <c r="P640">
        <v>0.18</v>
      </c>
      <c r="Q640">
        <v>0.21210000000000001</v>
      </c>
    </row>
    <row r="641" spans="1:17">
      <c r="A641">
        <v>640</v>
      </c>
      <c r="B641">
        <v>0.19700000000000001</v>
      </c>
      <c r="C641">
        <v>0.8</v>
      </c>
      <c r="D641">
        <v>8.9599999999999999E-2</v>
      </c>
      <c r="E641">
        <v>4</v>
      </c>
      <c r="F641">
        <v>28</v>
      </c>
      <c r="G641">
        <v>32</v>
      </c>
      <c r="H641" s="22">
        <v>40572</v>
      </c>
      <c r="I641">
        <v>1</v>
      </c>
      <c r="J641">
        <v>0</v>
      </c>
      <c r="K641">
        <v>1</v>
      </c>
      <c r="L641">
        <v>22</v>
      </c>
      <c r="M641" t="b">
        <v>0</v>
      </c>
      <c r="N641">
        <v>6</v>
      </c>
      <c r="O641">
        <v>1</v>
      </c>
      <c r="P641">
        <v>0.16</v>
      </c>
      <c r="Q641">
        <v>0.19700000000000001</v>
      </c>
    </row>
    <row r="642" spans="1:17">
      <c r="A642">
        <v>641</v>
      </c>
      <c r="B642">
        <v>0.19700000000000001</v>
      </c>
      <c r="C642">
        <v>0.8</v>
      </c>
      <c r="D642">
        <v>8.9599999999999999E-2</v>
      </c>
      <c r="E642">
        <v>3</v>
      </c>
      <c r="F642">
        <v>30</v>
      </c>
      <c r="G642">
        <v>33</v>
      </c>
      <c r="H642" s="22">
        <v>40572</v>
      </c>
      <c r="I642">
        <v>1</v>
      </c>
      <c r="J642">
        <v>0</v>
      </c>
      <c r="K642">
        <v>1</v>
      </c>
      <c r="L642">
        <v>23</v>
      </c>
      <c r="M642" t="b">
        <v>0</v>
      </c>
      <c r="N642">
        <v>6</v>
      </c>
      <c r="O642">
        <v>1</v>
      </c>
      <c r="P642">
        <v>0.16</v>
      </c>
      <c r="Q642">
        <v>0.19700000000000001</v>
      </c>
    </row>
    <row r="643" spans="1:17">
      <c r="A643">
        <v>642</v>
      </c>
      <c r="B643">
        <v>0.18179999999999999</v>
      </c>
      <c r="C643">
        <v>0.8</v>
      </c>
      <c r="D643">
        <v>0.1045</v>
      </c>
      <c r="E643">
        <v>0</v>
      </c>
      <c r="F643">
        <v>33</v>
      </c>
      <c r="G643">
        <v>33</v>
      </c>
      <c r="H643" s="22">
        <v>40573</v>
      </c>
      <c r="I643">
        <v>1</v>
      </c>
      <c r="J643">
        <v>0</v>
      </c>
      <c r="K643">
        <v>1</v>
      </c>
      <c r="L643">
        <v>0</v>
      </c>
      <c r="M643" t="b">
        <v>0</v>
      </c>
      <c r="N643">
        <v>0</v>
      </c>
      <c r="O643">
        <v>1</v>
      </c>
      <c r="P643">
        <v>0.16</v>
      </c>
      <c r="Q643">
        <v>0.18179999999999999</v>
      </c>
    </row>
    <row r="644" spans="1:17">
      <c r="A644">
        <v>643</v>
      </c>
      <c r="B644">
        <v>0.21210000000000001</v>
      </c>
      <c r="C644">
        <v>0.8</v>
      </c>
      <c r="D644">
        <v>0</v>
      </c>
      <c r="E644">
        <v>7</v>
      </c>
      <c r="F644">
        <v>22</v>
      </c>
      <c r="G644">
        <v>29</v>
      </c>
      <c r="H644" s="22">
        <v>40573</v>
      </c>
      <c r="I644">
        <v>1</v>
      </c>
      <c r="J644">
        <v>0</v>
      </c>
      <c r="K644">
        <v>1</v>
      </c>
      <c r="L644">
        <v>1</v>
      </c>
      <c r="M644" t="b">
        <v>0</v>
      </c>
      <c r="N644">
        <v>0</v>
      </c>
      <c r="O644">
        <v>1</v>
      </c>
      <c r="P644">
        <v>0.14000000000000001</v>
      </c>
      <c r="Q644">
        <v>0.21210000000000001</v>
      </c>
    </row>
    <row r="645" spans="1:17">
      <c r="A645">
        <v>644</v>
      </c>
      <c r="B645">
        <v>0.2273</v>
      </c>
      <c r="C645">
        <v>0.8</v>
      </c>
      <c r="D645">
        <v>0</v>
      </c>
      <c r="E645">
        <v>1</v>
      </c>
      <c r="F645">
        <v>10</v>
      </c>
      <c r="G645">
        <v>11</v>
      </c>
      <c r="H645" s="22">
        <v>40573</v>
      </c>
      <c r="I645">
        <v>1</v>
      </c>
      <c r="J645">
        <v>0</v>
      </c>
      <c r="K645">
        <v>1</v>
      </c>
      <c r="L645">
        <v>2</v>
      </c>
      <c r="M645" t="b">
        <v>0</v>
      </c>
      <c r="N645">
        <v>0</v>
      </c>
      <c r="O645">
        <v>1</v>
      </c>
      <c r="P645">
        <v>0.16</v>
      </c>
      <c r="Q645">
        <v>0.2273</v>
      </c>
    </row>
    <row r="646" spans="1:17">
      <c r="A646">
        <v>645</v>
      </c>
      <c r="B646">
        <v>0.21210000000000001</v>
      </c>
      <c r="C646">
        <v>0.93</v>
      </c>
      <c r="D646">
        <v>0</v>
      </c>
      <c r="E646">
        <v>1</v>
      </c>
      <c r="F646">
        <v>7</v>
      </c>
      <c r="G646">
        <v>8</v>
      </c>
      <c r="H646" s="22">
        <v>40573</v>
      </c>
      <c r="I646">
        <v>1</v>
      </c>
      <c r="J646">
        <v>0</v>
      </c>
      <c r="K646">
        <v>1</v>
      </c>
      <c r="L646">
        <v>3</v>
      </c>
      <c r="M646" t="b">
        <v>0</v>
      </c>
      <c r="N646">
        <v>0</v>
      </c>
      <c r="O646">
        <v>1</v>
      </c>
      <c r="P646">
        <v>0.14000000000000001</v>
      </c>
      <c r="Q646">
        <v>0.21210000000000001</v>
      </c>
    </row>
    <row r="647" spans="1:17">
      <c r="A647">
        <v>646</v>
      </c>
      <c r="B647">
        <v>0.21210000000000001</v>
      </c>
      <c r="C647">
        <v>0.93</v>
      </c>
      <c r="D647">
        <v>0</v>
      </c>
      <c r="E647">
        <v>0</v>
      </c>
      <c r="F647">
        <v>1</v>
      </c>
      <c r="G647">
        <v>1</v>
      </c>
      <c r="H647" s="22">
        <v>40573</v>
      </c>
      <c r="I647">
        <v>1</v>
      </c>
      <c r="J647">
        <v>0</v>
      </c>
      <c r="K647">
        <v>1</v>
      </c>
      <c r="L647">
        <v>4</v>
      </c>
      <c r="M647" t="b">
        <v>0</v>
      </c>
      <c r="N647">
        <v>0</v>
      </c>
      <c r="O647">
        <v>1</v>
      </c>
      <c r="P647">
        <v>0.14000000000000001</v>
      </c>
      <c r="Q647">
        <v>0.21210000000000001</v>
      </c>
    </row>
    <row r="648" spans="1:17">
      <c r="A648">
        <v>647</v>
      </c>
      <c r="B648">
        <v>0.21210000000000001</v>
      </c>
      <c r="C648">
        <v>0.86</v>
      </c>
      <c r="D648">
        <v>0</v>
      </c>
      <c r="E648">
        <v>0</v>
      </c>
      <c r="F648">
        <v>3</v>
      </c>
      <c r="G648">
        <v>3</v>
      </c>
      <c r="H648" s="22">
        <v>40573</v>
      </c>
      <c r="I648">
        <v>1</v>
      </c>
      <c r="J648">
        <v>0</v>
      </c>
      <c r="K648">
        <v>1</v>
      </c>
      <c r="L648">
        <v>5</v>
      </c>
      <c r="M648" t="b">
        <v>0</v>
      </c>
      <c r="N648">
        <v>0</v>
      </c>
      <c r="O648">
        <v>1</v>
      </c>
      <c r="P648">
        <v>0.14000000000000001</v>
      </c>
      <c r="Q648">
        <v>0.21210000000000001</v>
      </c>
    </row>
    <row r="649" spans="1:17">
      <c r="A649">
        <v>648</v>
      </c>
      <c r="B649">
        <v>0.21210000000000001</v>
      </c>
      <c r="C649">
        <v>0.86</v>
      </c>
      <c r="D649">
        <v>0</v>
      </c>
      <c r="E649">
        <v>0</v>
      </c>
      <c r="F649">
        <v>3</v>
      </c>
      <c r="G649">
        <v>3</v>
      </c>
      <c r="H649" s="22">
        <v>40573</v>
      </c>
      <c r="I649">
        <v>1</v>
      </c>
      <c r="J649">
        <v>0</v>
      </c>
      <c r="K649">
        <v>1</v>
      </c>
      <c r="L649">
        <v>7</v>
      </c>
      <c r="M649" t="b">
        <v>0</v>
      </c>
      <c r="N649">
        <v>0</v>
      </c>
      <c r="O649">
        <v>1</v>
      </c>
      <c r="P649">
        <v>0.14000000000000001</v>
      </c>
      <c r="Q649">
        <v>0.21210000000000001</v>
      </c>
    </row>
    <row r="650" spans="1:17">
      <c r="A650">
        <v>649</v>
      </c>
      <c r="B650">
        <v>0.21210000000000001</v>
      </c>
      <c r="C650">
        <v>0.86</v>
      </c>
      <c r="D650">
        <v>0</v>
      </c>
      <c r="E650">
        <v>1</v>
      </c>
      <c r="F650">
        <v>11</v>
      </c>
      <c r="G650">
        <v>12</v>
      </c>
      <c r="H650" s="22">
        <v>40573</v>
      </c>
      <c r="I650">
        <v>1</v>
      </c>
      <c r="J650">
        <v>0</v>
      </c>
      <c r="K650">
        <v>1</v>
      </c>
      <c r="L650">
        <v>8</v>
      </c>
      <c r="M650" t="b">
        <v>0</v>
      </c>
      <c r="N650">
        <v>0</v>
      </c>
      <c r="O650">
        <v>2</v>
      </c>
      <c r="P650">
        <v>0.14000000000000001</v>
      </c>
      <c r="Q650">
        <v>0.21210000000000001</v>
      </c>
    </row>
    <row r="651" spans="1:17">
      <c r="A651">
        <v>650</v>
      </c>
      <c r="B651">
        <v>0.2273</v>
      </c>
      <c r="C651">
        <v>0.8</v>
      </c>
      <c r="D651">
        <v>0</v>
      </c>
      <c r="E651">
        <v>4</v>
      </c>
      <c r="F651">
        <v>34</v>
      </c>
      <c r="G651">
        <v>38</v>
      </c>
      <c r="H651" s="22">
        <v>40573</v>
      </c>
      <c r="I651">
        <v>1</v>
      </c>
      <c r="J651">
        <v>0</v>
      </c>
      <c r="K651">
        <v>1</v>
      </c>
      <c r="L651">
        <v>9</v>
      </c>
      <c r="M651" t="b">
        <v>0</v>
      </c>
      <c r="N651">
        <v>0</v>
      </c>
      <c r="O651">
        <v>2</v>
      </c>
      <c r="P651">
        <v>0.16</v>
      </c>
      <c r="Q651">
        <v>0.2273</v>
      </c>
    </row>
    <row r="652" spans="1:17">
      <c r="A652">
        <v>651</v>
      </c>
      <c r="B652">
        <v>0.2424</v>
      </c>
      <c r="C652">
        <v>0.8</v>
      </c>
      <c r="D652">
        <v>0</v>
      </c>
      <c r="E652">
        <v>7</v>
      </c>
      <c r="F652">
        <v>57</v>
      </c>
      <c r="G652">
        <v>64</v>
      </c>
      <c r="H652" s="22">
        <v>40573</v>
      </c>
      <c r="I652">
        <v>1</v>
      </c>
      <c r="J652">
        <v>0</v>
      </c>
      <c r="K652">
        <v>1</v>
      </c>
      <c r="L652">
        <v>10</v>
      </c>
      <c r="M652" t="b">
        <v>0</v>
      </c>
      <c r="N652">
        <v>0</v>
      </c>
      <c r="O652">
        <v>2</v>
      </c>
      <c r="P652">
        <v>0.18</v>
      </c>
      <c r="Q652">
        <v>0.2424</v>
      </c>
    </row>
    <row r="653" spans="1:17">
      <c r="A653">
        <v>652</v>
      </c>
      <c r="B653">
        <v>0.2727</v>
      </c>
      <c r="C653">
        <v>0.75</v>
      </c>
      <c r="D653">
        <v>0</v>
      </c>
      <c r="E653">
        <v>9</v>
      </c>
      <c r="F653">
        <v>50</v>
      </c>
      <c r="G653">
        <v>59</v>
      </c>
      <c r="H653" s="22">
        <v>40573</v>
      </c>
      <c r="I653">
        <v>1</v>
      </c>
      <c r="J653">
        <v>0</v>
      </c>
      <c r="K653">
        <v>1</v>
      </c>
      <c r="L653">
        <v>11</v>
      </c>
      <c r="M653" t="b">
        <v>0</v>
      </c>
      <c r="N653">
        <v>0</v>
      </c>
      <c r="O653">
        <v>1</v>
      </c>
      <c r="P653">
        <v>0.22</v>
      </c>
      <c r="Q653">
        <v>0.2727</v>
      </c>
    </row>
    <row r="654" spans="1:17">
      <c r="A654">
        <v>653</v>
      </c>
      <c r="B654">
        <v>0.31819999999999998</v>
      </c>
      <c r="C654">
        <v>0.52</v>
      </c>
      <c r="D654">
        <v>0.1045</v>
      </c>
      <c r="E654">
        <v>10</v>
      </c>
      <c r="F654">
        <v>87</v>
      </c>
      <c r="G654">
        <v>97</v>
      </c>
      <c r="H654" s="22">
        <v>40573</v>
      </c>
      <c r="I654">
        <v>1</v>
      </c>
      <c r="J654">
        <v>0</v>
      </c>
      <c r="K654">
        <v>1</v>
      </c>
      <c r="L654">
        <v>12</v>
      </c>
      <c r="M654" t="b">
        <v>0</v>
      </c>
      <c r="N654">
        <v>0</v>
      </c>
      <c r="O654">
        <v>1</v>
      </c>
      <c r="P654">
        <v>0.3</v>
      </c>
      <c r="Q654">
        <v>0.31819999999999998</v>
      </c>
    </row>
    <row r="655" spans="1:17">
      <c r="A655">
        <v>654</v>
      </c>
      <c r="B655">
        <v>0.28789999999999999</v>
      </c>
      <c r="C655">
        <v>0.61</v>
      </c>
      <c r="D655">
        <v>0.1045</v>
      </c>
      <c r="E655">
        <v>13</v>
      </c>
      <c r="F655">
        <v>71</v>
      </c>
      <c r="G655">
        <v>84</v>
      </c>
      <c r="H655" s="22">
        <v>40573</v>
      </c>
      <c r="I655">
        <v>1</v>
      </c>
      <c r="J655">
        <v>0</v>
      </c>
      <c r="K655">
        <v>1</v>
      </c>
      <c r="L655">
        <v>13</v>
      </c>
      <c r="M655" t="b">
        <v>0</v>
      </c>
      <c r="N655">
        <v>0</v>
      </c>
      <c r="O655">
        <v>1</v>
      </c>
      <c r="P655">
        <v>0.28000000000000003</v>
      </c>
      <c r="Q655">
        <v>0.28789999999999999</v>
      </c>
    </row>
    <row r="656" spans="1:17">
      <c r="A656">
        <v>655</v>
      </c>
      <c r="B656">
        <v>0.30299999999999999</v>
      </c>
      <c r="C656">
        <v>0.61</v>
      </c>
      <c r="D656">
        <v>8.9599999999999999E-2</v>
      </c>
      <c r="E656">
        <v>18</v>
      </c>
      <c r="F656">
        <v>104</v>
      </c>
      <c r="G656">
        <v>122</v>
      </c>
      <c r="H656" s="22">
        <v>40573</v>
      </c>
      <c r="I656">
        <v>1</v>
      </c>
      <c r="J656">
        <v>0</v>
      </c>
      <c r="K656">
        <v>1</v>
      </c>
      <c r="L656">
        <v>14</v>
      </c>
      <c r="M656" t="b">
        <v>0</v>
      </c>
      <c r="N656">
        <v>0</v>
      </c>
      <c r="O656">
        <v>1</v>
      </c>
      <c r="P656">
        <v>0.28000000000000003</v>
      </c>
      <c r="Q656">
        <v>0.30299999999999999</v>
      </c>
    </row>
    <row r="657" spans="1:17">
      <c r="A657">
        <v>656</v>
      </c>
      <c r="B657">
        <v>0.33329999999999999</v>
      </c>
      <c r="C657">
        <v>0.56000000000000005</v>
      </c>
      <c r="D657">
        <v>0</v>
      </c>
      <c r="E657">
        <v>14</v>
      </c>
      <c r="F657">
        <v>95</v>
      </c>
      <c r="G657">
        <v>109</v>
      </c>
      <c r="H657" s="22">
        <v>40573</v>
      </c>
      <c r="I657">
        <v>1</v>
      </c>
      <c r="J657">
        <v>0</v>
      </c>
      <c r="K657">
        <v>1</v>
      </c>
      <c r="L657">
        <v>15</v>
      </c>
      <c r="M657" t="b">
        <v>0</v>
      </c>
      <c r="N657">
        <v>0</v>
      </c>
      <c r="O657">
        <v>1</v>
      </c>
      <c r="P657">
        <v>0.3</v>
      </c>
      <c r="Q657">
        <v>0.33329999999999999</v>
      </c>
    </row>
    <row r="658" spans="1:17">
      <c r="A658">
        <v>657</v>
      </c>
      <c r="B658">
        <v>0.33329999999999999</v>
      </c>
      <c r="C658">
        <v>0.56000000000000005</v>
      </c>
      <c r="D658">
        <v>0</v>
      </c>
      <c r="E658">
        <v>19</v>
      </c>
      <c r="F658">
        <v>104</v>
      </c>
      <c r="G658">
        <v>123</v>
      </c>
      <c r="H658" s="22">
        <v>40573</v>
      </c>
      <c r="I658">
        <v>1</v>
      </c>
      <c r="J658">
        <v>0</v>
      </c>
      <c r="K658">
        <v>1</v>
      </c>
      <c r="L658">
        <v>16</v>
      </c>
      <c r="M658" t="b">
        <v>0</v>
      </c>
      <c r="N658">
        <v>0</v>
      </c>
      <c r="O658">
        <v>1</v>
      </c>
      <c r="P658">
        <v>0.3</v>
      </c>
      <c r="Q658">
        <v>0.33329999999999999</v>
      </c>
    </row>
    <row r="659" spans="1:17">
      <c r="A659">
        <v>658</v>
      </c>
      <c r="B659">
        <v>0.28789999999999999</v>
      </c>
      <c r="C659">
        <v>0.56000000000000005</v>
      </c>
      <c r="D659">
        <v>0.19400000000000001</v>
      </c>
      <c r="E659">
        <v>6</v>
      </c>
      <c r="F659">
        <v>71</v>
      </c>
      <c r="G659">
        <v>77</v>
      </c>
      <c r="H659" s="22">
        <v>40573</v>
      </c>
      <c r="I659">
        <v>1</v>
      </c>
      <c r="J659">
        <v>0</v>
      </c>
      <c r="K659">
        <v>1</v>
      </c>
      <c r="L659">
        <v>17</v>
      </c>
      <c r="M659" t="b">
        <v>0</v>
      </c>
      <c r="N659">
        <v>0</v>
      </c>
      <c r="O659">
        <v>1</v>
      </c>
      <c r="P659">
        <v>0.3</v>
      </c>
      <c r="Q659">
        <v>0.28789999999999999</v>
      </c>
    </row>
    <row r="660" spans="1:17">
      <c r="A660">
        <v>659</v>
      </c>
      <c r="B660">
        <v>0.2576</v>
      </c>
      <c r="C660">
        <v>0.65</v>
      </c>
      <c r="D660">
        <v>0.16420000000000001</v>
      </c>
      <c r="E660">
        <v>8</v>
      </c>
      <c r="F660">
        <v>57</v>
      </c>
      <c r="G660">
        <v>65</v>
      </c>
      <c r="H660" s="22">
        <v>40573</v>
      </c>
      <c r="I660">
        <v>1</v>
      </c>
      <c r="J660">
        <v>0</v>
      </c>
      <c r="K660">
        <v>1</v>
      </c>
      <c r="L660">
        <v>18</v>
      </c>
      <c r="M660" t="b">
        <v>0</v>
      </c>
      <c r="N660">
        <v>0</v>
      </c>
      <c r="O660">
        <v>1</v>
      </c>
      <c r="P660">
        <v>0.26</v>
      </c>
      <c r="Q660">
        <v>0.2576</v>
      </c>
    </row>
    <row r="661" spans="1:17">
      <c r="A661">
        <v>660</v>
      </c>
      <c r="B661">
        <v>0.2576</v>
      </c>
      <c r="C661">
        <v>0.65</v>
      </c>
      <c r="D661">
        <v>0.19400000000000001</v>
      </c>
      <c r="E661">
        <v>9</v>
      </c>
      <c r="F661">
        <v>46</v>
      </c>
      <c r="G661">
        <v>55</v>
      </c>
      <c r="H661" s="22">
        <v>40573</v>
      </c>
      <c r="I661">
        <v>1</v>
      </c>
      <c r="J661">
        <v>0</v>
      </c>
      <c r="K661">
        <v>1</v>
      </c>
      <c r="L661">
        <v>19</v>
      </c>
      <c r="M661" t="b">
        <v>0</v>
      </c>
      <c r="N661">
        <v>0</v>
      </c>
      <c r="O661">
        <v>1</v>
      </c>
      <c r="P661">
        <v>0.26</v>
      </c>
      <c r="Q661">
        <v>0.2576</v>
      </c>
    </row>
    <row r="662" spans="1:17">
      <c r="A662">
        <v>661</v>
      </c>
      <c r="B662">
        <v>0.2727</v>
      </c>
      <c r="C662">
        <v>0.65</v>
      </c>
      <c r="D662">
        <v>0.1045</v>
      </c>
      <c r="E662">
        <v>3</v>
      </c>
      <c r="F662">
        <v>30</v>
      </c>
      <c r="G662">
        <v>33</v>
      </c>
      <c r="H662" s="22">
        <v>40573</v>
      </c>
      <c r="I662">
        <v>1</v>
      </c>
      <c r="J662">
        <v>0</v>
      </c>
      <c r="K662">
        <v>1</v>
      </c>
      <c r="L662">
        <v>20</v>
      </c>
      <c r="M662" t="b">
        <v>0</v>
      </c>
      <c r="N662">
        <v>0</v>
      </c>
      <c r="O662">
        <v>2</v>
      </c>
      <c r="P662">
        <v>0.26</v>
      </c>
      <c r="Q662">
        <v>0.2727</v>
      </c>
    </row>
    <row r="663" spans="1:17">
      <c r="A663">
        <v>662</v>
      </c>
      <c r="B663">
        <v>0.2424</v>
      </c>
      <c r="C663">
        <v>0.7</v>
      </c>
      <c r="D663">
        <v>0.16420000000000001</v>
      </c>
      <c r="E663">
        <v>3</v>
      </c>
      <c r="F663">
        <v>25</v>
      </c>
      <c r="G663">
        <v>28</v>
      </c>
      <c r="H663" s="22">
        <v>40573</v>
      </c>
      <c r="I663">
        <v>1</v>
      </c>
      <c r="J663">
        <v>0</v>
      </c>
      <c r="K663">
        <v>1</v>
      </c>
      <c r="L663">
        <v>21</v>
      </c>
      <c r="M663" t="b">
        <v>0</v>
      </c>
      <c r="N663">
        <v>0</v>
      </c>
      <c r="O663">
        <v>2</v>
      </c>
      <c r="P663">
        <v>0.24</v>
      </c>
      <c r="Q663">
        <v>0.2424</v>
      </c>
    </row>
    <row r="664" spans="1:17">
      <c r="A664">
        <v>663</v>
      </c>
      <c r="B664">
        <v>0.2273</v>
      </c>
      <c r="C664">
        <v>0.7</v>
      </c>
      <c r="D664">
        <v>0.19400000000000001</v>
      </c>
      <c r="E664">
        <v>2</v>
      </c>
      <c r="F664">
        <v>19</v>
      </c>
      <c r="G664">
        <v>21</v>
      </c>
      <c r="H664" s="22">
        <v>40573</v>
      </c>
      <c r="I664">
        <v>1</v>
      </c>
      <c r="J664">
        <v>0</v>
      </c>
      <c r="K664">
        <v>1</v>
      </c>
      <c r="L664">
        <v>22</v>
      </c>
      <c r="M664" t="b">
        <v>0</v>
      </c>
      <c r="N664">
        <v>0</v>
      </c>
      <c r="O664">
        <v>2</v>
      </c>
      <c r="P664">
        <v>0.24</v>
      </c>
      <c r="Q664">
        <v>0.2273</v>
      </c>
    </row>
    <row r="665" spans="1:17">
      <c r="A665">
        <v>664</v>
      </c>
      <c r="B665">
        <v>0.21210000000000001</v>
      </c>
      <c r="C665">
        <v>0.65</v>
      </c>
      <c r="D665">
        <v>0.28360000000000002</v>
      </c>
      <c r="E665">
        <v>5</v>
      </c>
      <c r="F665">
        <v>16</v>
      </c>
      <c r="G665">
        <v>21</v>
      </c>
      <c r="H665" s="22">
        <v>40573</v>
      </c>
      <c r="I665">
        <v>1</v>
      </c>
      <c r="J665">
        <v>0</v>
      </c>
      <c r="K665">
        <v>1</v>
      </c>
      <c r="L665">
        <v>23</v>
      </c>
      <c r="M665" t="b">
        <v>0</v>
      </c>
      <c r="N665">
        <v>0</v>
      </c>
      <c r="O665">
        <v>2</v>
      </c>
      <c r="P665">
        <v>0.24</v>
      </c>
      <c r="Q665">
        <v>0.21210000000000001</v>
      </c>
    </row>
    <row r="666" spans="1:17">
      <c r="A666">
        <v>665</v>
      </c>
      <c r="B666">
        <v>0.2273</v>
      </c>
      <c r="C666">
        <v>0.65</v>
      </c>
      <c r="D666">
        <v>0.22389999999999999</v>
      </c>
      <c r="E666">
        <v>1</v>
      </c>
      <c r="F666">
        <v>6</v>
      </c>
      <c r="G666">
        <v>7</v>
      </c>
      <c r="H666" s="22">
        <v>40574</v>
      </c>
      <c r="I666">
        <v>1</v>
      </c>
      <c r="J666">
        <v>0</v>
      </c>
      <c r="K666">
        <v>1</v>
      </c>
      <c r="L666">
        <v>0</v>
      </c>
      <c r="M666" t="b">
        <v>0</v>
      </c>
      <c r="N666">
        <v>1</v>
      </c>
      <c r="O666">
        <v>2</v>
      </c>
      <c r="P666">
        <v>0.24</v>
      </c>
      <c r="Q666">
        <v>0.2273</v>
      </c>
    </row>
    <row r="667" spans="1:17">
      <c r="A667">
        <v>666</v>
      </c>
      <c r="B667">
        <v>0.21210000000000001</v>
      </c>
      <c r="C667">
        <v>0.64</v>
      </c>
      <c r="D667">
        <v>0.25369999999999998</v>
      </c>
      <c r="E667">
        <v>2</v>
      </c>
      <c r="F667">
        <v>5</v>
      </c>
      <c r="G667">
        <v>7</v>
      </c>
      <c r="H667" s="22">
        <v>40574</v>
      </c>
      <c r="I667">
        <v>1</v>
      </c>
      <c r="J667">
        <v>0</v>
      </c>
      <c r="K667">
        <v>1</v>
      </c>
      <c r="L667">
        <v>1</v>
      </c>
      <c r="M667" t="b">
        <v>0</v>
      </c>
      <c r="N667">
        <v>1</v>
      </c>
      <c r="O667">
        <v>1</v>
      </c>
      <c r="P667">
        <v>0.22</v>
      </c>
      <c r="Q667">
        <v>0.21210000000000001</v>
      </c>
    </row>
    <row r="668" spans="1:17">
      <c r="A668">
        <v>667</v>
      </c>
      <c r="B668">
        <v>0.2273</v>
      </c>
      <c r="C668">
        <v>0.64</v>
      </c>
      <c r="D668">
        <v>0.19400000000000001</v>
      </c>
      <c r="E668">
        <v>0</v>
      </c>
      <c r="F668">
        <v>1</v>
      </c>
      <c r="G668">
        <v>1</v>
      </c>
      <c r="H668" s="22">
        <v>40574</v>
      </c>
      <c r="I668">
        <v>1</v>
      </c>
      <c r="J668">
        <v>0</v>
      </c>
      <c r="K668">
        <v>1</v>
      </c>
      <c r="L668">
        <v>2</v>
      </c>
      <c r="M668" t="b">
        <v>0</v>
      </c>
      <c r="N668">
        <v>1</v>
      </c>
      <c r="O668">
        <v>1</v>
      </c>
      <c r="P668">
        <v>0.22</v>
      </c>
      <c r="Q668">
        <v>0.2273</v>
      </c>
    </row>
    <row r="669" spans="1:17">
      <c r="A669">
        <v>668</v>
      </c>
      <c r="B669">
        <v>0.2273</v>
      </c>
      <c r="C669">
        <v>0.64</v>
      </c>
      <c r="D669">
        <v>0.19400000000000001</v>
      </c>
      <c r="E669">
        <v>0</v>
      </c>
      <c r="F669">
        <v>2</v>
      </c>
      <c r="G669">
        <v>2</v>
      </c>
      <c r="H669" s="22">
        <v>40574</v>
      </c>
      <c r="I669">
        <v>1</v>
      </c>
      <c r="J669">
        <v>0</v>
      </c>
      <c r="K669">
        <v>1</v>
      </c>
      <c r="L669">
        <v>3</v>
      </c>
      <c r="M669" t="b">
        <v>0</v>
      </c>
      <c r="N669">
        <v>1</v>
      </c>
      <c r="O669">
        <v>1</v>
      </c>
      <c r="P669">
        <v>0.22</v>
      </c>
      <c r="Q669">
        <v>0.2273</v>
      </c>
    </row>
    <row r="670" spans="1:17">
      <c r="A670">
        <v>669</v>
      </c>
      <c r="B670">
        <v>0.19700000000000001</v>
      </c>
      <c r="C670">
        <v>0.59</v>
      </c>
      <c r="D670">
        <v>0.22389999999999999</v>
      </c>
      <c r="E670">
        <v>0</v>
      </c>
      <c r="F670">
        <v>2</v>
      </c>
      <c r="G670">
        <v>2</v>
      </c>
      <c r="H670" s="22">
        <v>40574</v>
      </c>
      <c r="I670">
        <v>1</v>
      </c>
      <c r="J670">
        <v>0</v>
      </c>
      <c r="K670">
        <v>1</v>
      </c>
      <c r="L670">
        <v>4</v>
      </c>
      <c r="M670" t="b">
        <v>0</v>
      </c>
      <c r="N670">
        <v>1</v>
      </c>
      <c r="O670">
        <v>1</v>
      </c>
      <c r="P670">
        <v>0.2</v>
      </c>
      <c r="Q670">
        <v>0.19700000000000001</v>
      </c>
    </row>
    <row r="671" spans="1:17">
      <c r="A671">
        <v>670</v>
      </c>
      <c r="B671">
        <v>0.16669999999999999</v>
      </c>
      <c r="C671">
        <v>0.64</v>
      </c>
      <c r="D671">
        <v>0.28360000000000002</v>
      </c>
      <c r="E671">
        <v>0</v>
      </c>
      <c r="F671">
        <v>8</v>
      </c>
      <c r="G671">
        <v>8</v>
      </c>
      <c r="H671" s="22">
        <v>40574</v>
      </c>
      <c r="I671">
        <v>1</v>
      </c>
      <c r="J671">
        <v>0</v>
      </c>
      <c r="K671">
        <v>1</v>
      </c>
      <c r="L671">
        <v>5</v>
      </c>
      <c r="M671" t="b">
        <v>0</v>
      </c>
      <c r="N671">
        <v>1</v>
      </c>
      <c r="O671">
        <v>1</v>
      </c>
      <c r="P671">
        <v>0.18</v>
      </c>
      <c r="Q671">
        <v>0.16669999999999999</v>
      </c>
    </row>
    <row r="672" spans="1:17">
      <c r="A672">
        <v>671</v>
      </c>
      <c r="B672">
        <v>0.13639999999999999</v>
      </c>
      <c r="C672">
        <v>0.69</v>
      </c>
      <c r="D672">
        <v>0.32840000000000003</v>
      </c>
      <c r="E672">
        <v>0</v>
      </c>
      <c r="F672">
        <v>37</v>
      </c>
      <c r="G672">
        <v>37</v>
      </c>
      <c r="H672" s="22">
        <v>40574</v>
      </c>
      <c r="I672">
        <v>1</v>
      </c>
      <c r="J672">
        <v>0</v>
      </c>
      <c r="K672">
        <v>1</v>
      </c>
      <c r="L672">
        <v>6</v>
      </c>
      <c r="M672" t="b">
        <v>0</v>
      </c>
      <c r="N672">
        <v>1</v>
      </c>
      <c r="O672">
        <v>1</v>
      </c>
      <c r="P672">
        <v>0.16</v>
      </c>
      <c r="Q672">
        <v>0.13639999999999999</v>
      </c>
    </row>
    <row r="673" spans="1:17">
      <c r="A673">
        <v>672</v>
      </c>
      <c r="B673">
        <v>0.13639999999999999</v>
      </c>
      <c r="C673">
        <v>0.64</v>
      </c>
      <c r="D673">
        <v>0.28360000000000002</v>
      </c>
      <c r="E673">
        <v>1</v>
      </c>
      <c r="F673">
        <v>71</v>
      </c>
      <c r="G673">
        <v>72</v>
      </c>
      <c r="H673" s="22">
        <v>40574</v>
      </c>
      <c r="I673">
        <v>1</v>
      </c>
      <c r="J673">
        <v>0</v>
      </c>
      <c r="K673">
        <v>1</v>
      </c>
      <c r="L673">
        <v>7</v>
      </c>
      <c r="M673" t="b">
        <v>0</v>
      </c>
      <c r="N673">
        <v>1</v>
      </c>
      <c r="O673">
        <v>2</v>
      </c>
      <c r="P673">
        <v>0.16</v>
      </c>
      <c r="Q673">
        <v>0.13639999999999999</v>
      </c>
    </row>
    <row r="674" spans="1:17">
      <c r="A674">
        <v>673</v>
      </c>
      <c r="B674">
        <v>0.13639999999999999</v>
      </c>
      <c r="C674">
        <v>0.59</v>
      </c>
      <c r="D674">
        <v>0.28360000000000002</v>
      </c>
      <c r="E674">
        <v>3</v>
      </c>
      <c r="F674">
        <v>182</v>
      </c>
      <c r="G674">
        <v>185</v>
      </c>
      <c r="H674" s="22">
        <v>40574</v>
      </c>
      <c r="I674">
        <v>1</v>
      </c>
      <c r="J674">
        <v>0</v>
      </c>
      <c r="K674">
        <v>1</v>
      </c>
      <c r="L674">
        <v>8</v>
      </c>
      <c r="M674" t="b">
        <v>0</v>
      </c>
      <c r="N674">
        <v>1</v>
      </c>
      <c r="O674">
        <v>2</v>
      </c>
      <c r="P674">
        <v>0.16</v>
      </c>
      <c r="Q674">
        <v>0.13639999999999999</v>
      </c>
    </row>
    <row r="675" spans="1:17">
      <c r="A675">
        <v>674</v>
      </c>
      <c r="B675">
        <v>0.13639999999999999</v>
      </c>
      <c r="C675">
        <v>0.59</v>
      </c>
      <c r="D675">
        <v>0.29849999999999999</v>
      </c>
      <c r="E675">
        <v>0</v>
      </c>
      <c r="F675">
        <v>112</v>
      </c>
      <c r="G675">
        <v>112</v>
      </c>
      <c r="H675" s="22">
        <v>40574</v>
      </c>
      <c r="I675">
        <v>1</v>
      </c>
      <c r="J675">
        <v>0</v>
      </c>
      <c r="K675">
        <v>1</v>
      </c>
      <c r="L675">
        <v>9</v>
      </c>
      <c r="M675" t="b">
        <v>0</v>
      </c>
      <c r="N675">
        <v>1</v>
      </c>
      <c r="O675">
        <v>2</v>
      </c>
      <c r="P675">
        <v>0.16</v>
      </c>
      <c r="Q675">
        <v>0.13639999999999999</v>
      </c>
    </row>
    <row r="676" spans="1:17">
      <c r="A676">
        <v>675</v>
      </c>
      <c r="B676">
        <v>0.1515</v>
      </c>
      <c r="C676">
        <v>0.59</v>
      </c>
      <c r="D676">
        <v>0.19400000000000001</v>
      </c>
      <c r="E676">
        <v>1</v>
      </c>
      <c r="F676">
        <v>68</v>
      </c>
      <c r="G676">
        <v>69</v>
      </c>
      <c r="H676" s="22">
        <v>40574</v>
      </c>
      <c r="I676">
        <v>1</v>
      </c>
      <c r="J676">
        <v>0</v>
      </c>
      <c r="K676">
        <v>1</v>
      </c>
      <c r="L676">
        <v>10</v>
      </c>
      <c r="M676" t="b">
        <v>0</v>
      </c>
      <c r="N676">
        <v>1</v>
      </c>
      <c r="O676">
        <v>2</v>
      </c>
      <c r="P676">
        <v>0.16</v>
      </c>
      <c r="Q676">
        <v>0.1515</v>
      </c>
    </row>
    <row r="677" spans="1:17">
      <c r="A677">
        <v>676</v>
      </c>
      <c r="B677">
        <v>0.1515</v>
      </c>
      <c r="C677">
        <v>0.59</v>
      </c>
      <c r="D677">
        <v>0.19400000000000001</v>
      </c>
      <c r="E677">
        <v>2</v>
      </c>
      <c r="F677">
        <v>46</v>
      </c>
      <c r="G677">
        <v>48</v>
      </c>
      <c r="H677" s="22">
        <v>40574</v>
      </c>
      <c r="I677">
        <v>1</v>
      </c>
      <c r="J677">
        <v>0</v>
      </c>
      <c r="K677">
        <v>1</v>
      </c>
      <c r="L677">
        <v>11</v>
      </c>
      <c r="M677" t="b">
        <v>0</v>
      </c>
      <c r="N677">
        <v>1</v>
      </c>
      <c r="O677">
        <v>2</v>
      </c>
      <c r="P677">
        <v>0.16</v>
      </c>
      <c r="Q677">
        <v>0.1515</v>
      </c>
    </row>
    <row r="678" spans="1:17">
      <c r="A678">
        <v>677</v>
      </c>
      <c r="B678">
        <v>0.21210000000000001</v>
      </c>
      <c r="C678">
        <v>0.55000000000000004</v>
      </c>
      <c r="D678">
        <v>0.1045</v>
      </c>
      <c r="E678">
        <v>6</v>
      </c>
      <c r="F678">
        <v>62</v>
      </c>
      <c r="G678">
        <v>68</v>
      </c>
      <c r="H678" s="22">
        <v>40574</v>
      </c>
      <c r="I678">
        <v>1</v>
      </c>
      <c r="J678">
        <v>0</v>
      </c>
      <c r="K678">
        <v>1</v>
      </c>
      <c r="L678">
        <v>12</v>
      </c>
      <c r="M678" t="b">
        <v>0</v>
      </c>
      <c r="N678">
        <v>1</v>
      </c>
      <c r="O678">
        <v>2</v>
      </c>
      <c r="P678">
        <v>0.18</v>
      </c>
      <c r="Q678">
        <v>0.21210000000000001</v>
      </c>
    </row>
    <row r="679" spans="1:17">
      <c r="A679">
        <v>678</v>
      </c>
      <c r="B679">
        <v>0.2273</v>
      </c>
      <c r="C679">
        <v>0.59</v>
      </c>
      <c r="D679">
        <v>0</v>
      </c>
      <c r="E679">
        <v>2</v>
      </c>
      <c r="F679">
        <v>52</v>
      </c>
      <c r="G679">
        <v>54</v>
      </c>
      <c r="H679" s="22">
        <v>40574</v>
      </c>
      <c r="I679">
        <v>1</v>
      </c>
      <c r="J679">
        <v>0</v>
      </c>
      <c r="K679">
        <v>1</v>
      </c>
      <c r="L679">
        <v>13</v>
      </c>
      <c r="M679" t="b">
        <v>0</v>
      </c>
      <c r="N679">
        <v>1</v>
      </c>
      <c r="O679">
        <v>2</v>
      </c>
      <c r="P679">
        <v>0.16</v>
      </c>
      <c r="Q679">
        <v>0.2273</v>
      </c>
    </row>
    <row r="680" spans="1:17">
      <c r="A680">
        <v>679</v>
      </c>
      <c r="B680">
        <v>0.19700000000000001</v>
      </c>
      <c r="C680">
        <v>0.55000000000000004</v>
      </c>
      <c r="D680">
        <v>0.1343</v>
      </c>
      <c r="E680">
        <v>1</v>
      </c>
      <c r="F680">
        <v>85</v>
      </c>
      <c r="G680">
        <v>86</v>
      </c>
      <c r="H680" s="22">
        <v>40574</v>
      </c>
      <c r="I680">
        <v>1</v>
      </c>
      <c r="J680">
        <v>0</v>
      </c>
      <c r="K680">
        <v>1</v>
      </c>
      <c r="L680">
        <v>14</v>
      </c>
      <c r="M680" t="b">
        <v>0</v>
      </c>
      <c r="N680">
        <v>1</v>
      </c>
      <c r="O680">
        <v>2</v>
      </c>
      <c r="P680">
        <v>0.18</v>
      </c>
      <c r="Q680">
        <v>0.19700000000000001</v>
      </c>
    </row>
    <row r="681" spans="1:17">
      <c r="A681">
        <v>680</v>
      </c>
      <c r="B681">
        <v>0.18179999999999999</v>
      </c>
      <c r="C681">
        <v>0.59</v>
      </c>
      <c r="D681">
        <v>0.1343</v>
      </c>
      <c r="E681">
        <v>3</v>
      </c>
      <c r="F681">
        <v>41</v>
      </c>
      <c r="G681">
        <v>44</v>
      </c>
      <c r="H681" s="22">
        <v>40574</v>
      </c>
      <c r="I681">
        <v>1</v>
      </c>
      <c r="J681">
        <v>0</v>
      </c>
      <c r="K681">
        <v>1</v>
      </c>
      <c r="L681">
        <v>15</v>
      </c>
      <c r="M681" t="b">
        <v>0</v>
      </c>
      <c r="N681">
        <v>1</v>
      </c>
      <c r="O681">
        <v>2</v>
      </c>
      <c r="P681">
        <v>0.16</v>
      </c>
      <c r="Q681">
        <v>0.18179999999999999</v>
      </c>
    </row>
    <row r="682" spans="1:17">
      <c r="A682">
        <v>681</v>
      </c>
      <c r="B682">
        <v>0.18179999999999999</v>
      </c>
      <c r="C682">
        <v>0.56000000000000005</v>
      </c>
      <c r="D682">
        <v>0.19400000000000001</v>
      </c>
      <c r="E682">
        <v>3</v>
      </c>
      <c r="F682">
        <v>83</v>
      </c>
      <c r="G682">
        <v>86</v>
      </c>
      <c r="H682" s="22">
        <v>40574</v>
      </c>
      <c r="I682">
        <v>1</v>
      </c>
      <c r="J682">
        <v>0</v>
      </c>
      <c r="K682">
        <v>1</v>
      </c>
      <c r="L682">
        <v>16</v>
      </c>
      <c r="M682" t="b">
        <v>0</v>
      </c>
      <c r="N682">
        <v>1</v>
      </c>
      <c r="O682">
        <v>2</v>
      </c>
      <c r="P682">
        <v>0.16</v>
      </c>
      <c r="Q682">
        <v>0.18179999999999999</v>
      </c>
    </row>
    <row r="683" spans="1:17">
      <c r="A683">
        <v>682</v>
      </c>
      <c r="B683">
        <v>0.1515</v>
      </c>
      <c r="C683">
        <v>0.59</v>
      </c>
      <c r="D683">
        <v>0.19400000000000001</v>
      </c>
      <c r="E683">
        <v>6</v>
      </c>
      <c r="F683">
        <v>155</v>
      </c>
      <c r="G683">
        <v>161</v>
      </c>
      <c r="H683" s="22">
        <v>40574</v>
      </c>
      <c r="I683">
        <v>1</v>
      </c>
      <c r="J683">
        <v>0</v>
      </c>
      <c r="K683">
        <v>1</v>
      </c>
      <c r="L683">
        <v>17</v>
      </c>
      <c r="M683" t="b">
        <v>0</v>
      </c>
      <c r="N683">
        <v>1</v>
      </c>
      <c r="O683">
        <v>2</v>
      </c>
      <c r="P683">
        <v>0.16</v>
      </c>
      <c r="Q683">
        <v>0.1515</v>
      </c>
    </row>
    <row r="684" spans="1:17">
      <c r="A684">
        <v>683</v>
      </c>
      <c r="B684">
        <v>0.1515</v>
      </c>
      <c r="C684">
        <v>0.55000000000000004</v>
      </c>
      <c r="D684">
        <v>0.22389999999999999</v>
      </c>
      <c r="E684">
        <v>3</v>
      </c>
      <c r="F684">
        <v>153</v>
      </c>
      <c r="G684">
        <v>156</v>
      </c>
      <c r="H684" s="22">
        <v>40574</v>
      </c>
      <c r="I684">
        <v>1</v>
      </c>
      <c r="J684">
        <v>0</v>
      </c>
      <c r="K684">
        <v>1</v>
      </c>
      <c r="L684">
        <v>18</v>
      </c>
      <c r="M684" t="b">
        <v>0</v>
      </c>
      <c r="N684">
        <v>1</v>
      </c>
      <c r="O684">
        <v>2</v>
      </c>
      <c r="P684">
        <v>0.16</v>
      </c>
      <c r="Q684">
        <v>0.1515</v>
      </c>
    </row>
    <row r="685" spans="1:17">
      <c r="A685">
        <v>684</v>
      </c>
      <c r="B685">
        <v>0.31819999999999998</v>
      </c>
      <c r="C685">
        <v>0.61</v>
      </c>
      <c r="D685">
        <v>0.1045</v>
      </c>
      <c r="E685">
        <v>3</v>
      </c>
      <c r="F685">
        <v>108</v>
      </c>
      <c r="G685">
        <v>111</v>
      </c>
      <c r="H685" s="22">
        <v>40574</v>
      </c>
      <c r="I685">
        <v>1</v>
      </c>
      <c r="J685">
        <v>0</v>
      </c>
      <c r="K685">
        <v>1</v>
      </c>
      <c r="L685">
        <v>19</v>
      </c>
      <c r="M685" t="b">
        <v>0</v>
      </c>
      <c r="N685">
        <v>1</v>
      </c>
      <c r="O685">
        <v>1</v>
      </c>
      <c r="P685">
        <v>0.3</v>
      </c>
      <c r="Q685">
        <v>0.31819999999999998</v>
      </c>
    </row>
    <row r="686" spans="1:17">
      <c r="A686">
        <v>685</v>
      </c>
      <c r="B686">
        <v>0.16669999999999999</v>
      </c>
      <c r="C686">
        <v>0.59</v>
      </c>
      <c r="D686">
        <v>0.16420000000000001</v>
      </c>
      <c r="E686">
        <v>0</v>
      </c>
      <c r="F686">
        <v>78</v>
      </c>
      <c r="G686">
        <v>78</v>
      </c>
      <c r="H686" s="22">
        <v>40574</v>
      </c>
      <c r="I686">
        <v>1</v>
      </c>
      <c r="J686">
        <v>0</v>
      </c>
      <c r="K686">
        <v>1</v>
      </c>
      <c r="L686">
        <v>20</v>
      </c>
      <c r="M686" t="b">
        <v>0</v>
      </c>
      <c r="N686">
        <v>1</v>
      </c>
      <c r="O686">
        <v>3</v>
      </c>
      <c r="P686">
        <v>0.16</v>
      </c>
      <c r="Q686">
        <v>0.16669999999999999</v>
      </c>
    </row>
    <row r="687" spans="1:17">
      <c r="A687">
        <v>686</v>
      </c>
      <c r="B687">
        <v>0.19700000000000001</v>
      </c>
      <c r="C687">
        <v>0.59</v>
      </c>
      <c r="D687">
        <v>8.9599999999999999E-2</v>
      </c>
      <c r="E687">
        <v>3</v>
      </c>
      <c r="F687">
        <v>53</v>
      </c>
      <c r="G687">
        <v>56</v>
      </c>
      <c r="H687" s="22">
        <v>40574</v>
      </c>
      <c r="I687">
        <v>1</v>
      </c>
      <c r="J687">
        <v>0</v>
      </c>
      <c r="K687">
        <v>1</v>
      </c>
      <c r="L687">
        <v>21</v>
      </c>
      <c r="M687" t="b">
        <v>0</v>
      </c>
      <c r="N687">
        <v>1</v>
      </c>
      <c r="O687">
        <v>3</v>
      </c>
      <c r="P687">
        <v>0.16</v>
      </c>
      <c r="Q687">
        <v>0.19700000000000001</v>
      </c>
    </row>
    <row r="688" spans="1:17">
      <c r="A688">
        <v>687</v>
      </c>
      <c r="B688">
        <v>0.18179999999999999</v>
      </c>
      <c r="C688">
        <v>0.59</v>
      </c>
      <c r="D688">
        <v>0.1045</v>
      </c>
      <c r="E688">
        <v>0</v>
      </c>
      <c r="F688">
        <v>34</v>
      </c>
      <c r="G688">
        <v>34</v>
      </c>
      <c r="H688" s="22">
        <v>40574</v>
      </c>
      <c r="I688">
        <v>1</v>
      </c>
      <c r="J688">
        <v>0</v>
      </c>
      <c r="K688">
        <v>1</v>
      </c>
      <c r="L688">
        <v>22</v>
      </c>
      <c r="M688" t="b">
        <v>0</v>
      </c>
      <c r="N688">
        <v>1</v>
      </c>
      <c r="O688">
        <v>2</v>
      </c>
      <c r="P688">
        <v>0.16</v>
      </c>
      <c r="Q688">
        <v>0.18179999999999999</v>
      </c>
    </row>
    <row r="689" spans="1:17">
      <c r="A689">
        <v>688</v>
      </c>
      <c r="B689">
        <v>0.19700000000000001</v>
      </c>
      <c r="C689">
        <v>0.64</v>
      </c>
      <c r="D689">
        <v>8.9599999999999999E-2</v>
      </c>
      <c r="E689">
        <v>2</v>
      </c>
      <c r="F689">
        <v>15</v>
      </c>
      <c r="G689">
        <v>17</v>
      </c>
      <c r="H689" s="22">
        <v>40574</v>
      </c>
      <c r="I689">
        <v>1</v>
      </c>
      <c r="J689">
        <v>0</v>
      </c>
      <c r="K689">
        <v>1</v>
      </c>
      <c r="L689">
        <v>23</v>
      </c>
      <c r="M689" t="b">
        <v>0</v>
      </c>
      <c r="N689">
        <v>1</v>
      </c>
      <c r="O689">
        <v>2</v>
      </c>
      <c r="P689">
        <v>0.16</v>
      </c>
      <c r="Q689">
        <v>0.19700000000000001</v>
      </c>
    </row>
    <row r="690" spans="1:17">
      <c r="A690">
        <v>689</v>
      </c>
      <c r="B690">
        <v>0.18179999999999999</v>
      </c>
      <c r="C690">
        <v>0.64</v>
      </c>
      <c r="D690">
        <v>0.1045</v>
      </c>
      <c r="E690">
        <v>2</v>
      </c>
      <c r="F690">
        <v>6</v>
      </c>
      <c r="G690">
        <v>8</v>
      </c>
      <c r="H690" s="22">
        <v>40575</v>
      </c>
      <c r="I690">
        <v>1</v>
      </c>
      <c r="J690">
        <v>0</v>
      </c>
      <c r="K690">
        <v>2</v>
      </c>
      <c r="L690">
        <v>0</v>
      </c>
      <c r="M690" t="b">
        <v>0</v>
      </c>
      <c r="N690">
        <v>2</v>
      </c>
      <c r="O690">
        <v>2</v>
      </c>
      <c r="P690">
        <v>0.16</v>
      </c>
      <c r="Q690">
        <v>0.18179999999999999</v>
      </c>
    </row>
    <row r="691" spans="1:17">
      <c r="A691">
        <v>690</v>
      </c>
      <c r="B691">
        <v>0.18179999999999999</v>
      </c>
      <c r="C691">
        <v>0.69</v>
      </c>
      <c r="D691">
        <v>0.1045</v>
      </c>
      <c r="E691">
        <v>0</v>
      </c>
      <c r="F691">
        <v>3</v>
      </c>
      <c r="G691">
        <v>3</v>
      </c>
      <c r="H691" s="22">
        <v>40575</v>
      </c>
      <c r="I691">
        <v>1</v>
      </c>
      <c r="J691">
        <v>0</v>
      </c>
      <c r="K691">
        <v>2</v>
      </c>
      <c r="L691">
        <v>1</v>
      </c>
      <c r="M691" t="b">
        <v>0</v>
      </c>
      <c r="N691">
        <v>2</v>
      </c>
      <c r="O691">
        <v>2</v>
      </c>
      <c r="P691">
        <v>0.16</v>
      </c>
      <c r="Q691">
        <v>0.18179999999999999</v>
      </c>
    </row>
    <row r="692" spans="1:17">
      <c r="A692">
        <v>691</v>
      </c>
      <c r="B692">
        <v>0.2273</v>
      </c>
      <c r="C692">
        <v>0.69</v>
      </c>
      <c r="D692">
        <v>0</v>
      </c>
      <c r="E692">
        <v>0</v>
      </c>
      <c r="F692">
        <v>2</v>
      </c>
      <c r="G692">
        <v>2</v>
      </c>
      <c r="H692" s="22">
        <v>40575</v>
      </c>
      <c r="I692">
        <v>1</v>
      </c>
      <c r="J692">
        <v>0</v>
      </c>
      <c r="K692">
        <v>2</v>
      </c>
      <c r="L692">
        <v>2</v>
      </c>
      <c r="M692" t="b">
        <v>0</v>
      </c>
      <c r="N692">
        <v>2</v>
      </c>
      <c r="O692">
        <v>2</v>
      </c>
      <c r="P692">
        <v>0.16</v>
      </c>
      <c r="Q692">
        <v>0.2273</v>
      </c>
    </row>
    <row r="693" spans="1:17">
      <c r="A693">
        <v>692</v>
      </c>
      <c r="B693">
        <v>0.2273</v>
      </c>
      <c r="C693">
        <v>0.69</v>
      </c>
      <c r="D693">
        <v>0</v>
      </c>
      <c r="E693">
        <v>0</v>
      </c>
      <c r="F693">
        <v>2</v>
      </c>
      <c r="G693">
        <v>2</v>
      </c>
      <c r="H693" s="22">
        <v>40575</v>
      </c>
      <c r="I693">
        <v>1</v>
      </c>
      <c r="J693">
        <v>0</v>
      </c>
      <c r="K693">
        <v>2</v>
      </c>
      <c r="L693">
        <v>3</v>
      </c>
      <c r="M693" t="b">
        <v>0</v>
      </c>
      <c r="N693">
        <v>2</v>
      </c>
      <c r="O693">
        <v>2</v>
      </c>
      <c r="P693">
        <v>0.16</v>
      </c>
      <c r="Q693">
        <v>0.2273</v>
      </c>
    </row>
    <row r="694" spans="1:17">
      <c r="A694">
        <v>693</v>
      </c>
      <c r="B694">
        <v>0.21210000000000001</v>
      </c>
      <c r="C694">
        <v>0.93</v>
      </c>
      <c r="D694">
        <v>0</v>
      </c>
      <c r="E694">
        <v>0</v>
      </c>
      <c r="F694">
        <v>3</v>
      </c>
      <c r="G694">
        <v>3</v>
      </c>
      <c r="H694" s="22">
        <v>40575</v>
      </c>
      <c r="I694">
        <v>1</v>
      </c>
      <c r="J694">
        <v>0</v>
      </c>
      <c r="K694">
        <v>2</v>
      </c>
      <c r="L694">
        <v>5</v>
      </c>
      <c r="M694" t="b">
        <v>0</v>
      </c>
      <c r="N694">
        <v>2</v>
      </c>
      <c r="O694">
        <v>3</v>
      </c>
      <c r="P694">
        <v>0.14000000000000001</v>
      </c>
      <c r="Q694">
        <v>0.21210000000000001</v>
      </c>
    </row>
    <row r="695" spans="1:17">
      <c r="A695">
        <v>694</v>
      </c>
      <c r="B695">
        <v>0.21210000000000001</v>
      </c>
      <c r="C695">
        <v>0.93</v>
      </c>
      <c r="D695">
        <v>0</v>
      </c>
      <c r="E695">
        <v>0</v>
      </c>
      <c r="F695">
        <v>22</v>
      </c>
      <c r="G695">
        <v>22</v>
      </c>
      <c r="H695" s="22">
        <v>40575</v>
      </c>
      <c r="I695">
        <v>1</v>
      </c>
      <c r="J695">
        <v>0</v>
      </c>
      <c r="K695">
        <v>2</v>
      </c>
      <c r="L695">
        <v>6</v>
      </c>
      <c r="M695" t="b">
        <v>0</v>
      </c>
      <c r="N695">
        <v>2</v>
      </c>
      <c r="O695">
        <v>3</v>
      </c>
      <c r="P695">
        <v>0.14000000000000001</v>
      </c>
      <c r="Q695">
        <v>0.21210000000000001</v>
      </c>
    </row>
    <row r="696" spans="1:17">
      <c r="A696">
        <v>695</v>
      </c>
      <c r="B696">
        <v>0.2273</v>
      </c>
      <c r="C696">
        <v>0.93</v>
      </c>
      <c r="D696">
        <v>0</v>
      </c>
      <c r="E696">
        <v>0</v>
      </c>
      <c r="F696">
        <v>52</v>
      </c>
      <c r="G696">
        <v>52</v>
      </c>
      <c r="H696" s="22">
        <v>40575</v>
      </c>
      <c r="I696">
        <v>1</v>
      </c>
      <c r="J696">
        <v>0</v>
      </c>
      <c r="K696">
        <v>2</v>
      </c>
      <c r="L696">
        <v>7</v>
      </c>
      <c r="M696" t="b">
        <v>0</v>
      </c>
      <c r="N696">
        <v>2</v>
      </c>
      <c r="O696">
        <v>3</v>
      </c>
      <c r="P696">
        <v>0.16</v>
      </c>
      <c r="Q696">
        <v>0.2273</v>
      </c>
    </row>
    <row r="697" spans="1:17">
      <c r="A697">
        <v>696</v>
      </c>
      <c r="B697">
        <v>0.2273</v>
      </c>
      <c r="C697">
        <v>0.93</v>
      </c>
      <c r="D697">
        <v>0</v>
      </c>
      <c r="E697">
        <v>3</v>
      </c>
      <c r="F697">
        <v>132</v>
      </c>
      <c r="G697">
        <v>135</v>
      </c>
      <c r="H697" s="22">
        <v>40575</v>
      </c>
      <c r="I697">
        <v>1</v>
      </c>
      <c r="J697">
        <v>0</v>
      </c>
      <c r="K697">
        <v>2</v>
      </c>
      <c r="L697">
        <v>8</v>
      </c>
      <c r="M697" t="b">
        <v>0</v>
      </c>
      <c r="N697">
        <v>2</v>
      </c>
      <c r="O697">
        <v>3</v>
      </c>
      <c r="P697">
        <v>0.16</v>
      </c>
      <c r="Q697">
        <v>0.2273</v>
      </c>
    </row>
    <row r="698" spans="1:17">
      <c r="A698">
        <v>697</v>
      </c>
      <c r="B698">
        <v>0.2273</v>
      </c>
      <c r="C698">
        <v>0.93</v>
      </c>
      <c r="D698">
        <v>0</v>
      </c>
      <c r="E698">
        <v>2</v>
      </c>
      <c r="F698">
        <v>114</v>
      </c>
      <c r="G698">
        <v>116</v>
      </c>
      <c r="H698" s="22">
        <v>40575</v>
      </c>
      <c r="I698">
        <v>1</v>
      </c>
      <c r="J698">
        <v>0</v>
      </c>
      <c r="K698">
        <v>2</v>
      </c>
      <c r="L698">
        <v>9</v>
      </c>
      <c r="M698" t="b">
        <v>0</v>
      </c>
      <c r="N698">
        <v>2</v>
      </c>
      <c r="O698">
        <v>2</v>
      </c>
      <c r="P698">
        <v>0.16</v>
      </c>
      <c r="Q698">
        <v>0.2273</v>
      </c>
    </row>
    <row r="699" spans="1:17">
      <c r="A699">
        <v>698</v>
      </c>
      <c r="B699">
        <v>0.2273</v>
      </c>
      <c r="C699">
        <v>0.93</v>
      </c>
      <c r="D699">
        <v>0</v>
      </c>
      <c r="E699">
        <v>0</v>
      </c>
      <c r="F699">
        <v>47</v>
      </c>
      <c r="G699">
        <v>47</v>
      </c>
      <c r="H699" s="22">
        <v>40575</v>
      </c>
      <c r="I699">
        <v>1</v>
      </c>
      <c r="J699">
        <v>0</v>
      </c>
      <c r="K699">
        <v>2</v>
      </c>
      <c r="L699">
        <v>10</v>
      </c>
      <c r="M699" t="b">
        <v>0</v>
      </c>
      <c r="N699">
        <v>2</v>
      </c>
      <c r="O699">
        <v>2</v>
      </c>
      <c r="P699">
        <v>0.16</v>
      </c>
      <c r="Q699">
        <v>0.2273</v>
      </c>
    </row>
    <row r="700" spans="1:17">
      <c r="A700">
        <v>699</v>
      </c>
      <c r="B700">
        <v>0.2424</v>
      </c>
      <c r="C700">
        <v>0.86</v>
      </c>
      <c r="D700">
        <v>0</v>
      </c>
      <c r="E700">
        <v>2</v>
      </c>
      <c r="F700">
        <v>49</v>
      </c>
      <c r="G700">
        <v>51</v>
      </c>
      <c r="H700" s="22">
        <v>40575</v>
      </c>
      <c r="I700">
        <v>1</v>
      </c>
      <c r="J700">
        <v>0</v>
      </c>
      <c r="K700">
        <v>2</v>
      </c>
      <c r="L700">
        <v>11</v>
      </c>
      <c r="M700" t="b">
        <v>0</v>
      </c>
      <c r="N700">
        <v>2</v>
      </c>
      <c r="O700">
        <v>2</v>
      </c>
      <c r="P700">
        <v>0.18</v>
      </c>
      <c r="Q700">
        <v>0.2424</v>
      </c>
    </row>
    <row r="701" spans="1:17">
      <c r="A701">
        <v>700</v>
      </c>
      <c r="B701">
        <v>0.2576</v>
      </c>
      <c r="C701">
        <v>0.86</v>
      </c>
      <c r="D701">
        <v>0</v>
      </c>
      <c r="E701">
        <v>2</v>
      </c>
      <c r="F701">
        <v>53</v>
      </c>
      <c r="G701">
        <v>55</v>
      </c>
      <c r="H701" s="22">
        <v>40575</v>
      </c>
      <c r="I701">
        <v>1</v>
      </c>
      <c r="J701">
        <v>0</v>
      </c>
      <c r="K701">
        <v>2</v>
      </c>
      <c r="L701">
        <v>12</v>
      </c>
      <c r="M701" t="b">
        <v>0</v>
      </c>
      <c r="N701">
        <v>2</v>
      </c>
      <c r="O701">
        <v>2</v>
      </c>
      <c r="P701">
        <v>0.2</v>
      </c>
      <c r="Q701">
        <v>0.2576</v>
      </c>
    </row>
    <row r="702" spans="1:17">
      <c r="A702">
        <v>701</v>
      </c>
      <c r="B702">
        <v>0.2576</v>
      </c>
      <c r="C702">
        <v>0.86</v>
      </c>
      <c r="D702">
        <v>0</v>
      </c>
      <c r="E702">
        <v>3</v>
      </c>
      <c r="F702">
        <v>49</v>
      </c>
      <c r="G702">
        <v>52</v>
      </c>
      <c r="H702" s="22">
        <v>40575</v>
      </c>
      <c r="I702">
        <v>1</v>
      </c>
      <c r="J702">
        <v>0</v>
      </c>
      <c r="K702">
        <v>2</v>
      </c>
      <c r="L702">
        <v>13</v>
      </c>
      <c r="M702" t="b">
        <v>0</v>
      </c>
      <c r="N702">
        <v>2</v>
      </c>
      <c r="O702">
        <v>2</v>
      </c>
      <c r="P702">
        <v>0.2</v>
      </c>
      <c r="Q702">
        <v>0.2576</v>
      </c>
    </row>
    <row r="703" spans="1:17">
      <c r="A703">
        <v>702</v>
      </c>
      <c r="B703">
        <v>0.2576</v>
      </c>
      <c r="C703">
        <v>0.8</v>
      </c>
      <c r="D703">
        <v>8.9599999999999999E-2</v>
      </c>
      <c r="E703">
        <v>5</v>
      </c>
      <c r="F703">
        <v>49</v>
      </c>
      <c r="G703">
        <v>54</v>
      </c>
      <c r="H703" s="22">
        <v>40575</v>
      </c>
      <c r="I703">
        <v>1</v>
      </c>
      <c r="J703">
        <v>0</v>
      </c>
      <c r="K703">
        <v>2</v>
      </c>
      <c r="L703">
        <v>14</v>
      </c>
      <c r="M703" t="b">
        <v>0</v>
      </c>
      <c r="N703">
        <v>2</v>
      </c>
      <c r="O703">
        <v>2</v>
      </c>
      <c r="P703">
        <v>0.22</v>
      </c>
      <c r="Q703">
        <v>0.2576</v>
      </c>
    </row>
    <row r="704" spans="1:17">
      <c r="A704">
        <v>703</v>
      </c>
      <c r="B704">
        <v>0.28789999999999999</v>
      </c>
      <c r="C704">
        <v>0.75</v>
      </c>
      <c r="D704">
        <v>0</v>
      </c>
      <c r="E704">
        <v>7</v>
      </c>
      <c r="F704">
        <v>45</v>
      </c>
      <c r="G704">
        <v>52</v>
      </c>
      <c r="H704" s="22">
        <v>40575</v>
      </c>
      <c r="I704">
        <v>1</v>
      </c>
      <c r="J704">
        <v>0</v>
      </c>
      <c r="K704">
        <v>2</v>
      </c>
      <c r="L704">
        <v>15</v>
      </c>
      <c r="M704" t="b">
        <v>0</v>
      </c>
      <c r="N704">
        <v>2</v>
      </c>
      <c r="O704">
        <v>2</v>
      </c>
      <c r="P704">
        <v>0.24</v>
      </c>
      <c r="Q704">
        <v>0.28789999999999999</v>
      </c>
    </row>
    <row r="705" spans="1:17">
      <c r="A705">
        <v>704</v>
      </c>
      <c r="B705">
        <v>0.2424</v>
      </c>
      <c r="C705">
        <v>0.75</v>
      </c>
      <c r="D705">
        <v>0.1343</v>
      </c>
      <c r="E705">
        <v>3</v>
      </c>
      <c r="F705">
        <v>61</v>
      </c>
      <c r="G705">
        <v>64</v>
      </c>
      <c r="H705" s="22">
        <v>40575</v>
      </c>
      <c r="I705">
        <v>1</v>
      </c>
      <c r="J705">
        <v>0</v>
      </c>
      <c r="K705">
        <v>2</v>
      </c>
      <c r="L705">
        <v>16</v>
      </c>
      <c r="M705" t="b">
        <v>0</v>
      </c>
      <c r="N705">
        <v>2</v>
      </c>
      <c r="O705">
        <v>2</v>
      </c>
      <c r="P705">
        <v>0.24</v>
      </c>
      <c r="Q705">
        <v>0.2424</v>
      </c>
    </row>
    <row r="706" spans="1:17">
      <c r="A706">
        <v>705</v>
      </c>
      <c r="B706">
        <v>0.28789999999999999</v>
      </c>
      <c r="C706">
        <v>0.75</v>
      </c>
      <c r="D706">
        <v>0</v>
      </c>
      <c r="E706">
        <v>4</v>
      </c>
      <c r="F706">
        <v>172</v>
      </c>
      <c r="G706">
        <v>176</v>
      </c>
      <c r="H706" s="22">
        <v>40575</v>
      </c>
      <c r="I706">
        <v>1</v>
      </c>
      <c r="J706">
        <v>0</v>
      </c>
      <c r="K706">
        <v>2</v>
      </c>
      <c r="L706">
        <v>17</v>
      </c>
      <c r="M706" t="b">
        <v>0</v>
      </c>
      <c r="N706">
        <v>2</v>
      </c>
      <c r="O706">
        <v>2</v>
      </c>
      <c r="P706">
        <v>0.24</v>
      </c>
      <c r="Q706">
        <v>0.28789999999999999</v>
      </c>
    </row>
    <row r="707" spans="1:17">
      <c r="A707">
        <v>706</v>
      </c>
      <c r="B707">
        <v>0.2576</v>
      </c>
      <c r="C707">
        <v>0.81</v>
      </c>
      <c r="D707">
        <v>0.1045</v>
      </c>
      <c r="E707">
        <v>3</v>
      </c>
      <c r="F707">
        <v>165</v>
      </c>
      <c r="G707">
        <v>168</v>
      </c>
      <c r="H707" s="22">
        <v>40575</v>
      </c>
      <c r="I707">
        <v>1</v>
      </c>
      <c r="J707">
        <v>0</v>
      </c>
      <c r="K707">
        <v>2</v>
      </c>
      <c r="L707">
        <v>18</v>
      </c>
      <c r="M707" t="b">
        <v>0</v>
      </c>
      <c r="N707">
        <v>2</v>
      </c>
      <c r="O707">
        <v>2</v>
      </c>
      <c r="P707">
        <v>0.24</v>
      </c>
      <c r="Q707">
        <v>0.2576</v>
      </c>
    </row>
    <row r="708" spans="1:17">
      <c r="A708">
        <v>707</v>
      </c>
      <c r="B708">
        <v>0.2424</v>
      </c>
      <c r="C708">
        <v>0.81</v>
      </c>
      <c r="D708">
        <v>0.1343</v>
      </c>
      <c r="E708">
        <v>3</v>
      </c>
      <c r="F708">
        <v>105</v>
      </c>
      <c r="G708">
        <v>108</v>
      </c>
      <c r="H708" s="22">
        <v>40575</v>
      </c>
      <c r="I708">
        <v>1</v>
      </c>
      <c r="J708">
        <v>0</v>
      </c>
      <c r="K708">
        <v>2</v>
      </c>
      <c r="L708">
        <v>19</v>
      </c>
      <c r="M708" t="b">
        <v>0</v>
      </c>
      <c r="N708">
        <v>2</v>
      </c>
      <c r="O708">
        <v>2</v>
      </c>
      <c r="P708">
        <v>0.24</v>
      </c>
      <c r="Q708">
        <v>0.2424</v>
      </c>
    </row>
    <row r="709" spans="1:17">
      <c r="A709">
        <v>708</v>
      </c>
      <c r="B709">
        <v>0.2273</v>
      </c>
      <c r="C709">
        <v>0.87</v>
      </c>
      <c r="D709">
        <v>0.1343</v>
      </c>
      <c r="E709">
        <v>5</v>
      </c>
      <c r="F709">
        <v>69</v>
      </c>
      <c r="G709">
        <v>74</v>
      </c>
      <c r="H709" s="22">
        <v>40575</v>
      </c>
      <c r="I709">
        <v>1</v>
      </c>
      <c r="J709">
        <v>0</v>
      </c>
      <c r="K709">
        <v>2</v>
      </c>
      <c r="L709">
        <v>20</v>
      </c>
      <c r="M709" t="b">
        <v>0</v>
      </c>
      <c r="N709">
        <v>2</v>
      </c>
      <c r="O709">
        <v>2</v>
      </c>
      <c r="P709">
        <v>0.22</v>
      </c>
      <c r="Q709">
        <v>0.2273</v>
      </c>
    </row>
    <row r="710" spans="1:17">
      <c r="A710">
        <v>709</v>
      </c>
      <c r="B710">
        <v>0.2273</v>
      </c>
      <c r="C710">
        <v>0.87</v>
      </c>
      <c r="D710">
        <v>0.1343</v>
      </c>
      <c r="E710">
        <v>0</v>
      </c>
      <c r="F710">
        <v>64</v>
      </c>
      <c r="G710">
        <v>64</v>
      </c>
      <c r="H710" s="22">
        <v>40575</v>
      </c>
      <c r="I710">
        <v>1</v>
      </c>
      <c r="J710">
        <v>0</v>
      </c>
      <c r="K710">
        <v>2</v>
      </c>
      <c r="L710">
        <v>21</v>
      </c>
      <c r="M710" t="b">
        <v>0</v>
      </c>
      <c r="N710">
        <v>2</v>
      </c>
      <c r="O710">
        <v>2</v>
      </c>
      <c r="P710">
        <v>0.22</v>
      </c>
      <c r="Q710">
        <v>0.2273</v>
      </c>
    </row>
    <row r="711" spans="1:17">
      <c r="A711">
        <v>710</v>
      </c>
      <c r="B711">
        <v>0.2576</v>
      </c>
      <c r="C711">
        <v>0.87</v>
      </c>
      <c r="D711">
        <v>8.9599999999999999E-2</v>
      </c>
      <c r="E711">
        <v>2</v>
      </c>
      <c r="F711">
        <v>34</v>
      </c>
      <c r="G711">
        <v>36</v>
      </c>
      <c r="H711" s="22">
        <v>40575</v>
      </c>
      <c r="I711">
        <v>1</v>
      </c>
      <c r="J711">
        <v>0</v>
      </c>
      <c r="K711">
        <v>2</v>
      </c>
      <c r="L711">
        <v>22</v>
      </c>
      <c r="M711" t="b">
        <v>0</v>
      </c>
      <c r="N711">
        <v>2</v>
      </c>
      <c r="O711">
        <v>2</v>
      </c>
      <c r="P711">
        <v>0.22</v>
      </c>
      <c r="Q711">
        <v>0.2576</v>
      </c>
    </row>
    <row r="712" spans="1:17">
      <c r="A712">
        <v>711</v>
      </c>
      <c r="B712">
        <v>0.19700000000000001</v>
      </c>
      <c r="C712">
        <v>0.93</v>
      </c>
      <c r="D712">
        <v>0.19400000000000001</v>
      </c>
      <c r="E712">
        <v>1</v>
      </c>
      <c r="F712">
        <v>15</v>
      </c>
      <c r="G712">
        <v>16</v>
      </c>
      <c r="H712" s="22">
        <v>40575</v>
      </c>
      <c r="I712">
        <v>1</v>
      </c>
      <c r="J712">
        <v>0</v>
      </c>
      <c r="K712">
        <v>2</v>
      </c>
      <c r="L712">
        <v>23</v>
      </c>
      <c r="M712" t="b">
        <v>0</v>
      </c>
      <c r="N712">
        <v>2</v>
      </c>
      <c r="O712">
        <v>3</v>
      </c>
      <c r="P712">
        <v>0.2</v>
      </c>
      <c r="Q712">
        <v>0.19700000000000001</v>
      </c>
    </row>
    <row r="713" spans="1:17">
      <c r="A713">
        <v>712</v>
      </c>
      <c r="B713">
        <v>0.2424</v>
      </c>
      <c r="C713">
        <v>0.93</v>
      </c>
      <c r="D713">
        <v>0.1045</v>
      </c>
      <c r="E713">
        <v>0</v>
      </c>
      <c r="F713">
        <v>2</v>
      </c>
      <c r="G713">
        <v>2</v>
      </c>
      <c r="H713" s="22">
        <v>40576</v>
      </c>
      <c r="I713">
        <v>1</v>
      </c>
      <c r="J713">
        <v>0</v>
      </c>
      <c r="K713">
        <v>2</v>
      </c>
      <c r="L713">
        <v>0</v>
      </c>
      <c r="M713" t="b">
        <v>0</v>
      </c>
      <c r="N713">
        <v>3</v>
      </c>
      <c r="O713">
        <v>3</v>
      </c>
      <c r="P713">
        <v>0.22</v>
      </c>
      <c r="Q713">
        <v>0.2424</v>
      </c>
    </row>
    <row r="714" spans="1:17">
      <c r="A714">
        <v>713</v>
      </c>
      <c r="B714">
        <v>0.2273</v>
      </c>
      <c r="C714">
        <v>0.93</v>
      </c>
      <c r="D714">
        <v>0.19400000000000001</v>
      </c>
      <c r="E714">
        <v>0</v>
      </c>
      <c r="F714">
        <v>3</v>
      </c>
      <c r="G714">
        <v>3</v>
      </c>
      <c r="H714" s="22">
        <v>40576</v>
      </c>
      <c r="I714">
        <v>1</v>
      </c>
      <c r="J714">
        <v>0</v>
      </c>
      <c r="K714">
        <v>2</v>
      </c>
      <c r="L714">
        <v>1</v>
      </c>
      <c r="M714" t="b">
        <v>0</v>
      </c>
      <c r="N714">
        <v>3</v>
      </c>
      <c r="O714">
        <v>3</v>
      </c>
      <c r="P714">
        <v>0.22</v>
      </c>
      <c r="Q714">
        <v>0.2273</v>
      </c>
    </row>
    <row r="715" spans="1:17">
      <c r="A715">
        <v>714</v>
      </c>
      <c r="B715">
        <v>0.2273</v>
      </c>
      <c r="C715">
        <v>0.93</v>
      </c>
      <c r="D715">
        <v>0.1343</v>
      </c>
      <c r="E715">
        <v>4</v>
      </c>
      <c r="F715">
        <v>0</v>
      </c>
      <c r="G715">
        <v>4</v>
      </c>
      <c r="H715" s="22">
        <v>40576</v>
      </c>
      <c r="I715">
        <v>1</v>
      </c>
      <c r="J715">
        <v>0</v>
      </c>
      <c r="K715">
        <v>2</v>
      </c>
      <c r="L715">
        <v>2</v>
      </c>
      <c r="M715" t="b">
        <v>0</v>
      </c>
      <c r="N715">
        <v>3</v>
      </c>
      <c r="O715">
        <v>3</v>
      </c>
      <c r="P715">
        <v>0.22</v>
      </c>
      <c r="Q715">
        <v>0.2273</v>
      </c>
    </row>
    <row r="716" spans="1:17">
      <c r="A716">
        <v>715</v>
      </c>
      <c r="B716">
        <v>0.2273</v>
      </c>
      <c r="C716">
        <v>0.93</v>
      </c>
      <c r="D716">
        <v>0.1343</v>
      </c>
      <c r="E716">
        <v>0</v>
      </c>
      <c r="F716">
        <v>1</v>
      </c>
      <c r="G716">
        <v>1</v>
      </c>
      <c r="H716" s="22">
        <v>40576</v>
      </c>
      <c r="I716">
        <v>1</v>
      </c>
      <c r="J716">
        <v>0</v>
      </c>
      <c r="K716">
        <v>2</v>
      </c>
      <c r="L716">
        <v>3</v>
      </c>
      <c r="M716" t="b">
        <v>0</v>
      </c>
      <c r="N716">
        <v>3</v>
      </c>
      <c r="O716">
        <v>3</v>
      </c>
      <c r="P716">
        <v>0.22</v>
      </c>
      <c r="Q716">
        <v>0.2273</v>
      </c>
    </row>
    <row r="717" spans="1:17">
      <c r="A717">
        <v>716</v>
      </c>
      <c r="B717">
        <v>0.21210000000000001</v>
      </c>
      <c r="C717">
        <v>0.93</v>
      </c>
      <c r="D717">
        <v>0.28360000000000002</v>
      </c>
      <c r="E717">
        <v>0</v>
      </c>
      <c r="F717">
        <v>1</v>
      </c>
      <c r="G717">
        <v>1</v>
      </c>
      <c r="H717" s="22">
        <v>40576</v>
      </c>
      <c r="I717">
        <v>1</v>
      </c>
      <c r="J717">
        <v>0</v>
      </c>
      <c r="K717">
        <v>2</v>
      </c>
      <c r="L717">
        <v>4</v>
      </c>
      <c r="M717" t="b">
        <v>0</v>
      </c>
      <c r="N717">
        <v>3</v>
      </c>
      <c r="O717">
        <v>3</v>
      </c>
      <c r="P717">
        <v>0.22</v>
      </c>
      <c r="Q717">
        <v>0.21210000000000001</v>
      </c>
    </row>
    <row r="718" spans="1:17">
      <c r="A718">
        <v>717</v>
      </c>
      <c r="B718">
        <v>0.2424</v>
      </c>
      <c r="C718">
        <v>0.93</v>
      </c>
      <c r="D718">
        <v>0.1045</v>
      </c>
      <c r="E718">
        <v>0</v>
      </c>
      <c r="F718">
        <v>3</v>
      </c>
      <c r="G718">
        <v>3</v>
      </c>
      <c r="H718" s="22">
        <v>40576</v>
      </c>
      <c r="I718">
        <v>1</v>
      </c>
      <c r="J718">
        <v>0</v>
      </c>
      <c r="K718">
        <v>2</v>
      </c>
      <c r="L718">
        <v>5</v>
      </c>
      <c r="M718" t="b">
        <v>0</v>
      </c>
      <c r="N718">
        <v>3</v>
      </c>
      <c r="O718">
        <v>3</v>
      </c>
      <c r="P718">
        <v>0.22</v>
      </c>
      <c r="Q718">
        <v>0.2424</v>
      </c>
    </row>
    <row r="719" spans="1:17">
      <c r="A719">
        <v>718</v>
      </c>
      <c r="B719">
        <v>0.2424</v>
      </c>
      <c r="C719">
        <v>0.93</v>
      </c>
      <c r="D719">
        <v>0.1045</v>
      </c>
      <c r="E719">
        <v>1</v>
      </c>
      <c r="F719">
        <v>17</v>
      </c>
      <c r="G719">
        <v>18</v>
      </c>
      <c r="H719" s="22">
        <v>40576</v>
      </c>
      <c r="I719">
        <v>1</v>
      </c>
      <c r="J719">
        <v>0</v>
      </c>
      <c r="K719">
        <v>2</v>
      </c>
      <c r="L719">
        <v>6</v>
      </c>
      <c r="M719" t="b">
        <v>0</v>
      </c>
      <c r="N719">
        <v>3</v>
      </c>
      <c r="O719">
        <v>3</v>
      </c>
      <c r="P719">
        <v>0.22</v>
      </c>
      <c r="Q719">
        <v>0.2424</v>
      </c>
    </row>
    <row r="720" spans="1:17">
      <c r="A720">
        <v>719</v>
      </c>
      <c r="B720">
        <v>0.21210000000000001</v>
      </c>
      <c r="C720">
        <v>0.93</v>
      </c>
      <c r="D720">
        <v>0.22389999999999999</v>
      </c>
      <c r="E720">
        <v>1</v>
      </c>
      <c r="F720">
        <v>48</v>
      </c>
      <c r="G720">
        <v>49</v>
      </c>
      <c r="H720" s="22">
        <v>40576</v>
      </c>
      <c r="I720">
        <v>1</v>
      </c>
      <c r="J720">
        <v>0</v>
      </c>
      <c r="K720">
        <v>2</v>
      </c>
      <c r="L720">
        <v>7</v>
      </c>
      <c r="M720" t="b">
        <v>0</v>
      </c>
      <c r="N720">
        <v>3</v>
      </c>
      <c r="O720">
        <v>3</v>
      </c>
      <c r="P720">
        <v>0.22</v>
      </c>
      <c r="Q720">
        <v>0.21210000000000001</v>
      </c>
    </row>
    <row r="721" spans="1:17">
      <c r="A721">
        <v>720</v>
      </c>
      <c r="B721">
        <v>0.21210000000000001</v>
      </c>
      <c r="C721">
        <v>0.93</v>
      </c>
      <c r="D721">
        <v>0.22389999999999999</v>
      </c>
      <c r="E721">
        <v>1</v>
      </c>
      <c r="F721">
        <v>154</v>
      </c>
      <c r="G721">
        <v>155</v>
      </c>
      <c r="H721" s="22">
        <v>40576</v>
      </c>
      <c r="I721">
        <v>1</v>
      </c>
      <c r="J721">
        <v>0</v>
      </c>
      <c r="K721">
        <v>2</v>
      </c>
      <c r="L721">
        <v>8</v>
      </c>
      <c r="M721" t="b">
        <v>0</v>
      </c>
      <c r="N721">
        <v>3</v>
      </c>
      <c r="O721">
        <v>3</v>
      </c>
      <c r="P721">
        <v>0.22</v>
      </c>
      <c r="Q721">
        <v>0.21210000000000001</v>
      </c>
    </row>
    <row r="722" spans="1:17">
      <c r="A722">
        <v>721</v>
      </c>
      <c r="B722">
        <v>0.2576</v>
      </c>
      <c r="C722">
        <v>0.93</v>
      </c>
      <c r="D722">
        <v>8.9599999999999999E-2</v>
      </c>
      <c r="E722">
        <v>4</v>
      </c>
      <c r="F722">
        <v>119</v>
      </c>
      <c r="G722">
        <v>123</v>
      </c>
      <c r="H722" s="22">
        <v>40576</v>
      </c>
      <c r="I722">
        <v>1</v>
      </c>
      <c r="J722">
        <v>0</v>
      </c>
      <c r="K722">
        <v>2</v>
      </c>
      <c r="L722">
        <v>9</v>
      </c>
      <c r="M722" t="b">
        <v>0</v>
      </c>
      <c r="N722">
        <v>3</v>
      </c>
      <c r="O722">
        <v>2</v>
      </c>
      <c r="P722">
        <v>0.24</v>
      </c>
      <c r="Q722">
        <v>0.2576</v>
      </c>
    </row>
    <row r="723" spans="1:17">
      <c r="A723">
        <v>722</v>
      </c>
      <c r="B723">
        <v>0.2727</v>
      </c>
      <c r="C723">
        <v>1</v>
      </c>
      <c r="D723">
        <v>0</v>
      </c>
      <c r="E723">
        <v>2</v>
      </c>
      <c r="F723">
        <v>59</v>
      </c>
      <c r="G723">
        <v>61</v>
      </c>
      <c r="H723" s="22">
        <v>40576</v>
      </c>
      <c r="I723">
        <v>1</v>
      </c>
      <c r="J723">
        <v>0</v>
      </c>
      <c r="K723">
        <v>2</v>
      </c>
      <c r="L723">
        <v>10</v>
      </c>
      <c r="M723" t="b">
        <v>0</v>
      </c>
      <c r="N723">
        <v>3</v>
      </c>
      <c r="O723">
        <v>2</v>
      </c>
      <c r="P723">
        <v>0.22</v>
      </c>
      <c r="Q723">
        <v>0.2727</v>
      </c>
    </row>
    <row r="724" spans="1:17">
      <c r="A724">
        <v>723</v>
      </c>
      <c r="B724">
        <v>0.2273</v>
      </c>
      <c r="C724">
        <v>0.93</v>
      </c>
      <c r="D724">
        <v>0.19400000000000001</v>
      </c>
      <c r="E724">
        <v>5</v>
      </c>
      <c r="F724">
        <v>47</v>
      </c>
      <c r="G724">
        <v>52</v>
      </c>
      <c r="H724" s="22">
        <v>40576</v>
      </c>
      <c r="I724">
        <v>1</v>
      </c>
      <c r="J724">
        <v>0</v>
      </c>
      <c r="K724">
        <v>2</v>
      </c>
      <c r="L724">
        <v>11</v>
      </c>
      <c r="M724" t="b">
        <v>0</v>
      </c>
      <c r="N724">
        <v>3</v>
      </c>
      <c r="O724">
        <v>2</v>
      </c>
      <c r="P724">
        <v>0.24</v>
      </c>
      <c r="Q724">
        <v>0.2273</v>
      </c>
    </row>
    <row r="725" spans="1:17">
      <c r="A725">
        <v>724</v>
      </c>
      <c r="B725">
        <v>0.2273</v>
      </c>
      <c r="C725">
        <v>0.93</v>
      </c>
      <c r="D725">
        <v>0.22389999999999999</v>
      </c>
      <c r="E725">
        <v>3</v>
      </c>
      <c r="F725">
        <v>61</v>
      </c>
      <c r="G725">
        <v>64</v>
      </c>
      <c r="H725" s="22">
        <v>40576</v>
      </c>
      <c r="I725">
        <v>1</v>
      </c>
      <c r="J725">
        <v>0</v>
      </c>
      <c r="K725">
        <v>2</v>
      </c>
      <c r="L725">
        <v>12</v>
      </c>
      <c r="M725" t="b">
        <v>0</v>
      </c>
      <c r="N725">
        <v>3</v>
      </c>
      <c r="O725">
        <v>2</v>
      </c>
      <c r="P725">
        <v>0.24</v>
      </c>
      <c r="Q725">
        <v>0.2273</v>
      </c>
    </row>
    <row r="726" spans="1:17">
      <c r="A726">
        <v>725</v>
      </c>
      <c r="B726">
        <v>0.33329999999999999</v>
      </c>
      <c r="C726">
        <v>0.93</v>
      </c>
      <c r="D726">
        <v>0.16420000000000001</v>
      </c>
      <c r="E726">
        <v>1</v>
      </c>
      <c r="F726">
        <v>74</v>
      </c>
      <c r="G726">
        <v>75</v>
      </c>
      <c r="H726" s="22">
        <v>40576</v>
      </c>
      <c r="I726">
        <v>1</v>
      </c>
      <c r="J726">
        <v>0</v>
      </c>
      <c r="K726">
        <v>2</v>
      </c>
      <c r="L726">
        <v>13</v>
      </c>
      <c r="M726" t="b">
        <v>0</v>
      </c>
      <c r="N726">
        <v>3</v>
      </c>
      <c r="O726">
        <v>1</v>
      </c>
      <c r="P726">
        <v>0.34</v>
      </c>
      <c r="Q726">
        <v>0.33329999999999999</v>
      </c>
    </row>
    <row r="727" spans="1:17">
      <c r="A727">
        <v>726</v>
      </c>
      <c r="B727">
        <v>0.39389999999999997</v>
      </c>
      <c r="C727">
        <v>0.82</v>
      </c>
      <c r="D727">
        <v>0.3881</v>
      </c>
      <c r="E727">
        <v>2</v>
      </c>
      <c r="F727">
        <v>61</v>
      </c>
      <c r="G727">
        <v>63</v>
      </c>
      <c r="H727" s="22">
        <v>40576</v>
      </c>
      <c r="I727">
        <v>1</v>
      </c>
      <c r="J727">
        <v>0</v>
      </c>
      <c r="K727">
        <v>2</v>
      </c>
      <c r="L727">
        <v>14</v>
      </c>
      <c r="M727" t="b">
        <v>0</v>
      </c>
      <c r="N727">
        <v>3</v>
      </c>
      <c r="O727">
        <v>1</v>
      </c>
      <c r="P727">
        <v>0.38</v>
      </c>
      <c r="Q727">
        <v>0.39389999999999997</v>
      </c>
    </row>
    <row r="728" spans="1:17">
      <c r="A728">
        <v>727</v>
      </c>
      <c r="B728">
        <v>0.39389999999999997</v>
      </c>
      <c r="C728">
        <v>0.76</v>
      </c>
      <c r="D728">
        <v>0.32840000000000003</v>
      </c>
      <c r="E728">
        <v>10</v>
      </c>
      <c r="F728">
        <v>66</v>
      </c>
      <c r="G728">
        <v>76</v>
      </c>
      <c r="H728" s="22">
        <v>40576</v>
      </c>
      <c r="I728">
        <v>1</v>
      </c>
      <c r="J728">
        <v>0</v>
      </c>
      <c r="K728">
        <v>2</v>
      </c>
      <c r="L728">
        <v>15</v>
      </c>
      <c r="M728" t="b">
        <v>0</v>
      </c>
      <c r="N728">
        <v>3</v>
      </c>
      <c r="O728">
        <v>1</v>
      </c>
      <c r="P728">
        <v>0.38</v>
      </c>
      <c r="Q728">
        <v>0.39389999999999997</v>
      </c>
    </row>
    <row r="729" spans="1:17">
      <c r="A729">
        <v>728</v>
      </c>
      <c r="B729">
        <v>0.33329999999999999</v>
      </c>
      <c r="C729">
        <v>0.71</v>
      </c>
      <c r="D729">
        <v>0.29849999999999999</v>
      </c>
      <c r="E729">
        <v>8</v>
      </c>
      <c r="F729">
        <v>95</v>
      </c>
      <c r="G729">
        <v>103</v>
      </c>
      <c r="H729" s="22">
        <v>40576</v>
      </c>
      <c r="I729">
        <v>1</v>
      </c>
      <c r="J729">
        <v>0</v>
      </c>
      <c r="K729">
        <v>2</v>
      </c>
      <c r="L729">
        <v>16</v>
      </c>
      <c r="M729" t="b">
        <v>0</v>
      </c>
      <c r="N729">
        <v>3</v>
      </c>
      <c r="O729">
        <v>1</v>
      </c>
      <c r="P729">
        <v>0.36</v>
      </c>
      <c r="Q729">
        <v>0.33329999999999999</v>
      </c>
    </row>
    <row r="730" spans="1:17">
      <c r="A730">
        <v>729</v>
      </c>
      <c r="B730">
        <v>0.31819999999999998</v>
      </c>
      <c r="C730">
        <v>0.53</v>
      </c>
      <c r="D730">
        <v>0.52239999999999998</v>
      </c>
      <c r="E730">
        <v>7</v>
      </c>
      <c r="F730">
        <v>183</v>
      </c>
      <c r="G730">
        <v>190</v>
      </c>
      <c r="H730" s="22">
        <v>40576</v>
      </c>
      <c r="I730">
        <v>1</v>
      </c>
      <c r="J730">
        <v>0</v>
      </c>
      <c r="K730">
        <v>2</v>
      </c>
      <c r="L730">
        <v>17</v>
      </c>
      <c r="M730" t="b">
        <v>0</v>
      </c>
      <c r="N730">
        <v>3</v>
      </c>
      <c r="O730">
        <v>1</v>
      </c>
      <c r="P730">
        <v>0.36</v>
      </c>
      <c r="Q730">
        <v>0.31819999999999998</v>
      </c>
    </row>
    <row r="731" spans="1:17">
      <c r="A731">
        <v>730</v>
      </c>
      <c r="B731">
        <v>0.28789999999999999</v>
      </c>
      <c r="C731">
        <v>0.42</v>
      </c>
      <c r="D731">
        <v>0.55220000000000002</v>
      </c>
      <c r="E731">
        <v>7</v>
      </c>
      <c r="F731">
        <v>175</v>
      </c>
      <c r="G731">
        <v>182</v>
      </c>
      <c r="H731" s="22">
        <v>40576</v>
      </c>
      <c r="I731">
        <v>1</v>
      </c>
      <c r="J731">
        <v>0</v>
      </c>
      <c r="K731">
        <v>2</v>
      </c>
      <c r="L731">
        <v>18</v>
      </c>
      <c r="M731" t="b">
        <v>0</v>
      </c>
      <c r="N731">
        <v>3</v>
      </c>
      <c r="O731">
        <v>1</v>
      </c>
      <c r="P731">
        <v>0.34</v>
      </c>
      <c r="Q731">
        <v>0.28789999999999999</v>
      </c>
    </row>
    <row r="732" spans="1:17">
      <c r="A732">
        <v>731</v>
      </c>
      <c r="B732">
        <v>0.2424</v>
      </c>
      <c r="C732">
        <v>0.45</v>
      </c>
      <c r="D732">
        <v>0.49249999999999999</v>
      </c>
      <c r="E732">
        <v>3</v>
      </c>
      <c r="F732">
        <v>88</v>
      </c>
      <c r="G732">
        <v>91</v>
      </c>
      <c r="H732" s="22">
        <v>40576</v>
      </c>
      <c r="I732">
        <v>1</v>
      </c>
      <c r="J732">
        <v>0</v>
      </c>
      <c r="K732">
        <v>2</v>
      </c>
      <c r="L732">
        <v>19</v>
      </c>
      <c r="M732" t="b">
        <v>0</v>
      </c>
      <c r="N732">
        <v>3</v>
      </c>
      <c r="O732">
        <v>1</v>
      </c>
      <c r="P732">
        <v>0.28000000000000003</v>
      </c>
      <c r="Q732">
        <v>0.2424</v>
      </c>
    </row>
    <row r="733" spans="1:17">
      <c r="A733">
        <v>732</v>
      </c>
      <c r="B733">
        <v>0.19700000000000001</v>
      </c>
      <c r="C733">
        <v>0.48</v>
      </c>
      <c r="D733">
        <v>0.55220000000000002</v>
      </c>
      <c r="E733">
        <v>4</v>
      </c>
      <c r="F733">
        <v>71</v>
      </c>
      <c r="G733">
        <v>75</v>
      </c>
      <c r="H733" s="22">
        <v>40576</v>
      </c>
      <c r="I733">
        <v>1</v>
      </c>
      <c r="J733">
        <v>0</v>
      </c>
      <c r="K733">
        <v>2</v>
      </c>
      <c r="L733">
        <v>20</v>
      </c>
      <c r="M733" t="b">
        <v>0</v>
      </c>
      <c r="N733">
        <v>3</v>
      </c>
      <c r="O733">
        <v>1</v>
      </c>
      <c r="P733">
        <v>0.24</v>
      </c>
      <c r="Q733">
        <v>0.19700000000000001</v>
      </c>
    </row>
    <row r="734" spans="1:17">
      <c r="A734">
        <v>733</v>
      </c>
      <c r="B734">
        <v>0.19700000000000001</v>
      </c>
      <c r="C734">
        <v>0.47</v>
      </c>
      <c r="D734">
        <v>0.32840000000000003</v>
      </c>
      <c r="E734">
        <v>1</v>
      </c>
      <c r="F734">
        <v>62</v>
      </c>
      <c r="G734">
        <v>63</v>
      </c>
      <c r="H734" s="22">
        <v>40576</v>
      </c>
      <c r="I734">
        <v>1</v>
      </c>
      <c r="J734">
        <v>0</v>
      </c>
      <c r="K734">
        <v>2</v>
      </c>
      <c r="L734">
        <v>21</v>
      </c>
      <c r="M734" t="b">
        <v>0</v>
      </c>
      <c r="N734">
        <v>3</v>
      </c>
      <c r="O734">
        <v>1</v>
      </c>
      <c r="P734">
        <v>0.22</v>
      </c>
      <c r="Q734">
        <v>0.19700000000000001</v>
      </c>
    </row>
    <row r="735" spans="1:17">
      <c r="A735">
        <v>734</v>
      </c>
      <c r="B735">
        <v>0.21210000000000001</v>
      </c>
      <c r="C735">
        <v>0.44</v>
      </c>
      <c r="D735">
        <v>0.25369999999999998</v>
      </c>
      <c r="E735">
        <v>5</v>
      </c>
      <c r="F735">
        <v>35</v>
      </c>
      <c r="G735">
        <v>40</v>
      </c>
      <c r="H735" s="22">
        <v>40576</v>
      </c>
      <c r="I735">
        <v>1</v>
      </c>
      <c r="J735">
        <v>0</v>
      </c>
      <c r="K735">
        <v>2</v>
      </c>
      <c r="L735">
        <v>22</v>
      </c>
      <c r="M735" t="b">
        <v>0</v>
      </c>
      <c r="N735">
        <v>3</v>
      </c>
      <c r="O735">
        <v>1</v>
      </c>
      <c r="P735">
        <v>0.22</v>
      </c>
      <c r="Q735">
        <v>0.21210000000000001</v>
      </c>
    </row>
    <row r="736" spans="1:17">
      <c r="A736">
        <v>735</v>
      </c>
      <c r="B736">
        <v>0.16669999999999999</v>
      </c>
      <c r="C736">
        <v>0.44</v>
      </c>
      <c r="D736">
        <v>0.44779999999999998</v>
      </c>
      <c r="E736">
        <v>3</v>
      </c>
      <c r="F736">
        <v>29</v>
      </c>
      <c r="G736">
        <v>32</v>
      </c>
      <c r="H736" s="22">
        <v>40576</v>
      </c>
      <c r="I736">
        <v>1</v>
      </c>
      <c r="J736">
        <v>0</v>
      </c>
      <c r="K736">
        <v>2</v>
      </c>
      <c r="L736">
        <v>23</v>
      </c>
      <c r="M736" t="b">
        <v>0</v>
      </c>
      <c r="N736">
        <v>3</v>
      </c>
      <c r="O736">
        <v>1</v>
      </c>
      <c r="P736">
        <v>0.2</v>
      </c>
      <c r="Q736">
        <v>0.16669999999999999</v>
      </c>
    </row>
    <row r="737" spans="1:17">
      <c r="A737">
        <v>736</v>
      </c>
      <c r="B737">
        <v>0.16669999999999999</v>
      </c>
      <c r="C737">
        <v>0.4</v>
      </c>
      <c r="D737">
        <v>0.44779999999999998</v>
      </c>
      <c r="E737">
        <v>1</v>
      </c>
      <c r="F737">
        <v>11</v>
      </c>
      <c r="G737">
        <v>12</v>
      </c>
      <c r="H737" s="22">
        <v>40577</v>
      </c>
      <c r="I737">
        <v>1</v>
      </c>
      <c r="J737">
        <v>0</v>
      </c>
      <c r="K737">
        <v>2</v>
      </c>
      <c r="L737">
        <v>0</v>
      </c>
      <c r="M737" t="b">
        <v>0</v>
      </c>
      <c r="N737">
        <v>4</v>
      </c>
      <c r="O737">
        <v>1</v>
      </c>
      <c r="P737">
        <v>0.2</v>
      </c>
      <c r="Q737">
        <v>0.16669999999999999</v>
      </c>
    </row>
    <row r="738" spans="1:17">
      <c r="A738">
        <v>737</v>
      </c>
      <c r="B738">
        <v>0.1515</v>
      </c>
      <c r="C738">
        <v>0.44</v>
      </c>
      <c r="D738">
        <v>0.52239999999999998</v>
      </c>
      <c r="E738">
        <v>0</v>
      </c>
      <c r="F738">
        <v>5</v>
      </c>
      <c r="G738">
        <v>5</v>
      </c>
      <c r="H738" s="22">
        <v>40577</v>
      </c>
      <c r="I738">
        <v>1</v>
      </c>
      <c r="J738">
        <v>0</v>
      </c>
      <c r="K738">
        <v>2</v>
      </c>
      <c r="L738">
        <v>1</v>
      </c>
      <c r="M738" t="b">
        <v>0</v>
      </c>
      <c r="N738">
        <v>4</v>
      </c>
      <c r="O738">
        <v>1</v>
      </c>
      <c r="P738">
        <v>0.2</v>
      </c>
      <c r="Q738">
        <v>0.1515</v>
      </c>
    </row>
    <row r="739" spans="1:17">
      <c r="A739">
        <v>738</v>
      </c>
      <c r="B739">
        <v>0.16669999999999999</v>
      </c>
      <c r="C739">
        <v>0.43</v>
      </c>
      <c r="D739">
        <v>0.25369999999999998</v>
      </c>
      <c r="E739">
        <v>0</v>
      </c>
      <c r="F739">
        <v>2</v>
      </c>
      <c r="G739">
        <v>2</v>
      </c>
      <c r="H739" s="22">
        <v>40577</v>
      </c>
      <c r="I739">
        <v>1</v>
      </c>
      <c r="J739">
        <v>0</v>
      </c>
      <c r="K739">
        <v>2</v>
      </c>
      <c r="L739">
        <v>2</v>
      </c>
      <c r="M739" t="b">
        <v>0</v>
      </c>
      <c r="N739">
        <v>4</v>
      </c>
      <c r="O739">
        <v>1</v>
      </c>
      <c r="P739">
        <v>0.18</v>
      </c>
      <c r="Q739">
        <v>0.16669999999999999</v>
      </c>
    </row>
    <row r="740" spans="1:17">
      <c r="A740">
        <v>739</v>
      </c>
      <c r="B740">
        <v>0.16669999999999999</v>
      </c>
      <c r="C740">
        <v>0.43</v>
      </c>
      <c r="D740">
        <v>0.25369999999999998</v>
      </c>
      <c r="E740">
        <v>0</v>
      </c>
      <c r="F740">
        <v>1</v>
      </c>
      <c r="G740">
        <v>1</v>
      </c>
      <c r="H740" s="22">
        <v>40577</v>
      </c>
      <c r="I740">
        <v>1</v>
      </c>
      <c r="J740">
        <v>0</v>
      </c>
      <c r="K740">
        <v>2</v>
      </c>
      <c r="L740">
        <v>3</v>
      </c>
      <c r="M740" t="b">
        <v>0</v>
      </c>
      <c r="N740">
        <v>4</v>
      </c>
      <c r="O740">
        <v>1</v>
      </c>
      <c r="P740">
        <v>0.18</v>
      </c>
      <c r="Q740">
        <v>0.16669999999999999</v>
      </c>
    </row>
    <row r="741" spans="1:17">
      <c r="A741">
        <v>740</v>
      </c>
      <c r="B741">
        <v>0.13639999999999999</v>
      </c>
      <c r="C741">
        <v>0.5</v>
      </c>
      <c r="D741">
        <v>0.29849999999999999</v>
      </c>
      <c r="E741">
        <v>0</v>
      </c>
      <c r="F741">
        <v>2</v>
      </c>
      <c r="G741">
        <v>2</v>
      </c>
      <c r="H741" s="22">
        <v>40577</v>
      </c>
      <c r="I741">
        <v>1</v>
      </c>
      <c r="J741">
        <v>0</v>
      </c>
      <c r="K741">
        <v>2</v>
      </c>
      <c r="L741">
        <v>5</v>
      </c>
      <c r="M741" t="b">
        <v>0</v>
      </c>
      <c r="N741">
        <v>4</v>
      </c>
      <c r="O741">
        <v>1</v>
      </c>
      <c r="P741">
        <v>0.16</v>
      </c>
      <c r="Q741">
        <v>0.13639999999999999</v>
      </c>
    </row>
    <row r="742" spans="1:17">
      <c r="A742">
        <v>741</v>
      </c>
      <c r="B742">
        <v>0.13639999999999999</v>
      </c>
      <c r="C742">
        <v>0.43</v>
      </c>
      <c r="D742">
        <v>0.35820000000000002</v>
      </c>
      <c r="E742">
        <v>0</v>
      </c>
      <c r="F742">
        <v>39</v>
      </c>
      <c r="G742">
        <v>39</v>
      </c>
      <c r="H742" s="22">
        <v>40577</v>
      </c>
      <c r="I742">
        <v>1</v>
      </c>
      <c r="J742">
        <v>0</v>
      </c>
      <c r="K742">
        <v>2</v>
      </c>
      <c r="L742">
        <v>6</v>
      </c>
      <c r="M742" t="b">
        <v>0</v>
      </c>
      <c r="N742">
        <v>4</v>
      </c>
      <c r="O742">
        <v>1</v>
      </c>
      <c r="P742">
        <v>0.16</v>
      </c>
      <c r="Q742">
        <v>0.13639999999999999</v>
      </c>
    </row>
    <row r="743" spans="1:17">
      <c r="A743">
        <v>742</v>
      </c>
      <c r="B743">
        <v>0.1212</v>
      </c>
      <c r="C743">
        <v>0.5</v>
      </c>
      <c r="D743">
        <v>0.32840000000000003</v>
      </c>
      <c r="E743">
        <v>1</v>
      </c>
      <c r="F743">
        <v>86</v>
      </c>
      <c r="G743">
        <v>87</v>
      </c>
      <c r="H743" s="22">
        <v>40577</v>
      </c>
      <c r="I743">
        <v>1</v>
      </c>
      <c r="J743">
        <v>0</v>
      </c>
      <c r="K743">
        <v>2</v>
      </c>
      <c r="L743">
        <v>7</v>
      </c>
      <c r="M743" t="b">
        <v>0</v>
      </c>
      <c r="N743">
        <v>4</v>
      </c>
      <c r="O743">
        <v>1</v>
      </c>
      <c r="P743">
        <v>0.14000000000000001</v>
      </c>
      <c r="Q743">
        <v>0.1212</v>
      </c>
    </row>
    <row r="744" spans="1:17">
      <c r="A744">
        <v>743</v>
      </c>
      <c r="B744">
        <v>0.1212</v>
      </c>
      <c r="C744">
        <v>0.5</v>
      </c>
      <c r="D744">
        <v>0.35820000000000002</v>
      </c>
      <c r="E744">
        <v>4</v>
      </c>
      <c r="F744">
        <v>184</v>
      </c>
      <c r="G744">
        <v>188</v>
      </c>
      <c r="H744" s="22">
        <v>40577</v>
      </c>
      <c r="I744">
        <v>1</v>
      </c>
      <c r="J744">
        <v>0</v>
      </c>
      <c r="K744">
        <v>2</v>
      </c>
      <c r="L744">
        <v>8</v>
      </c>
      <c r="M744" t="b">
        <v>0</v>
      </c>
      <c r="N744">
        <v>4</v>
      </c>
      <c r="O744">
        <v>1</v>
      </c>
      <c r="P744">
        <v>0.14000000000000001</v>
      </c>
      <c r="Q744">
        <v>0.1212</v>
      </c>
    </row>
    <row r="745" spans="1:17">
      <c r="A745">
        <v>744</v>
      </c>
      <c r="B745">
        <v>0.13639999999999999</v>
      </c>
      <c r="C745">
        <v>0.47</v>
      </c>
      <c r="D745">
        <v>0.29849999999999999</v>
      </c>
      <c r="E745">
        <v>6</v>
      </c>
      <c r="F745">
        <v>127</v>
      </c>
      <c r="G745">
        <v>133</v>
      </c>
      <c r="H745" s="22">
        <v>40577</v>
      </c>
      <c r="I745">
        <v>1</v>
      </c>
      <c r="J745">
        <v>0</v>
      </c>
      <c r="K745">
        <v>2</v>
      </c>
      <c r="L745">
        <v>9</v>
      </c>
      <c r="M745" t="b">
        <v>0</v>
      </c>
      <c r="N745">
        <v>4</v>
      </c>
      <c r="O745">
        <v>1</v>
      </c>
      <c r="P745">
        <v>0.16</v>
      </c>
      <c r="Q745">
        <v>0.13639999999999999</v>
      </c>
    </row>
    <row r="746" spans="1:17">
      <c r="A746">
        <v>745</v>
      </c>
      <c r="B746">
        <v>0.1515</v>
      </c>
      <c r="C746">
        <v>0.43</v>
      </c>
      <c r="D746">
        <v>0.32840000000000003</v>
      </c>
      <c r="E746">
        <v>2</v>
      </c>
      <c r="F746">
        <v>50</v>
      </c>
      <c r="G746">
        <v>52</v>
      </c>
      <c r="H746" s="22">
        <v>40577</v>
      </c>
      <c r="I746">
        <v>1</v>
      </c>
      <c r="J746">
        <v>0</v>
      </c>
      <c r="K746">
        <v>2</v>
      </c>
      <c r="L746">
        <v>10</v>
      </c>
      <c r="M746" t="b">
        <v>0</v>
      </c>
      <c r="N746">
        <v>4</v>
      </c>
      <c r="O746">
        <v>1</v>
      </c>
      <c r="P746">
        <v>0.18</v>
      </c>
      <c r="Q746">
        <v>0.1515</v>
      </c>
    </row>
    <row r="747" spans="1:17">
      <c r="A747">
        <v>746</v>
      </c>
      <c r="B747">
        <v>0.13639999999999999</v>
      </c>
      <c r="C747">
        <v>0.43</v>
      </c>
      <c r="D747">
        <v>0.44779999999999998</v>
      </c>
      <c r="E747">
        <v>9</v>
      </c>
      <c r="F747">
        <v>55</v>
      </c>
      <c r="G747">
        <v>64</v>
      </c>
      <c r="H747" s="22">
        <v>40577</v>
      </c>
      <c r="I747">
        <v>1</v>
      </c>
      <c r="J747">
        <v>0</v>
      </c>
      <c r="K747">
        <v>2</v>
      </c>
      <c r="L747">
        <v>11</v>
      </c>
      <c r="M747" t="b">
        <v>0</v>
      </c>
      <c r="N747">
        <v>4</v>
      </c>
      <c r="O747">
        <v>1</v>
      </c>
      <c r="P747">
        <v>0.18</v>
      </c>
      <c r="Q747">
        <v>0.13639999999999999</v>
      </c>
    </row>
    <row r="748" spans="1:17">
      <c r="A748">
        <v>747</v>
      </c>
      <c r="B748">
        <v>0.18179999999999999</v>
      </c>
      <c r="C748">
        <v>0.4</v>
      </c>
      <c r="D748">
        <v>0.35820000000000002</v>
      </c>
      <c r="E748">
        <v>2</v>
      </c>
      <c r="F748">
        <v>67</v>
      </c>
      <c r="G748">
        <v>69</v>
      </c>
      <c r="H748" s="22">
        <v>40577</v>
      </c>
      <c r="I748">
        <v>1</v>
      </c>
      <c r="J748">
        <v>0</v>
      </c>
      <c r="K748">
        <v>2</v>
      </c>
      <c r="L748">
        <v>12</v>
      </c>
      <c r="M748" t="b">
        <v>0</v>
      </c>
      <c r="N748">
        <v>4</v>
      </c>
      <c r="O748">
        <v>1</v>
      </c>
      <c r="P748">
        <v>0.2</v>
      </c>
      <c r="Q748">
        <v>0.18179999999999999</v>
      </c>
    </row>
    <row r="749" spans="1:17">
      <c r="A749">
        <v>748</v>
      </c>
      <c r="B749">
        <v>0.16669999999999999</v>
      </c>
      <c r="C749">
        <v>0.4</v>
      </c>
      <c r="D749">
        <v>0.41789999999999999</v>
      </c>
      <c r="E749">
        <v>4</v>
      </c>
      <c r="F749">
        <v>47</v>
      </c>
      <c r="G749">
        <v>51</v>
      </c>
      <c r="H749" s="22">
        <v>40577</v>
      </c>
      <c r="I749">
        <v>1</v>
      </c>
      <c r="J749">
        <v>0</v>
      </c>
      <c r="K749">
        <v>2</v>
      </c>
      <c r="L749">
        <v>13</v>
      </c>
      <c r="M749" t="b">
        <v>0</v>
      </c>
      <c r="N749">
        <v>4</v>
      </c>
      <c r="O749">
        <v>1</v>
      </c>
      <c r="P749">
        <v>0.2</v>
      </c>
      <c r="Q749">
        <v>0.16669999999999999</v>
      </c>
    </row>
    <row r="750" spans="1:17">
      <c r="A750">
        <v>749</v>
      </c>
      <c r="B750">
        <v>0.19700000000000001</v>
      </c>
      <c r="C750">
        <v>0.37</v>
      </c>
      <c r="D750">
        <v>0.3881</v>
      </c>
      <c r="E750">
        <v>4</v>
      </c>
      <c r="F750">
        <v>43</v>
      </c>
      <c r="G750">
        <v>47</v>
      </c>
      <c r="H750" s="22">
        <v>40577</v>
      </c>
      <c r="I750">
        <v>1</v>
      </c>
      <c r="J750">
        <v>0</v>
      </c>
      <c r="K750">
        <v>2</v>
      </c>
      <c r="L750">
        <v>14</v>
      </c>
      <c r="M750" t="b">
        <v>0</v>
      </c>
      <c r="N750">
        <v>4</v>
      </c>
      <c r="O750">
        <v>1</v>
      </c>
      <c r="P750">
        <v>0.22</v>
      </c>
      <c r="Q750">
        <v>0.19700000000000001</v>
      </c>
    </row>
    <row r="751" spans="1:17">
      <c r="A751">
        <v>750</v>
      </c>
      <c r="B751">
        <v>0.19700000000000001</v>
      </c>
      <c r="C751">
        <v>0.37</v>
      </c>
      <c r="D751">
        <v>0.32840000000000003</v>
      </c>
      <c r="E751">
        <v>4</v>
      </c>
      <c r="F751">
        <v>56</v>
      </c>
      <c r="G751">
        <v>60</v>
      </c>
      <c r="H751" s="22">
        <v>40577</v>
      </c>
      <c r="I751">
        <v>1</v>
      </c>
      <c r="J751">
        <v>0</v>
      </c>
      <c r="K751">
        <v>2</v>
      </c>
      <c r="L751">
        <v>15</v>
      </c>
      <c r="M751" t="b">
        <v>0</v>
      </c>
      <c r="N751">
        <v>4</v>
      </c>
      <c r="O751">
        <v>1</v>
      </c>
      <c r="P751">
        <v>0.22</v>
      </c>
      <c r="Q751">
        <v>0.19700000000000001</v>
      </c>
    </row>
    <row r="752" spans="1:17">
      <c r="A752">
        <v>751</v>
      </c>
      <c r="B752">
        <v>0.21210000000000001</v>
      </c>
      <c r="C752">
        <v>0.37</v>
      </c>
      <c r="D752">
        <v>0.25369999999999998</v>
      </c>
      <c r="E752">
        <v>5</v>
      </c>
      <c r="F752">
        <v>73</v>
      </c>
      <c r="G752">
        <v>78</v>
      </c>
      <c r="H752" s="22">
        <v>40577</v>
      </c>
      <c r="I752">
        <v>1</v>
      </c>
      <c r="J752">
        <v>0</v>
      </c>
      <c r="K752">
        <v>2</v>
      </c>
      <c r="L752">
        <v>16</v>
      </c>
      <c r="M752" t="b">
        <v>0</v>
      </c>
      <c r="N752">
        <v>4</v>
      </c>
      <c r="O752">
        <v>1</v>
      </c>
      <c r="P752">
        <v>0.22</v>
      </c>
      <c r="Q752">
        <v>0.21210000000000001</v>
      </c>
    </row>
    <row r="753" spans="1:17">
      <c r="A753">
        <v>752</v>
      </c>
      <c r="B753">
        <v>0.19700000000000001</v>
      </c>
      <c r="C753">
        <v>0.4</v>
      </c>
      <c r="D753">
        <v>0.19400000000000001</v>
      </c>
      <c r="E753">
        <v>5</v>
      </c>
      <c r="F753">
        <v>170</v>
      </c>
      <c r="G753">
        <v>175</v>
      </c>
      <c r="H753" s="22">
        <v>40577</v>
      </c>
      <c r="I753">
        <v>1</v>
      </c>
      <c r="J753">
        <v>0</v>
      </c>
      <c r="K753">
        <v>2</v>
      </c>
      <c r="L753">
        <v>17</v>
      </c>
      <c r="M753" t="b">
        <v>0</v>
      </c>
      <c r="N753">
        <v>4</v>
      </c>
      <c r="O753">
        <v>1</v>
      </c>
      <c r="P753">
        <v>0.2</v>
      </c>
      <c r="Q753">
        <v>0.19700000000000001</v>
      </c>
    </row>
    <row r="754" spans="1:17">
      <c r="A754">
        <v>753</v>
      </c>
      <c r="B754">
        <v>0.21210000000000001</v>
      </c>
      <c r="C754">
        <v>0.4</v>
      </c>
      <c r="D754">
        <v>0.16420000000000001</v>
      </c>
      <c r="E754">
        <v>2</v>
      </c>
      <c r="F754">
        <v>145</v>
      </c>
      <c r="G754">
        <v>147</v>
      </c>
      <c r="H754" s="22">
        <v>40577</v>
      </c>
      <c r="I754">
        <v>1</v>
      </c>
      <c r="J754">
        <v>0</v>
      </c>
      <c r="K754">
        <v>2</v>
      </c>
      <c r="L754">
        <v>18</v>
      </c>
      <c r="M754" t="b">
        <v>0</v>
      </c>
      <c r="N754">
        <v>4</v>
      </c>
      <c r="O754">
        <v>1</v>
      </c>
      <c r="P754">
        <v>0.2</v>
      </c>
      <c r="Q754">
        <v>0.21210000000000001</v>
      </c>
    </row>
    <row r="755" spans="1:17">
      <c r="A755">
        <v>754</v>
      </c>
      <c r="B755">
        <v>0.2576</v>
      </c>
      <c r="C755">
        <v>0.4</v>
      </c>
      <c r="D755">
        <v>0</v>
      </c>
      <c r="E755">
        <v>4</v>
      </c>
      <c r="F755">
        <v>92</v>
      </c>
      <c r="G755">
        <v>96</v>
      </c>
      <c r="H755" s="22">
        <v>40577</v>
      </c>
      <c r="I755">
        <v>1</v>
      </c>
      <c r="J755">
        <v>0</v>
      </c>
      <c r="K755">
        <v>2</v>
      </c>
      <c r="L755">
        <v>19</v>
      </c>
      <c r="M755" t="b">
        <v>0</v>
      </c>
      <c r="N755">
        <v>4</v>
      </c>
      <c r="O755">
        <v>1</v>
      </c>
      <c r="P755">
        <v>0.2</v>
      </c>
      <c r="Q755">
        <v>0.2576</v>
      </c>
    </row>
    <row r="756" spans="1:17">
      <c r="A756">
        <v>755</v>
      </c>
      <c r="B756">
        <v>0.2273</v>
      </c>
      <c r="C756">
        <v>0.47</v>
      </c>
      <c r="D756">
        <v>8.9599999999999999E-2</v>
      </c>
      <c r="E756">
        <v>1</v>
      </c>
      <c r="F756">
        <v>108</v>
      </c>
      <c r="G756">
        <v>109</v>
      </c>
      <c r="H756" s="22">
        <v>40577</v>
      </c>
      <c r="I756">
        <v>1</v>
      </c>
      <c r="J756">
        <v>0</v>
      </c>
      <c r="K756">
        <v>2</v>
      </c>
      <c r="L756">
        <v>20</v>
      </c>
      <c r="M756" t="b">
        <v>0</v>
      </c>
      <c r="N756">
        <v>4</v>
      </c>
      <c r="O756">
        <v>1</v>
      </c>
      <c r="P756">
        <v>0.2</v>
      </c>
      <c r="Q756">
        <v>0.2273</v>
      </c>
    </row>
    <row r="757" spans="1:17">
      <c r="A757">
        <v>756</v>
      </c>
      <c r="B757">
        <v>0.21210000000000001</v>
      </c>
      <c r="C757">
        <v>0.55000000000000004</v>
      </c>
      <c r="D757">
        <v>0.1045</v>
      </c>
      <c r="E757">
        <v>1</v>
      </c>
      <c r="F757">
        <v>53</v>
      </c>
      <c r="G757">
        <v>54</v>
      </c>
      <c r="H757" s="22">
        <v>40577</v>
      </c>
      <c r="I757">
        <v>1</v>
      </c>
      <c r="J757">
        <v>0</v>
      </c>
      <c r="K757">
        <v>2</v>
      </c>
      <c r="L757">
        <v>21</v>
      </c>
      <c r="M757" t="b">
        <v>0</v>
      </c>
      <c r="N757">
        <v>4</v>
      </c>
      <c r="O757">
        <v>1</v>
      </c>
      <c r="P757">
        <v>0.18</v>
      </c>
      <c r="Q757">
        <v>0.21210000000000001</v>
      </c>
    </row>
    <row r="758" spans="1:17">
      <c r="A758">
        <v>757</v>
      </c>
      <c r="B758">
        <v>0.21210000000000001</v>
      </c>
      <c r="C758">
        <v>0.51</v>
      </c>
      <c r="D758">
        <v>8.9599999999999999E-2</v>
      </c>
      <c r="E758">
        <v>2</v>
      </c>
      <c r="F758">
        <v>39</v>
      </c>
      <c r="G758">
        <v>41</v>
      </c>
      <c r="H758" s="22">
        <v>40577</v>
      </c>
      <c r="I758">
        <v>1</v>
      </c>
      <c r="J758">
        <v>0</v>
      </c>
      <c r="K758">
        <v>2</v>
      </c>
      <c r="L758">
        <v>22</v>
      </c>
      <c r="M758" t="b">
        <v>0</v>
      </c>
      <c r="N758">
        <v>4</v>
      </c>
      <c r="O758">
        <v>1</v>
      </c>
      <c r="P758">
        <v>0.18</v>
      </c>
      <c r="Q758">
        <v>0.21210000000000001</v>
      </c>
    </row>
    <row r="759" spans="1:17">
      <c r="A759">
        <v>758</v>
      </c>
      <c r="B759">
        <v>0.2273</v>
      </c>
      <c r="C759">
        <v>0.47</v>
      </c>
      <c r="D759">
        <v>0.1045</v>
      </c>
      <c r="E759">
        <v>4</v>
      </c>
      <c r="F759">
        <v>34</v>
      </c>
      <c r="G759">
        <v>38</v>
      </c>
      <c r="H759" s="22">
        <v>40577</v>
      </c>
      <c r="I759">
        <v>1</v>
      </c>
      <c r="J759">
        <v>0</v>
      </c>
      <c r="K759">
        <v>2</v>
      </c>
      <c r="L759">
        <v>23</v>
      </c>
      <c r="M759" t="b">
        <v>0</v>
      </c>
      <c r="N759">
        <v>4</v>
      </c>
      <c r="O759">
        <v>1</v>
      </c>
      <c r="P759">
        <v>0.2</v>
      </c>
      <c r="Q759">
        <v>0.2273</v>
      </c>
    </row>
    <row r="760" spans="1:17">
      <c r="A760">
        <v>759</v>
      </c>
      <c r="B760">
        <v>0.2576</v>
      </c>
      <c r="C760">
        <v>0.44</v>
      </c>
      <c r="D760">
        <v>0</v>
      </c>
      <c r="E760">
        <v>3</v>
      </c>
      <c r="F760">
        <v>10</v>
      </c>
      <c r="G760">
        <v>13</v>
      </c>
      <c r="H760" s="22">
        <v>40578</v>
      </c>
      <c r="I760">
        <v>1</v>
      </c>
      <c r="J760">
        <v>0</v>
      </c>
      <c r="K760">
        <v>2</v>
      </c>
      <c r="L760">
        <v>0</v>
      </c>
      <c r="M760" t="b">
        <v>0</v>
      </c>
      <c r="N760">
        <v>5</v>
      </c>
      <c r="O760">
        <v>2</v>
      </c>
      <c r="P760">
        <v>0.2</v>
      </c>
      <c r="Q760">
        <v>0.2576</v>
      </c>
    </row>
    <row r="761" spans="1:17">
      <c r="A761">
        <v>760</v>
      </c>
      <c r="B761">
        <v>0.2273</v>
      </c>
      <c r="C761">
        <v>0.59</v>
      </c>
      <c r="D761">
        <v>0</v>
      </c>
      <c r="E761">
        <v>0</v>
      </c>
      <c r="F761">
        <v>7</v>
      </c>
      <c r="G761">
        <v>7</v>
      </c>
      <c r="H761" s="22">
        <v>40578</v>
      </c>
      <c r="I761">
        <v>1</v>
      </c>
      <c r="J761">
        <v>0</v>
      </c>
      <c r="K761">
        <v>2</v>
      </c>
      <c r="L761">
        <v>1</v>
      </c>
      <c r="M761" t="b">
        <v>0</v>
      </c>
      <c r="N761">
        <v>5</v>
      </c>
      <c r="O761">
        <v>2</v>
      </c>
      <c r="P761">
        <v>0.16</v>
      </c>
      <c r="Q761">
        <v>0.2273</v>
      </c>
    </row>
    <row r="762" spans="1:17">
      <c r="A762">
        <v>761</v>
      </c>
      <c r="B762">
        <v>0.16669999999999999</v>
      </c>
      <c r="C762">
        <v>0.63</v>
      </c>
      <c r="D762">
        <v>0.1045</v>
      </c>
      <c r="E762">
        <v>0</v>
      </c>
      <c r="F762">
        <v>1</v>
      </c>
      <c r="G762">
        <v>1</v>
      </c>
      <c r="H762" s="22">
        <v>40578</v>
      </c>
      <c r="I762">
        <v>1</v>
      </c>
      <c r="J762">
        <v>0</v>
      </c>
      <c r="K762">
        <v>2</v>
      </c>
      <c r="L762">
        <v>2</v>
      </c>
      <c r="M762" t="b">
        <v>0</v>
      </c>
      <c r="N762">
        <v>5</v>
      </c>
      <c r="O762">
        <v>2</v>
      </c>
      <c r="P762">
        <v>0.14000000000000001</v>
      </c>
      <c r="Q762">
        <v>0.16669999999999999</v>
      </c>
    </row>
    <row r="763" spans="1:17">
      <c r="A763">
        <v>762</v>
      </c>
      <c r="B763">
        <v>0.16669999999999999</v>
      </c>
      <c r="C763">
        <v>0.63</v>
      </c>
      <c r="D763">
        <v>0.1045</v>
      </c>
      <c r="E763">
        <v>0</v>
      </c>
      <c r="F763">
        <v>1</v>
      </c>
      <c r="G763">
        <v>1</v>
      </c>
      <c r="H763" s="22">
        <v>40578</v>
      </c>
      <c r="I763">
        <v>1</v>
      </c>
      <c r="J763">
        <v>0</v>
      </c>
      <c r="K763">
        <v>2</v>
      </c>
      <c r="L763">
        <v>3</v>
      </c>
      <c r="M763" t="b">
        <v>0</v>
      </c>
      <c r="N763">
        <v>5</v>
      </c>
      <c r="O763">
        <v>2</v>
      </c>
      <c r="P763">
        <v>0.14000000000000001</v>
      </c>
      <c r="Q763">
        <v>0.16669999999999999</v>
      </c>
    </row>
    <row r="764" spans="1:17">
      <c r="A764">
        <v>763</v>
      </c>
      <c r="B764">
        <v>0.1515</v>
      </c>
      <c r="C764">
        <v>0.63</v>
      </c>
      <c r="D764">
        <v>0.1343</v>
      </c>
      <c r="E764">
        <v>0</v>
      </c>
      <c r="F764">
        <v>7</v>
      </c>
      <c r="G764">
        <v>7</v>
      </c>
      <c r="H764" s="22">
        <v>40578</v>
      </c>
      <c r="I764">
        <v>1</v>
      </c>
      <c r="J764">
        <v>0</v>
      </c>
      <c r="K764">
        <v>2</v>
      </c>
      <c r="L764">
        <v>5</v>
      </c>
      <c r="M764" t="b">
        <v>0</v>
      </c>
      <c r="N764">
        <v>5</v>
      </c>
      <c r="O764">
        <v>2</v>
      </c>
      <c r="P764">
        <v>0.14000000000000001</v>
      </c>
      <c r="Q764">
        <v>0.1515</v>
      </c>
    </row>
    <row r="765" spans="1:17">
      <c r="A765">
        <v>764</v>
      </c>
      <c r="B765">
        <v>0.2273</v>
      </c>
      <c r="C765">
        <v>0.55000000000000004</v>
      </c>
      <c r="D765">
        <v>0</v>
      </c>
      <c r="E765">
        <v>2</v>
      </c>
      <c r="F765">
        <v>26</v>
      </c>
      <c r="G765">
        <v>28</v>
      </c>
      <c r="H765" s="22">
        <v>40578</v>
      </c>
      <c r="I765">
        <v>1</v>
      </c>
      <c r="J765">
        <v>0</v>
      </c>
      <c r="K765">
        <v>2</v>
      </c>
      <c r="L765">
        <v>6</v>
      </c>
      <c r="M765" t="b">
        <v>0</v>
      </c>
      <c r="N765">
        <v>5</v>
      </c>
      <c r="O765">
        <v>2</v>
      </c>
      <c r="P765">
        <v>0.16</v>
      </c>
      <c r="Q765">
        <v>0.2273</v>
      </c>
    </row>
    <row r="766" spans="1:17">
      <c r="A766">
        <v>765</v>
      </c>
      <c r="B766">
        <v>0.21210000000000001</v>
      </c>
      <c r="C766">
        <v>0.59</v>
      </c>
      <c r="D766">
        <v>0</v>
      </c>
      <c r="E766">
        <v>0</v>
      </c>
      <c r="F766">
        <v>87</v>
      </c>
      <c r="G766">
        <v>87</v>
      </c>
      <c r="H766" s="22">
        <v>40578</v>
      </c>
      <c r="I766">
        <v>1</v>
      </c>
      <c r="J766">
        <v>0</v>
      </c>
      <c r="K766">
        <v>2</v>
      </c>
      <c r="L766">
        <v>7</v>
      </c>
      <c r="M766" t="b">
        <v>0</v>
      </c>
      <c r="N766">
        <v>5</v>
      </c>
      <c r="O766">
        <v>1</v>
      </c>
      <c r="P766">
        <v>0.14000000000000001</v>
      </c>
      <c r="Q766">
        <v>0.21210000000000001</v>
      </c>
    </row>
    <row r="767" spans="1:17">
      <c r="A767">
        <v>766</v>
      </c>
      <c r="B767">
        <v>0.1515</v>
      </c>
      <c r="C767">
        <v>0.74</v>
      </c>
      <c r="D767">
        <v>0.1343</v>
      </c>
      <c r="E767">
        <v>3</v>
      </c>
      <c r="F767">
        <v>217</v>
      </c>
      <c r="G767">
        <v>220</v>
      </c>
      <c r="H767" s="22">
        <v>40578</v>
      </c>
      <c r="I767">
        <v>1</v>
      </c>
      <c r="J767">
        <v>0</v>
      </c>
      <c r="K767">
        <v>2</v>
      </c>
      <c r="L767">
        <v>8</v>
      </c>
      <c r="M767" t="b">
        <v>0</v>
      </c>
      <c r="N767">
        <v>5</v>
      </c>
      <c r="O767">
        <v>1</v>
      </c>
      <c r="P767">
        <v>0.14000000000000001</v>
      </c>
      <c r="Q767">
        <v>0.1515</v>
      </c>
    </row>
    <row r="768" spans="1:17">
      <c r="A768">
        <v>767</v>
      </c>
      <c r="B768">
        <v>0.18179999999999999</v>
      </c>
      <c r="C768">
        <v>0.8</v>
      </c>
      <c r="D768">
        <v>0.1343</v>
      </c>
      <c r="E768">
        <v>3</v>
      </c>
      <c r="F768">
        <v>124</v>
      </c>
      <c r="G768">
        <v>127</v>
      </c>
      <c r="H768" s="22">
        <v>40578</v>
      </c>
      <c r="I768">
        <v>1</v>
      </c>
      <c r="J768">
        <v>0</v>
      </c>
      <c r="K768">
        <v>2</v>
      </c>
      <c r="L768">
        <v>9</v>
      </c>
      <c r="M768" t="b">
        <v>0</v>
      </c>
      <c r="N768">
        <v>5</v>
      </c>
      <c r="O768">
        <v>2</v>
      </c>
      <c r="P768">
        <v>0.16</v>
      </c>
      <c r="Q768">
        <v>0.18179999999999999</v>
      </c>
    </row>
    <row r="769" spans="1:17">
      <c r="A769">
        <v>768</v>
      </c>
      <c r="B769">
        <v>0.21210000000000001</v>
      </c>
      <c r="C769">
        <v>0.51</v>
      </c>
      <c r="D769">
        <v>0.1343</v>
      </c>
      <c r="E769">
        <v>5</v>
      </c>
      <c r="F769">
        <v>46</v>
      </c>
      <c r="G769">
        <v>51</v>
      </c>
      <c r="H769" s="22">
        <v>40578</v>
      </c>
      <c r="I769">
        <v>1</v>
      </c>
      <c r="J769">
        <v>0</v>
      </c>
      <c r="K769">
        <v>2</v>
      </c>
      <c r="L769">
        <v>10</v>
      </c>
      <c r="M769" t="b">
        <v>0</v>
      </c>
      <c r="N769">
        <v>5</v>
      </c>
      <c r="O769">
        <v>2</v>
      </c>
      <c r="P769">
        <v>0.2</v>
      </c>
      <c r="Q769">
        <v>0.21210000000000001</v>
      </c>
    </row>
    <row r="770" spans="1:17">
      <c r="A770">
        <v>769</v>
      </c>
      <c r="B770">
        <v>0.2273</v>
      </c>
      <c r="C770">
        <v>0.51</v>
      </c>
      <c r="D770">
        <v>0.16420000000000001</v>
      </c>
      <c r="E770">
        <v>3</v>
      </c>
      <c r="F770">
        <v>61</v>
      </c>
      <c r="G770">
        <v>64</v>
      </c>
      <c r="H770" s="22">
        <v>40578</v>
      </c>
      <c r="I770">
        <v>1</v>
      </c>
      <c r="J770">
        <v>0</v>
      </c>
      <c r="K770">
        <v>2</v>
      </c>
      <c r="L770">
        <v>11</v>
      </c>
      <c r="M770" t="b">
        <v>0</v>
      </c>
      <c r="N770">
        <v>5</v>
      </c>
      <c r="O770">
        <v>1</v>
      </c>
      <c r="P770">
        <v>0.22</v>
      </c>
      <c r="Q770">
        <v>0.2273</v>
      </c>
    </row>
    <row r="771" spans="1:17">
      <c r="A771">
        <v>770</v>
      </c>
      <c r="B771">
        <v>0.2424</v>
      </c>
      <c r="C771">
        <v>0.48</v>
      </c>
      <c r="D771">
        <v>0.16420000000000001</v>
      </c>
      <c r="E771">
        <v>8</v>
      </c>
      <c r="F771">
        <v>78</v>
      </c>
      <c r="G771">
        <v>86</v>
      </c>
      <c r="H771" s="22">
        <v>40578</v>
      </c>
      <c r="I771">
        <v>1</v>
      </c>
      <c r="J771">
        <v>0</v>
      </c>
      <c r="K771">
        <v>2</v>
      </c>
      <c r="L771">
        <v>12</v>
      </c>
      <c r="M771" t="b">
        <v>0</v>
      </c>
      <c r="N771">
        <v>5</v>
      </c>
      <c r="O771">
        <v>2</v>
      </c>
      <c r="P771">
        <v>0.24</v>
      </c>
      <c r="Q771">
        <v>0.2424</v>
      </c>
    </row>
    <row r="772" spans="1:17">
      <c r="A772">
        <v>771</v>
      </c>
      <c r="B772">
        <v>0.2576</v>
      </c>
      <c r="C772">
        <v>0.5</v>
      </c>
      <c r="D772">
        <v>0.22389999999999999</v>
      </c>
      <c r="E772">
        <v>9</v>
      </c>
      <c r="F772">
        <v>73</v>
      </c>
      <c r="G772">
        <v>82</v>
      </c>
      <c r="H772" s="22">
        <v>40578</v>
      </c>
      <c r="I772">
        <v>1</v>
      </c>
      <c r="J772">
        <v>0</v>
      </c>
      <c r="K772">
        <v>2</v>
      </c>
      <c r="L772">
        <v>13</v>
      </c>
      <c r="M772" t="b">
        <v>0</v>
      </c>
      <c r="N772">
        <v>5</v>
      </c>
      <c r="O772">
        <v>2</v>
      </c>
      <c r="P772">
        <v>0.26</v>
      </c>
      <c r="Q772">
        <v>0.2576</v>
      </c>
    </row>
    <row r="773" spans="1:17">
      <c r="A773">
        <v>772</v>
      </c>
      <c r="B773">
        <v>0.2727</v>
      </c>
      <c r="C773">
        <v>0.45</v>
      </c>
      <c r="D773">
        <v>0.16420000000000001</v>
      </c>
      <c r="E773">
        <v>15</v>
      </c>
      <c r="F773">
        <v>76</v>
      </c>
      <c r="G773">
        <v>91</v>
      </c>
      <c r="H773" s="22">
        <v>40578</v>
      </c>
      <c r="I773">
        <v>1</v>
      </c>
      <c r="J773">
        <v>0</v>
      </c>
      <c r="K773">
        <v>2</v>
      </c>
      <c r="L773">
        <v>14</v>
      </c>
      <c r="M773" t="b">
        <v>0</v>
      </c>
      <c r="N773">
        <v>5</v>
      </c>
      <c r="O773">
        <v>2</v>
      </c>
      <c r="P773">
        <v>0.28000000000000003</v>
      </c>
      <c r="Q773">
        <v>0.2727</v>
      </c>
    </row>
    <row r="774" spans="1:17">
      <c r="A774">
        <v>773</v>
      </c>
      <c r="B774">
        <v>0.2727</v>
      </c>
      <c r="C774">
        <v>0.48</v>
      </c>
      <c r="D774">
        <v>0.25369999999999998</v>
      </c>
      <c r="E774">
        <v>9</v>
      </c>
      <c r="F774">
        <v>81</v>
      </c>
      <c r="G774">
        <v>90</v>
      </c>
      <c r="H774" s="22">
        <v>40578</v>
      </c>
      <c r="I774">
        <v>1</v>
      </c>
      <c r="J774">
        <v>0</v>
      </c>
      <c r="K774">
        <v>2</v>
      </c>
      <c r="L774">
        <v>15</v>
      </c>
      <c r="M774" t="b">
        <v>0</v>
      </c>
      <c r="N774">
        <v>5</v>
      </c>
      <c r="O774">
        <v>2</v>
      </c>
      <c r="P774">
        <v>0.28000000000000003</v>
      </c>
      <c r="Q774">
        <v>0.2727</v>
      </c>
    </row>
    <row r="775" spans="1:17">
      <c r="A775">
        <v>774</v>
      </c>
      <c r="B775">
        <v>0.28789999999999999</v>
      </c>
      <c r="C775">
        <v>0.42</v>
      </c>
      <c r="D775">
        <v>0.22389999999999999</v>
      </c>
      <c r="E775">
        <v>8</v>
      </c>
      <c r="F775">
        <v>91</v>
      </c>
      <c r="G775">
        <v>99</v>
      </c>
      <c r="H775" s="22">
        <v>40578</v>
      </c>
      <c r="I775">
        <v>1</v>
      </c>
      <c r="J775">
        <v>0</v>
      </c>
      <c r="K775">
        <v>2</v>
      </c>
      <c r="L775">
        <v>16</v>
      </c>
      <c r="M775" t="b">
        <v>0</v>
      </c>
      <c r="N775">
        <v>5</v>
      </c>
      <c r="O775">
        <v>2</v>
      </c>
      <c r="P775">
        <v>0.3</v>
      </c>
      <c r="Q775">
        <v>0.28789999999999999</v>
      </c>
    </row>
    <row r="776" spans="1:17">
      <c r="A776">
        <v>775</v>
      </c>
      <c r="B776">
        <v>0.2727</v>
      </c>
      <c r="C776">
        <v>0.56000000000000005</v>
      </c>
      <c r="D776">
        <v>0.1343</v>
      </c>
      <c r="E776">
        <v>10</v>
      </c>
      <c r="F776">
        <v>195</v>
      </c>
      <c r="G776">
        <v>205</v>
      </c>
      <c r="H776" s="22">
        <v>40578</v>
      </c>
      <c r="I776">
        <v>1</v>
      </c>
      <c r="J776">
        <v>0</v>
      </c>
      <c r="K776">
        <v>2</v>
      </c>
      <c r="L776">
        <v>17</v>
      </c>
      <c r="M776" t="b">
        <v>0</v>
      </c>
      <c r="N776">
        <v>5</v>
      </c>
      <c r="O776">
        <v>2</v>
      </c>
      <c r="P776">
        <v>0.26</v>
      </c>
      <c r="Q776">
        <v>0.2727</v>
      </c>
    </row>
    <row r="777" spans="1:17">
      <c r="A777">
        <v>776</v>
      </c>
      <c r="B777">
        <v>0.2576</v>
      </c>
      <c r="C777">
        <v>0.6</v>
      </c>
      <c r="D777">
        <v>0.1045</v>
      </c>
      <c r="E777">
        <v>3</v>
      </c>
      <c r="F777">
        <v>152</v>
      </c>
      <c r="G777">
        <v>155</v>
      </c>
      <c r="H777" s="22">
        <v>40578</v>
      </c>
      <c r="I777">
        <v>1</v>
      </c>
      <c r="J777">
        <v>0</v>
      </c>
      <c r="K777">
        <v>2</v>
      </c>
      <c r="L777">
        <v>18</v>
      </c>
      <c r="M777" t="b">
        <v>0</v>
      </c>
      <c r="N777">
        <v>5</v>
      </c>
      <c r="O777">
        <v>2</v>
      </c>
      <c r="P777">
        <v>0.24</v>
      </c>
      <c r="Q777">
        <v>0.2576</v>
      </c>
    </row>
    <row r="778" spans="1:17">
      <c r="A778">
        <v>777</v>
      </c>
      <c r="B778">
        <v>0.2424</v>
      </c>
      <c r="C778">
        <v>0.65</v>
      </c>
      <c r="D778">
        <v>0.1343</v>
      </c>
      <c r="E778">
        <v>1</v>
      </c>
      <c r="F778">
        <v>102</v>
      </c>
      <c r="G778">
        <v>103</v>
      </c>
      <c r="H778" s="22">
        <v>40578</v>
      </c>
      <c r="I778">
        <v>1</v>
      </c>
      <c r="J778">
        <v>0</v>
      </c>
      <c r="K778">
        <v>2</v>
      </c>
      <c r="L778">
        <v>19</v>
      </c>
      <c r="M778" t="b">
        <v>0</v>
      </c>
      <c r="N778">
        <v>5</v>
      </c>
      <c r="O778">
        <v>2</v>
      </c>
      <c r="P778">
        <v>0.24</v>
      </c>
      <c r="Q778">
        <v>0.2424</v>
      </c>
    </row>
    <row r="779" spans="1:17">
      <c r="A779">
        <v>778</v>
      </c>
      <c r="B779">
        <v>0.2424</v>
      </c>
      <c r="C779">
        <v>0.65</v>
      </c>
      <c r="D779">
        <v>0.16420000000000001</v>
      </c>
      <c r="E779">
        <v>2</v>
      </c>
      <c r="F779">
        <v>69</v>
      </c>
      <c r="G779">
        <v>71</v>
      </c>
      <c r="H779" s="22">
        <v>40578</v>
      </c>
      <c r="I779">
        <v>1</v>
      </c>
      <c r="J779">
        <v>0</v>
      </c>
      <c r="K779">
        <v>2</v>
      </c>
      <c r="L779">
        <v>20</v>
      </c>
      <c r="M779" t="b">
        <v>0</v>
      </c>
      <c r="N779">
        <v>5</v>
      </c>
      <c r="O779">
        <v>2</v>
      </c>
      <c r="P779">
        <v>0.24</v>
      </c>
      <c r="Q779">
        <v>0.2424</v>
      </c>
    </row>
    <row r="780" spans="1:17">
      <c r="A780">
        <v>779</v>
      </c>
      <c r="B780">
        <v>0.2424</v>
      </c>
      <c r="C780">
        <v>0.7</v>
      </c>
      <c r="D780">
        <v>0.16420000000000001</v>
      </c>
      <c r="E780">
        <v>2</v>
      </c>
      <c r="F780">
        <v>41</v>
      </c>
      <c r="G780">
        <v>43</v>
      </c>
      <c r="H780" s="22">
        <v>40578</v>
      </c>
      <c r="I780">
        <v>1</v>
      </c>
      <c r="J780">
        <v>0</v>
      </c>
      <c r="K780">
        <v>2</v>
      </c>
      <c r="L780">
        <v>21</v>
      </c>
      <c r="M780" t="b">
        <v>0</v>
      </c>
      <c r="N780">
        <v>5</v>
      </c>
      <c r="O780">
        <v>2</v>
      </c>
      <c r="P780">
        <v>0.24</v>
      </c>
      <c r="Q780">
        <v>0.2424</v>
      </c>
    </row>
    <row r="781" spans="1:17">
      <c r="A781">
        <v>780</v>
      </c>
      <c r="B781">
        <v>0.2424</v>
      </c>
      <c r="C781">
        <v>0.65</v>
      </c>
      <c r="D781">
        <v>0.16420000000000001</v>
      </c>
      <c r="E781">
        <v>1</v>
      </c>
      <c r="F781">
        <v>45</v>
      </c>
      <c r="G781">
        <v>46</v>
      </c>
      <c r="H781" s="22">
        <v>40578</v>
      </c>
      <c r="I781">
        <v>1</v>
      </c>
      <c r="J781">
        <v>0</v>
      </c>
      <c r="K781">
        <v>2</v>
      </c>
      <c r="L781">
        <v>22</v>
      </c>
      <c r="M781" t="b">
        <v>0</v>
      </c>
      <c r="N781">
        <v>5</v>
      </c>
      <c r="O781">
        <v>2</v>
      </c>
      <c r="P781">
        <v>0.24</v>
      </c>
      <c r="Q781">
        <v>0.2424</v>
      </c>
    </row>
    <row r="782" spans="1:17">
      <c r="A782">
        <v>781</v>
      </c>
      <c r="B782">
        <v>0.2424</v>
      </c>
      <c r="C782">
        <v>0.7</v>
      </c>
      <c r="D782">
        <v>0.1343</v>
      </c>
      <c r="E782">
        <v>1</v>
      </c>
      <c r="F782">
        <v>30</v>
      </c>
      <c r="G782">
        <v>31</v>
      </c>
      <c r="H782" s="22">
        <v>40578</v>
      </c>
      <c r="I782">
        <v>1</v>
      </c>
      <c r="J782">
        <v>0</v>
      </c>
      <c r="K782">
        <v>2</v>
      </c>
      <c r="L782">
        <v>23</v>
      </c>
      <c r="M782" t="b">
        <v>0</v>
      </c>
      <c r="N782">
        <v>5</v>
      </c>
      <c r="O782">
        <v>2</v>
      </c>
      <c r="P782">
        <v>0.24</v>
      </c>
      <c r="Q782">
        <v>0.2424</v>
      </c>
    </row>
    <row r="783" spans="1:17">
      <c r="A783">
        <v>782</v>
      </c>
      <c r="B783">
        <v>0.2424</v>
      </c>
      <c r="C783">
        <v>0.7</v>
      </c>
      <c r="D783">
        <v>0.16420000000000001</v>
      </c>
      <c r="E783">
        <v>3</v>
      </c>
      <c r="F783">
        <v>36</v>
      </c>
      <c r="G783">
        <v>39</v>
      </c>
      <c r="H783" s="22">
        <v>40579</v>
      </c>
      <c r="I783">
        <v>1</v>
      </c>
      <c r="J783">
        <v>0</v>
      </c>
      <c r="K783">
        <v>2</v>
      </c>
      <c r="L783">
        <v>0</v>
      </c>
      <c r="M783" t="b">
        <v>0</v>
      </c>
      <c r="N783">
        <v>6</v>
      </c>
      <c r="O783">
        <v>2</v>
      </c>
      <c r="P783">
        <v>0.24</v>
      </c>
      <c r="Q783">
        <v>0.2424</v>
      </c>
    </row>
    <row r="784" spans="1:17">
      <c r="A784">
        <v>783</v>
      </c>
      <c r="B784">
        <v>0.2424</v>
      </c>
      <c r="C784">
        <v>0.65</v>
      </c>
      <c r="D784">
        <v>0.16420000000000001</v>
      </c>
      <c r="E784">
        <v>1</v>
      </c>
      <c r="F784">
        <v>17</v>
      </c>
      <c r="G784">
        <v>18</v>
      </c>
      <c r="H784" s="22">
        <v>40579</v>
      </c>
      <c r="I784">
        <v>1</v>
      </c>
      <c r="J784">
        <v>0</v>
      </c>
      <c r="K784">
        <v>2</v>
      </c>
      <c r="L784">
        <v>1</v>
      </c>
      <c r="M784" t="b">
        <v>0</v>
      </c>
      <c r="N784">
        <v>6</v>
      </c>
      <c r="O784">
        <v>2</v>
      </c>
      <c r="P784">
        <v>0.24</v>
      </c>
      <c r="Q784">
        <v>0.2424</v>
      </c>
    </row>
    <row r="785" spans="1:17">
      <c r="A785">
        <v>784</v>
      </c>
      <c r="B785">
        <v>0.2424</v>
      </c>
      <c r="C785">
        <v>0.75</v>
      </c>
      <c r="D785">
        <v>0.16420000000000001</v>
      </c>
      <c r="E785">
        <v>5</v>
      </c>
      <c r="F785">
        <v>12</v>
      </c>
      <c r="G785">
        <v>17</v>
      </c>
      <c r="H785" s="22">
        <v>40579</v>
      </c>
      <c r="I785">
        <v>1</v>
      </c>
      <c r="J785">
        <v>0</v>
      </c>
      <c r="K785">
        <v>2</v>
      </c>
      <c r="L785">
        <v>2</v>
      </c>
      <c r="M785" t="b">
        <v>0</v>
      </c>
      <c r="N785">
        <v>6</v>
      </c>
      <c r="O785">
        <v>2</v>
      </c>
      <c r="P785">
        <v>0.24</v>
      </c>
      <c r="Q785">
        <v>0.2424</v>
      </c>
    </row>
    <row r="786" spans="1:17">
      <c r="A786">
        <v>785</v>
      </c>
      <c r="B786">
        <v>0.2424</v>
      </c>
      <c r="C786">
        <v>0.75</v>
      </c>
      <c r="D786">
        <v>0.16420000000000001</v>
      </c>
      <c r="E786">
        <v>1</v>
      </c>
      <c r="F786">
        <v>10</v>
      </c>
      <c r="G786">
        <v>11</v>
      </c>
      <c r="H786" s="22">
        <v>40579</v>
      </c>
      <c r="I786">
        <v>1</v>
      </c>
      <c r="J786">
        <v>0</v>
      </c>
      <c r="K786">
        <v>2</v>
      </c>
      <c r="L786">
        <v>3</v>
      </c>
      <c r="M786" t="b">
        <v>0</v>
      </c>
      <c r="N786">
        <v>6</v>
      </c>
      <c r="O786">
        <v>2</v>
      </c>
      <c r="P786">
        <v>0.24</v>
      </c>
      <c r="Q786">
        <v>0.2424</v>
      </c>
    </row>
    <row r="787" spans="1:17">
      <c r="A787">
        <v>786</v>
      </c>
      <c r="B787">
        <v>0.2273</v>
      </c>
      <c r="C787">
        <v>0.93</v>
      </c>
      <c r="D787">
        <v>0.1343</v>
      </c>
      <c r="E787">
        <v>0</v>
      </c>
      <c r="F787">
        <v>8</v>
      </c>
      <c r="G787">
        <v>8</v>
      </c>
      <c r="H787" s="22">
        <v>40579</v>
      </c>
      <c r="I787">
        <v>1</v>
      </c>
      <c r="J787">
        <v>0</v>
      </c>
      <c r="K787">
        <v>2</v>
      </c>
      <c r="L787">
        <v>4</v>
      </c>
      <c r="M787" t="b">
        <v>0</v>
      </c>
      <c r="N787">
        <v>6</v>
      </c>
      <c r="O787">
        <v>3</v>
      </c>
      <c r="P787">
        <v>0.22</v>
      </c>
      <c r="Q787">
        <v>0.2273</v>
      </c>
    </row>
    <row r="788" spans="1:17">
      <c r="A788">
        <v>787</v>
      </c>
      <c r="B788">
        <v>0.2273</v>
      </c>
      <c r="C788">
        <v>1</v>
      </c>
      <c r="D788">
        <v>8.9599999999999999E-2</v>
      </c>
      <c r="E788">
        <v>0</v>
      </c>
      <c r="F788">
        <v>9</v>
      </c>
      <c r="G788">
        <v>9</v>
      </c>
      <c r="H788" s="22">
        <v>40579</v>
      </c>
      <c r="I788">
        <v>1</v>
      </c>
      <c r="J788">
        <v>0</v>
      </c>
      <c r="K788">
        <v>2</v>
      </c>
      <c r="L788">
        <v>5</v>
      </c>
      <c r="M788" t="b">
        <v>0</v>
      </c>
      <c r="N788">
        <v>6</v>
      </c>
      <c r="O788">
        <v>3</v>
      </c>
      <c r="P788">
        <v>0.2</v>
      </c>
      <c r="Q788">
        <v>0.2273</v>
      </c>
    </row>
    <row r="789" spans="1:17">
      <c r="A789">
        <v>788</v>
      </c>
      <c r="B789">
        <v>0.2576</v>
      </c>
      <c r="C789">
        <v>1</v>
      </c>
      <c r="D789">
        <v>0</v>
      </c>
      <c r="E789">
        <v>0</v>
      </c>
      <c r="F789">
        <v>4</v>
      </c>
      <c r="G789">
        <v>4</v>
      </c>
      <c r="H789" s="22">
        <v>40579</v>
      </c>
      <c r="I789">
        <v>1</v>
      </c>
      <c r="J789">
        <v>0</v>
      </c>
      <c r="K789">
        <v>2</v>
      </c>
      <c r="L789">
        <v>6</v>
      </c>
      <c r="M789" t="b">
        <v>0</v>
      </c>
      <c r="N789">
        <v>6</v>
      </c>
      <c r="O789">
        <v>3</v>
      </c>
      <c r="P789">
        <v>0.2</v>
      </c>
      <c r="Q789">
        <v>0.2576</v>
      </c>
    </row>
    <row r="790" spans="1:17">
      <c r="A790">
        <v>789</v>
      </c>
      <c r="B790">
        <v>0.2576</v>
      </c>
      <c r="C790">
        <v>0.93</v>
      </c>
      <c r="D790">
        <v>8.9599999999999999E-2</v>
      </c>
      <c r="E790">
        <v>0</v>
      </c>
      <c r="F790">
        <v>4</v>
      </c>
      <c r="G790">
        <v>4</v>
      </c>
      <c r="H790" s="22">
        <v>40579</v>
      </c>
      <c r="I790">
        <v>1</v>
      </c>
      <c r="J790">
        <v>0</v>
      </c>
      <c r="K790">
        <v>2</v>
      </c>
      <c r="L790">
        <v>7</v>
      </c>
      <c r="M790" t="b">
        <v>0</v>
      </c>
      <c r="N790">
        <v>6</v>
      </c>
      <c r="O790">
        <v>3</v>
      </c>
      <c r="P790">
        <v>0.22</v>
      </c>
      <c r="Q790">
        <v>0.2576</v>
      </c>
    </row>
    <row r="791" spans="1:17">
      <c r="A791">
        <v>790</v>
      </c>
      <c r="B791">
        <v>0.2273</v>
      </c>
      <c r="C791">
        <v>1</v>
      </c>
      <c r="D791">
        <v>8.9599999999999999E-2</v>
      </c>
      <c r="E791">
        <v>0</v>
      </c>
      <c r="F791">
        <v>10</v>
      </c>
      <c r="G791">
        <v>10</v>
      </c>
      <c r="H791" s="22">
        <v>40579</v>
      </c>
      <c r="I791">
        <v>1</v>
      </c>
      <c r="J791">
        <v>0</v>
      </c>
      <c r="K791">
        <v>2</v>
      </c>
      <c r="L791">
        <v>8</v>
      </c>
      <c r="M791" t="b">
        <v>0</v>
      </c>
      <c r="N791">
        <v>6</v>
      </c>
      <c r="O791">
        <v>3</v>
      </c>
      <c r="P791">
        <v>0.2</v>
      </c>
      <c r="Q791">
        <v>0.2273</v>
      </c>
    </row>
    <row r="792" spans="1:17">
      <c r="A792">
        <v>791</v>
      </c>
      <c r="B792">
        <v>0.2273</v>
      </c>
      <c r="C792">
        <v>1</v>
      </c>
      <c r="D792">
        <v>8.9599999999999999E-2</v>
      </c>
      <c r="E792">
        <v>3</v>
      </c>
      <c r="F792">
        <v>17</v>
      </c>
      <c r="G792">
        <v>20</v>
      </c>
      <c r="H792" s="22">
        <v>40579</v>
      </c>
      <c r="I792">
        <v>1</v>
      </c>
      <c r="J792">
        <v>0</v>
      </c>
      <c r="K792">
        <v>2</v>
      </c>
      <c r="L792">
        <v>9</v>
      </c>
      <c r="M792" t="b">
        <v>0</v>
      </c>
      <c r="N792">
        <v>6</v>
      </c>
      <c r="O792">
        <v>3</v>
      </c>
      <c r="P792">
        <v>0.2</v>
      </c>
      <c r="Q792">
        <v>0.2273</v>
      </c>
    </row>
    <row r="793" spans="1:17">
      <c r="A793">
        <v>792</v>
      </c>
      <c r="B793">
        <v>0.21210000000000001</v>
      </c>
      <c r="C793">
        <v>1</v>
      </c>
      <c r="D793">
        <v>0.1343</v>
      </c>
      <c r="E793">
        <v>3</v>
      </c>
      <c r="F793">
        <v>31</v>
      </c>
      <c r="G793">
        <v>34</v>
      </c>
      <c r="H793" s="22">
        <v>40579</v>
      </c>
      <c r="I793">
        <v>1</v>
      </c>
      <c r="J793">
        <v>0</v>
      </c>
      <c r="K793">
        <v>2</v>
      </c>
      <c r="L793">
        <v>10</v>
      </c>
      <c r="M793" t="b">
        <v>0</v>
      </c>
      <c r="N793">
        <v>6</v>
      </c>
      <c r="O793">
        <v>3</v>
      </c>
      <c r="P793">
        <v>0.2</v>
      </c>
      <c r="Q793">
        <v>0.21210000000000001</v>
      </c>
    </row>
    <row r="794" spans="1:17">
      <c r="A794">
        <v>793</v>
      </c>
      <c r="B794">
        <v>0.2273</v>
      </c>
      <c r="C794">
        <v>1</v>
      </c>
      <c r="D794">
        <v>0.1343</v>
      </c>
      <c r="E794">
        <v>1</v>
      </c>
      <c r="F794">
        <v>46</v>
      </c>
      <c r="G794">
        <v>47</v>
      </c>
      <c r="H794" s="22">
        <v>40579</v>
      </c>
      <c r="I794">
        <v>1</v>
      </c>
      <c r="J794">
        <v>0</v>
      </c>
      <c r="K794">
        <v>2</v>
      </c>
      <c r="L794">
        <v>11</v>
      </c>
      <c r="M794" t="b">
        <v>0</v>
      </c>
      <c r="N794">
        <v>6</v>
      </c>
      <c r="O794">
        <v>3</v>
      </c>
      <c r="P794">
        <v>0.22</v>
      </c>
      <c r="Q794">
        <v>0.2273</v>
      </c>
    </row>
    <row r="795" spans="1:17">
      <c r="A795">
        <v>794</v>
      </c>
      <c r="B795">
        <v>0.2273</v>
      </c>
      <c r="C795">
        <v>1</v>
      </c>
      <c r="D795">
        <v>0.16420000000000001</v>
      </c>
      <c r="E795">
        <v>10</v>
      </c>
      <c r="F795">
        <v>42</v>
      </c>
      <c r="G795">
        <v>52</v>
      </c>
      <c r="H795" s="22">
        <v>40579</v>
      </c>
      <c r="I795">
        <v>1</v>
      </c>
      <c r="J795">
        <v>0</v>
      </c>
      <c r="K795">
        <v>2</v>
      </c>
      <c r="L795">
        <v>12</v>
      </c>
      <c r="M795" t="b">
        <v>0</v>
      </c>
      <c r="N795">
        <v>6</v>
      </c>
      <c r="O795">
        <v>3</v>
      </c>
      <c r="P795">
        <v>0.22</v>
      </c>
      <c r="Q795">
        <v>0.2273</v>
      </c>
    </row>
    <row r="796" spans="1:17">
      <c r="A796">
        <v>795</v>
      </c>
      <c r="B796">
        <v>0.2273</v>
      </c>
      <c r="C796">
        <v>1</v>
      </c>
      <c r="D796">
        <v>0.16420000000000001</v>
      </c>
      <c r="E796">
        <v>10</v>
      </c>
      <c r="F796">
        <v>62</v>
      </c>
      <c r="G796">
        <v>72</v>
      </c>
      <c r="H796" s="22">
        <v>40579</v>
      </c>
      <c r="I796">
        <v>1</v>
      </c>
      <c r="J796">
        <v>0</v>
      </c>
      <c r="K796">
        <v>2</v>
      </c>
      <c r="L796">
        <v>13</v>
      </c>
      <c r="M796" t="b">
        <v>0</v>
      </c>
      <c r="N796">
        <v>6</v>
      </c>
      <c r="O796">
        <v>3</v>
      </c>
      <c r="P796">
        <v>0.22</v>
      </c>
      <c r="Q796">
        <v>0.2273</v>
      </c>
    </row>
    <row r="797" spans="1:17">
      <c r="A797">
        <v>796</v>
      </c>
      <c r="B797">
        <v>0.2727</v>
      </c>
      <c r="C797">
        <v>1</v>
      </c>
      <c r="D797">
        <v>0</v>
      </c>
      <c r="E797">
        <v>5</v>
      </c>
      <c r="F797">
        <v>50</v>
      </c>
      <c r="G797">
        <v>55</v>
      </c>
      <c r="H797" s="22">
        <v>40579</v>
      </c>
      <c r="I797">
        <v>1</v>
      </c>
      <c r="J797">
        <v>0</v>
      </c>
      <c r="K797">
        <v>2</v>
      </c>
      <c r="L797">
        <v>14</v>
      </c>
      <c r="M797" t="b">
        <v>0</v>
      </c>
      <c r="N797">
        <v>6</v>
      </c>
      <c r="O797">
        <v>3</v>
      </c>
      <c r="P797">
        <v>0.22</v>
      </c>
      <c r="Q797">
        <v>0.2727</v>
      </c>
    </row>
    <row r="798" spans="1:17">
      <c r="A798">
        <v>797</v>
      </c>
      <c r="B798">
        <v>0.2727</v>
      </c>
      <c r="C798">
        <v>1</v>
      </c>
      <c r="D798">
        <v>0</v>
      </c>
      <c r="E798">
        <v>11</v>
      </c>
      <c r="F798">
        <v>49</v>
      </c>
      <c r="G798">
        <v>60</v>
      </c>
      <c r="H798" s="22">
        <v>40579</v>
      </c>
      <c r="I798">
        <v>1</v>
      </c>
      <c r="J798">
        <v>0</v>
      </c>
      <c r="K798">
        <v>2</v>
      </c>
      <c r="L798">
        <v>15</v>
      </c>
      <c r="M798" t="b">
        <v>0</v>
      </c>
      <c r="N798">
        <v>6</v>
      </c>
      <c r="O798">
        <v>3</v>
      </c>
      <c r="P798">
        <v>0.22</v>
      </c>
      <c r="Q798">
        <v>0.2727</v>
      </c>
    </row>
    <row r="799" spans="1:17">
      <c r="A799">
        <v>798</v>
      </c>
      <c r="B799">
        <v>0.2273</v>
      </c>
      <c r="C799">
        <v>1</v>
      </c>
      <c r="D799">
        <v>0.1343</v>
      </c>
      <c r="E799">
        <v>8</v>
      </c>
      <c r="F799">
        <v>63</v>
      </c>
      <c r="G799">
        <v>71</v>
      </c>
      <c r="H799" s="22">
        <v>40579</v>
      </c>
      <c r="I799">
        <v>1</v>
      </c>
      <c r="J799">
        <v>0</v>
      </c>
      <c r="K799">
        <v>2</v>
      </c>
      <c r="L799">
        <v>16</v>
      </c>
      <c r="M799" t="b">
        <v>0</v>
      </c>
      <c r="N799">
        <v>6</v>
      </c>
      <c r="O799">
        <v>3</v>
      </c>
      <c r="P799">
        <v>0.22</v>
      </c>
      <c r="Q799">
        <v>0.2273</v>
      </c>
    </row>
    <row r="800" spans="1:17">
      <c r="A800">
        <v>799</v>
      </c>
      <c r="B800">
        <v>0.21210000000000001</v>
      </c>
      <c r="C800">
        <v>1</v>
      </c>
      <c r="D800">
        <v>0.28360000000000002</v>
      </c>
      <c r="E800">
        <v>14</v>
      </c>
      <c r="F800">
        <v>64</v>
      </c>
      <c r="G800">
        <v>78</v>
      </c>
      <c r="H800" s="22">
        <v>40579</v>
      </c>
      <c r="I800">
        <v>1</v>
      </c>
      <c r="J800">
        <v>0</v>
      </c>
      <c r="K800">
        <v>2</v>
      </c>
      <c r="L800">
        <v>17</v>
      </c>
      <c r="M800" t="b">
        <v>0</v>
      </c>
      <c r="N800">
        <v>6</v>
      </c>
      <c r="O800">
        <v>2</v>
      </c>
      <c r="P800">
        <v>0.24</v>
      </c>
      <c r="Q800">
        <v>0.21210000000000001</v>
      </c>
    </row>
    <row r="801" spans="1:17">
      <c r="A801">
        <v>800</v>
      </c>
      <c r="B801">
        <v>0.2424</v>
      </c>
      <c r="C801">
        <v>0.93</v>
      </c>
      <c r="D801">
        <v>0.44779999999999998</v>
      </c>
      <c r="E801">
        <v>2</v>
      </c>
      <c r="F801">
        <v>81</v>
      </c>
      <c r="G801">
        <v>83</v>
      </c>
      <c r="H801" s="22">
        <v>40579</v>
      </c>
      <c r="I801">
        <v>1</v>
      </c>
      <c r="J801">
        <v>0</v>
      </c>
      <c r="K801">
        <v>2</v>
      </c>
      <c r="L801">
        <v>18</v>
      </c>
      <c r="M801" t="b">
        <v>0</v>
      </c>
      <c r="N801">
        <v>6</v>
      </c>
      <c r="O801">
        <v>2</v>
      </c>
      <c r="P801">
        <v>0.28000000000000003</v>
      </c>
      <c r="Q801">
        <v>0.2424</v>
      </c>
    </row>
    <row r="802" spans="1:17">
      <c r="A802">
        <v>801</v>
      </c>
      <c r="B802">
        <v>0.2424</v>
      </c>
      <c r="C802">
        <v>0.93</v>
      </c>
      <c r="D802">
        <v>0.44779999999999998</v>
      </c>
      <c r="E802">
        <v>6</v>
      </c>
      <c r="F802">
        <v>78</v>
      </c>
      <c r="G802">
        <v>84</v>
      </c>
      <c r="H802" s="22">
        <v>40579</v>
      </c>
      <c r="I802">
        <v>1</v>
      </c>
      <c r="J802">
        <v>0</v>
      </c>
      <c r="K802">
        <v>2</v>
      </c>
      <c r="L802">
        <v>19</v>
      </c>
      <c r="M802" t="b">
        <v>0</v>
      </c>
      <c r="N802">
        <v>6</v>
      </c>
      <c r="O802">
        <v>2</v>
      </c>
      <c r="P802">
        <v>0.28000000000000003</v>
      </c>
      <c r="Q802">
        <v>0.2424</v>
      </c>
    </row>
    <row r="803" spans="1:17">
      <c r="A803">
        <v>802</v>
      </c>
      <c r="B803">
        <v>0.28789999999999999</v>
      </c>
      <c r="C803">
        <v>0.87</v>
      </c>
      <c r="D803">
        <v>0.25369999999999998</v>
      </c>
      <c r="E803">
        <v>5</v>
      </c>
      <c r="F803">
        <v>64</v>
      </c>
      <c r="G803">
        <v>69</v>
      </c>
      <c r="H803" s="22">
        <v>40579</v>
      </c>
      <c r="I803">
        <v>1</v>
      </c>
      <c r="J803">
        <v>0</v>
      </c>
      <c r="K803">
        <v>2</v>
      </c>
      <c r="L803">
        <v>20</v>
      </c>
      <c r="M803" t="b">
        <v>0</v>
      </c>
      <c r="N803">
        <v>6</v>
      </c>
      <c r="O803">
        <v>1</v>
      </c>
      <c r="P803">
        <v>0.3</v>
      </c>
      <c r="Q803">
        <v>0.28789999999999999</v>
      </c>
    </row>
    <row r="804" spans="1:17">
      <c r="A804">
        <v>803</v>
      </c>
      <c r="B804">
        <v>0.2576</v>
      </c>
      <c r="C804">
        <v>1</v>
      </c>
      <c r="D804">
        <v>0.19400000000000001</v>
      </c>
      <c r="E804">
        <v>3</v>
      </c>
      <c r="F804">
        <v>53</v>
      </c>
      <c r="G804">
        <v>56</v>
      </c>
      <c r="H804" s="22">
        <v>40579</v>
      </c>
      <c r="I804">
        <v>1</v>
      </c>
      <c r="J804">
        <v>0</v>
      </c>
      <c r="K804">
        <v>2</v>
      </c>
      <c r="L804">
        <v>21</v>
      </c>
      <c r="M804" t="b">
        <v>0</v>
      </c>
      <c r="N804">
        <v>6</v>
      </c>
      <c r="O804">
        <v>1</v>
      </c>
      <c r="P804">
        <v>0.26</v>
      </c>
      <c r="Q804">
        <v>0.2576</v>
      </c>
    </row>
    <row r="805" spans="1:17">
      <c r="A805">
        <v>804</v>
      </c>
      <c r="B805">
        <v>0.2727</v>
      </c>
      <c r="C805">
        <v>0.93</v>
      </c>
      <c r="D805">
        <v>0.1343</v>
      </c>
      <c r="E805">
        <v>2</v>
      </c>
      <c r="F805">
        <v>43</v>
      </c>
      <c r="G805">
        <v>45</v>
      </c>
      <c r="H805" s="22">
        <v>40579</v>
      </c>
      <c r="I805">
        <v>1</v>
      </c>
      <c r="J805">
        <v>0</v>
      </c>
      <c r="K805">
        <v>2</v>
      </c>
      <c r="L805">
        <v>22</v>
      </c>
      <c r="M805" t="b">
        <v>0</v>
      </c>
      <c r="N805">
        <v>6</v>
      </c>
      <c r="O805">
        <v>1</v>
      </c>
      <c r="P805">
        <v>0.26</v>
      </c>
      <c r="Q805">
        <v>0.2727</v>
      </c>
    </row>
    <row r="806" spans="1:17">
      <c r="A806">
        <v>805</v>
      </c>
      <c r="B806">
        <v>0.2576</v>
      </c>
      <c r="C806">
        <v>0.93</v>
      </c>
      <c r="D806">
        <v>0.22389999999999999</v>
      </c>
      <c r="E806">
        <v>7</v>
      </c>
      <c r="F806">
        <v>52</v>
      </c>
      <c r="G806">
        <v>59</v>
      </c>
      <c r="H806" s="22">
        <v>40579</v>
      </c>
      <c r="I806">
        <v>1</v>
      </c>
      <c r="J806">
        <v>0</v>
      </c>
      <c r="K806">
        <v>2</v>
      </c>
      <c r="L806">
        <v>23</v>
      </c>
      <c r="M806" t="b">
        <v>0</v>
      </c>
      <c r="N806">
        <v>6</v>
      </c>
      <c r="O806">
        <v>1</v>
      </c>
      <c r="P806">
        <v>0.26</v>
      </c>
      <c r="Q806">
        <v>0.2576</v>
      </c>
    </row>
    <row r="807" spans="1:17">
      <c r="A807">
        <v>806</v>
      </c>
      <c r="B807">
        <v>0.2576</v>
      </c>
      <c r="C807">
        <v>0.7</v>
      </c>
      <c r="D807">
        <v>0.19400000000000001</v>
      </c>
      <c r="E807">
        <v>2</v>
      </c>
      <c r="F807">
        <v>37</v>
      </c>
      <c r="G807">
        <v>39</v>
      </c>
      <c r="H807" s="22">
        <v>40580</v>
      </c>
      <c r="I807">
        <v>1</v>
      </c>
      <c r="J807">
        <v>0</v>
      </c>
      <c r="K807">
        <v>2</v>
      </c>
      <c r="L807">
        <v>0</v>
      </c>
      <c r="M807" t="b">
        <v>0</v>
      </c>
      <c r="N807">
        <v>0</v>
      </c>
      <c r="O807">
        <v>1</v>
      </c>
      <c r="P807">
        <v>0.26</v>
      </c>
      <c r="Q807">
        <v>0.2576</v>
      </c>
    </row>
    <row r="808" spans="1:17">
      <c r="A808">
        <v>807</v>
      </c>
      <c r="B808">
        <v>0.2273</v>
      </c>
      <c r="C808">
        <v>0.65</v>
      </c>
      <c r="D808">
        <v>0.41789999999999999</v>
      </c>
      <c r="E808">
        <v>4</v>
      </c>
      <c r="F808">
        <v>40</v>
      </c>
      <c r="G808">
        <v>44</v>
      </c>
      <c r="H808" s="22">
        <v>40580</v>
      </c>
      <c r="I808">
        <v>1</v>
      </c>
      <c r="J808">
        <v>0</v>
      </c>
      <c r="K808">
        <v>2</v>
      </c>
      <c r="L808">
        <v>1</v>
      </c>
      <c r="M808" t="b">
        <v>0</v>
      </c>
      <c r="N808">
        <v>0</v>
      </c>
      <c r="O808">
        <v>1</v>
      </c>
      <c r="P808">
        <v>0.26</v>
      </c>
      <c r="Q808">
        <v>0.2273</v>
      </c>
    </row>
    <row r="809" spans="1:17">
      <c r="A809">
        <v>808</v>
      </c>
      <c r="B809">
        <v>0.2273</v>
      </c>
      <c r="C809">
        <v>0.6</v>
      </c>
      <c r="D809">
        <v>0.32840000000000003</v>
      </c>
      <c r="E809">
        <v>0</v>
      </c>
      <c r="F809">
        <v>20</v>
      </c>
      <c r="G809">
        <v>20</v>
      </c>
      <c r="H809" s="22">
        <v>40580</v>
      </c>
      <c r="I809">
        <v>1</v>
      </c>
      <c r="J809">
        <v>0</v>
      </c>
      <c r="K809">
        <v>2</v>
      </c>
      <c r="L809">
        <v>2</v>
      </c>
      <c r="M809" t="b">
        <v>0</v>
      </c>
      <c r="N809">
        <v>0</v>
      </c>
      <c r="O809">
        <v>1</v>
      </c>
      <c r="P809">
        <v>0.26</v>
      </c>
      <c r="Q809">
        <v>0.2273</v>
      </c>
    </row>
    <row r="810" spans="1:17">
      <c r="A810">
        <v>809</v>
      </c>
      <c r="B810">
        <v>0.28789999999999999</v>
      </c>
      <c r="C810">
        <v>0.6</v>
      </c>
      <c r="D810">
        <v>8.9599999999999999E-2</v>
      </c>
      <c r="E810">
        <v>3</v>
      </c>
      <c r="F810">
        <v>10</v>
      </c>
      <c r="G810">
        <v>13</v>
      </c>
      <c r="H810" s="22">
        <v>40580</v>
      </c>
      <c r="I810">
        <v>1</v>
      </c>
      <c r="J810">
        <v>0</v>
      </c>
      <c r="K810">
        <v>2</v>
      </c>
      <c r="L810">
        <v>3</v>
      </c>
      <c r="M810" t="b">
        <v>0</v>
      </c>
      <c r="N810">
        <v>0</v>
      </c>
      <c r="O810">
        <v>1</v>
      </c>
      <c r="P810">
        <v>0.26</v>
      </c>
      <c r="Q810">
        <v>0.28789999999999999</v>
      </c>
    </row>
    <row r="811" spans="1:17">
      <c r="A811">
        <v>810</v>
      </c>
      <c r="B811">
        <v>0.2273</v>
      </c>
      <c r="C811">
        <v>0.6</v>
      </c>
      <c r="D811">
        <v>0.35820000000000002</v>
      </c>
      <c r="E811">
        <v>0</v>
      </c>
      <c r="F811">
        <v>2</v>
      </c>
      <c r="G811">
        <v>2</v>
      </c>
      <c r="H811" s="22">
        <v>40580</v>
      </c>
      <c r="I811">
        <v>1</v>
      </c>
      <c r="J811">
        <v>0</v>
      </c>
      <c r="K811">
        <v>2</v>
      </c>
      <c r="L811">
        <v>4</v>
      </c>
      <c r="M811" t="b">
        <v>0</v>
      </c>
      <c r="N811">
        <v>0</v>
      </c>
      <c r="O811">
        <v>1</v>
      </c>
      <c r="P811">
        <v>0.26</v>
      </c>
      <c r="Q811">
        <v>0.2273</v>
      </c>
    </row>
    <row r="812" spans="1:17">
      <c r="A812">
        <v>811</v>
      </c>
      <c r="B812">
        <v>0.2576</v>
      </c>
      <c r="C812">
        <v>0.6</v>
      </c>
      <c r="D812">
        <v>0.22389999999999999</v>
      </c>
      <c r="E812">
        <v>0</v>
      </c>
      <c r="F812">
        <v>1</v>
      </c>
      <c r="G812">
        <v>1</v>
      </c>
      <c r="H812" s="22">
        <v>40580</v>
      </c>
      <c r="I812">
        <v>1</v>
      </c>
      <c r="J812">
        <v>0</v>
      </c>
      <c r="K812">
        <v>2</v>
      </c>
      <c r="L812">
        <v>5</v>
      </c>
      <c r="M812" t="b">
        <v>0</v>
      </c>
      <c r="N812">
        <v>0</v>
      </c>
      <c r="O812">
        <v>1</v>
      </c>
      <c r="P812">
        <v>0.26</v>
      </c>
      <c r="Q812">
        <v>0.2576</v>
      </c>
    </row>
    <row r="813" spans="1:17">
      <c r="A813">
        <v>812</v>
      </c>
      <c r="B813">
        <v>0.2576</v>
      </c>
      <c r="C813">
        <v>0.6</v>
      </c>
      <c r="D813">
        <v>0.22389999999999999</v>
      </c>
      <c r="E813">
        <v>0</v>
      </c>
      <c r="F813">
        <v>1</v>
      </c>
      <c r="G813">
        <v>1</v>
      </c>
      <c r="H813" s="22">
        <v>40580</v>
      </c>
      <c r="I813">
        <v>1</v>
      </c>
      <c r="J813">
        <v>0</v>
      </c>
      <c r="K813">
        <v>2</v>
      </c>
      <c r="L813">
        <v>6</v>
      </c>
      <c r="M813" t="b">
        <v>0</v>
      </c>
      <c r="N813">
        <v>0</v>
      </c>
      <c r="O813">
        <v>1</v>
      </c>
      <c r="P813">
        <v>0.26</v>
      </c>
      <c r="Q813">
        <v>0.2576</v>
      </c>
    </row>
    <row r="814" spans="1:17">
      <c r="A814">
        <v>813</v>
      </c>
      <c r="B814">
        <v>0.2424</v>
      </c>
      <c r="C814">
        <v>0.65</v>
      </c>
      <c r="D814">
        <v>0.16420000000000001</v>
      </c>
      <c r="E814">
        <v>0</v>
      </c>
      <c r="F814">
        <v>8</v>
      </c>
      <c r="G814">
        <v>8</v>
      </c>
      <c r="H814" s="22">
        <v>40580</v>
      </c>
      <c r="I814">
        <v>1</v>
      </c>
      <c r="J814">
        <v>0</v>
      </c>
      <c r="K814">
        <v>2</v>
      </c>
      <c r="L814">
        <v>7</v>
      </c>
      <c r="M814" t="b">
        <v>0</v>
      </c>
      <c r="N814">
        <v>0</v>
      </c>
      <c r="O814">
        <v>1</v>
      </c>
      <c r="P814">
        <v>0.24</v>
      </c>
      <c r="Q814">
        <v>0.2424</v>
      </c>
    </row>
    <row r="815" spans="1:17">
      <c r="A815">
        <v>814</v>
      </c>
      <c r="B815">
        <v>0.2576</v>
      </c>
      <c r="C815">
        <v>0.65</v>
      </c>
      <c r="D815">
        <v>0.1045</v>
      </c>
      <c r="E815">
        <v>2</v>
      </c>
      <c r="F815">
        <v>21</v>
      </c>
      <c r="G815">
        <v>23</v>
      </c>
      <c r="H815" s="22">
        <v>40580</v>
      </c>
      <c r="I815">
        <v>1</v>
      </c>
      <c r="J815">
        <v>0</v>
      </c>
      <c r="K815">
        <v>2</v>
      </c>
      <c r="L815">
        <v>8</v>
      </c>
      <c r="M815" t="b">
        <v>0</v>
      </c>
      <c r="N815">
        <v>0</v>
      </c>
      <c r="O815">
        <v>1</v>
      </c>
      <c r="P815">
        <v>0.24</v>
      </c>
      <c r="Q815">
        <v>0.2576</v>
      </c>
    </row>
    <row r="816" spans="1:17">
      <c r="A816">
        <v>815</v>
      </c>
      <c r="B816">
        <v>0.28789999999999999</v>
      </c>
      <c r="C816">
        <v>0.56000000000000005</v>
      </c>
      <c r="D816">
        <v>0.1045</v>
      </c>
      <c r="E816">
        <v>7</v>
      </c>
      <c r="F816">
        <v>38</v>
      </c>
      <c r="G816">
        <v>45</v>
      </c>
      <c r="H816" s="22">
        <v>40580</v>
      </c>
      <c r="I816">
        <v>1</v>
      </c>
      <c r="J816">
        <v>0</v>
      </c>
      <c r="K816">
        <v>2</v>
      </c>
      <c r="L816">
        <v>9</v>
      </c>
      <c r="M816" t="b">
        <v>0</v>
      </c>
      <c r="N816">
        <v>0</v>
      </c>
      <c r="O816">
        <v>1</v>
      </c>
      <c r="P816">
        <v>0.28000000000000003</v>
      </c>
      <c r="Q816">
        <v>0.28789999999999999</v>
      </c>
    </row>
    <row r="817" spans="1:17">
      <c r="A817">
        <v>816</v>
      </c>
      <c r="B817">
        <v>0.28789999999999999</v>
      </c>
      <c r="C817">
        <v>0.52</v>
      </c>
      <c r="D817">
        <v>0.25369999999999998</v>
      </c>
      <c r="E817">
        <v>15</v>
      </c>
      <c r="F817">
        <v>74</v>
      </c>
      <c r="G817">
        <v>89</v>
      </c>
      <c r="H817" s="22">
        <v>40580</v>
      </c>
      <c r="I817">
        <v>1</v>
      </c>
      <c r="J817">
        <v>0</v>
      </c>
      <c r="K817">
        <v>2</v>
      </c>
      <c r="L817">
        <v>10</v>
      </c>
      <c r="M817" t="b">
        <v>0</v>
      </c>
      <c r="N817">
        <v>0</v>
      </c>
      <c r="O817">
        <v>1</v>
      </c>
      <c r="P817">
        <v>0.3</v>
      </c>
      <c r="Q817">
        <v>0.28789999999999999</v>
      </c>
    </row>
    <row r="818" spans="1:17">
      <c r="A818">
        <v>817</v>
      </c>
      <c r="B818">
        <v>0.30299999999999999</v>
      </c>
      <c r="C818">
        <v>0.49</v>
      </c>
      <c r="D818">
        <v>0.25369999999999998</v>
      </c>
      <c r="E818">
        <v>28</v>
      </c>
      <c r="F818">
        <v>89</v>
      </c>
      <c r="G818">
        <v>117</v>
      </c>
      <c r="H818" s="22">
        <v>40580</v>
      </c>
      <c r="I818">
        <v>1</v>
      </c>
      <c r="J818">
        <v>0</v>
      </c>
      <c r="K818">
        <v>2</v>
      </c>
      <c r="L818">
        <v>11</v>
      </c>
      <c r="M818" t="b">
        <v>0</v>
      </c>
      <c r="N818">
        <v>0</v>
      </c>
      <c r="O818">
        <v>1</v>
      </c>
      <c r="P818">
        <v>0.32</v>
      </c>
      <c r="Q818">
        <v>0.30299999999999999</v>
      </c>
    </row>
    <row r="819" spans="1:17">
      <c r="A819">
        <v>818</v>
      </c>
      <c r="B819">
        <v>0.33329999999999999</v>
      </c>
      <c r="C819">
        <v>0.46</v>
      </c>
      <c r="D819">
        <v>0</v>
      </c>
      <c r="E819">
        <v>48</v>
      </c>
      <c r="F819">
        <v>126</v>
      </c>
      <c r="G819">
        <v>174</v>
      </c>
      <c r="H819" s="22">
        <v>40580</v>
      </c>
      <c r="I819">
        <v>1</v>
      </c>
      <c r="J819">
        <v>0</v>
      </c>
      <c r="K819">
        <v>2</v>
      </c>
      <c r="L819">
        <v>12</v>
      </c>
      <c r="M819" t="b">
        <v>0</v>
      </c>
      <c r="N819">
        <v>0</v>
      </c>
      <c r="O819">
        <v>1</v>
      </c>
      <c r="P819">
        <v>0.34</v>
      </c>
      <c r="Q819">
        <v>0.33329999999999999</v>
      </c>
    </row>
    <row r="820" spans="1:17">
      <c r="A820">
        <v>819</v>
      </c>
      <c r="B820">
        <v>0.36359999999999998</v>
      </c>
      <c r="C820">
        <v>0.46</v>
      </c>
      <c r="D820">
        <v>0</v>
      </c>
      <c r="E820">
        <v>47</v>
      </c>
      <c r="F820">
        <v>135</v>
      </c>
      <c r="G820">
        <v>182</v>
      </c>
      <c r="H820" s="22">
        <v>40580</v>
      </c>
      <c r="I820">
        <v>1</v>
      </c>
      <c r="J820">
        <v>0</v>
      </c>
      <c r="K820">
        <v>2</v>
      </c>
      <c r="L820">
        <v>13</v>
      </c>
      <c r="M820" t="b">
        <v>0</v>
      </c>
      <c r="N820">
        <v>0</v>
      </c>
      <c r="O820">
        <v>1</v>
      </c>
      <c r="P820">
        <v>0.34</v>
      </c>
      <c r="Q820">
        <v>0.36359999999999998</v>
      </c>
    </row>
    <row r="821" spans="1:17">
      <c r="A821">
        <v>820</v>
      </c>
      <c r="B821">
        <v>0.34849999999999998</v>
      </c>
      <c r="C821">
        <v>0.46</v>
      </c>
      <c r="D821">
        <v>8.9599999999999999E-2</v>
      </c>
      <c r="E821">
        <v>47</v>
      </c>
      <c r="F821">
        <v>114</v>
      </c>
      <c r="G821">
        <v>161</v>
      </c>
      <c r="H821" s="22">
        <v>40580</v>
      </c>
      <c r="I821">
        <v>1</v>
      </c>
      <c r="J821">
        <v>0</v>
      </c>
      <c r="K821">
        <v>2</v>
      </c>
      <c r="L821">
        <v>14</v>
      </c>
      <c r="M821" t="b">
        <v>0</v>
      </c>
      <c r="N821">
        <v>0</v>
      </c>
      <c r="O821">
        <v>1</v>
      </c>
      <c r="P821">
        <v>0.34</v>
      </c>
      <c r="Q821">
        <v>0.34849999999999998</v>
      </c>
    </row>
    <row r="822" spans="1:17">
      <c r="A822">
        <v>821</v>
      </c>
      <c r="B822">
        <v>0.34849999999999998</v>
      </c>
      <c r="C822">
        <v>0.46</v>
      </c>
      <c r="D822">
        <v>8.9599999999999999E-2</v>
      </c>
      <c r="E822">
        <v>52</v>
      </c>
      <c r="F822">
        <v>130</v>
      </c>
      <c r="G822">
        <v>182</v>
      </c>
      <c r="H822" s="22">
        <v>40580</v>
      </c>
      <c r="I822">
        <v>1</v>
      </c>
      <c r="J822">
        <v>0</v>
      </c>
      <c r="K822">
        <v>2</v>
      </c>
      <c r="L822">
        <v>15</v>
      </c>
      <c r="M822" t="b">
        <v>0</v>
      </c>
      <c r="N822">
        <v>0</v>
      </c>
      <c r="O822">
        <v>1</v>
      </c>
      <c r="P822">
        <v>0.34</v>
      </c>
      <c r="Q822">
        <v>0.34849999999999998</v>
      </c>
    </row>
    <row r="823" spans="1:17">
      <c r="A823">
        <v>822</v>
      </c>
      <c r="B823">
        <v>0.34849999999999998</v>
      </c>
      <c r="C823">
        <v>0.49</v>
      </c>
      <c r="D823">
        <v>0.1045</v>
      </c>
      <c r="E823">
        <v>42</v>
      </c>
      <c r="F823">
        <v>115</v>
      </c>
      <c r="G823">
        <v>157</v>
      </c>
      <c r="H823" s="22">
        <v>40580</v>
      </c>
      <c r="I823">
        <v>1</v>
      </c>
      <c r="J823">
        <v>0</v>
      </c>
      <c r="K823">
        <v>2</v>
      </c>
      <c r="L823">
        <v>16</v>
      </c>
      <c r="M823" t="b">
        <v>0</v>
      </c>
      <c r="N823">
        <v>0</v>
      </c>
      <c r="O823">
        <v>1</v>
      </c>
      <c r="P823">
        <v>0.34</v>
      </c>
      <c r="Q823">
        <v>0.34849999999999998</v>
      </c>
    </row>
    <row r="824" spans="1:17">
      <c r="A824">
        <v>823</v>
      </c>
      <c r="B824">
        <v>0.36359999999999998</v>
      </c>
      <c r="C824">
        <v>0.46</v>
      </c>
      <c r="D824">
        <v>0</v>
      </c>
      <c r="E824">
        <v>24</v>
      </c>
      <c r="F824">
        <v>97</v>
      </c>
      <c r="G824">
        <v>121</v>
      </c>
      <c r="H824" s="22">
        <v>40580</v>
      </c>
      <c r="I824">
        <v>1</v>
      </c>
      <c r="J824">
        <v>0</v>
      </c>
      <c r="K824">
        <v>2</v>
      </c>
      <c r="L824">
        <v>17</v>
      </c>
      <c r="M824" t="b">
        <v>0</v>
      </c>
      <c r="N824">
        <v>0</v>
      </c>
      <c r="O824">
        <v>1</v>
      </c>
      <c r="P824">
        <v>0.34</v>
      </c>
      <c r="Q824">
        <v>0.36359999999999998</v>
      </c>
    </row>
    <row r="825" spans="1:17">
      <c r="A825">
        <v>824</v>
      </c>
      <c r="B825">
        <v>0.30299999999999999</v>
      </c>
      <c r="C825">
        <v>0.56000000000000005</v>
      </c>
      <c r="D825">
        <v>0.16420000000000001</v>
      </c>
      <c r="E825">
        <v>13</v>
      </c>
      <c r="F825">
        <v>65</v>
      </c>
      <c r="G825">
        <v>78</v>
      </c>
      <c r="H825" s="22">
        <v>40580</v>
      </c>
      <c r="I825">
        <v>1</v>
      </c>
      <c r="J825">
        <v>0</v>
      </c>
      <c r="K825">
        <v>2</v>
      </c>
      <c r="L825">
        <v>18</v>
      </c>
      <c r="M825" t="b">
        <v>0</v>
      </c>
      <c r="N825">
        <v>0</v>
      </c>
      <c r="O825">
        <v>1</v>
      </c>
      <c r="P825">
        <v>0.3</v>
      </c>
      <c r="Q825">
        <v>0.30299999999999999</v>
      </c>
    </row>
    <row r="826" spans="1:17">
      <c r="A826">
        <v>825</v>
      </c>
      <c r="B826">
        <v>0.28789999999999999</v>
      </c>
      <c r="C826">
        <v>0.61</v>
      </c>
      <c r="D826">
        <v>0.1343</v>
      </c>
      <c r="E826">
        <v>1</v>
      </c>
      <c r="F826">
        <v>20</v>
      </c>
      <c r="G826">
        <v>21</v>
      </c>
      <c r="H826" s="22">
        <v>40580</v>
      </c>
      <c r="I826">
        <v>1</v>
      </c>
      <c r="J826">
        <v>0</v>
      </c>
      <c r="K826">
        <v>2</v>
      </c>
      <c r="L826">
        <v>19</v>
      </c>
      <c r="M826" t="b">
        <v>0</v>
      </c>
      <c r="N826">
        <v>0</v>
      </c>
      <c r="O826">
        <v>1</v>
      </c>
      <c r="P826">
        <v>0.28000000000000003</v>
      </c>
      <c r="Q826">
        <v>0.28789999999999999</v>
      </c>
    </row>
    <row r="827" spans="1:17">
      <c r="A827">
        <v>826</v>
      </c>
      <c r="B827">
        <v>0.28789999999999999</v>
      </c>
      <c r="C827">
        <v>0.61</v>
      </c>
      <c r="D827">
        <v>0.1045</v>
      </c>
      <c r="E827">
        <v>5</v>
      </c>
      <c r="F827">
        <v>21</v>
      </c>
      <c r="G827">
        <v>26</v>
      </c>
      <c r="H827" s="22">
        <v>40580</v>
      </c>
      <c r="I827">
        <v>1</v>
      </c>
      <c r="J827">
        <v>0</v>
      </c>
      <c r="K827">
        <v>2</v>
      </c>
      <c r="L827">
        <v>20</v>
      </c>
      <c r="M827" t="b">
        <v>0</v>
      </c>
      <c r="N827">
        <v>0</v>
      </c>
      <c r="O827">
        <v>1</v>
      </c>
      <c r="P827">
        <v>0.28000000000000003</v>
      </c>
      <c r="Q827">
        <v>0.28789999999999999</v>
      </c>
    </row>
    <row r="828" spans="1:17">
      <c r="A828">
        <v>827</v>
      </c>
      <c r="B828">
        <v>0.30299999999999999</v>
      </c>
      <c r="C828">
        <v>0.6</v>
      </c>
      <c r="D828">
        <v>0</v>
      </c>
      <c r="E828">
        <v>5</v>
      </c>
      <c r="F828">
        <v>22</v>
      </c>
      <c r="G828">
        <v>27</v>
      </c>
      <c r="H828" s="22">
        <v>40580</v>
      </c>
      <c r="I828">
        <v>1</v>
      </c>
      <c r="J828">
        <v>0</v>
      </c>
      <c r="K828">
        <v>2</v>
      </c>
      <c r="L828">
        <v>21</v>
      </c>
      <c r="M828" t="b">
        <v>0</v>
      </c>
      <c r="N828">
        <v>0</v>
      </c>
      <c r="O828">
        <v>1</v>
      </c>
      <c r="P828">
        <v>0.26</v>
      </c>
      <c r="Q828">
        <v>0.30299999999999999</v>
      </c>
    </row>
    <row r="829" spans="1:17">
      <c r="A829">
        <v>828</v>
      </c>
      <c r="B829">
        <v>0.30299999999999999</v>
      </c>
      <c r="C829">
        <v>0.6</v>
      </c>
      <c r="D829">
        <v>0</v>
      </c>
      <c r="E829">
        <v>5</v>
      </c>
      <c r="F829">
        <v>57</v>
      </c>
      <c r="G829">
        <v>62</v>
      </c>
      <c r="H829" s="22">
        <v>40580</v>
      </c>
      <c r="I829">
        <v>1</v>
      </c>
      <c r="J829">
        <v>0</v>
      </c>
      <c r="K829">
        <v>2</v>
      </c>
      <c r="L829">
        <v>22</v>
      </c>
      <c r="M829" t="b">
        <v>0</v>
      </c>
      <c r="N829">
        <v>0</v>
      </c>
      <c r="O829">
        <v>1</v>
      </c>
      <c r="P829">
        <v>0.26</v>
      </c>
      <c r="Q829">
        <v>0.30299999999999999</v>
      </c>
    </row>
    <row r="830" spans="1:17">
      <c r="A830">
        <v>829</v>
      </c>
      <c r="B830">
        <v>0.28789999999999999</v>
      </c>
      <c r="C830">
        <v>0.65</v>
      </c>
      <c r="D830">
        <v>0</v>
      </c>
      <c r="E830">
        <v>4</v>
      </c>
      <c r="F830">
        <v>26</v>
      </c>
      <c r="G830">
        <v>30</v>
      </c>
      <c r="H830" s="22">
        <v>40580</v>
      </c>
      <c r="I830">
        <v>1</v>
      </c>
      <c r="J830">
        <v>0</v>
      </c>
      <c r="K830">
        <v>2</v>
      </c>
      <c r="L830">
        <v>23</v>
      </c>
      <c r="M830" t="b">
        <v>0</v>
      </c>
      <c r="N830">
        <v>0</v>
      </c>
      <c r="O830">
        <v>1</v>
      </c>
      <c r="P830">
        <v>0.24</v>
      </c>
      <c r="Q830">
        <v>0.28789999999999999</v>
      </c>
    </row>
    <row r="831" spans="1:17">
      <c r="A831">
        <v>830</v>
      </c>
      <c r="B831">
        <v>0.28789999999999999</v>
      </c>
      <c r="C831">
        <v>0.65</v>
      </c>
      <c r="D831">
        <v>0</v>
      </c>
      <c r="E831">
        <v>1</v>
      </c>
      <c r="F831">
        <v>14</v>
      </c>
      <c r="G831">
        <v>15</v>
      </c>
      <c r="H831" s="22">
        <v>40581</v>
      </c>
      <c r="I831">
        <v>1</v>
      </c>
      <c r="J831">
        <v>0</v>
      </c>
      <c r="K831">
        <v>2</v>
      </c>
      <c r="L831">
        <v>0</v>
      </c>
      <c r="M831" t="b">
        <v>0</v>
      </c>
      <c r="N831">
        <v>1</v>
      </c>
      <c r="O831">
        <v>1</v>
      </c>
      <c r="P831">
        <v>0.24</v>
      </c>
      <c r="Q831">
        <v>0.28789999999999999</v>
      </c>
    </row>
    <row r="832" spans="1:17">
      <c r="A832">
        <v>831</v>
      </c>
      <c r="B832">
        <v>0.2727</v>
      </c>
      <c r="C832">
        <v>0.75</v>
      </c>
      <c r="D832">
        <v>0</v>
      </c>
      <c r="E832">
        <v>1</v>
      </c>
      <c r="F832">
        <v>4</v>
      </c>
      <c r="G832">
        <v>5</v>
      </c>
      <c r="H832" s="22">
        <v>40581</v>
      </c>
      <c r="I832">
        <v>1</v>
      </c>
      <c r="J832">
        <v>0</v>
      </c>
      <c r="K832">
        <v>2</v>
      </c>
      <c r="L832">
        <v>1</v>
      </c>
      <c r="M832" t="b">
        <v>0</v>
      </c>
      <c r="N832">
        <v>1</v>
      </c>
      <c r="O832">
        <v>1</v>
      </c>
      <c r="P832">
        <v>0.22</v>
      </c>
      <c r="Q832">
        <v>0.2727</v>
      </c>
    </row>
    <row r="833" spans="1:17">
      <c r="A833">
        <v>832</v>
      </c>
      <c r="B833">
        <v>0.2576</v>
      </c>
      <c r="C833">
        <v>0.8</v>
      </c>
      <c r="D833">
        <v>0</v>
      </c>
      <c r="E833">
        <v>0</v>
      </c>
      <c r="F833">
        <v>3</v>
      </c>
      <c r="G833">
        <v>3</v>
      </c>
      <c r="H833" s="22">
        <v>40581</v>
      </c>
      <c r="I833">
        <v>1</v>
      </c>
      <c r="J833">
        <v>0</v>
      </c>
      <c r="K833">
        <v>2</v>
      </c>
      <c r="L833">
        <v>2</v>
      </c>
      <c r="M833" t="b">
        <v>0</v>
      </c>
      <c r="N833">
        <v>1</v>
      </c>
      <c r="O833">
        <v>1</v>
      </c>
      <c r="P833">
        <v>0.2</v>
      </c>
      <c r="Q833">
        <v>0.2576</v>
      </c>
    </row>
    <row r="834" spans="1:17">
      <c r="A834">
        <v>833</v>
      </c>
      <c r="B834">
        <v>0.2576</v>
      </c>
      <c r="C834">
        <v>0.86</v>
      </c>
      <c r="D834">
        <v>0</v>
      </c>
      <c r="E834">
        <v>0</v>
      </c>
      <c r="F834">
        <v>1</v>
      </c>
      <c r="G834">
        <v>1</v>
      </c>
      <c r="H834" s="22">
        <v>40581</v>
      </c>
      <c r="I834">
        <v>1</v>
      </c>
      <c r="J834">
        <v>0</v>
      </c>
      <c r="K834">
        <v>2</v>
      </c>
      <c r="L834">
        <v>3</v>
      </c>
      <c r="M834" t="b">
        <v>0</v>
      </c>
      <c r="N834">
        <v>1</v>
      </c>
      <c r="O834">
        <v>1</v>
      </c>
      <c r="P834">
        <v>0.2</v>
      </c>
      <c r="Q834">
        <v>0.2576</v>
      </c>
    </row>
    <row r="835" spans="1:17">
      <c r="A835">
        <v>834</v>
      </c>
      <c r="B835">
        <v>0.2576</v>
      </c>
      <c r="C835">
        <v>0.86</v>
      </c>
      <c r="D835">
        <v>0</v>
      </c>
      <c r="E835">
        <v>1</v>
      </c>
      <c r="F835">
        <v>1</v>
      </c>
      <c r="G835">
        <v>2</v>
      </c>
      <c r="H835" s="22">
        <v>40581</v>
      </c>
      <c r="I835">
        <v>1</v>
      </c>
      <c r="J835">
        <v>0</v>
      </c>
      <c r="K835">
        <v>2</v>
      </c>
      <c r="L835">
        <v>4</v>
      </c>
      <c r="M835" t="b">
        <v>0</v>
      </c>
      <c r="N835">
        <v>1</v>
      </c>
      <c r="O835">
        <v>1</v>
      </c>
      <c r="P835">
        <v>0.2</v>
      </c>
      <c r="Q835">
        <v>0.2576</v>
      </c>
    </row>
    <row r="836" spans="1:17">
      <c r="A836">
        <v>835</v>
      </c>
      <c r="B836">
        <v>0.2576</v>
      </c>
      <c r="C836">
        <v>0.86</v>
      </c>
      <c r="D836">
        <v>0</v>
      </c>
      <c r="E836">
        <v>1</v>
      </c>
      <c r="F836">
        <v>9</v>
      </c>
      <c r="G836">
        <v>10</v>
      </c>
      <c r="H836" s="22">
        <v>40581</v>
      </c>
      <c r="I836">
        <v>1</v>
      </c>
      <c r="J836">
        <v>0</v>
      </c>
      <c r="K836">
        <v>2</v>
      </c>
      <c r="L836">
        <v>5</v>
      </c>
      <c r="M836" t="b">
        <v>0</v>
      </c>
      <c r="N836">
        <v>1</v>
      </c>
      <c r="O836">
        <v>1</v>
      </c>
      <c r="P836">
        <v>0.2</v>
      </c>
      <c r="Q836">
        <v>0.2576</v>
      </c>
    </row>
    <row r="837" spans="1:17">
      <c r="A837">
        <v>836</v>
      </c>
      <c r="B837">
        <v>0.2424</v>
      </c>
      <c r="C837">
        <v>0.93</v>
      </c>
      <c r="D837">
        <v>0</v>
      </c>
      <c r="E837">
        <v>1</v>
      </c>
      <c r="F837">
        <v>29</v>
      </c>
      <c r="G837">
        <v>30</v>
      </c>
      <c r="H837" s="22">
        <v>40581</v>
      </c>
      <c r="I837">
        <v>1</v>
      </c>
      <c r="J837">
        <v>0</v>
      </c>
      <c r="K837">
        <v>2</v>
      </c>
      <c r="L837">
        <v>6</v>
      </c>
      <c r="M837" t="b">
        <v>0</v>
      </c>
      <c r="N837">
        <v>1</v>
      </c>
      <c r="O837">
        <v>1</v>
      </c>
      <c r="P837">
        <v>0.18</v>
      </c>
      <c r="Q837">
        <v>0.2424</v>
      </c>
    </row>
    <row r="838" spans="1:17">
      <c r="A838">
        <v>837</v>
      </c>
      <c r="B838">
        <v>0.2424</v>
      </c>
      <c r="C838">
        <v>0.86</v>
      </c>
      <c r="D838">
        <v>0</v>
      </c>
      <c r="E838">
        <v>6</v>
      </c>
      <c r="F838">
        <v>89</v>
      </c>
      <c r="G838">
        <v>95</v>
      </c>
      <c r="H838" s="22">
        <v>40581</v>
      </c>
      <c r="I838">
        <v>1</v>
      </c>
      <c r="J838">
        <v>0</v>
      </c>
      <c r="K838">
        <v>2</v>
      </c>
      <c r="L838">
        <v>7</v>
      </c>
      <c r="M838" t="b">
        <v>0</v>
      </c>
      <c r="N838">
        <v>1</v>
      </c>
      <c r="O838">
        <v>1</v>
      </c>
      <c r="P838">
        <v>0.18</v>
      </c>
      <c r="Q838">
        <v>0.2424</v>
      </c>
    </row>
    <row r="839" spans="1:17">
      <c r="A839">
        <v>838</v>
      </c>
      <c r="B839">
        <v>0.2273</v>
      </c>
      <c r="C839">
        <v>1</v>
      </c>
      <c r="D839">
        <v>0</v>
      </c>
      <c r="E839">
        <v>7</v>
      </c>
      <c r="F839">
        <v>223</v>
      </c>
      <c r="G839">
        <v>230</v>
      </c>
      <c r="H839" s="22">
        <v>40581</v>
      </c>
      <c r="I839">
        <v>1</v>
      </c>
      <c r="J839">
        <v>0</v>
      </c>
      <c r="K839">
        <v>2</v>
      </c>
      <c r="L839">
        <v>8</v>
      </c>
      <c r="M839" t="b">
        <v>0</v>
      </c>
      <c r="N839">
        <v>1</v>
      </c>
      <c r="O839">
        <v>2</v>
      </c>
      <c r="P839">
        <v>0.16</v>
      </c>
      <c r="Q839">
        <v>0.2273</v>
      </c>
    </row>
    <row r="840" spans="1:17">
      <c r="A840">
        <v>839</v>
      </c>
      <c r="B840">
        <v>0.2727</v>
      </c>
      <c r="C840">
        <v>0.8</v>
      </c>
      <c r="D840">
        <v>0</v>
      </c>
      <c r="E840">
        <v>3</v>
      </c>
      <c r="F840">
        <v>115</v>
      </c>
      <c r="G840">
        <v>118</v>
      </c>
      <c r="H840" s="22">
        <v>40581</v>
      </c>
      <c r="I840">
        <v>1</v>
      </c>
      <c r="J840">
        <v>0</v>
      </c>
      <c r="K840">
        <v>2</v>
      </c>
      <c r="L840">
        <v>9</v>
      </c>
      <c r="M840" t="b">
        <v>0</v>
      </c>
      <c r="N840">
        <v>1</v>
      </c>
      <c r="O840">
        <v>1</v>
      </c>
      <c r="P840">
        <v>0.22</v>
      </c>
      <c r="Q840">
        <v>0.2727</v>
      </c>
    </row>
    <row r="841" spans="1:17">
      <c r="A841">
        <v>840</v>
      </c>
      <c r="B841">
        <v>0.2576</v>
      </c>
      <c r="C841">
        <v>0.75</v>
      </c>
      <c r="D841">
        <v>0.1045</v>
      </c>
      <c r="E841">
        <v>6</v>
      </c>
      <c r="F841">
        <v>49</v>
      </c>
      <c r="G841">
        <v>55</v>
      </c>
      <c r="H841" s="22">
        <v>40581</v>
      </c>
      <c r="I841">
        <v>1</v>
      </c>
      <c r="J841">
        <v>0</v>
      </c>
      <c r="K841">
        <v>2</v>
      </c>
      <c r="L841">
        <v>10</v>
      </c>
      <c r="M841" t="b">
        <v>0</v>
      </c>
      <c r="N841">
        <v>1</v>
      </c>
      <c r="O841">
        <v>1</v>
      </c>
      <c r="P841">
        <v>0.24</v>
      </c>
      <c r="Q841">
        <v>0.2576</v>
      </c>
    </row>
    <row r="842" spans="1:17">
      <c r="A842">
        <v>841</v>
      </c>
      <c r="B842">
        <v>0.31819999999999998</v>
      </c>
      <c r="C842">
        <v>0.65</v>
      </c>
      <c r="D842">
        <v>8.9599999999999999E-2</v>
      </c>
      <c r="E842">
        <v>11</v>
      </c>
      <c r="F842">
        <v>36</v>
      </c>
      <c r="G842">
        <v>47</v>
      </c>
      <c r="H842" s="22">
        <v>40581</v>
      </c>
      <c r="I842">
        <v>1</v>
      </c>
      <c r="J842">
        <v>0</v>
      </c>
      <c r="K842">
        <v>2</v>
      </c>
      <c r="L842">
        <v>11</v>
      </c>
      <c r="M842" t="b">
        <v>0</v>
      </c>
      <c r="N842">
        <v>1</v>
      </c>
      <c r="O842">
        <v>1</v>
      </c>
      <c r="P842">
        <v>0.3</v>
      </c>
      <c r="Q842">
        <v>0.31819999999999998</v>
      </c>
    </row>
    <row r="843" spans="1:17">
      <c r="A843">
        <v>842</v>
      </c>
      <c r="B843">
        <v>0.34849999999999998</v>
      </c>
      <c r="C843">
        <v>0.62</v>
      </c>
      <c r="D843">
        <v>0</v>
      </c>
      <c r="E843">
        <v>7</v>
      </c>
      <c r="F843">
        <v>59</v>
      </c>
      <c r="G843">
        <v>66</v>
      </c>
      <c r="H843" s="22">
        <v>40581</v>
      </c>
      <c r="I843">
        <v>1</v>
      </c>
      <c r="J843">
        <v>0</v>
      </c>
      <c r="K843">
        <v>2</v>
      </c>
      <c r="L843">
        <v>12</v>
      </c>
      <c r="M843" t="b">
        <v>0</v>
      </c>
      <c r="N843">
        <v>1</v>
      </c>
      <c r="O843">
        <v>2</v>
      </c>
      <c r="P843">
        <v>0.32</v>
      </c>
      <c r="Q843">
        <v>0.34849999999999998</v>
      </c>
    </row>
    <row r="844" spans="1:17">
      <c r="A844">
        <v>843</v>
      </c>
      <c r="B844">
        <v>0.36359999999999998</v>
      </c>
      <c r="C844">
        <v>0.56999999999999995</v>
      </c>
      <c r="D844">
        <v>8.9599999999999999E-2</v>
      </c>
      <c r="E844">
        <v>10</v>
      </c>
      <c r="F844">
        <v>54</v>
      </c>
      <c r="G844">
        <v>64</v>
      </c>
      <c r="H844" s="22">
        <v>40581</v>
      </c>
      <c r="I844">
        <v>1</v>
      </c>
      <c r="J844">
        <v>0</v>
      </c>
      <c r="K844">
        <v>2</v>
      </c>
      <c r="L844">
        <v>13</v>
      </c>
      <c r="M844" t="b">
        <v>0</v>
      </c>
      <c r="N844">
        <v>1</v>
      </c>
      <c r="O844">
        <v>2</v>
      </c>
      <c r="P844">
        <v>0.36</v>
      </c>
      <c r="Q844">
        <v>0.36359999999999998</v>
      </c>
    </row>
    <row r="845" spans="1:17">
      <c r="A845">
        <v>844</v>
      </c>
      <c r="B845">
        <v>0.36359999999999998</v>
      </c>
      <c r="C845">
        <v>0.56999999999999995</v>
      </c>
      <c r="D845">
        <v>8.9599999999999999E-2</v>
      </c>
      <c r="E845">
        <v>8</v>
      </c>
      <c r="F845">
        <v>52</v>
      </c>
      <c r="G845">
        <v>60</v>
      </c>
      <c r="H845" s="22">
        <v>40581</v>
      </c>
      <c r="I845">
        <v>1</v>
      </c>
      <c r="J845">
        <v>0</v>
      </c>
      <c r="K845">
        <v>2</v>
      </c>
      <c r="L845">
        <v>14</v>
      </c>
      <c r="M845" t="b">
        <v>0</v>
      </c>
      <c r="N845">
        <v>1</v>
      </c>
      <c r="O845">
        <v>2</v>
      </c>
      <c r="P845">
        <v>0.36</v>
      </c>
      <c r="Q845">
        <v>0.36359999999999998</v>
      </c>
    </row>
    <row r="846" spans="1:17">
      <c r="A846">
        <v>845</v>
      </c>
      <c r="B846">
        <v>0.39389999999999997</v>
      </c>
      <c r="C846">
        <v>0.54</v>
      </c>
      <c r="D846">
        <v>8.9599999999999999E-2</v>
      </c>
      <c r="E846">
        <v>4</v>
      </c>
      <c r="F846">
        <v>46</v>
      </c>
      <c r="G846">
        <v>50</v>
      </c>
      <c r="H846" s="22">
        <v>40581</v>
      </c>
      <c r="I846">
        <v>1</v>
      </c>
      <c r="J846">
        <v>0</v>
      </c>
      <c r="K846">
        <v>2</v>
      </c>
      <c r="L846">
        <v>15</v>
      </c>
      <c r="M846" t="b">
        <v>0</v>
      </c>
      <c r="N846">
        <v>1</v>
      </c>
      <c r="O846">
        <v>2</v>
      </c>
      <c r="P846">
        <v>0.38</v>
      </c>
      <c r="Q846">
        <v>0.39389999999999997</v>
      </c>
    </row>
    <row r="847" spans="1:17">
      <c r="A847">
        <v>846</v>
      </c>
      <c r="B847">
        <v>0.34849999999999998</v>
      </c>
      <c r="C847">
        <v>0.56999999999999995</v>
      </c>
      <c r="D847">
        <v>0.1343</v>
      </c>
      <c r="E847">
        <v>16</v>
      </c>
      <c r="F847">
        <v>98</v>
      </c>
      <c r="G847">
        <v>114</v>
      </c>
      <c r="H847" s="22">
        <v>40581</v>
      </c>
      <c r="I847">
        <v>1</v>
      </c>
      <c r="J847">
        <v>0</v>
      </c>
      <c r="K847">
        <v>2</v>
      </c>
      <c r="L847">
        <v>16</v>
      </c>
      <c r="M847" t="b">
        <v>0</v>
      </c>
      <c r="N847">
        <v>1</v>
      </c>
      <c r="O847">
        <v>2</v>
      </c>
      <c r="P847">
        <v>0.36</v>
      </c>
      <c r="Q847">
        <v>0.34849999999999998</v>
      </c>
    </row>
    <row r="848" spans="1:17">
      <c r="A848">
        <v>847</v>
      </c>
      <c r="B848">
        <v>0.31819999999999998</v>
      </c>
      <c r="C848">
        <v>0.7</v>
      </c>
      <c r="D848">
        <v>0.16420000000000001</v>
      </c>
      <c r="E848">
        <v>9</v>
      </c>
      <c r="F848">
        <v>207</v>
      </c>
      <c r="G848">
        <v>216</v>
      </c>
      <c r="H848" s="22">
        <v>40581</v>
      </c>
      <c r="I848">
        <v>1</v>
      </c>
      <c r="J848">
        <v>0</v>
      </c>
      <c r="K848">
        <v>2</v>
      </c>
      <c r="L848">
        <v>17</v>
      </c>
      <c r="M848" t="b">
        <v>0</v>
      </c>
      <c r="N848">
        <v>1</v>
      </c>
      <c r="O848">
        <v>2</v>
      </c>
      <c r="P848">
        <v>0.32</v>
      </c>
      <c r="Q848">
        <v>0.31819999999999998</v>
      </c>
    </row>
    <row r="849" spans="1:17">
      <c r="A849">
        <v>848</v>
      </c>
      <c r="B849">
        <v>0.33329999999999999</v>
      </c>
      <c r="C849">
        <v>0.66</v>
      </c>
      <c r="D849">
        <v>0.1343</v>
      </c>
      <c r="E849">
        <v>5</v>
      </c>
      <c r="F849">
        <v>170</v>
      </c>
      <c r="G849">
        <v>175</v>
      </c>
      <c r="H849" s="22">
        <v>40581</v>
      </c>
      <c r="I849">
        <v>1</v>
      </c>
      <c r="J849">
        <v>0</v>
      </c>
      <c r="K849">
        <v>2</v>
      </c>
      <c r="L849">
        <v>18</v>
      </c>
      <c r="M849" t="b">
        <v>0</v>
      </c>
      <c r="N849">
        <v>1</v>
      </c>
      <c r="O849">
        <v>2</v>
      </c>
      <c r="P849">
        <v>0.34</v>
      </c>
      <c r="Q849">
        <v>0.33329999999999999</v>
      </c>
    </row>
    <row r="850" spans="1:17">
      <c r="A850">
        <v>849</v>
      </c>
      <c r="B850">
        <v>0.34849999999999998</v>
      </c>
      <c r="C850">
        <v>0.7</v>
      </c>
      <c r="D850">
        <v>0</v>
      </c>
      <c r="E850">
        <v>5</v>
      </c>
      <c r="F850">
        <v>123</v>
      </c>
      <c r="G850">
        <v>128</v>
      </c>
      <c r="H850" s="22">
        <v>40581</v>
      </c>
      <c r="I850">
        <v>1</v>
      </c>
      <c r="J850">
        <v>0</v>
      </c>
      <c r="K850">
        <v>2</v>
      </c>
      <c r="L850">
        <v>19</v>
      </c>
      <c r="M850" t="b">
        <v>0</v>
      </c>
      <c r="N850">
        <v>1</v>
      </c>
      <c r="O850">
        <v>2</v>
      </c>
      <c r="P850">
        <v>0.32</v>
      </c>
      <c r="Q850">
        <v>0.34849999999999998</v>
      </c>
    </row>
    <row r="851" spans="1:17">
      <c r="A851">
        <v>850</v>
      </c>
      <c r="B851">
        <v>0.33329999999999999</v>
      </c>
      <c r="C851">
        <v>0.7</v>
      </c>
      <c r="D851">
        <v>0.1045</v>
      </c>
      <c r="E851">
        <v>6</v>
      </c>
      <c r="F851">
        <v>82</v>
      </c>
      <c r="G851">
        <v>88</v>
      </c>
      <c r="H851" s="22">
        <v>40581</v>
      </c>
      <c r="I851">
        <v>1</v>
      </c>
      <c r="J851">
        <v>0</v>
      </c>
      <c r="K851">
        <v>2</v>
      </c>
      <c r="L851">
        <v>20</v>
      </c>
      <c r="M851" t="b">
        <v>0</v>
      </c>
      <c r="N851">
        <v>1</v>
      </c>
      <c r="O851">
        <v>2</v>
      </c>
      <c r="P851">
        <v>0.32</v>
      </c>
      <c r="Q851">
        <v>0.33329999999999999</v>
      </c>
    </row>
    <row r="852" spans="1:17">
      <c r="A852">
        <v>851</v>
      </c>
      <c r="B852">
        <v>0.34849999999999998</v>
      </c>
      <c r="C852">
        <v>0.7</v>
      </c>
      <c r="D852">
        <v>0</v>
      </c>
      <c r="E852">
        <v>3</v>
      </c>
      <c r="F852">
        <v>75</v>
      </c>
      <c r="G852">
        <v>78</v>
      </c>
      <c r="H852" s="22">
        <v>40581</v>
      </c>
      <c r="I852">
        <v>1</v>
      </c>
      <c r="J852">
        <v>0</v>
      </c>
      <c r="K852">
        <v>2</v>
      </c>
      <c r="L852">
        <v>21</v>
      </c>
      <c r="M852" t="b">
        <v>0</v>
      </c>
      <c r="N852">
        <v>1</v>
      </c>
      <c r="O852">
        <v>1</v>
      </c>
      <c r="P852">
        <v>0.32</v>
      </c>
      <c r="Q852">
        <v>0.34849999999999998</v>
      </c>
    </row>
    <row r="853" spans="1:17">
      <c r="A853">
        <v>852</v>
      </c>
      <c r="B853">
        <v>0.30299999999999999</v>
      </c>
      <c r="C853">
        <v>0.81</v>
      </c>
      <c r="D853">
        <v>8.9599999999999999E-2</v>
      </c>
      <c r="E853">
        <v>3</v>
      </c>
      <c r="F853">
        <v>34</v>
      </c>
      <c r="G853">
        <v>37</v>
      </c>
      <c r="H853" s="22">
        <v>40581</v>
      </c>
      <c r="I853">
        <v>1</v>
      </c>
      <c r="J853">
        <v>0</v>
      </c>
      <c r="K853">
        <v>2</v>
      </c>
      <c r="L853">
        <v>22</v>
      </c>
      <c r="M853" t="b">
        <v>0</v>
      </c>
      <c r="N853">
        <v>1</v>
      </c>
      <c r="O853">
        <v>1</v>
      </c>
      <c r="P853">
        <v>0.28000000000000003</v>
      </c>
      <c r="Q853">
        <v>0.30299999999999999</v>
      </c>
    </row>
    <row r="854" spans="1:17">
      <c r="A854">
        <v>853</v>
      </c>
      <c r="B854">
        <v>0.33329999999999999</v>
      </c>
      <c r="C854">
        <v>0.81</v>
      </c>
      <c r="D854">
        <v>0</v>
      </c>
      <c r="E854">
        <v>6</v>
      </c>
      <c r="F854">
        <v>19</v>
      </c>
      <c r="G854">
        <v>25</v>
      </c>
      <c r="H854" s="22">
        <v>40581</v>
      </c>
      <c r="I854">
        <v>1</v>
      </c>
      <c r="J854">
        <v>0</v>
      </c>
      <c r="K854">
        <v>2</v>
      </c>
      <c r="L854">
        <v>23</v>
      </c>
      <c r="M854" t="b">
        <v>0</v>
      </c>
      <c r="N854">
        <v>1</v>
      </c>
      <c r="O854">
        <v>2</v>
      </c>
      <c r="P854">
        <v>0.3</v>
      </c>
      <c r="Q854">
        <v>0.33329999999999999</v>
      </c>
    </row>
    <row r="855" spans="1:17">
      <c r="A855">
        <v>854</v>
      </c>
      <c r="B855">
        <v>0.31819999999999998</v>
      </c>
      <c r="C855">
        <v>0.87</v>
      </c>
      <c r="D855">
        <v>0</v>
      </c>
      <c r="E855">
        <v>4</v>
      </c>
      <c r="F855">
        <v>6</v>
      </c>
      <c r="G855">
        <v>10</v>
      </c>
      <c r="H855" s="22">
        <v>40582</v>
      </c>
      <c r="I855">
        <v>1</v>
      </c>
      <c r="J855">
        <v>0</v>
      </c>
      <c r="K855">
        <v>2</v>
      </c>
      <c r="L855">
        <v>0</v>
      </c>
      <c r="M855" t="b">
        <v>0</v>
      </c>
      <c r="N855">
        <v>2</v>
      </c>
      <c r="O855">
        <v>2</v>
      </c>
      <c r="P855">
        <v>0.28000000000000003</v>
      </c>
      <c r="Q855">
        <v>0.31819999999999998</v>
      </c>
    </row>
    <row r="856" spans="1:17">
      <c r="A856">
        <v>855</v>
      </c>
      <c r="B856">
        <v>0.31819999999999998</v>
      </c>
      <c r="C856">
        <v>0.87</v>
      </c>
      <c r="D856">
        <v>0</v>
      </c>
      <c r="E856">
        <v>0</v>
      </c>
      <c r="F856">
        <v>4</v>
      </c>
      <c r="G856">
        <v>4</v>
      </c>
      <c r="H856" s="22">
        <v>40582</v>
      </c>
      <c r="I856">
        <v>1</v>
      </c>
      <c r="J856">
        <v>0</v>
      </c>
      <c r="K856">
        <v>2</v>
      </c>
      <c r="L856">
        <v>1</v>
      </c>
      <c r="M856" t="b">
        <v>0</v>
      </c>
      <c r="N856">
        <v>2</v>
      </c>
      <c r="O856">
        <v>2</v>
      </c>
      <c r="P856">
        <v>0.28000000000000003</v>
      </c>
      <c r="Q856">
        <v>0.31819999999999998</v>
      </c>
    </row>
    <row r="857" spans="1:17">
      <c r="A857">
        <v>856</v>
      </c>
      <c r="B857">
        <v>0.2727</v>
      </c>
      <c r="C857">
        <v>0.93</v>
      </c>
      <c r="D857">
        <v>0.1045</v>
      </c>
      <c r="E857">
        <v>1</v>
      </c>
      <c r="F857">
        <v>1</v>
      </c>
      <c r="G857">
        <v>2</v>
      </c>
      <c r="H857" s="22">
        <v>40582</v>
      </c>
      <c r="I857">
        <v>1</v>
      </c>
      <c r="J857">
        <v>0</v>
      </c>
      <c r="K857">
        <v>2</v>
      </c>
      <c r="L857">
        <v>2</v>
      </c>
      <c r="M857" t="b">
        <v>0</v>
      </c>
      <c r="N857">
        <v>2</v>
      </c>
      <c r="O857">
        <v>2</v>
      </c>
      <c r="P857">
        <v>0.26</v>
      </c>
      <c r="Q857">
        <v>0.2727</v>
      </c>
    </row>
    <row r="858" spans="1:17">
      <c r="A858">
        <v>857</v>
      </c>
      <c r="B858">
        <v>0.2727</v>
      </c>
      <c r="C858">
        <v>0.93</v>
      </c>
      <c r="D858">
        <v>0.16420000000000001</v>
      </c>
      <c r="E858">
        <v>0</v>
      </c>
      <c r="F858">
        <v>1</v>
      </c>
      <c r="G858">
        <v>1</v>
      </c>
      <c r="H858" s="22">
        <v>40582</v>
      </c>
      <c r="I858">
        <v>1</v>
      </c>
      <c r="J858">
        <v>0</v>
      </c>
      <c r="K858">
        <v>2</v>
      </c>
      <c r="L858">
        <v>3</v>
      </c>
      <c r="M858" t="b">
        <v>0</v>
      </c>
      <c r="N858">
        <v>2</v>
      </c>
      <c r="O858">
        <v>3</v>
      </c>
      <c r="P858">
        <v>0.28000000000000003</v>
      </c>
      <c r="Q858">
        <v>0.2727</v>
      </c>
    </row>
    <row r="859" spans="1:17">
      <c r="A859">
        <v>858</v>
      </c>
      <c r="B859">
        <v>0.2576</v>
      </c>
      <c r="C859">
        <v>0.93</v>
      </c>
      <c r="D859">
        <v>0.16420000000000001</v>
      </c>
      <c r="E859">
        <v>0</v>
      </c>
      <c r="F859">
        <v>3</v>
      </c>
      <c r="G859">
        <v>3</v>
      </c>
      <c r="H859" s="22">
        <v>40582</v>
      </c>
      <c r="I859">
        <v>1</v>
      </c>
      <c r="J859">
        <v>0</v>
      </c>
      <c r="K859">
        <v>2</v>
      </c>
      <c r="L859">
        <v>4</v>
      </c>
      <c r="M859" t="b">
        <v>0</v>
      </c>
      <c r="N859">
        <v>2</v>
      </c>
      <c r="O859">
        <v>1</v>
      </c>
      <c r="P859">
        <v>0.26</v>
      </c>
      <c r="Q859">
        <v>0.2576</v>
      </c>
    </row>
    <row r="860" spans="1:17">
      <c r="A860">
        <v>859</v>
      </c>
      <c r="B860">
        <v>0.2273</v>
      </c>
      <c r="C860">
        <v>0.81</v>
      </c>
      <c r="D860">
        <v>0.32840000000000003</v>
      </c>
      <c r="E860">
        <v>0</v>
      </c>
      <c r="F860">
        <v>2</v>
      </c>
      <c r="G860">
        <v>2</v>
      </c>
      <c r="H860" s="22">
        <v>40582</v>
      </c>
      <c r="I860">
        <v>1</v>
      </c>
      <c r="J860">
        <v>0</v>
      </c>
      <c r="K860">
        <v>2</v>
      </c>
      <c r="L860">
        <v>5</v>
      </c>
      <c r="M860" t="b">
        <v>0</v>
      </c>
      <c r="N860">
        <v>2</v>
      </c>
      <c r="O860">
        <v>1</v>
      </c>
      <c r="P860">
        <v>0.26</v>
      </c>
      <c r="Q860">
        <v>0.2273</v>
      </c>
    </row>
    <row r="861" spans="1:17">
      <c r="A861">
        <v>860</v>
      </c>
      <c r="B861">
        <v>0.2273</v>
      </c>
      <c r="C861">
        <v>0.7</v>
      </c>
      <c r="D861">
        <v>0.32840000000000003</v>
      </c>
      <c r="E861">
        <v>0</v>
      </c>
      <c r="F861">
        <v>39</v>
      </c>
      <c r="G861">
        <v>39</v>
      </c>
      <c r="H861" s="22">
        <v>40582</v>
      </c>
      <c r="I861">
        <v>1</v>
      </c>
      <c r="J861">
        <v>0</v>
      </c>
      <c r="K861">
        <v>2</v>
      </c>
      <c r="L861">
        <v>6</v>
      </c>
      <c r="M861" t="b">
        <v>0</v>
      </c>
      <c r="N861">
        <v>2</v>
      </c>
      <c r="O861">
        <v>1</v>
      </c>
      <c r="P861">
        <v>0.26</v>
      </c>
      <c r="Q861">
        <v>0.2273</v>
      </c>
    </row>
    <row r="862" spans="1:17">
      <c r="A862">
        <v>861</v>
      </c>
      <c r="B862">
        <v>0.19700000000000001</v>
      </c>
      <c r="C862">
        <v>0.65</v>
      </c>
      <c r="D862">
        <v>0.41789999999999999</v>
      </c>
      <c r="E862">
        <v>3</v>
      </c>
      <c r="F862">
        <v>97</v>
      </c>
      <c r="G862">
        <v>100</v>
      </c>
      <c r="H862" s="22">
        <v>40582</v>
      </c>
      <c r="I862">
        <v>1</v>
      </c>
      <c r="J862">
        <v>0</v>
      </c>
      <c r="K862">
        <v>2</v>
      </c>
      <c r="L862">
        <v>7</v>
      </c>
      <c r="M862" t="b">
        <v>0</v>
      </c>
      <c r="N862">
        <v>2</v>
      </c>
      <c r="O862">
        <v>1</v>
      </c>
      <c r="P862">
        <v>0.24</v>
      </c>
      <c r="Q862">
        <v>0.19700000000000001</v>
      </c>
    </row>
    <row r="863" spans="1:17">
      <c r="A863">
        <v>862</v>
      </c>
      <c r="B863">
        <v>0.19700000000000001</v>
      </c>
      <c r="C863">
        <v>0.56000000000000005</v>
      </c>
      <c r="D863">
        <v>0.49249999999999999</v>
      </c>
      <c r="E863">
        <v>7</v>
      </c>
      <c r="F863">
        <v>236</v>
      </c>
      <c r="G863">
        <v>243</v>
      </c>
      <c r="H863" s="22">
        <v>40582</v>
      </c>
      <c r="I863">
        <v>1</v>
      </c>
      <c r="J863">
        <v>0</v>
      </c>
      <c r="K863">
        <v>2</v>
      </c>
      <c r="L863">
        <v>8</v>
      </c>
      <c r="M863" t="b">
        <v>0</v>
      </c>
      <c r="N863">
        <v>2</v>
      </c>
      <c r="O863">
        <v>1</v>
      </c>
      <c r="P863">
        <v>0.24</v>
      </c>
      <c r="Q863">
        <v>0.19700000000000001</v>
      </c>
    </row>
    <row r="864" spans="1:17">
      <c r="A864">
        <v>863</v>
      </c>
      <c r="B864">
        <v>0.19700000000000001</v>
      </c>
      <c r="C864">
        <v>0.52</v>
      </c>
      <c r="D864">
        <v>0.49249999999999999</v>
      </c>
      <c r="E864">
        <v>7</v>
      </c>
      <c r="F864">
        <v>128</v>
      </c>
      <c r="G864">
        <v>135</v>
      </c>
      <c r="H864" s="22">
        <v>40582</v>
      </c>
      <c r="I864">
        <v>1</v>
      </c>
      <c r="J864">
        <v>0</v>
      </c>
      <c r="K864">
        <v>2</v>
      </c>
      <c r="L864">
        <v>9</v>
      </c>
      <c r="M864" t="b">
        <v>0</v>
      </c>
      <c r="N864">
        <v>2</v>
      </c>
      <c r="O864">
        <v>1</v>
      </c>
      <c r="P864">
        <v>0.24</v>
      </c>
      <c r="Q864">
        <v>0.19700000000000001</v>
      </c>
    </row>
    <row r="865" spans="1:17">
      <c r="A865">
        <v>864</v>
      </c>
      <c r="B865">
        <v>0.18179999999999999</v>
      </c>
      <c r="C865">
        <v>0.47</v>
      </c>
      <c r="D865">
        <v>0.55220000000000002</v>
      </c>
      <c r="E865">
        <v>4</v>
      </c>
      <c r="F865">
        <v>44</v>
      </c>
      <c r="G865">
        <v>48</v>
      </c>
      <c r="H865" s="22">
        <v>40582</v>
      </c>
      <c r="I865">
        <v>1</v>
      </c>
      <c r="J865">
        <v>0</v>
      </c>
      <c r="K865">
        <v>2</v>
      </c>
      <c r="L865">
        <v>10</v>
      </c>
      <c r="M865" t="b">
        <v>0</v>
      </c>
      <c r="N865">
        <v>2</v>
      </c>
      <c r="O865">
        <v>1</v>
      </c>
      <c r="P865">
        <v>0.22</v>
      </c>
      <c r="Q865">
        <v>0.18179999999999999</v>
      </c>
    </row>
    <row r="866" spans="1:17">
      <c r="A866">
        <v>865</v>
      </c>
      <c r="B866">
        <v>0.18179999999999999</v>
      </c>
      <c r="C866">
        <v>0.47</v>
      </c>
      <c r="D866">
        <v>0.4627</v>
      </c>
      <c r="E866">
        <v>1</v>
      </c>
      <c r="F866">
        <v>49</v>
      </c>
      <c r="G866">
        <v>50</v>
      </c>
      <c r="H866" s="22">
        <v>40582</v>
      </c>
      <c r="I866">
        <v>1</v>
      </c>
      <c r="J866">
        <v>0</v>
      </c>
      <c r="K866">
        <v>2</v>
      </c>
      <c r="L866">
        <v>11</v>
      </c>
      <c r="M866" t="b">
        <v>0</v>
      </c>
      <c r="N866">
        <v>2</v>
      </c>
      <c r="O866">
        <v>1</v>
      </c>
      <c r="P866">
        <v>0.22</v>
      </c>
      <c r="Q866">
        <v>0.18179999999999999</v>
      </c>
    </row>
    <row r="867" spans="1:17">
      <c r="A867">
        <v>866</v>
      </c>
      <c r="B867">
        <v>0.19700000000000001</v>
      </c>
      <c r="C867">
        <v>0.38</v>
      </c>
      <c r="D867">
        <v>0.49249999999999999</v>
      </c>
      <c r="E867">
        <v>2</v>
      </c>
      <c r="F867">
        <v>63</v>
      </c>
      <c r="G867">
        <v>65</v>
      </c>
      <c r="H867" s="22">
        <v>40582</v>
      </c>
      <c r="I867">
        <v>1</v>
      </c>
      <c r="J867">
        <v>0</v>
      </c>
      <c r="K867">
        <v>2</v>
      </c>
      <c r="L867">
        <v>12</v>
      </c>
      <c r="M867" t="b">
        <v>0</v>
      </c>
      <c r="N867">
        <v>2</v>
      </c>
      <c r="O867">
        <v>1</v>
      </c>
      <c r="P867">
        <v>0.24</v>
      </c>
      <c r="Q867">
        <v>0.19700000000000001</v>
      </c>
    </row>
    <row r="868" spans="1:17">
      <c r="A868">
        <v>867</v>
      </c>
      <c r="B868">
        <v>0.19700000000000001</v>
      </c>
      <c r="C868">
        <v>0.32</v>
      </c>
      <c r="D868">
        <v>0.44779999999999998</v>
      </c>
      <c r="E868">
        <v>2</v>
      </c>
      <c r="F868">
        <v>48</v>
      </c>
      <c r="G868">
        <v>50</v>
      </c>
      <c r="H868" s="22">
        <v>40582</v>
      </c>
      <c r="I868">
        <v>1</v>
      </c>
      <c r="J868">
        <v>0</v>
      </c>
      <c r="K868">
        <v>2</v>
      </c>
      <c r="L868">
        <v>13</v>
      </c>
      <c r="M868" t="b">
        <v>0</v>
      </c>
      <c r="N868">
        <v>2</v>
      </c>
      <c r="O868">
        <v>2</v>
      </c>
      <c r="P868">
        <v>0.24</v>
      </c>
      <c r="Q868">
        <v>0.19700000000000001</v>
      </c>
    </row>
    <row r="869" spans="1:17">
      <c r="A869">
        <v>868</v>
      </c>
      <c r="B869">
        <v>0.19700000000000001</v>
      </c>
      <c r="C869">
        <v>0.37</v>
      </c>
      <c r="D869">
        <v>0.41789999999999999</v>
      </c>
      <c r="E869">
        <v>3</v>
      </c>
      <c r="F869">
        <v>61</v>
      </c>
      <c r="G869">
        <v>64</v>
      </c>
      <c r="H869" s="22">
        <v>40582</v>
      </c>
      <c r="I869">
        <v>1</v>
      </c>
      <c r="J869">
        <v>0</v>
      </c>
      <c r="K869">
        <v>2</v>
      </c>
      <c r="L869">
        <v>14</v>
      </c>
      <c r="M869" t="b">
        <v>0</v>
      </c>
      <c r="N869">
        <v>2</v>
      </c>
      <c r="O869">
        <v>1</v>
      </c>
      <c r="P869">
        <v>0.22</v>
      </c>
      <c r="Q869">
        <v>0.19700000000000001</v>
      </c>
    </row>
    <row r="870" spans="1:17">
      <c r="A870">
        <v>869</v>
      </c>
      <c r="B870">
        <v>0.19700000000000001</v>
      </c>
      <c r="C870">
        <v>0.35</v>
      </c>
      <c r="D870">
        <v>0.3881</v>
      </c>
      <c r="E870">
        <v>6</v>
      </c>
      <c r="F870">
        <v>45</v>
      </c>
      <c r="G870">
        <v>51</v>
      </c>
      <c r="H870" s="22">
        <v>40582</v>
      </c>
      <c r="I870">
        <v>1</v>
      </c>
      <c r="J870">
        <v>0</v>
      </c>
      <c r="K870">
        <v>2</v>
      </c>
      <c r="L870">
        <v>15</v>
      </c>
      <c r="M870" t="b">
        <v>0</v>
      </c>
      <c r="N870">
        <v>2</v>
      </c>
      <c r="O870">
        <v>1</v>
      </c>
      <c r="P870">
        <v>0.22</v>
      </c>
      <c r="Q870">
        <v>0.19700000000000001</v>
      </c>
    </row>
    <row r="871" spans="1:17">
      <c r="A871">
        <v>870</v>
      </c>
      <c r="B871">
        <v>0.18179999999999999</v>
      </c>
      <c r="C871">
        <v>0.35</v>
      </c>
      <c r="D871">
        <v>0.52239999999999998</v>
      </c>
      <c r="E871">
        <v>4</v>
      </c>
      <c r="F871">
        <v>79</v>
      </c>
      <c r="G871">
        <v>83</v>
      </c>
      <c r="H871" s="22">
        <v>40582</v>
      </c>
      <c r="I871">
        <v>1</v>
      </c>
      <c r="J871">
        <v>0</v>
      </c>
      <c r="K871">
        <v>2</v>
      </c>
      <c r="L871">
        <v>16</v>
      </c>
      <c r="M871" t="b">
        <v>0</v>
      </c>
      <c r="N871">
        <v>2</v>
      </c>
      <c r="O871">
        <v>1</v>
      </c>
      <c r="P871">
        <v>0.22</v>
      </c>
      <c r="Q871">
        <v>0.18179999999999999</v>
      </c>
    </row>
    <row r="872" spans="1:17">
      <c r="A872">
        <v>871</v>
      </c>
      <c r="B872">
        <v>0.18179999999999999</v>
      </c>
      <c r="C872">
        <v>0.32</v>
      </c>
      <c r="D872">
        <v>0.58209999999999995</v>
      </c>
      <c r="E872">
        <v>4</v>
      </c>
      <c r="F872">
        <v>172</v>
      </c>
      <c r="G872">
        <v>176</v>
      </c>
      <c r="H872" s="22">
        <v>40582</v>
      </c>
      <c r="I872">
        <v>1</v>
      </c>
      <c r="J872">
        <v>0</v>
      </c>
      <c r="K872">
        <v>2</v>
      </c>
      <c r="L872">
        <v>17</v>
      </c>
      <c r="M872" t="b">
        <v>0</v>
      </c>
      <c r="N872">
        <v>2</v>
      </c>
      <c r="O872">
        <v>1</v>
      </c>
      <c r="P872">
        <v>0.22</v>
      </c>
      <c r="Q872">
        <v>0.18179999999999999</v>
      </c>
    </row>
    <row r="873" spans="1:17">
      <c r="A873">
        <v>872</v>
      </c>
      <c r="B873">
        <v>0.18179999999999999</v>
      </c>
      <c r="C873">
        <v>0.32</v>
      </c>
      <c r="D873">
        <v>0.3881</v>
      </c>
      <c r="E873">
        <v>1</v>
      </c>
      <c r="F873">
        <v>151</v>
      </c>
      <c r="G873">
        <v>152</v>
      </c>
      <c r="H873" s="22">
        <v>40582</v>
      </c>
      <c r="I873">
        <v>1</v>
      </c>
      <c r="J873">
        <v>0</v>
      </c>
      <c r="K873">
        <v>2</v>
      </c>
      <c r="L873">
        <v>18</v>
      </c>
      <c r="M873" t="b">
        <v>0</v>
      </c>
      <c r="N873">
        <v>2</v>
      </c>
      <c r="O873">
        <v>1</v>
      </c>
      <c r="P873">
        <v>0.2</v>
      </c>
      <c r="Q873">
        <v>0.18179999999999999</v>
      </c>
    </row>
    <row r="874" spans="1:17">
      <c r="A874">
        <v>873</v>
      </c>
      <c r="B874">
        <v>0.1212</v>
      </c>
      <c r="C874">
        <v>0.4</v>
      </c>
      <c r="D874">
        <v>0.4627</v>
      </c>
      <c r="E874">
        <v>1</v>
      </c>
      <c r="F874">
        <v>100</v>
      </c>
      <c r="G874">
        <v>101</v>
      </c>
      <c r="H874" s="22">
        <v>40582</v>
      </c>
      <c r="I874">
        <v>1</v>
      </c>
      <c r="J874">
        <v>0</v>
      </c>
      <c r="K874">
        <v>2</v>
      </c>
      <c r="L874">
        <v>19</v>
      </c>
      <c r="M874" t="b">
        <v>0</v>
      </c>
      <c r="N874">
        <v>2</v>
      </c>
      <c r="O874">
        <v>1</v>
      </c>
      <c r="P874">
        <v>0.16</v>
      </c>
      <c r="Q874">
        <v>0.1212</v>
      </c>
    </row>
    <row r="875" spans="1:17">
      <c r="A875">
        <v>874</v>
      </c>
      <c r="B875">
        <v>0.13639999999999999</v>
      </c>
      <c r="C875">
        <v>0.4</v>
      </c>
      <c r="D875">
        <v>0.32840000000000003</v>
      </c>
      <c r="E875">
        <v>3</v>
      </c>
      <c r="F875">
        <v>53</v>
      </c>
      <c r="G875">
        <v>56</v>
      </c>
      <c r="H875" s="22">
        <v>40582</v>
      </c>
      <c r="I875">
        <v>1</v>
      </c>
      <c r="J875">
        <v>0</v>
      </c>
      <c r="K875">
        <v>2</v>
      </c>
      <c r="L875">
        <v>20</v>
      </c>
      <c r="M875" t="b">
        <v>0</v>
      </c>
      <c r="N875">
        <v>2</v>
      </c>
      <c r="O875">
        <v>1</v>
      </c>
      <c r="P875">
        <v>0.16</v>
      </c>
      <c r="Q875">
        <v>0.13639999999999999</v>
      </c>
    </row>
    <row r="876" spans="1:17">
      <c r="A876">
        <v>875</v>
      </c>
      <c r="B876">
        <v>0.1061</v>
      </c>
      <c r="C876">
        <v>0.33</v>
      </c>
      <c r="D876">
        <v>0.4627</v>
      </c>
      <c r="E876">
        <v>8</v>
      </c>
      <c r="F876">
        <v>46</v>
      </c>
      <c r="G876">
        <v>54</v>
      </c>
      <c r="H876" s="22">
        <v>40582</v>
      </c>
      <c r="I876">
        <v>1</v>
      </c>
      <c r="J876">
        <v>0</v>
      </c>
      <c r="K876">
        <v>2</v>
      </c>
      <c r="L876">
        <v>21</v>
      </c>
      <c r="M876" t="b">
        <v>0</v>
      </c>
      <c r="N876">
        <v>2</v>
      </c>
      <c r="O876">
        <v>1</v>
      </c>
      <c r="P876">
        <v>0.14000000000000001</v>
      </c>
      <c r="Q876">
        <v>0.1061</v>
      </c>
    </row>
    <row r="877" spans="1:17">
      <c r="A877">
        <v>876</v>
      </c>
      <c r="B877">
        <v>0.1061</v>
      </c>
      <c r="C877">
        <v>0.33</v>
      </c>
      <c r="D877">
        <v>0.35820000000000002</v>
      </c>
      <c r="E877">
        <v>0</v>
      </c>
      <c r="F877">
        <v>29</v>
      </c>
      <c r="G877">
        <v>29</v>
      </c>
      <c r="H877" s="22">
        <v>40582</v>
      </c>
      <c r="I877">
        <v>1</v>
      </c>
      <c r="J877">
        <v>0</v>
      </c>
      <c r="K877">
        <v>2</v>
      </c>
      <c r="L877">
        <v>22</v>
      </c>
      <c r="M877" t="b">
        <v>0</v>
      </c>
      <c r="N877">
        <v>2</v>
      </c>
      <c r="O877">
        <v>1</v>
      </c>
      <c r="P877">
        <v>0.12</v>
      </c>
      <c r="Q877">
        <v>0.1061</v>
      </c>
    </row>
    <row r="878" spans="1:17">
      <c r="A878">
        <v>877</v>
      </c>
      <c r="B878">
        <v>0.1061</v>
      </c>
      <c r="C878">
        <v>0.33</v>
      </c>
      <c r="D878">
        <v>0.32840000000000003</v>
      </c>
      <c r="E878">
        <v>3</v>
      </c>
      <c r="F878">
        <v>9</v>
      </c>
      <c r="G878">
        <v>12</v>
      </c>
      <c r="H878" s="22">
        <v>40582</v>
      </c>
      <c r="I878">
        <v>1</v>
      </c>
      <c r="J878">
        <v>0</v>
      </c>
      <c r="K878">
        <v>2</v>
      </c>
      <c r="L878">
        <v>23</v>
      </c>
      <c r="M878" t="b">
        <v>0</v>
      </c>
      <c r="N878">
        <v>2</v>
      </c>
      <c r="O878">
        <v>1</v>
      </c>
      <c r="P878">
        <v>0.12</v>
      </c>
      <c r="Q878">
        <v>0.1061</v>
      </c>
    </row>
    <row r="879" spans="1:17">
      <c r="A879">
        <v>878</v>
      </c>
      <c r="B879">
        <v>7.5800000000000006E-2</v>
      </c>
      <c r="C879">
        <v>0.36</v>
      </c>
      <c r="D879">
        <v>0.35820000000000002</v>
      </c>
      <c r="E879">
        <v>0</v>
      </c>
      <c r="F879">
        <v>17</v>
      </c>
      <c r="G879">
        <v>17</v>
      </c>
      <c r="H879" s="22">
        <v>40583</v>
      </c>
      <c r="I879">
        <v>1</v>
      </c>
      <c r="J879">
        <v>0</v>
      </c>
      <c r="K879">
        <v>2</v>
      </c>
      <c r="L879">
        <v>0</v>
      </c>
      <c r="M879" t="b">
        <v>0</v>
      </c>
      <c r="N879">
        <v>3</v>
      </c>
      <c r="O879">
        <v>1</v>
      </c>
      <c r="P879">
        <v>0.1</v>
      </c>
      <c r="Q879">
        <v>7.5800000000000006E-2</v>
      </c>
    </row>
    <row r="880" spans="1:17">
      <c r="A880">
        <v>879</v>
      </c>
      <c r="B880">
        <v>0.1061</v>
      </c>
      <c r="C880">
        <v>0.36</v>
      </c>
      <c r="D880">
        <v>0.22389999999999999</v>
      </c>
      <c r="E880">
        <v>0</v>
      </c>
      <c r="F880">
        <v>7</v>
      </c>
      <c r="G880">
        <v>7</v>
      </c>
      <c r="H880" s="22">
        <v>40583</v>
      </c>
      <c r="I880">
        <v>1</v>
      </c>
      <c r="J880">
        <v>0</v>
      </c>
      <c r="K880">
        <v>2</v>
      </c>
      <c r="L880">
        <v>1</v>
      </c>
      <c r="M880" t="b">
        <v>0</v>
      </c>
      <c r="N880">
        <v>3</v>
      </c>
      <c r="O880">
        <v>1</v>
      </c>
      <c r="P880">
        <v>0.1</v>
      </c>
      <c r="Q880">
        <v>0.1061</v>
      </c>
    </row>
    <row r="881" spans="1:17">
      <c r="A881">
        <v>880</v>
      </c>
      <c r="B881">
        <v>7.5800000000000006E-2</v>
      </c>
      <c r="C881">
        <v>0.38</v>
      </c>
      <c r="D881">
        <v>0.28360000000000002</v>
      </c>
      <c r="E881">
        <v>1</v>
      </c>
      <c r="F881">
        <v>2</v>
      </c>
      <c r="G881">
        <v>3</v>
      </c>
      <c r="H881" s="22">
        <v>40583</v>
      </c>
      <c r="I881">
        <v>1</v>
      </c>
      <c r="J881">
        <v>0</v>
      </c>
      <c r="K881">
        <v>2</v>
      </c>
      <c r="L881">
        <v>2</v>
      </c>
      <c r="M881" t="b">
        <v>0</v>
      </c>
      <c r="N881">
        <v>3</v>
      </c>
      <c r="O881">
        <v>1</v>
      </c>
      <c r="P881">
        <v>0.08</v>
      </c>
      <c r="Q881">
        <v>7.5800000000000006E-2</v>
      </c>
    </row>
    <row r="882" spans="1:17">
      <c r="A882">
        <v>881</v>
      </c>
      <c r="B882">
        <v>7.5800000000000006E-2</v>
      </c>
      <c r="C882">
        <v>0.45</v>
      </c>
      <c r="D882">
        <v>0.1343</v>
      </c>
      <c r="E882">
        <v>0</v>
      </c>
      <c r="F882">
        <v>2</v>
      </c>
      <c r="G882">
        <v>2</v>
      </c>
      <c r="H882" s="22">
        <v>40583</v>
      </c>
      <c r="I882">
        <v>1</v>
      </c>
      <c r="J882">
        <v>0</v>
      </c>
      <c r="K882">
        <v>2</v>
      </c>
      <c r="L882">
        <v>3</v>
      </c>
      <c r="M882" t="b">
        <v>0</v>
      </c>
      <c r="N882">
        <v>3</v>
      </c>
      <c r="O882">
        <v>1</v>
      </c>
      <c r="P882">
        <v>0.06</v>
      </c>
      <c r="Q882">
        <v>7.5800000000000006E-2</v>
      </c>
    </row>
    <row r="883" spans="1:17">
      <c r="A883">
        <v>882</v>
      </c>
      <c r="B883">
        <v>0.1061</v>
      </c>
      <c r="C883">
        <v>0.45</v>
      </c>
      <c r="D883">
        <v>0.1045</v>
      </c>
      <c r="E883">
        <v>0</v>
      </c>
      <c r="F883">
        <v>7</v>
      </c>
      <c r="G883">
        <v>7</v>
      </c>
      <c r="H883" s="22">
        <v>40583</v>
      </c>
      <c r="I883">
        <v>1</v>
      </c>
      <c r="J883">
        <v>0</v>
      </c>
      <c r="K883">
        <v>2</v>
      </c>
      <c r="L883">
        <v>5</v>
      </c>
      <c r="M883" t="b">
        <v>0</v>
      </c>
      <c r="N883">
        <v>3</v>
      </c>
      <c r="O883">
        <v>1</v>
      </c>
      <c r="P883">
        <v>0.06</v>
      </c>
      <c r="Q883">
        <v>0.1061</v>
      </c>
    </row>
    <row r="884" spans="1:17">
      <c r="A884">
        <v>883</v>
      </c>
      <c r="B884">
        <v>0.1515</v>
      </c>
      <c r="C884">
        <v>0.45</v>
      </c>
      <c r="D884">
        <v>0</v>
      </c>
      <c r="E884">
        <v>0</v>
      </c>
      <c r="F884">
        <v>43</v>
      </c>
      <c r="G884">
        <v>43</v>
      </c>
      <c r="H884" s="22">
        <v>40583</v>
      </c>
      <c r="I884">
        <v>1</v>
      </c>
      <c r="J884">
        <v>0</v>
      </c>
      <c r="K884">
        <v>2</v>
      </c>
      <c r="L884">
        <v>6</v>
      </c>
      <c r="M884" t="b">
        <v>0</v>
      </c>
      <c r="N884">
        <v>3</v>
      </c>
      <c r="O884">
        <v>1</v>
      </c>
      <c r="P884">
        <v>0.06</v>
      </c>
      <c r="Q884">
        <v>0.1515</v>
      </c>
    </row>
    <row r="885" spans="1:17">
      <c r="A885">
        <v>884</v>
      </c>
      <c r="B885">
        <v>0.1061</v>
      </c>
      <c r="C885">
        <v>0.49</v>
      </c>
      <c r="D885">
        <v>0.1045</v>
      </c>
      <c r="E885">
        <v>4</v>
      </c>
      <c r="F885">
        <v>95</v>
      </c>
      <c r="G885">
        <v>99</v>
      </c>
      <c r="H885" s="22">
        <v>40583</v>
      </c>
      <c r="I885">
        <v>1</v>
      </c>
      <c r="J885">
        <v>0</v>
      </c>
      <c r="K885">
        <v>2</v>
      </c>
      <c r="L885">
        <v>7</v>
      </c>
      <c r="M885" t="b">
        <v>0</v>
      </c>
      <c r="N885">
        <v>3</v>
      </c>
      <c r="O885">
        <v>1</v>
      </c>
      <c r="P885">
        <v>0.06</v>
      </c>
      <c r="Q885">
        <v>0.1061</v>
      </c>
    </row>
    <row r="886" spans="1:17">
      <c r="A886">
        <v>885</v>
      </c>
      <c r="B886">
        <v>0.13639999999999999</v>
      </c>
      <c r="C886">
        <v>0.42</v>
      </c>
      <c r="D886">
        <v>0</v>
      </c>
      <c r="E886">
        <v>1</v>
      </c>
      <c r="F886">
        <v>198</v>
      </c>
      <c r="G886">
        <v>199</v>
      </c>
      <c r="H886" s="22">
        <v>40583</v>
      </c>
      <c r="I886">
        <v>1</v>
      </c>
      <c r="J886">
        <v>0</v>
      </c>
      <c r="K886">
        <v>2</v>
      </c>
      <c r="L886">
        <v>8</v>
      </c>
      <c r="M886" t="b">
        <v>0</v>
      </c>
      <c r="N886">
        <v>3</v>
      </c>
      <c r="O886">
        <v>1</v>
      </c>
      <c r="P886">
        <v>0.1</v>
      </c>
      <c r="Q886">
        <v>0.13639999999999999</v>
      </c>
    </row>
    <row r="887" spans="1:17">
      <c r="A887">
        <v>886</v>
      </c>
      <c r="B887">
        <v>0.13639999999999999</v>
      </c>
      <c r="C887">
        <v>0.39</v>
      </c>
      <c r="D887">
        <v>0.16420000000000001</v>
      </c>
      <c r="E887">
        <v>4</v>
      </c>
      <c r="F887">
        <v>119</v>
      </c>
      <c r="G887">
        <v>123</v>
      </c>
      <c r="H887" s="22">
        <v>40583</v>
      </c>
      <c r="I887">
        <v>1</v>
      </c>
      <c r="J887">
        <v>0</v>
      </c>
      <c r="K887">
        <v>2</v>
      </c>
      <c r="L887">
        <v>9</v>
      </c>
      <c r="M887" t="b">
        <v>0</v>
      </c>
      <c r="N887">
        <v>3</v>
      </c>
      <c r="O887">
        <v>1</v>
      </c>
      <c r="P887">
        <v>0.12</v>
      </c>
      <c r="Q887">
        <v>0.13639999999999999</v>
      </c>
    </row>
    <row r="888" spans="1:17">
      <c r="A888">
        <v>887</v>
      </c>
      <c r="B888">
        <v>0.18179999999999999</v>
      </c>
      <c r="C888">
        <v>0.36</v>
      </c>
      <c r="D888">
        <v>0</v>
      </c>
      <c r="E888">
        <v>8</v>
      </c>
      <c r="F888">
        <v>51</v>
      </c>
      <c r="G888">
        <v>59</v>
      </c>
      <c r="H888" s="22">
        <v>40583</v>
      </c>
      <c r="I888">
        <v>1</v>
      </c>
      <c r="J888">
        <v>0</v>
      </c>
      <c r="K888">
        <v>2</v>
      </c>
      <c r="L888">
        <v>10</v>
      </c>
      <c r="M888" t="b">
        <v>0</v>
      </c>
      <c r="N888">
        <v>3</v>
      </c>
      <c r="O888">
        <v>1</v>
      </c>
      <c r="P888">
        <v>0.14000000000000001</v>
      </c>
      <c r="Q888">
        <v>0.18179999999999999</v>
      </c>
    </row>
    <row r="889" spans="1:17">
      <c r="A889">
        <v>888</v>
      </c>
      <c r="B889">
        <v>0.1515</v>
      </c>
      <c r="C889">
        <v>0.43</v>
      </c>
      <c r="D889">
        <v>0.16420000000000001</v>
      </c>
      <c r="E889">
        <v>1</v>
      </c>
      <c r="F889">
        <v>40</v>
      </c>
      <c r="G889">
        <v>41</v>
      </c>
      <c r="H889" s="22">
        <v>40583</v>
      </c>
      <c r="I889">
        <v>1</v>
      </c>
      <c r="J889">
        <v>0</v>
      </c>
      <c r="K889">
        <v>2</v>
      </c>
      <c r="L889">
        <v>11</v>
      </c>
      <c r="M889" t="b">
        <v>0</v>
      </c>
      <c r="N889">
        <v>3</v>
      </c>
      <c r="O889">
        <v>2</v>
      </c>
      <c r="P889">
        <v>0.14000000000000001</v>
      </c>
      <c r="Q889">
        <v>0.1515</v>
      </c>
    </row>
    <row r="890" spans="1:17">
      <c r="A890">
        <v>889</v>
      </c>
      <c r="B890">
        <v>0.18179999999999999</v>
      </c>
      <c r="C890">
        <v>0.4</v>
      </c>
      <c r="D890">
        <v>0.22389999999999999</v>
      </c>
      <c r="E890">
        <v>4</v>
      </c>
      <c r="F890">
        <v>57</v>
      </c>
      <c r="G890">
        <v>61</v>
      </c>
      <c r="H890" s="22">
        <v>40583</v>
      </c>
      <c r="I890">
        <v>1</v>
      </c>
      <c r="J890">
        <v>0</v>
      </c>
      <c r="K890">
        <v>2</v>
      </c>
      <c r="L890">
        <v>12</v>
      </c>
      <c r="M890" t="b">
        <v>0</v>
      </c>
      <c r="N890">
        <v>3</v>
      </c>
      <c r="O890">
        <v>2</v>
      </c>
      <c r="P890">
        <v>0.18</v>
      </c>
      <c r="Q890">
        <v>0.18179999999999999</v>
      </c>
    </row>
    <row r="891" spans="1:17">
      <c r="A891">
        <v>890</v>
      </c>
      <c r="B891">
        <v>0.16669999999999999</v>
      </c>
      <c r="C891">
        <v>0.4</v>
      </c>
      <c r="D891">
        <v>0.25369999999999998</v>
      </c>
      <c r="E891">
        <v>2</v>
      </c>
      <c r="F891">
        <v>67</v>
      </c>
      <c r="G891">
        <v>69</v>
      </c>
      <c r="H891" s="22">
        <v>40583</v>
      </c>
      <c r="I891">
        <v>1</v>
      </c>
      <c r="J891">
        <v>0</v>
      </c>
      <c r="K891">
        <v>2</v>
      </c>
      <c r="L891">
        <v>13</v>
      </c>
      <c r="M891" t="b">
        <v>0</v>
      </c>
      <c r="N891">
        <v>3</v>
      </c>
      <c r="O891">
        <v>1</v>
      </c>
      <c r="P891">
        <v>0.18</v>
      </c>
      <c r="Q891">
        <v>0.16669999999999999</v>
      </c>
    </row>
    <row r="892" spans="1:17">
      <c r="A892">
        <v>891</v>
      </c>
      <c r="B892">
        <v>0.18179999999999999</v>
      </c>
      <c r="C892">
        <v>0.34</v>
      </c>
      <c r="D892">
        <v>0.29849999999999999</v>
      </c>
      <c r="E892">
        <v>2</v>
      </c>
      <c r="F892">
        <v>56</v>
      </c>
      <c r="G892">
        <v>58</v>
      </c>
      <c r="H892" s="22">
        <v>40583</v>
      </c>
      <c r="I892">
        <v>1</v>
      </c>
      <c r="J892">
        <v>0</v>
      </c>
      <c r="K892">
        <v>2</v>
      </c>
      <c r="L892">
        <v>14</v>
      </c>
      <c r="M892" t="b">
        <v>0</v>
      </c>
      <c r="N892">
        <v>3</v>
      </c>
      <c r="O892">
        <v>1</v>
      </c>
      <c r="P892">
        <v>0.2</v>
      </c>
      <c r="Q892">
        <v>0.18179999999999999</v>
      </c>
    </row>
    <row r="893" spans="1:17">
      <c r="A893">
        <v>892</v>
      </c>
      <c r="B893">
        <v>0.18179999999999999</v>
      </c>
      <c r="C893">
        <v>0.34</v>
      </c>
      <c r="D893">
        <v>0.28360000000000002</v>
      </c>
      <c r="E893">
        <v>3</v>
      </c>
      <c r="F893">
        <v>61</v>
      </c>
      <c r="G893">
        <v>64</v>
      </c>
      <c r="H893" s="22">
        <v>40583</v>
      </c>
      <c r="I893">
        <v>1</v>
      </c>
      <c r="J893">
        <v>0</v>
      </c>
      <c r="K893">
        <v>2</v>
      </c>
      <c r="L893">
        <v>15</v>
      </c>
      <c r="M893" t="b">
        <v>0</v>
      </c>
      <c r="N893">
        <v>3</v>
      </c>
      <c r="O893">
        <v>2</v>
      </c>
      <c r="P893">
        <v>0.2</v>
      </c>
      <c r="Q893">
        <v>0.18179999999999999</v>
      </c>
    </row>
    <row r="894" spans="1:17">
      <c r="A894">
        <v>893</v>
      </c>
      <c r="B894">
        <v>0.19700000000000001</v>
      </c>
      <c r="C894">
        <v>0.37</v>
      </c>
      <c r="D894">
        <v>0.25369999999999998</v>
      </c>
      <c r="E894">
        <v>7</v>
      </c>
      <c r="F894">
        <v>72</v>
      </c>
      <c r="G894">
        <v>79</v>
      </c>
      <c r="H894" s="22">
        <v>40583</v>
      </c>
      <c r="I894">
        <v>1</v>
      </c>
      <c r="J894">
        <v>0</v>
      </c>
      <c r="K894">
        <v>2</v>
      </c>
      <c r="L894">
        <v>16</v>
      </c>
      <c r="M894" t="b">
        <v>0</v>
      </c>
      <c r="N894">
        <v>3</v>
      </c>
      <c r="O894">
        <v>2</v>
      </c>
      <c r="P894">
        <v>0.2</v>
      </c>
      <c r="Q894">
        <v>0.19700000000000001</v>
      </c>
    </row>
    <row r="895" spans="1:17">
      <c r="A895">
        <v>894</v>
      </c>
      <c r="B895">
        <v>0.19700000000000001</v>
      </c>
      <c r="C895">
        <v>0.34</v>
      </c>
      <c r="D895">
        <v>0.25369999999999998</v>
      </c>
      <c r="E895">
        <v>9</v>
      </c>
      <c r="F895">
        <v>157</v>
      </c>
      <c r="G895">
        <v>166</v>
      </c>
      <c r="H895" s="22">
        <v>40583</v>
      </c>
      <c r="I895">
        <v>1</v>
      </c>
      <c r="J895">
        <v>0</v>
      </c>
      <c r="K895">
        <v>2</v>
      </c>
      <c r="L895">
        <v>17</v>
      </c>
      <c r="M895" t="b">
        <v>0</v>
      </c>
      <c r="N895">
        <v>3</v>
      </c>
      <c r="O895">
        <v>2</v>
      </c>
      <c r="P895">
        <v>0.2</v>
      </c>
      <c r="Q895">
        <v>0.19700000000000001</v>
      </c>
    </row>
    <row r="896" spans="1:17">
      <c r="A896">
        <v>895</v>
      </c>
      <c r="B896">
        <v>0.16669999999999999</v>
      </c>
      <c r="C896">
        <v>0.47</v>
      </c>
      <c r="D896">
        <v>0.29849999999999999</v>
      </c>
      <c r="E896">
        <v>2</v>
      </c>
      <c r="F896">
        <v>168</v>
      </c>
      <c r="G896">
        <v>170</v>
      </c>
      <c r="H896" s="22">
        <v>40583</v>
      </c>
      <c r="I896">
        <v>1</v>
      </c>
      <c r="J896">
        <v>0</v>
      </c>
      <c r="K896">
        <v>2</v>
      </c>
      <c r="L896">
        <v>18</v>
      </c>
      <c r="M896" t="b">
        <v>0</v>
      </c>
      <c r="N896">
        <v>3</v>
      </c>
      <c r="O896">
        <v>2</v>
      </c>
      <c r="P896">
        <v>0.18</v>
      </c>
      <c r="Q896">
        <v>0.16669999999999999</v>
      </c>
    </row>
    <row r="897" spans="1:17">
      <c r="A897">
        <v>896</v>
      </c>
      <c r="B897">
        <v>0.1212</v>
      </c>
      <c r="C897">
        <v>0.86</v>
      </c>
      <c r="D897">
        <v>0.25369999999999998</v>
      </c>
      <c r="E897">
        <v>1</v>
      </c>
      <c r="F897">
        <v>87</v>
      </c>
      <c r="G897">
        <v>88</v>
      </c>
      <c r="H897" s="22">
        <v>40583</v>
      </c>
      <c r="I897">
        <v>1</v>
      </c>
      <c r="J897">
        <v>0</v>
      </c>
      <c r="K897">
        <v>2</v>
      </c>
      <c r="L897">
        <v>19</v>
      </c>
      <c r="M897" t="b">
        <v>0</v>
      </c>
      <c r="N897">
        <v>3</v>
      </c>
      <c r="O897">
        <v>3</v>
      </c>
      <c r="P897">
        <v>0.14000000000000001</v>
      </c>
      <c r="Q897">
        <v>0.1212</v>
      </c>
    </row>
    <row r="898" spans="1:17">
      <c r="A898">
        <v>897</v>
      </c>
      <c r="B898">
        <v>0.1515</v>
      </c>
      <c r="C898">
        <v>0.86</v>
      </c>
      <c r="D898">
        <v>0.16420000000000001</v>
      </c>
      <c r="E898">
        <v>0</v>
      </c>
      <c r="F898">
        <v>84</v>
      </c>
      <c r="G898">
        <v>84</v>
      </c>
      <c r="H898" s="22">
        <v>40583</v>
      </c>
      <c r="I898">
        <v>1</v>
      </c>
      <c r="J898">
        <v>0</v>
      </c>
      <c r="K898">
        <v>2</v>
      </c>
      <c r="L898">
        <v>20</v>
      </c>
      <c r="M898" t="b">
        <v>0</v>
      </c>
      <c r="N898">
        <v>3</v>
      </c>
      <c r="O898">
        <v>3</v>
      </c>
      <c r="P898">
        <v>0.14000000000000001</v>
      </c>
      <c r="Q898">
        <v>0.1515</v>
      </c>
    </row>
    <row r="899" spans="1:17">
      <c r="A899">
        <v>898</v>
      </c>
      <c r="B899">
        <v>0.1515</v>
      </c>
      <c r="C899">
        <v>0.86</v>
      </c>
      <c r="D899">
        <v>0.16420000000000001</v>
      </c>
      <c r="E899">
        <v>0</v>
      </c>
      <c r="F899">
        <v>83</v>
      </c>
      <c r="G899">
        <v>83</v>
      </c>
      <c r="H899" s="22">
        <v>40583</v>
      </c>
      <c r="I899">
        <v>1</v>
      </c>
      <c r="J899">
        <v>0</v>
      </c>
      <c r="K899">
        <v>2</v>
      </c>
      <c r="L899">
        <v>21</v>
      </c>
      <c r="M899" t="b">
        <v>0</v>
      </c>
      <c r="N899">
        <v>3</v>
      </c>
      <c r="O899">
        <v>2</v>
      </c>
      <c r="P899">
        <v>0.14000000000000001</v>
      </c>
      <c r="Q899">
        <v>0.1515</v>
      </c>
    </row>
    <row r="900" spans="1:17">
      <c r="A900">
        <v>899</v>
      </c>
      <c r="B900">
        <v>0.16669999999999999</v>
      </c>
      <c r="C900">
        <v>0.8</v>
      </c>
      <c r="D900">
        <v>0.16420000000000001</v>
      </c>
      <c r="E900">
        <v>4</v>
      </c>
      <c r="F900">
        <v>42</v>
      </c>
      <c r="G900">
        <v>46</v>
      </c>
      <c r="H900" s="22">
        <v>40583</v>
      </c>
      <c r="I900">
        <v>1</v>
      </c>
      <c r="J900">
        <v>0</v>
      </c>
      <c r="K900">
        <v>2</v>
      </c>
      <c r="L900">
        <v>22</v>
      </c>
      <c r="M900" t="b">
        <v>0</v>
      </c>
      <c r="N900">
        <v>3</v>
      </c>
      <c r="O900">
        <v>3</v>
      </c>
      <c r="P900">
        <v>0.16</v>
      </c>
      <c r="Q900">
        <v>0.16669999999999999</v>
      </c>
    </row>
    <row r="901" spans="1:17">
      <c r="A901">
        <v>900</v>
      </c>
      <c r="B901">
        <v>0.1515</v>
      </c>
      <c r="C901">
        <v>0.8</v>
      </c>
      <c r="D901">
        <v>0.19400000000000001</v>
      </c>
      <c r="E901">
        <v>0</v>
      </c>
      <c r="F901">
        <v>37</v>
      </c>
      <c r="G901">
        <v>37</v>
      </c>
      <c r="H901" s="22">
        <v>40583</v>
      </c>
      <c r="I901">
        <v>1</v>
      </c>
      <c r="J901">
        <v>0</v>
      </c>
      <c r="K901">
        <v>2</v>
      </c>
      <c r="L901">
        <v>23</v>
      </c>
      <c r="M901" t="b">
        <v>0</v>
      </c>
      <c r="N901">
        <v>3</v>
      </c>
      <c r="O901">
        <v>3</v>
      </c>
      <c r="P901">
        <v>0.16</v>
      </c>
      <c r="Q901">
        <v>0.1515</v>
      </c>
    </row>
    <row r="902" spans="1:17">
      <c r="A902">
        <v>901</v>
      </c>
      <c r="B902">
        <v>0.13639999999999999</v>
      </c>
      <c r="C902">
        <v>0.86</v>
      </c>
      <c r="D902">
        <v>0.19400000000000001</v>
      </c>
      <c r="E902">
        <v>0</v>
      </c>
      <c r="F902">
        <v>16</v>
      </c>
      <c r="G902">
        <v>16</v>
      </c>
      <c r="H902" s="22">
        <v>40584</v>
      </c>
      <c r="I902">
        <v>1</v>
      </c>
      <c r="J902">
        <v>0</v>
      </c>
      <c r="K902">
        <v>2</v>
      </c>
      <c r="L902">
        <v>0</v>
      </c>
      <c r="M902" t="b">
        <v>0</v>
      </c>
      <c r="N902">
        <v>4</v>
      </c>
      <c r="O902">
        <v>3</v>
      </c>
      <c r="P902">
        <v>0.14000000000000001</v>
      </c>
      <c r="Q902">
        <v>0.13639999999999999</v>
      </c>
    </row>
    <row r="903" spans="1:17">
      <c r="A903">
        <v>902</v>
      </c>
      <c r="B903">
        <v>0.1515</v>
      </c>
      <c r="C903">
        <v>0.8</v>
      </c>
      <c r="D903">
        <v>0.1343</v>
      </c>
      <c r="E903">
        <v>0</v>
      </c>
      <c r="F903">
        <v>7</v>
      </c>
      <c r="G903">
        <v>7</v>
      </c>
      <c r="H903" s="22">
        <v>40584</v>
      </c>
      <c r="I903">
        <v>1</v>
      </c>
      <c r="J903">
        <v>0</v>
      </c>
      <c r="K903">
        <v>2</v>
      </c>
      <c r="L903">
        <v>1</v>
      </c>
      <c r="M903" t="b">
        <v>0</v>
      </c>
      <c r="N903">
        <v>4</v>
      </c>
      <c r="O903">
        <v>3</v>
      </c>
      <c r="P903">
        <v>0.14000000000000001</v>
      </c>
      <c r="Q903">
        <v>0.1515</v>
      </c>
    </row>
    <row r="904" spans="1:17">
      <c r="A904">
        <v>903</v>
      </c>
      <c r="B904">
        <v>0.1515</v>
      </c>
      <c r="C904">
        <v>0.8</v>
      </c>
      <c r="D904">
        <v>0.1343</v>
      </c>
      <c r="E904">
        <v>0</v>
      </c>
      <c r="F904">
        <v>3</v>
      </c>
      <c r="G904">
        <v>3</v>
      </c>
      <c r="H904" s="22">
        <v>40584</v>
      </c>
      <c r="I904">
        <v>1</v>
      </c>
      <c r="J904">
        <v>0</v>
      </c>
      <c r="K904">
        <v>2</v>
      </c>
      <c r="L904">
        <v>2</v>
      </c>
      <c r="M904" t="b">
        <v>0</v>
      </c>
      <c r="N904">
        <v>4</v>
      </c>
      <c r="O904">
        <v>3</v>
      </c>
      <c r="P904">
        <v>0.14000000000000001</v>
      </c>
      <c r="Q904">
        <v>0.1515</v>
      </c>
    </row>
    <row r="905" spans="1:17">
      <c r="A905">
        <v>904</v>
      </c>
      <c r="B905">
        <v>0.13639999999999999</v>
      </c>
      <c r="C905">
        <v>0.59</v>
      </c>
      <c r="D905">
        <v>0.22389999999999999</v>
      </c>
      <c r="E905">
        <v>0</v>
      </c>
      <c r="F905">
        <v>1</v>
      </c>
      <c r="G905">
        <v>1</v>
      </c>
      <c r="H905" s="22">
        <v>40584</v>
      </c>
      <c r="I905">
        <v>1</v>
      </c>
      <c r="J905">
        <v>0</v>
      </c>
      <c r="K905">
        <v>2</v>
      </c>
      <c r="L905">
        <v>4</v>
      </c>
      <c r="M905" t="b">
        <v>0</v>
      </c>
      <c r="N905">
        <v>4</v>
      </c>
      <c r="O905">
        <v>2</v>
      </c>
      <c r="P905">
        <v>0.14000000000000001</v>
      </c>
      <c r="Q905">
        <v>0.13639999999999999</v>
      </c>
    </row>
    <row r="906" spans="1:17">
      <c r="A906">
        <v>905</v>
      </c>
      <c r="B906">
        <v>0.1212</v>
      </c>
      <c r="C906">
        <v>0.5</v>
      </c>
      <c r="D906">
        <v>0.22389999999999999</v>
      </c>
      <c r="E906">
        <v>0</v>
      </c>
      <c r="F906">
        <v>6</v>
      </c>
      <c r="G906">
        <v>6</v>
      </c>
      <c r="H906" s="22">
        <v>40584</v>
      </c>
      <c r="I906">
        <v>1</v>
      </c>
      <c r="J906">
        <v>0</v>
      </c>
      <c r="K906">
        <v>2</v>
      </c>
      <c r="L906">
        <v>5</v>
      </c>
      <c r="M906" t="b">
        <v>0</v>
      </c>
      <c r="N906">
        <v>4</v>
      </c>
      <c r="O906">
        <v>2</v>
      </c>
      <c r="P906">
        <v>0.12</v>
      </c>
      <c r="Q906">
        <v>0.1212</v>
      </c>
    </row>
    <row r="907" spans="1:17">
      <c r="A907">
        <v>906</v>
      </c>
      <c r="B907">
        <v>0.1212</v>
      </c>
      <c r="C907">
        <v>0.54</v>
      </c>
      <c r="D907">
        <v>0.28360000000000002</v>
      </c>
      <c r="E907">
        <v>0</v>
      </c>
      <c r="F907">
        <v>26</v>
      </c>
      <c r="G907">
        <v>26</v>
      </c>
      <c r="H907" s="22">
        <v>40584</v>
      </c>
      <c r="I907">
        <v>1</v>
      </c>
      <c r="J907">
        <v>0</v>
      </c>
      <c r="K907">
        <v>2</v>
      </c>
      <c r="L907">
        <v>6</v>
      </c>
      <c r="M907" t="b">
        <v>0</v>
      </c>
      <c r="N907">
        <v>4</v>
      </c>
      <c r="O907">
        <v>2</v>
      </c>
      <c r="P907">
        <v>0.12</v>
      </c>
      <c r="Q907">
        <v>0.1212</v>
      </c>
    </row>
    <row r="908" spans="1:17">
      <c r="A908">
        <v>907</v>
      </c>
      <c r="B908">
        <v>7.5800000000000006E-2</v>
      </c>
      <c r="C908">
        <v>0.5</v>
      </c>
      <c r="D908">
        <v>0.41789999999999999</v>
      </c>
      <c r="E908">
        <v>0</v>
      </c>
      <c r="F908">
        <v>99</v>
      </c>
      <c r="G908">
        <v>99</v>
      </c>
      <c r="H908" s="22">
        <v>40584</v>
      </c>
      <c r="I908">
        <v>1</v>
      </c>
      <c r="J908">
        <v>0</v>
      </c>
      <c r="K908">
        <v>2</v>
      </c>
      <c r="L908">
        <v>7</v>
      </c>
      <c r="M908" t="b">
        <v>0</v>
      </c>
      <c r="N908">
        <v>4</v>
      </c>
      <c r="O908">
        <v>1</v>
      </c>
      <c r="P908">
        <v>0.1</v>
      </c>
      <c r="Q908">
        <v>7.5800000000000006E-2</v>
      </c>
    </row>
    <row r="909" spans="1:17">
      <c r="A909">
        <v>908</v>
      </c>
      <c r="B909">
        <v>7.5800000000000006E-2</v>
      </c>
      <c r="C909">
        <v>0.49</v>
      </c>
      <c r="D909">
        <v>0.32840000000000003</v>
      </c>
      <c r="E909">
        <v>5</v>
      </c>
      <c r="F909">
        <v>173</v>
      </c>
      <c r="G909">
        <v>178</v>
      </c>
      <c r="H909" s="22">
        <v>40584</v>
      </c>
      <c r="I909">
        <v>1</v>
      </c>
      <c r="J909">
        <v>0</v>
      </c>
      <c r="K909">
        <v>2</v>
      </c>
      <c r="L909">
        <v>8</v>
      </c>
      <c r="M909" t="b">
        <v>0</v>
      </c>
      <c r="N909">
        <v>4</v>
      </c>
      <c r="O909">
        <v>1</v>
      </c>
      <c r="P909">
        <v>0.1</v>
      </c>
      <c r="Q909">
        <v>7.5800000000000006E-2</v>
      </c>
    </row>
    <row r="910" spans="1:17">
      <c r="A910">
        <v>909</v>
      </c>
      <c r="B910">
        <v>0.1061</v>
      </c>
      <c r="C910">
        <v>0.42</v>
      </c>
      <c r="D910">
        <v>0.35820000000000002</v>
      </c>
      <c r="E910">
        <v>1</v>
      </c>
      <c r="F910">
        <v>121</v>
      </c>
      <c r="G910">
        <v>122</v>
      </c>
      <c r="H910" s="22">
        <v>40584</v>
      </c>
      <c r="I910">
        <v>1</v>
      </c>
      <c r="J910">
        <v>0</v>
      </c>
      <c r="K910">
        <v>2</v>
      </c>
      <c r="L910">
        <v>9</v>
      </c>
      <c r="M910" t="b">
        <v>0</v>
      </c>
      <c r="N910">
        <v>4</v>
      </c>
      <c r="O910">
        <v>1</v>
      </c>
      <c r="P910">
        <v>0.12</v>
      </c>
      <c r="Q910">
        <v>0.1061</v>
      </c>
    </row>
    <row r="911" spans="1:17">
      <c r="A911">
        <v>910</v>
      </c>
      <c r="B911">
        <v>0.1061</v>
      </c>
      <c r="C911">
        <v>0.42</v>
      </c>
      <c r="D911">
        <v>0.29849999999999999</v>
      </c>
      <c r="E911">
        <v>1</v>
      </c>
      <c r="F911">
        <v>34</v>
      </c>
      <c r="G911">
        <v>35</v>
      </c>
      <c r="H911" s="22">
        <v>40584</v>
      </c>
      <c r="I911">
        <v>1</v>
      </c>
      <c r="J911">
        <v>0</v>
      </c>
      <c r="K911">
        <v>2</v>
      </c>
      <c r="L911">
        <v>10</v>
      </c>
      <c r="M911" t="b">
        <v>0</v>
      </c>
      <c r="N911">
        <v>4</v>
      </c>
      <c r="O911">
        <v>1</v>
      </c>
      <c r="P911">
        <v>0.12</v>
      </c>
      <c r="Q911">
        <v>0.1061</v>
      </c>
    </row>
    <row r="912" spans="1:17">
      <c r="A912">
        <v>911</v>
      </c>
      <c r="B912">
        <v>0.1212</v>
      </c>
      <c r="C912">
        <v>0.39</v>
      </c>
      <c r="D912">
        <v>0.35820000000000002</v>
      </c>
      <c r="E912">
        <v>1</v>
      </c>
      <c r="F912">
        <v>44</v>
      </c>
      <c r="G912">
        <v>45</v>
      </c>
      <c r="H912" s="22">
        <v>40584</v>
      </c>
      <c r="I912">
        <v>1</v>
      </c>
      <c r="J912">
        <v>0</v>
      </c>
      <c r="K912">
        <v>2</v>
      </c>
      <c r="L912">
        <v>11</v>
      </c>
      <c r="M912" t="b">
        <v>0</v>
      </c>
      <c r="N912">
        <v>4</v>
      </c>
      <c r="O912">
        <v>1</v>
      </c>
      <c r="P912">
        <v>0.14000000000000001</v>
      </c>
      <c r="Q912">
        <v>0.1212</v>
      </c>
    </row>
    <row r="913" spans="1:17">
      <c r="A913">
        <v>912</v>
      </c>
      <c r="B913">
        <v>0.13639999999999999</v>
      </c>
      <c r="C913">
        <v>0.34</v>
      </c>
      <c r="D913">
        <v>0.3881</v>
      </c>
      <c r="E913">
        <v>4</v>
      </c>
      <c r="F913">
        <v>65</v>
      </c>
      <c r="G913">
        <v>69</v>
      </c>
      <c r="H913" s="22">
        <v>40584</v>
      </c>
      <c r="I913">
        <v>1</v>
      </c>
      <c r="J913">
        <v>0</v>
      </c>
      <c r="K913">
        <v>2</v>
      </c>
      <c r="L913">
        <v>12</v>
      </c>
      <c r="M913" t="b">
        <v>0</v>
      </c>
      <c r="N913">
        <v>4</v>
      </c>
      <c r="O913">
        <v>1</v>
      </c>
      <c r="P913">
        <v>0.16</v>
      </c>
      <c r="Q913">
        <v>0.13639999999999999</v>
      </c>
    </row>
    <row r="914" spans="1:17">
      <c r="A914">
        <v>913</v>
      </c>
      <c r="B914">
        <v>0.16669999999999999</v>
      </c>
      <c r="C914">
        <v>0.28999999999999998</v>
      </c>
      <c r="D914">
        <v>0.29849999999999999</v>
      </c>
      <c r="E914">
        <v>3</v>
      </c>
      <c r="F914">
        <v>59</v>
      </c>
      <c r="G914">
        <v>62</v>
      </c>
      <c r="H914" s="22">
        <v>40584</v>
      </c>
      <c r="I914">
        <v>1</v>
      </c>
      <c r="J914">
        <v>0</v>
      </c>
      <c r="K914">
        <v>2</v>
      </c>
      <c r="L914">
        <v>13</v>
      </c>
      <c r="M914" t="b">
        <v>0</v>
      </c>
      <c r="N914">
        <v>4</v>
      </c>
      <c r="O914">
        <v>1</v>
      </c>
      <c r="P914">
        <v>0.18</v>
      </c>
      <c r="Q914">
        <v>0.16669999999999999</v>
      </c>
    </row>
    <row r="915" spans="1:17">
      <c r="A915">
        <v>914</v>
      </c>
      <c r="B915">
        <v>0.18179999999999999</v>
      </c>
      <c r="C915">
        <v>0.27</v>
      </c>
      <c r="D915">
        <v>0.28360000000000002</v>
      </c>
      <c r="E915">
        <v>6</v>
      </c>
      <c r="F915">
        <v>42</v>
      </c>
      <c r="G915">
        <v>48</v>
      </c>
      <c r="H915" s="22">
        <v>40584</v>
      </c>
      <c r="I915">
        <v>1</v>
      </c>
      <c r="J915">
        <v>0</v>
      </c>
      <c r="K915">
        <v>2</v>
      </c>
      <c r="L915">
        <v>14</v>
      </c>
      <c r="M915" t="b">
        <v>0</v>
      </c>
      <c r="N915">
        <v>4</v>
      </c>
      <c r="O915">
        <v>1</v>
      </c>
      <c r="P915">
        <v>0.2</v>
      </c>
      <c r="Q915">
        <v>0.18179999999999999</v>
      </c>
    </row>
    <row r="916" spans="1:17">
      <c r="A916">
        <v>915</v>
      </c>
      <c r="B916">
        <v>0.19700000000000001</v>
      </c>
      <c r="C916">
        <v>0.25</v>
      </c>
      <c r="D916">
        <v>0.25369999999999998</v>
      </c>
      <c r="E916">
        <v>0</v>
      </c>
      <c r="F916">
        <v>50</v>
      </c>
      <c r="G916">
        <v>50</v>
      </c>
      <c r="H916" s="22">
        <v>40584</v>
      </c>
      <c r="I916">
        <v>1</v>
      </c>
      <c r="J916">
        <v>0</v>
      </c>
      <c r="K916">
        <v>2</v>
      </c>
      <c r="L916">
        <v>15</v>
      </c>
      <c r="M916" t="b">
        <v>0</v>
      </c>
      <c r="N916">
        <v>4</v>
      </c>
      <c r="O916">
        <v>1</v>
      </c>
      <c r="P916">
        <v>0.2</v>
      </c>
      <c r="Q916">
        <v>0.19700000000000001</v>
      </c>
    </row>
    <row r="917" spans="1:17">
      <c r="A917">
        <v>916</v>
      </c>
      <c r="B917">
        <v>0.18179999999999999</v>
      </c>
      <c r="C917">
        <v>0.27</v>
      </c>
      <c r="D917">
        <v>0.29849999999999999</v>
      </c>
      <c r="E917">
        <v>4</v>
      </c>
      <c r="F917">
        <v>76</v>
      </c>
      <c r="G917">
        <v>80</v>
      </c>
      <c r="H917" s="22">
        <v>40584</v>
      </c>
      <c r="I917">
        <v>1</v>
      </c>
      <c r="J917">
        <v>0</v>
      </c>
      <c r="K917">
        <v>2</v>
      </c>
      <c r="L917">
        <v>16</v>
      </c>
      <c r="M917" t="b">
        <v>0</v>
      </c>
      <c r="N917">
        <v>4</v>
      </c>
      <c r="O917">
        <v>1</v>
      </c>
      <c r="P917">
        <v>0.2</v>
      </c>
      <c r="Q917">
        <v>0.18179999999999999</v>
      </c>
    </row>
    <row r="918" spans="1:17">
      <c r="A918">
        <v>917</v>
      </c>
      <c r="B918">
        <v>0.18179999999999999</v>
      </c>
      <c r="C918">
        <v>0.26</v>
      </c>
      <c r="D918">
        <v>0.19400000000000001</v>
      </c>
      <c r="E918">
        <v>6</v>
      </c>
      <c r="F918">
        <v>159</v>
      </c>
      <c r="G918">
        <v>165</v>
      </c>
      <c r="H918" s="22">
        <v>40584</v>
      </c>
      <c r="I918">
        <v>1</v>
      </c>
      <c r="J918">
        <v>0</v>
      </c>
      <c r="K918">
        <v>2</v>
      </c>
      <c r="L918">
        <v>17</v>
      </c>
      <c r="M918" t="b">
        <v>0</v>
      </c>
      <c r="N918">
        <v>4</v>
      </c>
      <c r="O918">
        <v>1</v>
      </c>
      <c r="P918">
        <v>0.18</v>
      </c>
      <c r="Q918">
        <v>0.18179999999999999</v>
      </c>
    </row>
    <row r="919" spans="1:17">
      <c r="A919">
        <v>918</v>
      </c>
      <c r="B919">
        <v>0.18179999999999999</v>
      </c>
      <c r="C919">
        <v>0.28000000000000003</v>
      </c>
      <c r="D919">
        <v>0.1343</v>
      </c>
      <c r="E919">
        <v>3</v>
      </c>
      <c r="F919">
        <v>157</v>
      </c>
      <c r="G919">
        <v>160</v>
      </c>
      <c r="H919" s="22">
        <v>40584</v>
      </c>
      <c r="I919">
        <v>1</v>
      </c>
      <c r="J919">
        <v>0</v>
      </c>
      <c r="K919">
        <v>2</v>
      </c>
      <c r="L919">
        <v>18</v>
      </c>
      <c r="M919" t="b">
        <v>0</v>
      </c>
      <c r="N919">
        <v>4</v>
      </c>
      <c r="O919">
        <v>1</v>
      </c>
      <c r="P919">
        <v>0.16</v>
      </c>
      <c r="Q919">
        <v>0.18179999999999999</v>
      </c>
    </row>
    <row r="920" spans="1:17">
      <c r="A920">
        <v>919</v>
      </c>
      <c r="B920">
        <v>0.16669999999999999</v>
      </c>
      <c r="C920">
        <v>0.28000000000000003</v>
      </c>
      <c r="D920">
        <v>0.1045</v>
      </c>
      <c r="E920">
        <v>2</v>
      </c>
      <c r="F920">
        <v>110</v>
      </c>
      <c r="G920">
        <v>112</v>
      </c>
      <c r="H920" s="22">
        <v>40584</v>
      </c>
      <c r="I920">
        <v>1</v>
      </c>
      <c r="J920">
        <v>0</v>
      </c>
      <c r="K920">
        <v>2</v>
      </c>
      <c r="L920">
        <v>19</v>
      </c>
      <c r="M920" t="b">
        <v>0</v>
      </c>
      <c r="N920">
        <v>4</v>
      </c>
      <c r="O920">
        <v>1</v>
      </c>
      <c r="P920">
        <v>0.14000000000000001</v>
      </c>
      <c r="Q920">
        <v>0.16669999999999999</v>
      </c>
    </row>
    <row r="921" spans="1:17">
      <c r="A921">
        <v>920</v>
      </c>
      <c r="B921">
        <v>0.18179999999999999</v>
      </c>
      <c r="C921">
        <v>0.31</v>
      </c>
      <c r="D921">
        <v>8.9599999999999999E-2</v>
      </c>
      <c r="E921">
        <v>4</v>
      </c>
      <c r="F921">
        <v>93</v>
      </c>
      <c r="G921">
        <v>97</v>
      </c>
      <c r="H921" s="22">
        <v>40584</v>
      </c>
      <c r="I921">
        <v>1</v>
      </c>
      <c r="J921">
        <v>0</v>
      </c>
      <c r="K921">
        <v>2</v>
      </c>
      <c r="L921">
        <v>20</v>
      </c>
      <c r="M921" t="b">
        <v>0</v>
      </c>
      <c r="N921">
        <v>4</v>
      </c>
      <c r="O921">
        <v>1</v>
      </c>
      <c r="P921">
        <v>0.14000000000000001</v>
      </c>
      <c r="Q921">
        <v>0.18179999999999999</v>
      </c>
    </row>
    <row r="922" spans="1:17">
      <c r="A922">
        <v>921</v>
      </c>
      <c r="B922">
        <v>0.21210000000000001</v>
      </c>
      <c r="C922">
        <v>0.39</v>
      </c>
      <c r="D922">
        <v>0</v>
      </c>
      <c r="E922">
        <v>2</v>
      </c>
      <c r="F922">
        <v>70</v>
      </c>
      <c r="G922">
        <v>72</v>
      </c>
      <c r="H922" s="22">
        <v>40584</v>
      </c>
      <c r="I922">
        <v>1</v>
      </c>
      <c r="J922">
        <v>0</v>
      </c>
      <c r="K922">
        <v>2</v>
      </c>
      <c r="L922">
        <v>21</v>
      </c>
      <c r="M922" t="b">
        <v>0</v>
      </c>
      <c r="N922">
        <v>4</v>
      </c>
      <c r="O922">
        <v>1</v>
      </c>
      <c r="P922">
        <v>0.14000000000000001</v>
      </c>
      <c r="Q922">
        <v>0.21210000000000001</v>
      </c>
    </row>
    <row r="923" spans="1:17">
      <c r="A923">
        <v>922</v>
      </c>
      <c r="B923">
        <v>0.19700000000000001</v>
      </c>
      <c r="C923">
        <v>0.39</v>
      </c>
      <c r="D923">
        <v>0</v>
      </c>
      <c r="E923">
        <v>4</v>
      </c>
      <c r="F923">
        <v>47</v>
      </c>
      <c r="G923">
        <v>51</v>
      </c>
      <c r="H923" s="22">
        <v>40584</v>
      </c>
      <c r="I923">
        <v>1</v>
      </c>
      <c r="J923">
        <v>0</v>
      </c>
      <c r="K923">
        <v>2</v>
      </c>
      <c r="L923">
        <v>22</v>
      </c>
      <c r="M923" t="b">
        <v>0</v>
      </c>
      <c r="N923">
        <v>4</v>
      </c>
      <c r="O923">
        <v>1</v>
      </c>
      <c r="P923">
        <v>0.12</v>
      </c>
      <c r="Q923">
        <v>0.19700000000000001</v>
      </c>
    </row>
    <row r="924" spans="1:17">
      <c r="A924">
        <v>923</v>
      </c>
      <c r="B924">
        <v>0.1515</v>
      </c>
      <c r="C924">
        <v>0.42</v>
      </c>
      <c r="D924">
        <v>0.1045</v>
      </c>
      <c r="E924">
        <v>1</v>
      </c>
      <c r="F924">
        <v>33</v>
      </c>
      <c r="G924">
        <v>34</v>
      </c>
      <c r="H924" s="22">
        <v>40584</v>
      </c>
      <c r="I924">
        <v>1</v>
      </c>
      <c r="J924">
        <v>0</v>
      </c>
      <c r="K924">
        <v>2</v>
      </c>
      <c r="L924">
        <v>23</v>
      </c>
      <c r="M924" t="b">
        <v>0</v>
      </c>
      <c r="N924">
        <v>4</v>
      </c>
      <c r="O924">
        <v>1</v>
      </c>
      <c r="P924">
        <v>0.12</v>
      </c>
      <c r="Q924">
        <v>0.1515</v>
      </c>
    </row>
    <row r="925" spans="1:17">
      <c r="A925">
        <v>924</v>
      </c>
      <c r="B925">
        <v>0.13639999999999999</v>
      </c>
      <c r="C925">
        <v>0.49</v>
      </c>
      <c r="D925">
        <v>0.1045</v>
      </c>
      <c r="E925">
        <v>2</v>
      </c>
      <c r="F925">
        <v>12</v>
      </c>
      <c r="G925">
        <v>14</v>
      </c>
      <c r="H925" s="22">
        <v>40585</v>
      </c>
      <c r="I925">
        <v>1</v>
      </c>
      <c r="J925">
        <v>0</v>
      </c>
      <c r="K925">
        <v>2</v>
      </c>
      <c r="L925">
        <v>0</v>
      </c>
      <c r="M925" t="b">
        <v>0</v>
      </c>
      <c r="N925">
        <v>5</v>
      </c>
      <c r="O925">
        <v>1</v>
      </c>
      <c r="P925">
        <v>0.1</v>
      </c>
      <c r="Q925">
        <v>0.13639999999999999</v>
      </c>
    </row>
    <row r="926" spans="1:17">
      <c r="A926">
        <v>925</v>
      </c>
      <c r="B926">
        <v>0.13639999999999999</v>
      </c>
      <c r="C926">
        <v>0.54</v>
      </c>
      <c r="D926">
        <v>8.9599999999999999E-2</v>
      </c>
      <c r="E926">
        <v>1</v>
      </c>
      <c r="F926">
        <v>6</v>
      </c>
      <c r="G926">
        <v>7</v>
      </c>
      <c r="H926" s="22">
        <v>40585</v>
      </c>
      <c r="I926">
        <v>1</v>
      </c>
      <c r="J926">
        <v>0</v>
      </c>
      <c r="K926">
        <v>2</v>
      </c>
      <c r="L926">
        <v>1</v>
      </c>
      <c r="M926" t="b">
        <v>0</v>
      </c>
      <c r="N926">
        <v>5</v>
      </c>
      <c r="O926">
        <v>1</v>
      </c>
      <c r="P926">
        <v>0.1</v>
      </c>
      <c r="Q926">
        <v>0.13639999999999999</v>
      </c>
    </row>
    <row r="927" spans="1:17">
      <c r="A927">
        <v>926</v>
      </c>
      <c r="B927">
        <v>0.13639999999999999</v>
      </c>
      <c r="C927">
        <v>0.54</v>
      </c>
      <c r="D927">
        <v>8.9599999999999999E-2</v>
      </c>
      <c r="E927">
        <v>0</v>
      </c>
      <c r="F927">
        <v>3</v>
      </c>
      <c r="G927">
        <v>3</v>
      </c>
      <c r="H927" s="22">
        <v>40585</v>
      </c>
      <c r="I927">
        <v>1</v>
      </c>
      <c r="J927">
        <v>0</v>
      </c>
      <c r="K927">
        <v>2</v>
      </c>
      <c r="L927">
        <v>2</v>
      </c>
      <c r="M927" t="b">
        <v>0</v>
      </c>
      <c r="N927">
        <v>5</v>
      </c>
      <c r="O927">
        <v>1</v>
      </c>
      <c r="P927">
        <v>0.1</v>
      </c>
      <c r="Q927">
        <v>0.13639999999999999</v>
      </c>
    </row>
    <row r="928" spans="1:17">
      <c r="A928">
        <v>927</v>
      </c>
      <c r="B928">
        <v>0.1212</v>
      </c>
      <c r="C928">
        <v>0.63</v>
      </c>
      <c r="D928">
        <v>8.9599999999999999E-2</v>
      </c>
      <c r="E928">
        <v>0</v>
      </c>
      <c r="F928">
        <v>4</v>
      </c>
      <c r="G928">
        <v>4</v>
      </c>
      <c r="H928" s="22">
        <v>40585</v>
      </c>
      <c r="I928">
        <v>1</v>
      </c>
      <c r="J928">
        <v>0</v>
      </c>
      <c r="K928">
        <v>2</v>
      </c>
      <c r="L928">
        <v>5</v>
      </c>
      <c r="M928" t="b">
        <v>0</v>
      </c>
      <c r="N928">
        <v>5</v>
      </c>
      <c r="O928">
        <v>1</v>
      </c>
      <c r="P928">
        <v>0.08</v>
      </c>
      <c r="Q928">
        <v>0.1212</v>
      </c>
    </row>
    <row r="929" spans="1:17">
      <c r="A929">
        <v>928</v>
      </c>
      <c r="B929">
        <v>0.18179999999999999</v>
      </c>
      <c r="C929">
        <v>0.68</v>
      </c>
      <c r="D929">
        <v>0</v>
      </c>
      <c r="E929">
        <v>1</v>
      </c>
      <c r="F929">
        <v>23</v>
      </c>
      <c r="G929">
        <v>24</v>
      </c>
      <c r="H929" s="22">
        <v>40585</v>
      </c>
      <c r="I929">
        <v>1</v>
      </c>
      <c r="J929">
        <v>0</v>
      </c>
      <c r="K929">
        <v>2</v>
      </c>
      <c r="L929">
        <v>6</v>
      </c>
      <c r="M929" t="b">
        <v>0</v>
      </c>
      <c r="N929">
        <v>5</v>
      </c>
      <c r="O929">
        <v>1</v>
      </c>
      <c r="P929">
        <v>0.1</v>
      </c>
      <c r="Q929">
        <v>0.18179999999999999</v>
      </c>
    </row>
    <row r="930" spans="1:17">
      <c r="A930">
        <v>929</v>
      </c>
      <c r="B930">
        <v>0.16669999999999999</v>
      </c>
      <c r="C930">
        <v>0.73</v>
      </c>
      <c r="D930">
        <v>0</v>
      </c>
      <c r="E930">
        <v>1</v>
      </c>
      <c r="F930">
        <v>73</v>
      </c>
      <c r="G930">
        <v>74</v>
      </c>
      <c r="H930" s="22">
        <v>40585</v>
      </c>
      <c r="I930">
        <v>1</v>
      </c>
      <c r="J930">
        <v>0</v>
      </c>
      <c r="K930">
        <v>2</v>
      </c>
      <c r="L930">
        <v>7</v>
      </c>
      <c r="M930" t="b">
        <v>0</v>
      </c>
      <c r="N930">
        <v>5</v>
      </c>
      <c r="O930">
        <v>1</v>
      </c>
      <c r="P930">
        <v>0.08</v>
      </c>
      <c r="Q930">
        <v>0.16669999999999999</v>
      </c>
    </row>
    <row r="931" spans="1:17">
      <c r="A931">
        <v>930</v>
      </c>
      <c r="B931">
        <v>0.1212</v>
      </c>
      <c r="C931">
        <v>0.74</v>
      </c>
      <c r="D931">
        <v>0.16420000000000001</v>
      </c>
      <c r="E931">
        <v>4</v>
      </c>
      <c r="F931">
        <v>212</v>
      </c>
      <c r="G931">
        <v>216</v>
      </c>
      <c r="H931" s="22">
        <v>40585</v>
      </c>
      <c r="I931">
        <v>1</v>
      </c>
      <c r="J931">
        <v>0</v>
      </c>
      <c r="K931">
        <v>2</v>
      </c>
      <c r="L931">
        <v>8</v>
      </c>
      <c r="M931" t="b">
        <v>0</v>
      </c>
      <c r="N931">
        <v>5</v>
      </c>
      <c r="O931">
        <v>1</v>
      </c>
      <c r="P931">
        <v>0.1</v>
      </c>
      <c r="Q931">
        <v>0.1212</v>
      </c>
    </row>
    <row r="932" spans="1:17">
      <c r="A932">
        <v>931</v>
      </c>
      <c r="B932">
        <v>0.1212</v>
      </c>
      <c r="C932">
        <v>0.74</v>
      </c>
      <c r="D932">
        <v>0.22389999999999999</v>
      </c>
      <c r="E932">
        <v>8</v>
      </c>
      <c r="F932">
        <v>132</v>
      </c>
      <c r="G932">
        <v>140</v>
      </c>
      <c r="H932" s="22">
        <v>40585</v>
      </c>
      <c r="I932">
        <v>1</v>
      </c>
      <c r="J932">
        <v>0</v>
      </c>
      <c r="K932">
        <v>2</v>
      </c>
      <c r="L932">
        <v>9</v>
      </c>
      <c r="M932" t="b">
        <v>0</v>
      </c>
      <c r="N932">
        <v>5</v>
      </c>
      <c r="O932">
        <v>1</v>
      </c>
      <c r="P932">
        <v>0.12</v>
      </c>
      <c r="Q932">
        <v>0.1212</v>
      </c>
    </row>
    <row r="933" spans="1:17">
      <c r="A933">
        <v>932</v>
      </c>
      <c r="B933">
        <v>0.13639999999999999</v>
      </c>
      <c r="C933">
        <v>0.69</v>
      </c>
      <c r="D933">
        <v>0.19400000000000001</v>
      </c>
      <c r="E933">
        <v>5</v>
      </c>
      <c r="F933">
        <v>39</v>
      </c>
      <c r="G933">
        <v>44</v>
      </c>
      <c r="H933" s="22">
        <v>40585</v>
      </c>
      <c r="I933">
        <v>1</v>
      </c>
      <c r="J933">
        <v>0</v>
      </c>
      <c r="K933">
        <v>2</v>
      </c>
      <c r="L933">
        <v>10</v>
      </c>
      <c r="M933" t="b">
        <v>0</v>
      </c>
      <c r="N933">
        <v>5</v>
      </c>
      <c r="O933">
        <v>1</v>
      </c>
      <c r="P933">
        <v>0.14000000000000001</v>
      </c>
      <c r="Q933">
        <v>0.13639999999999999</v>
      </c>
    </row>
    <row r="934" spans="1:17">
      <c r="A934">
        <v>933</v>
      </c>
      <c r="B934">
        <v>0.2273</v>
      </c>
      <c r="C934">
        <v>0.47</v>
      </c>
      <c r="D934">
        <v>0.1343</v>
      </c>
      <c r="E934">
        <v>12</v>
      </c>
      <c r="F934">
        <v>52</v>
      </c>
      <c r="G934">
        <v>64</v>
      </c>
      <c r="H934" s="22">
        <v>40585</v>
      </c>
      <c r="I934">
        <v>1</v>
      </c>
      <c r="J934">
        <v>0</v>
      </c>
      <c r="K934">
        <v>2</v>
      </c>
      <c r="L934">
        <v>11</v>
      </c>
      <c r="M934" t="b">
        <v>0</v>
      </c>
      <c r="N934">
        <v>5</v>
      </c>
      <c r="O934">
        <v>1</v>
      </c>
      <c r="P934">
        <v>0.22</v>
      </c>
      <c r="Q934">
        <v>0.2273</v>
      </c>
    </row>
    <row r="935" spans="1:17">
      <c r="A935">
        <v>934</v>
      </c>
      <c r="B935">
        <v>0.2273</v>
      </c>
      <c r="C935">
        <v>0.47</v>
      </c>
      <c r="D935">
        <v>0.1343</v>
      </c>
      <c r="E935">
        <v>7</v>
      </c>
      <c r="F935">
        <v>64</v>
      </c>
      <c r="G935">
        <v>71</v>
      </c>
      <c r="H935" s="22">
        <v>40585</v>
      </c>
      <c r="I935">
        <v>1</v>
      </c>
      <c r="J935">
        <v>0</v>
      </c>
      <c r="K935">
        <v>2</v>
      </c>
      <c r="L935">
        <v>12</v>
      </c>
      <c r="M935" t="b">
        <v>0</v>
      </c>
      <c r="N935">
        <v>5</v>
      </c>
      <c r="O935">
        <v>1</v>
      </c>
      <c r="P935">
        <v>0.22</v>
      </c>
      <c r="Q935">
        <v>0.2273</v>
      </c>
    </row>
    <row r="936" spans="1:17">
      <c r="A936">
        <v>935</v>
      </c>
      <c r="B936">
        <v>0.2273</v>
      </c>
      <c r="C936">
        <v>0.35</v>
      </c>
      <c r="D936">
        <v>0.19400000000000001</v>
      </c>
      <c r="E936">
        <v>21</v>
      </c>
      <c r="F936">
        <v>89</v>
      </c>
      <c r="G936">
        <v>110</v>
      </c>
      <c r="H936" s="22">
        <v>40585</v>
      </c>
      <c r="I936">
        <v>1</v>
      </c>
      <c r="J936">
        <v>0</v>
      </c>
      <c r="K936">
        <v>2</v>
      </c>
      <c r="L936">
        <v>13</v>
      </c>
      <c r="M936" t="b">
        <v>0</v>
      </c>
      <c r="N936">
        <v>5</v>
      </c>
      <c r="O936">
        <v>1</v>
      </c>
      <c r="P936">
        <v>0.24</v>
      </c>
      <c r="Q936">
        <v>0.2273</v>
      </c>
    </row>
    <row r="937" spans="1:17">
      <c r="A937">
        <v>936</v>
      </c>
      <c r="B937">
        <v>0.28789999999999999</v>
      </c>
      <c r="C937">
        <v>0.26</v>
      </c>
      <c r="D937">
        <v>0.25369999999999998</v>
      </c>
      <c r="E937">
        <v>17</v>
      </c>
      <c r="F937">
        <v>67</v>
      </c>
      <c r="G937">
        <v>84</v>
      </c>
      <c r="H937" s="22">
        <v>40585</v>
      </c>
      <c r="I937">
        <v>1</v>
      </c>
      <c r="J937">
        <v>0</v>
      </c>
      <c r="K937">
        <v>2</v>
      </c>
      <c r="L937">
        <v>14</v>
      </c>
      <c r="M937" t="b">
        <v>0</v>
      </c>
      <c r="N937">
        <v>5</v>
      </c>
      <c r="O937">
        <v>1</v>
      </c>
      <c r="P937">
        <v>0.3</v>
      </c>
      <c r="Q937">
        <v>0.28789999999999999</v>
      </c>
    </row>
    <row r="938" spans="1:17">
      <c r="A938">
        <v>937</v>
      </c>
      <c r="B938">
        <v>0.31819999999999998</v>
      </c>
      <c r="C938">
        <v>0.21</v>
      </c>
      <c r="D938">
        <v>0.16420000000000001</v>
      </c>
      <c r="E938">
        <v>12</v>
      </c>
      <c r="F938">
        <v>62</v>
      </c>
      <c r="G938">
        <v>74</v>
      </c>
      <c r="H938" s="22">
        <v>40585</v>
      </c>
      <c r="I938">
        <v>1</v>
      </c>
      <c r="J938">
        <v>0</v>
      </c>
      <c r="K938">
        <v>2</v>
      </c>
      <c r="L938">
        <v>15</v>
      </c>
      <c r="M938" t="b">
        <v>0</v>
      </c>
      <c r="N938">
        <v>5</v>
      </c>
      <c r="O938">
        <v>1</v>
      </c>
      <c r="P938">
        <v>0.32</v>
      </c>
      <c r="Q938">
        <v>0.31819999999999998</v>
      </c>
    </row>
    <row r="939" spans="1:17">
      <c r="A939">
        <v>938</v>
      </c>
      <c r="B939">
        <v>0.28789999999999999</v>
      </c>
      <c r="C939">
        <v>0.28000000000000003</v>
      </c>
      <c r="D939">
        <v>0.19400000000000001</v>
      </c>
      <c r="E939">
        <v>14</v>
      </c>
      <c r="F939">
        <v>111</v>
      </c>
      <c r="G939">
        <v>125</v>
      </c>
      <c r="H939" s="22">
        <v>40585</v>
      </c>
      <c r="I939">
        <v>1</v>
      </c>
      <c r="J939">
        <v>0</v>
      </c>
      <c r="K939">
        <v>2</v>
      </c>
      <c r="L939">
        <v>16</v>
      </c>
      <c r="M939" t="b">
        <v>0</v>
      </c>
      <c r="N939">
        <v>5</v>
      </c>
      <c r="O939">
        <v>1</v>
      </c>
      <c r="P939">
        <v>0.3</v>
      </c>
      <c r="Q939">
        <v>0.28789999999999999</v>
      </c>
    </row>
    <row r="940" spans="1:17">
      <c r="A940">
        <v>939</v>
      </c>
      <c r="B940">
        <v>0.33329999999999999</v>
      </c>
      <c r="C940">
        <v>0.24</v>
      </c>
      <c r="D940">
        <v>0</v>
      </c>
      <c r="E940">
        <v>18</v>
      </c>
      <c r="F940">
        <v>193</v>
      </c>
      <c r="G940">
        <v>211</v>
      </c>
      <c r="H940" s="22">
        <v>40585</v>
      </c>
      <c r="I940">
        <v>1</v>
      </c>
      <c r="J940">
        <v>0</v>
      </c>
      <c r="K940">
        <v>2</v>
      </c>
      <c r="L940">
        <v>17</v>
      </c>
      <c r="M940" t="b">
        <v>0</v>
      </c>
      <c r="N940">
        <v>5</v>
      </c>
      <c r="O940">
        <v>1</v>
      </c>
      <c r="P940">
        <v>0.3</v>
      </c>
      <c r="Q940">
        <v>0.33329999999999999</v>
      </c>
    </row>
    <row r="941" spans="1:17">
      <c r="A941">
        <v>940</v>
      </c>
      <c r="B941">
        <v>0.31819999999999998</v>
      </c>
      <c r="C941">
        <v>0.28000000000000003</v>
      </c>
      <c r="D941">
        <v>0</v>
      </c>
      <c r="E941">
        <v>9</v>
      </c>
      <c r="F941">
        <v>165</v>
      </c>
      <c r="G941">
        <v>174</v>
      </c>
      <c r="H941" s="22">
        <v>40585</v>
      </c>
      <c r="I941">
        <v>1</v>
      </c>
      <c r="J941">
        <v>0</v>
      </c>
      <c r="K941">
        <v>2</v>
      </c>
      <c r="L941">
        <v>18</v>
      </c>
      <c r="M941" t="b">
        <v>0</v>
      </c>
      <c r="N941">
        <v>5</v>
      </c>
      <c r="O941">
        <v>1</v>
      </c>
      <c r="P941">
        <v>0.28000000000000003</v>
      </c>
      <c r="Q941">
        <v>0.31819999999999998</v>
      </c>
    </row>
    <row r="942" spans="1:17">
      <c r="A942">
        <v>941</v>
      </c>
      <c r="B942">
        <v>0.30299999999999999</v>
      </c>
      <c r="C942">
        <v>0.33</v>
      </c>
      <c r="D942">
        <v>0</v>
      </c>
      <c r="E942">
        <v>7</v>
      </c>
      <c r="F942">
        <v>94</v>
      </c>
      <c r="G942">
        <v>101</v>
      </c>
      <c r="H942" s="22">
        <v>40585</v>
      </c>
      <c r="I942">
        <v>1</v>
      </c>
      <c r="J942">
        <v>0</v>
      </c>
      <c r="K942">
        <v>2</v>
      </c>
      <c r="L942">
        <v>19</v>
      </c>
      <c r="M942" t="b">
        <v>0</v>
      </c>
      <c r="N942">
        <v>5</v>
      </c>
      <c r="O942">
        <v>1</v>
      </c>
      <c r="P942">
        <v>0.26</v>
      </c>
      <c r="Q942">
        <v>0.30299999999999999</v>
      </c>
    </row>
    <row r="943" spans="1:17">
      <c r="A943">
        <v>942</v>
      </c>
      <c r="B943">
        <v>0.2273</v>
      </c>
      <c r="C943">
        <v>0.55000000000000004</v>
      </c>
      <c r="D943">
        <v>0.1343</v>
      </c>
      <c r="E943">
        <v>2</v>
      </c>
      <c r="F943">
        <v>61</v>
      </c>
      <c r="G943">
        <v>63</v>
      </c>
      <c r="H943" s="22">
        <v>40585</v>
      </c>
      <c r="I943">
        <v>1</v>
      </c>
      <c r="J943">
        <v>0</v>
      </c>
      <c r="K943">
        <v>2</v>
      </c>
      <c r="L943">
        <v>20</v>
      </c>
      <c r="M943" t="b">
        <v>0</v>
      </c>
      <c r="N943">
        <v>5</v>
      </c>
      <c r="O943">
        <v>1</v>
      </c>
      <c r="P943">
        <v>0.22</v>
      </c>
      <c r="Q943">
        <v>0.2273</v>
      </c>
    </row>
    <row r="944" spans="1:17">
      <c r="A944">
        <v>943</v>
      </c>
      <c r="B944">
        <v>0.21210000000000001</v>
      </c>
      <c r="C944">
        <v>0.59</v>
      </c>
      <c r="D944">
        <v>0.1343</v>
      </c>
      <c r="E944">
        <v>1</v>
      </c>
      <c r="F944">
        <v>46</v>
      </c>
      <c r="G944">
        <v>47</v>
      </c>
      <c r="H944" s="22">
        <v>40585</v>
      </c>
      <c r="I944">
        <v>1</v>
      </c>
      <c r="J944">
        <v>0</v>
      </c>
      <c r="K944">
        <v>2</v>
      </c>
      <c r="L944">
        <v>21</v>
      </c>
      <c r="M944" t="b">
        <v>0</v>
      </c>
      <c r="N944">
        <v>5</v>
      </c>
      <c r="O944">
        <v>1</v>
      </c>
      <c r="P944">
        <v>0.2</v>
      </c>
      <c r="Q944">
        <v>0.21210000000000001</v>
      </c>
    </row>
    <row r="945" spans="1:17">
      <c r="A945">
        <v>944</v>
      </c>
      <c r="B945">
        <v>0.2273</v>
      </c>
      <c r="C945">
        <v>0.64</v>
      </c>
      <c r="D945">
        <v>8.9599999999999999E-2</v>
      </c>
      <c r="E945">
        <v>2</v>
      </c>
      <c r="F945">
        <v>41</v>
      </c>
      <c r="G945">
        <v>43</v>
      </c>
      <c r="H945" s="22">
        <v>40585</v>
      </c>
      <c r="I945">
        <v>1</v>
      </c>
      <c r="J945">
        <v>0</v>
      </c>
      <c r="K945">
        <v>2</v>
      </c>
      <c r="L945">
        <v>22</v>
      </c>
      <c r="M945" t="b">
        <v>0</v>
      </c>
      <c r="N945">
        <v>5</v>
      </c>
      <c r="O945">
        <v>1</v>
      </c>
      <c r="P945">
        <v>0.2</v>
      </c>
      <c r="Q945">
        <v>0.2273</v>
      </c>
    </row>
    <row r="946" spans="1:17">
      <c r="A946">
        <v>945</v>
      </c>
      <c r="B946">
        <v>0.2424</v>
      </c>
      <c r="C946">
        <v>0.69</v>
      </c>
      <c r="D946">
        <v>0</v>
      </c>
      <c r="E946">
        <v>5</v>
      </c>
      <c r="F946">
        <v>48</v>
      </c>
      <c r="G946">
        <v>53</v>
      </c>
      <c r="H946" s="22">
        <v>40585</v>
      </c>
      <c r="I946">
        <v>1</v>
      </c>
      <c r="J946">
        <v>0</v>
      </c>
      <c r="K946">
        <v>2</v>
      </c>
      <c r="L946">
        <v>23</v>
      </c>
      <c r="M946" t="b">
        <v>0</v>
      </c>
      <c r="N946">
        <v>5</v>
      </c>
      <c r="O946">
        <v>1</v>
      </c>
      <c r="P946">
        <v>0.18</v>
      </c>
      <c r="Q946">
        <v>0.2424</v>
      </c>
    </row>
    <row r="947" spans="1:17">
      <c r="A947">
        <v>946</v>
      </c>
      <c r="B947">
        <v>0.19700000000000001</v>
      </c>
      <c r="C947">
        <v>0.69</v>
      </c>
      <c r="D947">
        <v>8.9599999999999999E-2</v>
      </c>
      <c r="E947">
        <v>3</v>
      </c>
      <c r="F947">
        <v>27</v>
      </c>
      <c r="G947">
        <v>30</v>
      </c>
      <c r="H947" s="22">
        <v>40586</v>
      </c>
      <c r="I947">
        <v>1</v>
      </c>
      <c r="J947">
        <v>0</v>
      </c>
      <c r="K947">
        <v>2</v>
      </c>
      <c r="L947">
        <v>0</v>
      </c>
      <c r="M947" t="b">
        <v>0</v>
      </c>
      <c r="N947">
        <v>6</v>
      </c>
      <c r="O947">
        <v>1</v>
      </c>
      <c r="P947">
        <v>0.16</v>
      </c>
      <c r="Q947">
        <v>0.19700000000000001</v>
      </c>
    </row>
    <row r="948" spans="1:17">
      <c r="A948">
        <v>947</v>
      </c>
      <c r="B948">
        <v>0.21210000000000001</v>
      </c>
      <c r="C948">
        <v>0.86</v>
      </c>
      <c r="D948">
        <v>0</v>
      </c>
      <c r="E948">
        <v>2</v>
      </c>
      <c r="F948">
        <v>22</v>
      </c>
      <c r="G948">
        <v>24</v>
      </c>
      <c r="H948" s="22">
        <v>40586</v>
      </c>
      <c r="I948">
        <v>1</v>
      </c>
      <c r="J948">
        <v>0</v>
      </c>
      <c r="K948">
        <v>2</v>
      </c>
      <c r="L948">
        <v>1</v>
      </c>
      <c r="M948" t="b">
        <v>0</v>
      </c>
      <c r="N948">
        <v>6</v>
      </c>
      <c r="O948">
        <v>1</v>
      </c>
      <c r="P948">
        <v>0.14000000000000001</v>
      </c>
      <c r="Q948">
        <v>0.21210000000000001</v>
      </c>
    </row>
    <row r="949" spans="1:17">
      <c r="A949">
        <v>948</v>
      </c>
      <c r="B949">
        <v>0.21210000000000001</v>
      </c>
      <c r="C949">
        <v>0.8</v>
      </c>
      <c r="D949">
        <v>0</v>
      </c>
      <c r="E949">
        <v>2</v>
      </c>
      <c r="F949">
        <v>13</v>
      </c>
      <c r="G949">
        <v>15</v>
      </c>
      <c r="H949" s="22">
        <v>40586</v>
      </c>
      <c r="I949">
        <v>1</v>
      </c>
      <c r="J949">
        <v>0</v>
      </c>
      <c r="K949">
        <v>2</v>
      </c>
      <c r="L949">
        <v>2</v>
      </c>
      <c r="M949" t="b">
        <v>0</v>
      </c>
      <c r="N949">
        <v>6</v>
      </c>
      <c r="O949">
        <v>1</v>
      </c>
      <c r="P949">
        <v>0.14000000000000001</v>
      </c>
      <c r="Q949">
        <v>0.21210000000000001</v>
      </c>
    </row>
    <row r="950" spans="1:17">
      <c r="A950">
        <v>949</v>
      </c>
      <c r="B950">
        <v>0.19700000000000001</v>
      </c>
      <c r="C950">
        <v>0.8</v>
      </c>
      <c r="D950">
        <v>0</v>
      </c>
      <c r="E950">
        <v>3</v>
      </c>
      <c r="F950">
        <v>7</v>
      </c>
      <c r="G950">
        <v>10</v>
      </c>
      <c r="H950" s="22">
        <v>40586</v>
      </c>
      <c r="I950">
        <v>1</v>
      </c>
      <c r="J950">
        <v>0</v>
      </c>
      <c r="K950">
        <v>2</v>
      </c>
      <c r="L950">
        <v>3</v>
      </c>
      <c r="M950" t="b">
        <v>0</v>
      </c>
      <c r="N950">
        <v>6</v>
      </c>
      <c r="O950">
        <v>1</v>
      </c>
      <c r="P950">
        <v>0.12</v>
      </c>
      <c r="Q950">
        <v>0.19700000000000001</v>
      </c>
    </row>
    <row r="951" spans="1:17">
      <c r="A951">
        <v>950</v>
      </c>
      <c r="B951">
        <v>0.16669999999999999</v>
      </c>
      <c r="C951">
        <v>0.74</v>
      </c>
      <c r="D951">
        <v>8.9599999999999999E-2</v>
      </c>
      <c r="E951">
        <v>0</v>
      </c>
      <c r="F951">
        <v>4</v>
      </c>
      <c r="G951">
        <v>4</v>
      </c>
      <c r="H951" s="22">
        <v>40586</v>
      </c>
      <c r="I951">
        <v>1</v>
      </c>
      <c r="J951">
        <v>0</v>
      </c>
      <c r="K951">
        <v>2</v>
      </c>
      <c r="L951">
        <v>4</v>
      </c>
      <c r="M951" t="b">
        <v>0</v>
      </c>
      <c r="N951">
        <v>6</v>
      </c>
      <c r="O951">
        <v>1</v>
      </c>
      <c r="P951">
        <v>0.12</v>
      </c>
      <c r="Q951">
        <v>0.16669999999999999</v>
      </c>
    </row>
    <row r="952" spans="1:17">
      <c r="A952">
        <v>951</v>
      </c>
      <c r="B952">
        <v>0.16669999999999999</v>
      </c>
      <c r="C952">
        <v>0.74</v>
      </c>
      <c r="D952">
        <v>8.9599999999999999E-2</v>
      </c>
      <c r="E952">
        <v>0</v>
      </c>
      <c r="F952">
        <v>1</v>
      </c>
      <c r="G952">
        <v>1</v>
      </c>
      <c r="H952" s="22">
        <v>40586</v>
      </c>
      <c r="I952">
        <v>1</v>
      </c>
      <c r="J952">
        <v>0</v>
      </c>
      <c r="K952">
        <v>2</v>
      </c>
      <c r="L952">
        <v>5</v>
      </c>
      <c r="M952" t="b">
        <v>0</v>
      </c>
      <c r="N952">
        <v>6</v>
      </c>
      <c r="O952">
        <v>1</v>
      </c>
      <c r="P952">
        <v>0.12</v>
      </c>
      <c r="Q952">
        <v>0.16669999999999999</v>
      </c>
    </row>
    <row r="953" spans="1:17">
      <c r="A953">
        <v>952</v>
      </c>
      <c r="B953">
        <v>0.13639999999999999</v>
      </c>
      <c r="C953">
        <v>0.93</v>
      </c>
      <c r="D953">
        <v>0.19400000000000001</v>
      </c>
      <c r="E953">
        <v>1</v>
      </c>
      <c r="F953">
        <v>1</v>
      </c>
      <c r="G953">
        <v>2</v>
      </c>
      <c r="H953" s="22">
        <v>40586</v>
      </c>
      <c r="I953">
        <v>1</v>
      </c>
      <c r="J953">
        <v>0</v>
      </c>
      <c r="K953">
        <v>2</v>
      </c>
      <c r="L953">
        <v>6</v>
      </c>
      <c r="M953" t="b">
        <v>0</v>
      </c>
      <c r="N953">
        <v>6</v>
      </c>
      <c r="O953">
        <v>1</v>
      </c>
      <c r="P953">
        <v>0.12</v>
      </c>
      <c r="Q953">
        <v>0.13639999999999999</v>
      </c>
    </row>
    <row r="954" spans="1:17">
      <c r="A954">
        <v>953</v>
      </c>
      <c r="B954">
        <v>0.1515</v>
      </c>
      <c r="C954">
        <v>0.8</v>
      </c>
      <c r="D954">
        <v>0.1045</v>
      </c>
      <c r="E954">
        <v>2</v>
      </c>
      <c r="F954">
        <v>9</v>
      </c>
      <c r="G954">
        <v>11</v>
      </c>
      <c r="H954" s="22">
        <v>40586</v>
      </c>
      <c r="I954">
        <v>1</v>
      </c>
      <c r="J954">
        <v>0</v>
      </c>
      <c r="K954">
        <v>2</v>
      </c>
      <c r="L954">
        <v>7</v>
      </c>
      <c r="M954" t="b">
        <v>0</v>
      </c>
      <c r="N954">
        <v>6</v>
      </c>
      <c r="O954">
        <v>1</v>
      </c>
      <c r="P954">
        <v>0.12</v>
      </c>
      <c r="Q954">
        <v>0.1515</v>
      </c>
    </row>
    <row r="955" spans="1:17">
      <c r="A955">
        <v>954</v>
      </c>
      <c r="B955">
        <v>0.1515</v>
      </c>
      <c r="C955">
        <v>0.86</v>
      </c>
      <c r="D955">
        <v>0.1343</v>
      </c>
      <c r="E955">
        <v>2</v>
      </c>
      <c r="F955">
        <v>28</v>
      </c>
      <c r="G955">
        <v>30</v>
      </c>
      <c r="H955" s="22">
        <v>40586</v>
      </c>
      <c r="I955">
        <v>1</v>
      </c>
      <c r="J955">
        <v>0</v>
      </c>
      <c r="K955">
        <v>2</v>
      </c>
      <c r="L955">
        <v>8</v>
      </c>
      <c r="M955" t="b">
        <v>0</v>
      </c>
      <c r="N955">
        <v>6</v>
      </c>
      <c r="O955">
        <v>1</v>
      </c>
      <c r="P955">
        <v>0.14000000000000001</v>
      </c>
      <c r="Q955">
        <v>0.1515</v>
      </c>
    </row>
    <row r="956" spans="1:17">
      <c r="A956">
        <v>955</v>
      </c>
      <c r="B956">
        <v>0.18179999999999999</v>
      </c>
      <c r="C956">
        <v>0.64</v>
      </c>
      <c r="D956">
        <v>0.1343</v>
      </c>
      <c r="E956">
        <v>5</v>
      </c>
      <c r="F956">
        <v>38</v>
      </c>
      <c r="G956">
        <v>43</v>
      </c>
      <c r="H956" s="22">
        <v>40586</v>
      </c>
      <c r="I956">
        <v>1</v>
      </c>
      <c r="J956">
        <v>0</v>
      </c>
      <c r="K956">
        <v>2</v>
      </c>
      <c r="L956">
        <v>9</v>
      </c>
      <c r="M956" t="b">
        <v>0</v>
      </c>
      <c r="N956">
        <v>6</v>
      </c>
      <c r="O956">
        <v>1</v>
      </c>
      <c r="P956">
        <v>0.16</v>
      </c>
      <c r="Q956">
        <v>0.18179999999999999</v>
      </c>
    </row>
    <row r="957" spans="1:17">
      <c r="A957">
        <v>956</v>
      </c>
      <c r="B957">
        <v>0.21210000000000001</v>
      </c>
      <c r="C957">
        <v>0.41</v>
      </c>
      <c r="D957">
        <v>0.25369999999999998</v>
      </c>
      <c r="E957">
        <v>13</v>
      </c>
      <c r="F957">
        <v>71</v>
      </c>
      <c r="G957">
        <v>84</v>
      </c>
      <c r="H957" s="22">
        <v>40586</v>
      </c>
      <c r="I957">
        <v>1</v>
      </c>
      <c r="J957">
        <v>0</v>
      </c>
      <c r="K957">
        <v>2</v>
      </c>
      <c r="L957">
        <v>10</v>
      </c>
      <c r="M957" t="b">
        <v>0</v>
      </c>
      <c r="N957">
        <v>6</v>
      </c>
      <c r="O957">
        <v>1</v>
      </c>
      <c r="P957">
        <v>0.22</v>
      </c>
      <c r="Q957">
        <v>0.21210000000000001</v>
      </c>
    </row>
    <row r="958" spans="1:17">
      <c r="A958">
        <v>957</v>
      </c>
      <c r="B958">
        <v>0.2727</v>
      </c>
      <c r="C958">
        <v>0.28000000000000003</v>
      </c>
      <c r="D958">
        <v>0.32840000000000003</v>
      </c>
      <c r="E958">
        <v>30</v>
      </c>
      <c r="F958">
        <v>84</v>
      </c>
      <c r="G958">
        <v>114</v>
      </c>
      <c r="H958" s="22">
        <v>40586</v>
      </c>
      <c r="I958">
        <v>1</v>
      </c>
      <c r="J958">
        <v>0</v>
      </c>
      <c r="K958">
        <v>2</v>
      </c>
      <c r="L958">
        <v>11</v>
      </c>
      <c r="M958" t="b">
        <v>0</v>
      </c>
      <c r="N958">
        <v>6</v>
      </c>
      <c r="O958">
        <v>1</v>
      </c>
      <c r="P958">
        <v>0.3</v>
      </c>
      <c r="Q958">
        <v>0.2727</v>
      </c>
    </row>
    <row r="959" spans="1:17">
      <c r="A959">
        <v>958</v>
      </c>
      <c r="B959">
        <v>0.2727</v>
      </c>
      <c r="C959">
        <v>0.39</v>
      </c>
      <c r="D959">
        <v>0.4627</v>
      </c>
      <c r="E959">
        <v>27</v>
      </c>
      <c r="F959">
        <v>93</v>
      </c>
      <c r="G959">
        <v>120</v>
      </c>
      <c r="H959" s="22">
        <v>40586</v>
      </c>
      <c r="I959">
        <v>1</v>
      </c>
      <c r="J959">
        <v>0</v>
      </c>
      <c r="K959">
        <v>2</v>
      </c>
      <c r="L959">
        <v>12</v>
      </c>
      <c r="M959" t="b">
        <v>0</v>
      </c>
      <c r="N959">
        <v>6</v>
      </c>
      <c r="O959">
        <v>1</v>
      </c>
      <c r="P959">
        <v>0.3</v>
      </c>
      <c r="Q959">
        <v>0.2727</v>
      </c>
    </row>
    <row r="960" spans="1:17">
      <c r="A960">
        <v>959</v>
      </c>
      <c r="B960">
        <v>0.2727</v>
      </c>
      <c r="C960">
        <v>0.39</v>
      </c>
      <c r="D960">
        <v>0.41789999999999999</v>
      </c>
      <c r="E960">
        <v>32</v>
      </c>
      <c r="F960">
        <v>103</v>
      </c>
      <c r="G960">
        <v>135</v>
      </c>
      <c r="H960" s="22">
        <v>40586</v>
      </c>
      <c r="I960">
        <v>1</v>
      </c>
      <c r="J960">
        <v>0</v>
      </c>
      <c r="K960">
        <v>2</v>
      </c>
      <c r="L960">
        <v>13</v>
      </c>
      <c r="M960" t="b">
        <v>0</v>
      </c>
      <c r="N960">
        <v>6</v>
      </c>
      <c r="O960">
        <v>1</v>
      </c>
      <c r="P960">
        <v>0.3</v>
      </c>
      <c r="Q960">
        <v>0.2727</v>
      </c>
    </row>
    <row r="961" spans="1:17">
      <c r="A961">
        <v>960</v>
      </c>
      <c r="B961">
        <v>0.31819999999999998</v>
      </c>
      <c r="C961">
        <v>0.31</v>
      </c>
      <c r="D961">
        <v>0.28360000000000002</v>
      </c>
      <c r="E961">
        <v>30</v>
      </c>
      <c r="F961">
        <v>90</v>
      </c>
      <c r="G961">
        <v>120</v>
      </c>
      <c r="H961" s="22">
        <v>40586</v>
      </c>
      <c r="I961">
        <v>1</v>
      </c>
      <c r="J961">
        <v>0</v>
      </c>
      <c r="K961">
        <v>2</v>
      </c>
      <c r="L961">
        <v>14</v>
      </c>
      <c r="M961" t="b">
        <v>0</v>
      </c>
      <c r="N961">
        <v>6</v>
      </c>
      <c r="O961">
        <v>1</v>
      </c>
      <c r="P961">
        <v>0.34</v>
      </c>
      <c r="Q961">
        <v>0.31819999999999998</v>
      </c>
    </row>
    <row r="962" spans="1:17">
      <c r="A962">
        <v>961</v>
      </c>
      <c r="B962">
        <v>0.30299999999999999</v>
      </c>
      <c r="C962">
        <v>0.28999999999999998</v>
      </c>
      <c r="D962">
        <v>0.41789999999999999</v>
      </c>
      <c r="E962">
        <v>47</v>
      </c>
      <c r="F962">
        <v>127</v>
      </c>
      <c r="G962">
        <v>174</v>
      </c>
      <c r="H962" s="22">
        <v>40586</v>
      </c>
      <c r="I962">
        <v>1</v>
      </c>
      <c r="J962">
        <v>0</v>
      </c>
      <c r="K962">
        <v>2</v>
      </c>
      <c r="L962">
        <v>15</v>
      </c>
      <c r="M962" t="b">
        <v>0</v>
      </c>
      <c r="N962">
        <v>6</v>
      </c>
      <c r="O962">
        <v>1</v>
      </c>
      <c r="P962">
        <v>0.34</v>
      </c>
      <c r="Q962">
        <v>0.30299999999999999</v>
      </c>
    </row>
    <row r="963" spans="1:17">
      <c r="A963">
        <v>962</v>
      </c>
      <c r="B963">
        <v>0.30299999999999999</v>
      </c>
      <c r="C963">
        <v>0.28999999999999998</v>
      </c>
      <c r="D963">
        <v>0.41789999999999999</v>
      </c>
      <c r="E963">
        <v>42</v>
      </c>
      <c r="F963">
        <v>103</v>
      </c>
      <c r="G963">
        <v>145</v>
      </c>
      <c r="H963" s="22">
        <v>40586</v>
      </c>
      <c r="I963">
        <v>1</v>
      </c>
      <c r="J963">
        <v>0</v>
      </c>
      <c r="K963">
        <v>2</v>
      </c>
      <c r="L963">
        <v>16</v>
      </c>
      <c r="M963" t="b">
        <v>0</v>
      </c>
      <c r="N963">
        <v>6</v>
      </c>
      <c r="O963">
        <v>1</v>
      </c>
      <c r="P963">
        <v>0.34</v>
      </c>
      <c r="Q963">
        <v>0.30299999999999999</v>
      </c>
    </row>
    <row r="964" spans="1:17">
      <c r="A964">
        <v>963</v>
      </c>
      <c r="B964">
        <v>0.28789999999999999</v>
      </c>
      <c r="C964">
        <v>0.31</v>
      </c>
      <c r="D964">
        <v>0.52239999999999998</v>
      </c>
      <c r="E964">
        <v>24</v>
      </c>
      <c r="F964">
        <v>113</v>
      </c>
      <c r="G964">
        <v>137</v>
      </c>
      <c r="H964" s="22">
        <v>40586</v>
      </c>
      <c r="I964">
        <v>1</v>
      </c>
      <c r="J964">
        <v>0</v>
      </c>
      <c r="K964">
        <v>2</v>
      </c>
      <c r="L964">
        <v>17</v>
      </c>
      <c r="M964" t="b">
        <v>0</v>
      </c>
      <c r="N964">
        <v>6</v>
      </c>
      <c r="O964">
        <v>1</v>
      </c>
      <c r="P964">
        <v>0.32</v>
      </c>
      <c r="Q964">
        <v>0.28789999999999999</v>
      </c>
    </row>
    <row r="965" spans="1:17">
      <c r="A965">
        <v>964</v>
      </c>
      <c r="B965">
        <v>0.2576</v>
      </c>
      <c r="C965">
        <v>0.38</v>
      </c>
      <c r="D965">
        <v>0.32840000000000003</v>
      </c>
      <c r="E965">
        <v>4</v>
      </c>
      <c r="F965">
        <v>60</v>
      </c>
      <c r="G965">
        <v>64</v>
      </c>
      <c r="H965" s="22">
        <v>40586</v>
      </c>
      <c r="I965">
        <v>1</v>
      </c>
      <c r="J965">
        <v>0</v>
      </c>
      <c r="K965">
        <v>2</v>
      </c>
      <c r="L965">
        <v>18</v>
      </c>
      <c r="M965" t="b">
        <v>0</v>
      </c>
      <c r="N965">
        <v>6</v>
      </c>
      <c r="O965">
        <v>1</v>
      </c>
      <c r="P965">
        <v>0.28000000000000003</v>
      </c>
      <c r="Q965">
        <v>0.2576</v>
      </c>
    </row>
    <row r="966" spans="1:17">
      <c r="A966">
        <v>965</v>
      </c>
      <c r="B966">
        <v>0.2727</v>
      </c>
      <c r="C966">
        <v>0.38</v>
      </c>
      <c r="D966">
        <v>0.16420000000000001</v>
      </c>
      <c r="E966">
        <v>2</v>
      </c>
      <c r="F966">
        <v>39</v>
      </c>
      <c r="G966">
        <v>41</v>
      </c>
      <c r="H966" s="22">
        <v>40586</v>
      </c>
      <c r="I966">
        <v>1</v>
      </c>
      <c r="J966">
        <v>0</v>
      </c>
      <c r="K966">
        <v>2</v>
      </c>
      <c r="L966">
        <v>19</v>
      </c>
      <c r="M966" t="b">
        <v>0</v>
      </c>
      <c r="N966">
        <v>6</v>
      </c>
      <c r="O966">
        <v>1</v>
      </c>
      <c r="P966">
        <v>0.28000000000000003</v>
      </c>
      <c r="Q966">
        <v>0.2727</v>
      </c>
    </row>
    <row r="967" spans="1:17">
      <c r="A967">
        <v>966</v>
      </c>
      <c r="B967">
        <v>0.2576</v>
      </c>
      <c r="C967">
        <v>0.41</v>
      </c>
      <c r="D967">
        <v>0.22389999999999999</v>
      </c>
      <c r="E967">
        <v>1</v>
      </c>
      <c r="F967">
        <v>39</v>
      </c>
      <c r="G967">
        <v>40</v>
      </c>
      <c r="H967" s="22">
        <v>40586</v>
      </c>
      <c r="I967">
        <v>1</v>
      </c>
      <c r="J967">
        <v>0</v>
      </c>
      <c r="K967">
        <v>2</v>
      </c>
      <c r="L967">
        <v>20</v>
      </c>
      <c r="M967" t="b">
        <v>0</v>
      </c>
      <c r="N967">
        <v>6</v>
      </c>
      <c r="O967">
        <v>1</v>
      </c>
      <c r="P967">
        <v>0.26</v>
      </c>
      <c r="Q967">
        <v>0.2576</v>
      </c>
    </row>
    <row r="968" spans="1:17">
      <c r="A968">
        <v>967</v>
      </c>
      <c r="B968">
        <v>0.30299999999999999</v>
      </c>
      <c r="C968">
        <v>0.41</v>
      </c>
      <c r="D968">
        <v>0</v>
      </c>
      <c r="E968">
        <v>9</v>
      </c>
      <c r="F968">
        <v>42</v>
      </c>
      <c r="G968">
        <v>51</v>
      </c>
      <c r="H968" s="22">
        <v>40586</v>
      </c>
      <c r="I968">
        <v>1</v>
      </c>
      <c r="J968">
        <v>0</v>
      </c>
      <c r="K968">
        <v>2</v>
      </c>
      <c r="L968">
        <v>21</v>
      </c>
      <c r="M968" t="b">
        <v>0</v>
      </c>
      <c r="N968">
        <v>6</v>
      </c>
      <c r="O968">
        <v>1</v>
      </c>
      <c r="P968">
        <v>0.26</v>
      </c>
      <c r="Q968">
        <v>0.30299999999999999</v>
      </c>
    </row>
    <row r="969" spans="1:17">
      <c r="A969">
        <v>968</v>
      </c>
      <c r="B969">
        <v>0.2576</v>
      </c>
      <c r="C969">
        <v>0.44</v>
      </c>
      <c r="D969">
        <v>8.9599999999999999E-2</v>
      </c>
      <c r="E969">
        <v>6</v>
      </c>
      <c r="F969">
        <v>39</v>
      </c>
      <c r="G969">
        <v>45</v>
      </c>
      <c r="H969" s="22">
        <v>40586</v>
      </c>
      <c r="I969">
        <v>1</v>
      </c>
      <c r="J969">
        <v>0</v>
      </c>
      <c r="K969">
        <v>2</v>
      </c>
      <c r="L969">
        <v>22</v>
      </c>
      <c r="M969" t="b">
        <v>0</v>
      </c>
      <c r="N969">
        <v>6</v>
      </c>
      <c r="O969">
        <v>1</v>
      </c>
      <c r="P969">
        <v>0.24</v>
      </c>
      <c r="Q969">
        <v>0.2576</v>
      </c>
    </row>
    <row r="970" spans="1:17">
      <c r="A970">
        <v>969</v>
      </c>
      <c r="B970">
        <v>0.2273</v>
      </c>
      <c r="C970">
        <v>0.51</v>
      </c>
      <c r="D970">
        <v>0.1343</v>
      </c>
      <c r="E970">
        <v>1</v>
      </c>
      <c r="F970">
        <v>31</v>
      </c>
      <c r="G970">
        <v>32</v>
      </c>
      <c r="H970" s="22">
        <v>40586</v>
      </c>
      <c r="I970">
        <v>1</v>
      </c>
      <c r="J970">
        <v>0</v>
      </c>
      <c r="K970">
        <v>2</v>
      </c>
      <c r="L970">
        <v>23</v>
      </c>
      <c r="M970" t="b">
        <v>0</v>
      </c>
      <c r="N970">
        <v>6</v>
      </c>
      <c r="O970">
        <v>1</v>
      </c>
      <c r="P970">
        <v>0.22</v>
      </c>
      <c r="Q970">
        <v>0.2273</v>
      </c>
    </row>
    <row r="971" spans="1:17">
      <c r="A971">
        <v>970</v>
      </c>
      <c r="B971">
        <v>0.2273</v>
      </c>
      <c r="C971">
        <v>0.64</v>
      </c>
      <c r="D971">
        <v>0.1045</v>
      </c>
      <c r="E971">
        <v>5</v>
      </c>
      <c r="F971">
        <v>34</v>
      </c>
      <c r="G971">
        <v>39</v>
      </c>
      <c r="H971" s="22">
        <v>40587</v>
      </c>
      <c r="I971">
        <v>1</v>
      </c>
      <c r="J971">
        <v>0</v>
      </c>
      <c r="K971">
        <v>2</v>
      </c>
      <c r="L971">
        <v>0</v>
      </c>
      <c r="M971" t="b">
        <v>0</v>
      </c>
      <c r="N971">
        <v>0</v>
      </c>
      <c r="O971">
        <v>1</v>
      </c>
      <c r="P971">
        <v>0.2</v>
      </c>
      <c r="Q971">
        <v>0.2273</v>
      </c>
    </row>
    <row r="972" spans="1:17">
      <c r="A972">
        <v>971</v>
      </c>
      <c r="B972">
        <v>0.2273</v>
      </c>
      <c r="C972">
        <v>0.59</v>
      </c>
      <c r="D972">
        <v>8.9599999999999999E-2</v>
      </c>
      <c r="E972">
        <v>1</v>
      </c>
      <c r="F972">
        <v>23</v>
      </c>
      <c r="G972">
        <v>24</v>
      </c>
      <c r="H972" s="22">
        <v>40587</v>
      </c>
      <c r="I972">
        <v>1</v>
      </c>
      <c r="J972">
        <v>0</v>
      </c>
      <c r="K972">
        <v>2</v>
      </c>
      <c r="L972">
        <v>1</v>
      </c>
      <c r="M972" t="b">
        <v>0</v>
      </c>
      <c r="N972">
        <v>0</v>
      </c>
      <c r="O972">
        <v>1</v>
      </c>
      <c r="P972">
        <v>0.2</v>
      </c>
      <c r="Q972">
        <v>0.2273</v>
      </c>
    </row>
    <row r="973" spans="1:17">
      <c r="A973">
        <v>972</v>
      </c>
      <c r="B973">
        <v>0.2273</v>
      </c>
      <c r="C973">
        <v>0.75</v>
      </c>
      <c r="D973">
        <v>8.9599999999999999E-2</v>
      </c>
      <c r="E973">
        <v>1</v>
      </c>
      <c r="F973">
        <v>19</v>
      </c>
      <c r="G973">
        <v>20</v>
      </c>
      <c r="H973" s="22">
        <v>40587</v>
      </c>
      <c r="I973">
        <v>1</v>
      </c>
      <c r="J973">
        <v>0</v>
      </c>
      <c r="K973">
        <v>2</v>
      </c>
      <c r="L973">
        <v>2</v>
      </c>
      <c r="M973" t="b">
        <v>0</v>
      </c>
      <c r="N973">
        <v>0</v>
      </c>
      <c r="O973">
        <v>2</v>
      </c>
      <c r="P973">
        <v>0.2</v>
      </c>
      <c r="Q973">
        <v>0.2273</v>
      </c>
    </row>
    <row r="974" spans="1:17">
      <c r="A974">
        <v>973</v>
      </c>
      <c r="B974">
        <v>0.2273</v>
      </c>
      <c r="C974">
        <v>0.69</v>
      </c>
      <c r="D974">
        <v>0.1045</v>
      </c>
      <c r="E974">
        <v>4</v>
      </c>
      <c r="F974">
        <v>8</v>
      </c>
      <c r="G974">
        <v>12</v>
      </c>
      <c r="H974" s="22">
        <v>40587</v>
      </c>
      <c r="I974">
        <v>1</v>
      </c>
      <c r="J974">
        <v>0</v>
      </c>
      <c r="K974">
        <v>2</v>
      </c>
      <c r="L974">
        <v>3</v>
      </c>
      <c r="M974" t="b">
        <v>0</v>
      </c>
      <c r="N974">
        <v>0</v>
      </c>
      <c r="O974">
        <v>2</v>
      </c>
      <c r="P974">
        <v>0.2</v>
      </c>
      <c r="Q974">
        <v>0.2273</v>
      </c>
    </row>
    <row r="975" spans="1:17">
      <c r="A975">
        <v>974</v>
      </c>
      <c r="B975">
        <v>0.21210000000000001</v>
      </c>
      <c r="C975">
        <v>0.69</v>
      </c>
      <c r="D975">
        <v>0.16420000000000001</v>
      </c>
      <c r="E975">
        <v>0</v>
      </c>
      <c r="F975">
        <v>2</v>
      </c>
      <c r="G975">
        <v>2</v>
      </c>
      <c r="H975" s="22">
        <v>40587</v>
      </c>
      <c r="I975">
        <v>1</v>
      </c>
      <c r="J975">
        <v>0</v>
      </c>
      <c r="K975">
        <v>2</v>
      </c>
      <c r="L975">
        <v>4</v>
      </c>
      <c r="M975" t="b">
        <v>0</v>
      </c>
      <c r="N975">
        <v>0</v>
      </c>
      <c r="O975">
        <v>2</v>
      </c>
      <c r="P975">
        <v>0.2</v>
      </c>
      <c r="Q975">
        <v>0.21210000000000001</v>
      </c>
    </row>
    <row r="976" spans="1:17">
      <c r="A976">
        <v>975</v>
      </c>
      <c r="B976">
        <v>0.21210000000000001</v>
      </c>
      <c r="C976">
        <v>0.69</v>
      </c>
      <c r="D976">
        <v>0.1343</v>
      </c>
      <c r="E976">
        <v>2</v>
      </c>
      <c r="F976">
        <v>3</v>
      </c>
      <c r="G976">
        <v>5</v>
      </c>
      <c r="H976" s="22">
        <v>40587</v>
      </c>
      <c r="I976">
        <v>1</v>
      </c>
      <c r="J976">
        <v>0</v>
      </c>
      <c r="K976">
        <v>2</v>
      </c>
      <c r="L976">
        <v>6</v>
      </c>
      <c r="M976" t="b">
        <v>0</v>
      </c>
      <c r="N976">
        <v>0</v>
      </c>
      <c r="O976">
        <v>2</v>
      </c>
      <c r="P976">
        <v>0.2</v>
      </c>
      <c r="Q976">
        <v>0.21210000000000001</v>
      </c>
    </row>
    <row r="977" spans="1:17">
      <c r="A977">
        <v>976</v>
      </c>
      <c r="B977">
        <v>0.2727</v>
      </c>
      <c r="C977">
        <v>0.55000000000000004</v>
      </c>
      <c r="D977">
        <v>0</v>
      </c>
      <c r="E977">
        <v>0</v>
      </c>
      <c r="F977">
        <v>3</v>
      </c>
      <c r="G977">
        <v>3</v>
      </c>
      <c r="H977" s="22">
        <v>40587</v>
      </c>
      <c r="I977">
        <v>1</v>
      </c>
      <c r="J977">
        <v>0</v>
      </c>
      <c r="K977">
        <v>2</v>
      </c>
      <c r="L977">
        <v>7</v>
      </c>
      <c r="M977" t="b">
        <v>0</v>
      </c>
      <c r="N977">
        <v>0</v>
      </c>
      <c r="O977">
        <v>2</v>
      </c>
      <c r="P977">
        <v>0.22</v>
      </c>
      <c r="Q977">
        <v>0.2727</v>
      </c>
    </row>
    <row r="978" spans="1:17">
      <c r="A978">
        <v>977</v>
      </c>
      <c r="B978">
        <v>0.2273</v>
      </c>
      <c r="C978">
        <v>0.64</v>
      </c>
      <c r="D978">
        <v>0.19400000000000001</v>
      </c>
      <c r="E978">
        <v>1</v>
      </c>
      <c r="F978">
        <v>11</v>
      </c>
      <c r="G978">
        <v>12</v>
      </c>
      <c r="H978" s="22">
        <v>40587</v>
      </c>
      <c r="I978">
        <v>1</v>
      </c>
      <c r="J978">
        <v>0</v>
      </c>
      <c r="K978">
        <v>2</v>
      </c>
      <c r="L978">
        <v>8</v>
      </c>
      <c r="M978" t="b">
        <v>0</v>
      </c>
      <c r="N978">
        <v>0</v>
      </c>
      <c r="O978">
        <v>2</v>
      </c>
      <c r="P978">
        <v>0.22</v>
      </c>
      <c r="Q978">
        <v>0.2273</v>
      </c>
    </row>
    <row r="979" spans="1:17">
      <c r="A979">
        <v>978</v>
      </c>
      <c r="B979">
        <v>0.2273</v>
      </c>
      <c r="C979">
        <v>0.6</v>
      </c>
      <c r="D979">
        <v>0.22389999999999999</v>
      </c>
      <c r="E979">
        <v>12</v>
      </c>
      <c r="F979">
        <v>35</v>
      </c>
      <c r="G979">
        <v>47</v>
      </c>
      <c r="H979" s="22">
        <v>40587</v>
      </c>
      <c r="I979">
        <v>1</v>
      </c>
      <c r="J979">
        <v>0</v>
      </c>
      <c r="K979">
        <v>2</v>
      </c>
      <c r="L979">
        <v>9</v>
      </c>
      <c r="M979" t="b">
        <v>0</v>
      </c>
      <c r="N979">
        <v>0</v>
      </c>
      <c r="O979">
        <v>2</v>
      </c>
      <c r="P979">
        <v>0.24</v>
      </c>
      <c r="Q979">
        <v>0.2273</v>
      </c>
    </row>
    <row r="980" spans="1:17">
      <c r="A980">
        <v>979</v>
      </c>
      <c r="B980">
        <v>0.2727</v>
      </c>
      <c r="C980">
        <v>0.45</v>
      </c>
      <c r="D980">
        <v>0.32840000000000003</v>
      </c>
      <c r="E980">
        <v>19</v>
      </c>
      <c r="F980">
        <v>86</v>
      </c>
      <c r="G980">
        <v>105</v>
      </c>
      <c r="H980" s="22">
        <v>40587</v>
      </c>
      <c r="I980">
        <v>1</v>
      </c>
      <c r="J980">
        <v>0</v>
      </c>
      <c r="K980">
        <v>2</v>
      </c>
      <c r="L980">
        <v>10</v>
      </c>
      <c r="M980" t="b">
        <v>0</v>
      </c>
      <c r="N980">
        <v>0</v>
      </c>
      <c r="O980">
        <v>1</v>
      </c>
      <c r="P980">
        <v>0.3</v>
      </c>
      <c r="Q980">
        <v>0.2727</v>
      </c>
    </row>
    <row r="981" spans="1:17">
      <c r="A981">
        <v>980</v>
      </c>
      <c r="B981">
        <v>0.28789999999999999</v>
      </c>
      <c r="C981">
        <v>0.39</v>
      </c>
      <c r="D981">
        <v>0.44779999999999998</v>
      </c>
      <c r="E981">
        <v>26</v>
      </c>
      <c r="F981">
        <v>86</v>
      </c>
      <c r="G981">
        <v>112</v>
      </c>
      <c r="H981" s="22">
        <v>40587</v>
      </c>
      <c r="I981">
        <v>1</v>
      </c>
      <c r="J981">
        <v>0</v>
      </c>
      <c r="K981">
        <v>2</v>
      </c>
      <c r="L981">
        <v>11</v>
      </c>
      <c r="M981" t="b">
        <v>0</v>
      </c>
      <c r="N981">
        <v>0</v>
      </c>
      <c r="O981">
        <v>1</v>
      </c>
      <c r="P981">
        <v>0.32</v>
      </c>
      <c r="Q981">
        <v>0.28789999999999999</v>
      </c>
    </row>
    <row r="982" spans="1:17">
      <c r="A982">
        <v>981</v>
      </c>
      <c r="B982">
        <v>0.31819999999999998</v>
      </c>
      <c r="C982">
        <v>0.32</v>
      </c>
      <c r="D982">
        <v>0.4627</v>
      </c>
      <c r="E982">
        <v>58</v>
      </c>
      <c r="F982">
        <v>94</v>
      </c>
      <c r="G982">
        <v>152</v>
      </c>
      <c r="H982" s="22">
        <v>40587</v>
      </c>
      <c r="I982">
        <v>1</v>
      </c>
      <c r="J982">
        <v>0</v>
      </c>
      <c r="K982">
        <v>2</v>
      </c>
      <c r="L982">
        <v>12</v>
      </c>
      <c r="M982" t="b">
        <v>0</v>
      </c>
      <c r="N982">
        <v>0</v>
      </c>
      <c r="O982">
        <v>1</v>
      </c>
      <c r="P982">
        <v>0.36</v>
      </c>
      <c r="Q982">
        <v>0.31819999999999998</v>
      </c>
    </row>
    <row r="983" spans="1:17">
      <c r="A983">
        <v>982</v>
      </c>
      <c r="B983">
        <v>0.39389999999999997</v>
      </c>
      <c r="C983">
        <v>0.28999999999999998</v>
      </c>
      <c r="D983">
        <v>0.35820000000000002</v>
      </c>
      <c r="E983">
        <v>62</v>
      </c>
      <c r="F983">
        <v>92</v>
      </c>
      <c r="G983">
        <v>154</v>
      </c>
      <c r="H983" s="22">
        <v>40587</v>
      </c>
      <c r="I983">
        <v>1</v>
      </c>
      <c r="J983">
        <v>0</v>
      </c>
      <c r="K983">
        <v>2</v>
      </c>
      <c r="L983">
        <v>13</v>
      </c>
      <c r="M983" t="b">
        <v>0</v>
      </c>
      <c r="N983">
        <v>0</v>
      </c>
      <c r="O983">
        <v>1</v>
      </c>
      <c r="P983">
        <v>0.38</v>
      </c>
      <c r="Q983">
        <v>0.39389999999999997</v>
      </c>
    </row>
    <row r="984" spans="1:17">
      <c r="A984">
        <v>983</v>
      </c>
      <c r="B984">
        <v>0.40910000000000002</v>
      </c>
      <c r="C984">
        <v>0.3</v>
      </c>
      <c r="D984">
        <v>0.41789999999999999</v>
      </c>
      <c r="E984">
        <v>51</v>
      </c>
      <c r="F984">
        <v>110</v>
      </c>
      <c r="G984">
        <v>161</v>
      </c>
      <c r="H984" s="22">
        <v>40587</v>
      </c>
      <c r="I984">
        <v>1</v>
      </c>
      <c r="J984">
        <v>0</v>
      </c>
      <c r="K984">
        <v>2</v>
      </c>
      <c r="L984">
        <v>14</v>
      </c>
      <c r="M984" t="b">
        <v>0</v>
      </c>
      <c r="N984">
        <v>0</v>
      </c>
      <c r="O984">
        <v>2</v>
      </c>
      <c r="P984">
        <v>0.4</v>
      </c>
      <c r="Q984">
        <v>0.40910000000000002</v>
      </c>
    </row>
    <row r="985" spans="1:17">
      <c r="A985">
        <v>984</v>
      </c>
      <c r="B985">
        <v>0.40910000000000002</v>
      </c>
      <c r="C985">
        <v>0.3</v>
      </c>
      <c r="D985">
        <v>0.29849999999999999</v>
      </c>
      <c r="E985">
        <v>40</v>
      </c>
      <c r="F985">
        <v>122</v>
      </c>
      <c r="G985">
        <v>162</v>
      </c>
      <c r="H985" s="22">
        <v>40587</v>
      </c>
      <c r="I985">
        <v>1</v>
      </c>
      <c r="J985">
        <v>0</v>
      </c>
      <c r="K985">
        <v>2</v>
      </c>
      <c r="L985">
        <v>15</v>
      </c>
      <c r="M985" t="b">
        <v>0</v>
      </c>
      <c r="N985">
        <v>0</v>
      </c>
      <c r="O985">
        <v>2</v>
      </c>
      <c r="P985">
        <v>0.4</v>
      </c>
      <c r="Q985">
        <v>0.40910000000000002</v>
      </c>
    </row>
    <row r="986" spans="1:17">
      <c r="A986">
        <v>985</v>
      </c>
      <c r="B986">
        <v>0.42420000000000002</v>
      </c>
      <c r="C986">
        <v>0.28000000000000003</v>
      </c>
      <c r="D986">
        <v>0.32840000000000003</v>
      </c>
      <c r="E986">
        <v>28</v>
      </c>
      <c r="F986">
        <v>106</v>
      </c>
      <c r="G986">
        <v>134</v>
      </c>
      <c r="H986" s="22">
        <v>40587</v>
      </c>
      <c r="I986">
        <v>1</v>
      </c>
      <c r="J986">
        <v>0</v>
      </c>
      <c r="K986">
        <v>2</v>
      </c>
      <c r="L986">
        <v>16</v>
      </c>
      <c r="M986" t="b">
        <v>0</v>
      </c>
      <c r="N986">
        <v>0</v>
      </c>
      <c r="O986">
        <v>2</v>
      </c>
      <c r="P986">
        <v>0.42</v>
      </c>
      <c r="Q986">
        <v>0.42420000000000002</v>
      </c>
    </row>
    <row r="987" spans="1:17">
      <c r="A987">
        <v>986</v>
      </c>
      <c r="B987">
        <v>0.42420000000000002</v>
      </c>
      <c r="C987">
        <v>0.28000000000000003</v>
      </c>
      <c r="D987">
        <v>0.32840000000000003</v>
      </c>
      <c r="E987">
        <v>30</v>
      </c>
      <c r="F987">
        <v>95</v>
      </c>
      <c r="G987">
        <v>125</v>
      </c>
      <c r="H987" s="22">
        <v>40587</v>
      </c>
      <c r="I987">
        <v>1</v>
      </c>
      <c r="J987">
        <v>0</v>
      </c>
      <c r="K987">
        <v>2</v>
      </c>
      <c r="L987">
        <v>17</v>
      </c>
      <c r="M987" t="b">
        <v>0</v>
      </c>
      <c r="N987">
        <v>0</v>
      </c>
      <c r="O987">
        <v>1</v>
      </c>
      <c r="P987">
        <v>0.42</v>
      </c>
      <c r="Q987">
        <v>0.42420000000000002</v>
      </c>
    </row>
    <row r="988" spans="1:17">
      <c r="A988">
        <v>987</v>
      </c>
      <c r="B988">
        <v>0.40910000000000002</v>
      </c>
      <c r="C988">
        <v>0.32</v>
      </c>
      <c r="D988">
        <v>0.29849999999999999</v>
      </c>
      <c r="E988">
        <v>17</v>
      </c>
      <c r="F988">
        <v>78</v>
      </c>
      <c r="G988">
        <v>95</v>
      </c>
      <c r="H988" s="22">
        <v>40587</v>
      </c>
      <c r="I988">
        <v>1</v>
      </c>
      <c r="J988">
        <v>0</v>
      </c>
      <c r="K988">
        <v>2</v>
      </c>
      <c r="L988">
        <v>18</v>
      </c>
      <c r="M988" t="b">
        <v>0</v>
      </c>
      <c r="N988">
        <v>0</v>
      </c>
      <c r="O988">
        <v>1</v>
      </c>
      <c r="P988">
        <v>0.4</v>
      </c>
      <c r="Q988">
        <v>0.40910000000000002</v>
      </c>
    </row>
    <row r="989" spans="1:17">
      <c r="A989">
        <v>988</v>
      </c>
      <c r="B989">
        <v>0.40910000000000002</v>
      </c>
      <c r="C989">
        <v>0.35</v>
      </c>
      <c r="D989">
        <v>0.28360000000000002</v>
      </c>
      <c r="E989">
        <v>11</v>
      </c>
      <c r="F989">
        <v>50</v>
      </c>
      <c r="G989">
        <v>61</v>
      </c>
      <c r="H989" s="22">
        <v>40587</v>
      </c>
      <c r="I989">
        <v>1</v>
      </c>
      <c r="J989">
        <v>0</v>
      </c>
      <c r="K989">
        <v>2</v>
      </c>
      <c r="L989">
        <v>19</v>
      </c>
      <c r="M989" t="b">
        <v>0</v>
      </c>
      <c r="N989">
        <v>0</v>
      </c>
      <c r="O989">
        <v>1</v>
      </c>
      <c r="P989">
        <v>0.4</v>
      </c>
      <c r="Q989">
        <v>0.40910000000000002</v>
      </c>
    </row>
    <row r="990" spans="1:17">
      <c r="A990">
        <v>989</v>
      </c>
      <c r="B990">
        <v>0.40910000000000002</v>
      </c>
      <c r="C990">
        <v>0.35</v>
      </c>
      <c r="D990">
        <v>0.32840000000000003</v>
      </c>
      <c r="E990">
        <v>15</v>
      </c>
      <c r="F990">
        <v>32</v>
      </c>
      <c r="G990">
        <v>47</v>
      </c>
      <c r="H990" s="22">
        <v>40587</v>
      </c>
      <c r="I990">
        <v>1</v>
      </c>
      <c r="J990">
        <v>0</v>
      </c>
      <c r="K990">
        <v>2</v>
      </c>
      <c r="L990">
        <v>20</v>
      </c>
      <c r="M990" t="b">
        <v>0</v>
      </c>
      <c r="N990">
        <v>0</v>
      </c>
      <c r="O990">
        <v>1</v>
      </c>
      <c r="P990">
        <v>0.4</v>
      </c>
      <c r="Q990">
        <v>0.40910000000000002</v>
      </c>
    </row>
    <row r="991" spans="1:17">
      <c r="A991">
        <v>990</v>
      </c>
      <c r="B991">
        <v>0.40910000000000002</v>
      </c>
      <c r="C991">
        <v>0.35</v>
      </c>
      <c r="D991">
        <v>0.35820000000000002</v>
      </c>
      <c r="E991">
        <v>6</v>
      </c>
      <c r="F991">
        <v>45</v>
      </c>
      <c r="G991">
        <v>51</v>
      </c>
      <c r="H991" s="22">
        <v>40587</v>
      </c>
      <c r="I991">
        <v>1</v>
      </c>
      <c r="J991">
        <v>0</v>
      </c>
      <c r="K991">
        <v>2</v>
      </c>
      <c r="L991">
        <v>21</v>
      </c>
      <c r="M991" t="b">
        <v>0</v>
      </c>
      <c r="N991">
        <v>0</v>
      </c>
      <c r="O991">
        <v>1</v>
      </c>
      <c r="P991">
        <v>0.4</v>
      </c>
      <c r="Q991">
        <v>0.40910000000000002</v>
      </c>
    </row>
    <row r="992" spans="1:17">
      <c r="A992">
        <v>991</v>
      </c>
      <c r="B992">
        <v>0.40910000000000002</v>
      </c>
      <c r="C992">
        <v>0.35</v>
      </c>
      <c r="D992">
        <v>0.29849999999999999</v>
      </c>
      <c r="E992">
        <v>5</v>
      </c>
      <c r="F992">
        <v>31</v>
      </c>
      <c r="G992">
        <v>36</v>
      </c>
      <c r="H992" s="22">
        <v>40587</v>
      </c>
      <c r="I992">
        <v>1</v>
      </c>
      <c r="J992">
        <v>0</v>
      </c>
      <c r="K992">
        <v>2</v>
      </c>
      <c r="L992">
        <v>22</v>
      </c>
      <c r="M992" t="b">
        <v>0</v>
      </c>
      <c r="N992">
        <v>0</v>
      </c>
      <c r="O992">
        <v>1</v>
      </c>
      <c r="P992">
        <v>0.4</v>
      </c>
      <c r="Q992">
        <v>0.40910000000000002</v>
      </c>
    </row>
    <row r="993" spans="1:17">
      <c r="A993">
        <v>992</v>
      </c>
      <c r="B993">
        <v>0.40910000000000002</v>
      </c>
      <c r="C993">
        <v>0.35</v>
      </c>
      <c r="D993">
        <v>0.35820000000000002</v>
      </c>
      <c r="E993">
        <v>3</v>
      </c>
      <c r="F993">
        <v>27</v>
      </c>
      <c r="G993">
        <v>30</v>
      </c>
      <c r="H993" s="22">
        <v>40587</v>
      </c>
      <c r="I993">
        <v>1</v>
      </c>
      <c r="J993">
        <v>0</v>
      </c>
      <c r="K993">
        <v>2</v>
      </c>
      <c r="L993">
        <v>23</v>
      </c>
      <c r="M993" t="b">
        <v>0</v>
      </c>
      <c r="N993">
        <v>0</v>
      </c>
      <c r="O993">
        <v>1</v>
      </c>
      <c r="P993">
        <v>0.4</v>
      </c>
      <c r="Q993">
        <v>0.40910000000000002</v>
      </c>
    </row>
    <row r="994" spans="1:17">
      <c r="A994">
        <v>993</v>
      </c>
      <c r="B994">
        <v>0.39389999999999997</v>
      </c>
      <c r="C994">
        <v>0.37</v>
      </c>
      <c r="D994">
        <v>0.35820000000000002</v>
      </c>
      <c r="E994">
        <v>3</v>
      </c>
      <c r="F994">
        <v>8</v>
      </c>
      <c r="G994">
        <v>11</v>
      </c>
      <c r="H994" s="22">
        <v>40588</v>
      </c>
      <c r="I994">
        <v>1</v>
      </c>
      <c r="J994">
        <v>0</v>
      </c>
      <c r="K994">
        <v>2</v>
      </c>
      <c r="L994">
        <v>0</v>
      </c>
      <c r="M994" t="b">
        <v>0</v>
      </c>
      <c r="N994">
        <v>1</v>
      </c>
      <c r="O994">
        <v>1</v>
      </c>
      <c r="P994">
        <v>0.38</v>
      </c>
      <c r="Q994">
        <v>0.39389999999999997</v>
      </c>
    </row>
    <row r="995" spans="1:17">
      <c r="A995">
        <v>994</v>
      </c>
      <c r="B995">
        <v>0.39389999999999997</v>
      </c>
      <c r="C995">
        <v>0.37</v>
      </c>
      <c r="D995">
        <v>0.35820000000000002</v>
      </c>
      <c r="E995">
        <v>1</v>
      </c>
      <c r="F995">
        <v>6</v>
      </c>
      <c r="G995">
        <v>7</v>
      </c>
      <c r="H995" s="22">
        <v>40588</v>
      </c>
      <c r="I995">
        <v>1</v>
      </c>
      <c r="J995">
        <v>0</v>
      </c>
      <c r="K995">
        <v>2</v>
      </c>
      <c r="L995">
        <v>1</v>
      </c>
      <c r="M995" t="b">
        <v>0</v>
      </c>
      <c r="N995">
        <v>1</v>
      </c>
      <c r="O995">
        <v>1</v>
      </c>
      <c r="P995">
        <v>0.38</v>
      </c>
      <c r="Q995">
        <v>0.39389999999999997</v>
      </c>
    </row>
    <row r="996" spans="1:17">
      <c r="A996">
        <v>995</v>
      </c>
      <c r="B996">
        <v>0.33329999999999999</v>
      </c>
      <c r="C996">
        <v>0.4</v>
      </c>
      <c r="D996">
        <v>0.29849999999999999</v>
      </c>
      <c r="E996">
        <v>0</v>
      </c>
      <c r="F996">
        <v>2</v>
      </c>
      <c r="G996">
        <v>2</v>
      </c>
      <c r="H996" s="22">
        <v>40588</v>
      </c>
      <c r="I996">
        <v>1</v>
      </c>
      <c r="J996">
        <v>0</v>
      </c>
      <c r="K996">
        <v>2</v>
      </c>
      <c r="L996">
        <v>2</v>
      </c>
      <c r="M996" t="b">
        <v>0</v>
      </c>
      <c r="N996">
        <v>1</v>
      </c>
      <c r="O996">
        <v>1</v>
      </c>
      <c r="P996">
        <v>0.36</v>
      </c>
      <c r="Q996">
        <v>0.33329999999999999</v>
      </c>
    </row>
    <row r="997" spans="1:17">
      <c r="A997">
        <v>996</v>
      </c>
      <c r="B997">
        <v>0.31819999999999998</v>
      </c>
      <c r="C997">
        <v>0.46</v>
      </c>
      <c r="D997">
        <v>0.22389999999999999</v>
      </c>
      <c r="E997">
        <v>1</v>
      </c>
      <c r="F997">
        <v>1</v>
      </c>
      <c r="G997">
        <v>2</v>
      </c>
      <c r="H997" s="22">
        <v>40588</v>
      </c>
      <c r="I997">
        <v>1</v>
      </c>
      <c r="J997">
        <v>0</v>
      </c>
      <c r="K997">
        <v>2</v>
      </c>
      <c r="L997">
        <v>3</v>
      </c>
      <c r="M997" t="b">
        <v>0</v>
      </c>
      <c r="N997">
        <v>1</v>
      </c>
      <c r="O997">
        <v>1</v>
      </c>
      <c r="P997">
        <v>0.34</v>
      </c>
      <c r="Q997">
        <v>0.31819999999999998</v>
      </c>
    </row>
    <row r="998" spans="1:17">
      <c r="A998">
        <v>997</v>
      </c>
      <c r="B998">
        <v>0.30299999999999999</v>
      </c>
      <c r="C998">
        <v>0.53</v>
      </c>
      <c r="D998">
        <v>0.28360000000000002</v>
      </c>
      <c r="E998">
        <v>0</v>
      </c>
      <c r="F998">
        <v>2</v>
      </c>
      <c r="G998">
        <v>2</v>
      </c>
      <c r="H998" s="22">
        <v>40588</v>
      </c>
      <c r="I998">
        <v>1</v>
      </c>
      <c r="J998">
        <v>0</v>
      </c>
      <c r="K998">
        <v>2</v>
      </c>
      <c r="L998">
        <v>4</v>
      </c>
      <c r="M998" t="b">
        <v>0</v>
      </c>
      <c r="N998">
        <v>1</v>
      </c>
      <c r="O998">
        <v>1</v>
      </c>
      <c r="P998">
        <v>0.32</v>
      </c>
      <c r="Q998">
        <v>0.30299999999999999</v>
      </c>
    </row>
    <row r="999" spans="1:17">
      <c r="A999">
        <v>998</v>
      </c>
      <c r="B999">
        <v>0.30299999999999999</v>
      </c>
      <c r="C999">
        <v>0.53</v>
      </c>
      <c r="D999">
        <v>0.28360000000000002</v>
      </c>
      <c r="E999">
        <v>0</v>
      </c>
      <c r="F999">
        <v>3</v>
      </c>
      <c r="G999">
        <v>3</v>
      </c>
      <c r="H999" s="22">
        <v>40588</v>
      </c>
      <c r="I999">
        <v>1</v>
      </c>
      <c r="J999">
        <v>0</v>
      </c>
      <c r="K999">
        <v>2</v>
      </c>
      <c r="L999">
        <v>5</v>
      </c>
      <c r="M999" t="b">
        <v>0</v>
      </c>
      <c r="N999">
        <v>1</v>
      </c>
      <c r="O999">
        <v>1</v>
      </c>
      <c r="P999">
        <v>0.32</v>
      </c>
      <c r="Q999">
        <v>0.30299999999999999</v>
      </c>
    </row>
    <row r="1000" spans="1:17">
      <c r="A1000">
        <v>999</v>
      </c>
      <c r="B1000">
        <v>0.30299999999999999</v>
      </c>
      <c r="C1000">
        <v>0.46</v>
      </c>
      <c r="D1000">
        <v>0.29849999999999999</v>
      </c>
      <c r="E1000">
        <v>1</v>
      </c>
      <c r="F1000">
        <v>25</v>
      </c>
      <c r="G1000">
        <v>26</v>
      </c>
      <c r="H1000" s="22">
        <v>40588</v>
      </c>
      <c r="I1000">
        <v>1</v>
      </c>
      <c r="J1000">
        <v>0</v>
      </c>
      <c r="K1000">
        <v>2</v>
      </c>
      <c r="L1000">
        <v>6</v>
      </c>
      <c r="M1000" t="b">
        <v>0</v>
      </c>
      <c r="N1000">
        <v>1</v>
      </c>
      <c r="O1000">
        <v>1</v>
      </c>
      <c r="P1000">
        <v>0.34</v>
      </c>
      <c r="Q1000">
        <v>0.30299999999999999</v>
      </c>
    </row>
    <row r="1001" spans="1:17">
      <c r="A1001">
        <v>1000</v>
      </c>
      <c r="B1001">
        <v>0.30299999999999999</v>
      </c>
      <c r="C1001">
        <v>0.46</v>
      </c>
      <c r="D1001">
        <v>0.29849999999999999</v>
      </c>
      <c r="E1001">
        <v>2</v>
      </c>
      <c r="F1001">
        <v>96</v>
      </c>
      <c r="G1001">
        <v>98</v>
      </c>
      <c r="H1001" s="22">
        <v>40588</v>
      </c>
      <c r="I1001">
        <v>1</v>
      </c>
      <c r="J1001">
        <v>0</v>
      </c>
      <c r="K1001">
        <v>2</v>
      </c>
      <c r="L1001">
        <v>7</v>
      </c>
      <c r="M1001" t="b">
        <v>0</v>
      </c>
      <c r="N1001">
        <v>1</v>
      </c>
      <c r="O1001">
        <v>1</v>
      </c>
      <c r="P1001">
        <v>0.34</v>
      </c>
      <c r="Q1001">
        <v>0.30299999999999999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53624-31AF-427E-AA91-544F05D8EBC3}">
  <sheetPr codeName="Sheet13"/>
  <dimension ref="A1:J611"/>
  <sheetViews>
    <sheetView workbookViewId="0">
      <selection sqref="A1:J611"/>
    </sheetView>
  </sheetViews>
  <sheetFormatPr defaultRowHeight="14.4"/>
  <sheetData>
    <row r="1" spans="1:10">
      <c r="A1" t="s">
        <v>34</v>
      </c>
      <c r="B1" t="s">
        <v>35</v>
      </c>
      <c r="C1" t="s">
        <v>36</v>
      </c>
      <c r="D1" t="s">
        <v>37</v>
      </c>
      <c r="E1" t="s">
        <v>38</v>
      </c>
      <c r="F1" t="s">
        <v>39</v>
      </c>
      <c r="G1" t="s">
        <v>40</v>
      </c>
      <c r="H1" t="s">
        <v>41</v>
      </c>
      <c r="I1" t="s">
        <v>42</v>
      </c>
      <c r="J1" t="s">
        <v>43</v>
      </c>
    </row>
    <row r="2" spans="1:10">
      <c r="A2">
        <v>1</v>
      </c>
      <c r="B2">
        <v>40544</v>
      </c>
      <c r="C2">
        <v>1</v>
      </c>
      <c r="D2">
        <v>0</v>
      </c>
      <c r="E2">
        <v>1</v>
      </c>
      <c r="F2">
        <v>0</v>
      </c>
      <c r="G2" t="b">
        <v>0</v>
      </c>
      <c r="H2">
        <v>6</v>
      </c>
      <c r="I2">
        <v>1</v>
      </c>
      <c r="J2">
        <v>0.24</v>
      </c>
    </row>
    <row r="3" spans="1:10">
      <c r="A3">
        <v>2</v>
      </c>
      <c r="B3">
        <v>40544</v>
      </c>
      <c r="C3">
        <v>1</v>
      </c>
      <c r="D3">
        <v>0</v>
      </c>
      <c r="E3">
        <v>1</v>
      </c>
      <c r="F3">
        <v>1</v>
      </c>
      <c r="G3" t="b">
        <v>0</v>
      </c>
      <c r="H3">
        <v>6</v>
      </c>
      <c r="I3">
        <v>1</v>
      </c>
      <c r="J3">
        <v>0.22</v>
      </c>
    </row>
    <row r="4" spans="1:10">
      <c r="A4">
        <v>3</v>
      </c>
      <c r="B4">
        <v>40544</v>
      </c>
      <c r="C4">
        <v>1</v>
      </c>
      <c r="D4">
        <v>0</v>
      </c>
      <c r="E4">
        <v>1</v>
      </c>
      <c r="F4">
        <v>2</v>
      </c>
      <c r="G4" t="b">
        <v>0</v>
      </c>
      <c r="H4">
        <v>6</v>
      </c>
      <c r="I4">
        <v>1</v>
      </c>
      <c r="J4">
        <v>0.22</v>
      </c>
    </row>
    <row r="5" spans="1:10">
      <c r="A5">
        <v>4</v>
      </c>
      <c r="B5">
        <v>40544</v>
      </c>
      <c r="C5">
        <v>1</v>
      </c>
      <c r="D5">
        <v>0</v>
      </c>
      <c r="E5">
        <v>1</v>
      </c>
      <c r="F5">
        <v>3</v>
      </c>
      <c r="G5" t="b">
        <v>0</v>
      </c>
      <c r="H5">
        <v>6</v>
      </c>
      <c r="I5">
        <v>1</v>
      </c>
      <c r="J5">
        <v>0.24</v>
      </c>
    </row>
    <row r="6" spans="1:10">
      <c r="A6">
        <v>5</v>
      </c>
      <c r="B6">
        <v>40544</v>
      </c>
      <c r="C6">
        <v>1</v>
      </c>
      <c r="D6">
        <v>0</v>
      </c>
      <c r="E6">
        <v>1</v>
      </c>
      <c r="F6">
        <v>4</v>
      </c>
      <c r="G6" t="b">
        <v>0</v>
      </c>
      <c r="H6">
        <v>6</v>
      </c>
      <c r="I6">
        <v>1</v>
      </c>
      <c r="J6">
        <v>0.24</v>
      </c>
    </row>
    <row r="7" spans="1:10">
      <c r="A7">
        <v>6</v>
      </c>
      <c r="B7">
        <v>40544</v>
      </c>
      <c r="C7">
        <v>1</v>
      </c>
      <c r="D7">
        <v>0</v>
      </c>
      <c r="E7">
        <v>1</v>
      </c>
      <c r="F7">
        <v>5</v>
      </c>
      <c r="G7" t="b">
        <v>0</v>
      </c>
      <c r="H7">
        <v>6</v>
      </c>
      <c r="I7">
        <v>2</v>
      </c>
      <c r="J7">
        <v>0.24</v>
      </c>
    </row>
    <row r="8" spans="1:10">
      <c r="A8">
        <v>7</v>
      </c>
      <c r="B8">
        <v>40544</v>
      </c>
      <c r="C8">
        <v>1</v>
      </c>
      <c r="D8">
        <v>0</v>
      </c>
      <c r="E8">
        <v>1</v>
      </c>
      <c r="F8">
        <v>6</v>
      </c>
      <c r="G8" t="b">
        <v>0</v>
      </c>
      <c r="H8">
        <v>6</v>
      </c>
      <c r="I8">
        <v>1</v>
      </c>
      <c r="J8">
        <v>0.22</v>
      </c>
    </row>
    <row r="9" spans="1:10">
      <c r="A9">
        <v>8</v>
      </c>
      <c r="B9">
        <v>40544</v>
      </c>
      <c r="C9">
        <v>1</v>
      </c>
      <c r="D9">
        <v>0</v>
      </c>
      <c r="E9">
        <v>1</v>
      </c>
      <c r="F9">
        <v>7</v>
      </c>
      <c r="G9" t="b">
        <v>0</v>
      </c>
      <c r="H9">
        <v>6</v>
      </c>
      <c r="I9">
        <v>1</v>
      </c>
      <c r="J9">
        <v>0.2</v>
      </c>
    </row>
    <row r="10" spans="1:10">
      <c r="A10">
        <v>9</v>
      </c>
      <c r="B10">
        <v>40544</v>
      </c>
      <c r="C10">
        <v>1</v>
      </c>
      <c r="D10">
        <v>0</v>
      </c>
      <c r="E10">
        <v>1</v>
      </c>
      <c r="F10">
        <v>8</v>
      </c>
      <c r="G10" t="b">
        <v>0</v>
      </c>
      <c r="H10">
        <v>6</v>
      </c>
      <c r="I10">
        <v>1</v>
      </c>
      <c r="J10">
        <v>0.24</v>
      </c>
    </row>
    <row r="11" spans="1:10">
      <c r="A11">
        <v>10</v>
      </c>
      <c r="B11">
        <v>40544</v>
      </c>
      <c r="C11">
        <v>1</v>
      </c>
      <c r="D11">
        <v>0</v>
      </c>
      <c r="E11">
        <v>1</v>
      </c>
      <c r="F11">
        <v>9</v>
      </c>
      <c r="G11" t="b">
        <v>0</v>
      </c>
      <c r="H11">
        <v>6</v>
      </c>
      <c r="I11">
        <v>1</v>
      </c>
      <c r="J11">
        <v>0.32</v>
      </c>
    </row>
    <row r="12" spans="1:10">
      <c r="A12">
        <v>11</v>
      </c>
      <c r="B12">
        <v>40544</v>
      </c>
      <c r="C12">
        <v>1</v>
      </c>
      <c r="D12">
        <v>0</v>
      </c>
      <c r="E12">
        <v>1</v>
      </c>
      <c r="F12">
        <v>10</v>
      </c>
      <c r="G12" t="b">
        <v>0</v>
      </c>
      <c r="H12">
        <v>6</v>
      </c>
      <c r="I12">
        <v>1</v>
      </c>
      <c r="J12">
        <v>0.38</v>
      </c>
    </row>
    <row r="13" spans="1:10">
      <c r="A13">
        <v>12</v>
      </c>
      <c r="B13">
        <v>40544</v>
      </c>
      <c r="C13">
        <v>1</v>
      </c>
      <c r="D13">
        <v>0</v>
      </c>
      <c r="E13">
        <v>1</v>
      </c>
      <c r="F13">
        <v>11</v>
      </c>
      <c r="G13" t="b">
        <v>0</v>
      </c>
      <c r="H13">
        <v>6</v>
      </c>
      <c r="I13">
        <v>1</v>
      </c>
      <c r="J13">
        <v>0.36</v>
      </c>
    </row>
    <row r="14" spans="1:10">
      <c r="A14">
        <v>13</v>
      </c>
      <c r="B14">
        <v>40544</v>
      </c>
      <c r="C14">
        <v>1</v>
      </c>
      <c r="D14">
        <v>0</v>
      </c>
      <c r="E14">
        <v>1</v>
      </c>
      <c r="F14">
        <v>12</v>
      </c>
      <c r="G14" t="b">
        <v>0</v>
      </c>
      <c r="H14">
        <v>6</v>
      </c>
      <c r="I14">
        <v>1</v>
      </c>
      <c r="J14">
        <v>0.42</v>
      </c>
    </row>
    <row r="15" spans="1:10">
      <c r="A15">
        <v>14</v>
      </c>
      <c r="B15">
        <v>40544</v>
      </c>
      <c r="C15">
        <v>1</v>
      </c>
      <c r="D15">
        <v>0</v>
      </c>
      <c r="E15">
        <v>1</v>
      </c>
      <c r="F15">
        <v>13</v>
      </c>
      <c r="G15" t="b">
        <v>0</v>
      </c>
      <c r="H15">
        <v>6</v>
      </c>
      <c r="I15">
        <v>2</v>
      </c>
      <c r="J15">
        <v>0.46</v>
      </c>
    </row>
    <row r="16" spans="1:10">
      <c r="A16">
        <v>15</v>
      </c>
      <c r="B16">
        <v>40544</v>
      </c>
      <c r="C16">
        <v>1</v>
      </c>
      <c r="D16">
        <v>0</v>
      </c>
      <c r="E16">
        <v>1</v>
      </c>
      <c r="F16">
        <v>14</v>
      </c>
      <c r="G16" t="b">
        <v>0</v>
      </c>
      <c r="H16">
        <v>6</v>
      </c>
      <c r="I16">
        <v>2</v>
      </c>
      <c r="J16">
        <v>0.46</v>
      </c>
    </row>
    <row r="17" spans="1:10">
      <c r="A17">
        <v>16</v>
      </c>
      <c r="B17">
        <v>40544</v>
      </c>
      <c r="C17">
        <v>1</v>
      </c>
      <c r="D17">
        <v>0</v>
      </c>
      <c r="E17">
        <v>1</v>
      </c>
      <c r="F17">
        <v>15</v>
      </c>
      <c r="G17" t="b">
        <v>0</v>
      </c>
      <c r="H17">
        <v>6</v>
      </c>
      <c r="I17">
        <v>2</v>
      </c>
      <c r="J17">
        <v>0.44</v>
      </c>
    </row>
    <row r="18" spans="1:10">
      <c r="A18">
        <v>17</v>
      </c>
      <c r="B18">
        <v>40544</v>
      </c>
      <c r="C18">
        <v>1</v>
      </c>
      <c r="D18">
        <v>0</v>
      </c>
      <c r="E18">
        <v>1</v>
      </c>
      <c r="F18">
        <v>16</v>
      </c>
      <c r="G18" t="b">
        <v>0</v>
      </c>
      <c r="H18">
        <v>6</v>
      </c>
      <c r="I18">
        <v>2</v>
      </c>
      <c r="J18">
        <v>0.42</v>
      </c>
    </row>
    <row r="19" spans="1:10">
      <c r="A19">
        <v>18</v>
      </c>
      <c r="B19">
        <v>40544</v>
      </c>
      <c r="C19">
        <v>1</v>
      </c>
      <c r="D19">
        <v>0</v>
      </c>
      <c r="E19">
        <v>1</v>
      </c>
      <c r="F19">
        <v>17</v>
      </c>
      <c r="G19" t="b">
        <v>0</v>
      </c>
      <c r="H19">
        <v>6</v>
      </c>
      <c r="I19">
        <v>2</v>
      </c>
      <c r="J19">
        <v>0.44</v>
      </c>
    </row>
    <row r="20" spans="1:10">
      <c r="A20">
        <v>19</v>
      </c>
      <c r="B20">
        <v>40544</v>
      </c>
      <c r="C20">
        <v>1</v>
      </c>
      <c r="D20">
        <v>0</v>
      </c>
      <c r="E20">
        <v>1</v>
      </c>
      <c r="F20">
        <v>18</v>
      </c>
      <c r="G20" t="b">
        <v>0</v>
      </c>
      <c r="H20">
        <v>6</v>
      </c>
      <c r="I20">
        <v>3</v>
      </c>
      <c r="J20">
        <v>0.42</v>
      </c>
    </row>
    <row r="21" spans="1:10">
      <c r="A21">
        <v>20</v>
      </c>
      <c r="B21">
        <v>40544</v>
      </c>
      <c r="C21">
        <v>1</v>
      </c>
      <c r="D21">
        <v>0</v>
      </c>
      <c r="E21">
        <v>1</v>
      </c>
      <c r="F21">
        <v>19</v>
      </c>
      <c r="G21" t="b">
        <v>0</v>
      </c>
      <c r="H21">
        <v>6</v>
      </c>
      <c r="I21">
        <v>3</v>
      </c>
      <c r="J21">
        <v>0.42</v>
      </c>
    </row>
    <row r="22" spans="1:10">
      <c r="A22">
        <v>21</v>
      </c>
      <c r="B22">
        <v>40544</v>
      </c>
      <c r="C22">
        <v>1</v>
      </c>
      <c r="D22">
        <v>0</v>
      </c>
      <c r="E22">
        <v>1</v>
      </c>
      <c r="F22">
        <v>20</v>
      </c>
      <c r="G22" t="b">
        <v>0</v>
      </c>
      <c r="H22">
        <v>6</v>
      </c>
      <c r="I22">
        <v>2</v>
      </c>
      <c r="J22">
        <v>0.4</v>
      </c>
    </row>
    <row r="23" spans="1:10">
      <c r="A23">
        <v>22</v>
      </c>
      <c r="B23">
        <v>40544</v>
      </c>
      <c r="C23">
        <v>1</v>
      </c>
      <c r="D23">
        <v>0</v>
      </c>
      <c r="E23">
        <v>1</v>
      </c>
      <c r="F23">
        <v>21</v>
      </c>
      <c r="G23" t="b">
        <v>0</v>
      </c>
      <c r="H23">
        <v>6</v>
      </c>
      <c r="I23">
        <v>2</v>
      </c>
      <c r="J23">
        <v>0.4</v>
      </c>
    </row>
    <row r="24" spans="1:10">
      <c r="A24">
        <v>23</v>
      </c>
      <c r="B24">
        <v>40544</v>
      </c>
      <c r="C24">
        <v>1</v>
      </c>
      <c r="D24">
        <v>0</v>
      </c>
      <c r="E24">
        <v>1</v>
      </c>
      <c r="F24">
        <v>22</v>
      </c>
      <c r="G24" t="b">
        <v>0</v>
      </c>
      <c r="H24">
        <v>6</v>
      </c>
      <c r="I24">
        <v>2</v>
      </c>
      <c r="J24">
        <v>0.4</v>
      </c>
    </row>
    <row r="25" spans="1:10">
      <c r="A25">
        <v>24</v>
      </c>
      <c r="B25">
        <v>40544</v>
      </c>
      <c r="C25">
        <v>1</v>
      </c>
      <c r="D25">
        <v>0</v>
      </c>
      <c r="E25">
        <v>1</v>
      </c>
      <c r="F25">
        <v>23</v>
      </c>
      <c r="G25" t="b">
        <v>0</v>
      </c>
      <c r="H25">
        <v>6</v>
      </c>
      <c r="I25">
        <v>2</v>
      </c>
      <c r="J25">
        <v>0.46</v>
      </c>
    </row>
    <row r="26" spans="1:10">
      <c r="A26">
        <v>25</v>
      </c>
      <c r="B26">
        <v>40545</v>
      </c>
      <c r="C26">
        <v>1</v>
      </c>
      <c r="D26">
        <v>0</v>
      </c>
      <c r="E26">
        <v>1</v>
      </c>
      <c r="F26">
        <v>0</v>
      </c>
      <c r="G26" t="b">
        <v>0</v>
      </c>
      <c r="H26">
        <v>0</v>
      </c>
      <c r="I26">
        <v>2</v>
      </c>
      <c r="J26">
        <v>0.46</v>
      </c>
    </row>
    <row r="27" spans="1:10">
      <c r="A27">
        <v>26</v>
      </c>
      <c r="B27">
        <v>40545</v>
      </c>
      <c r="C27">
        <v>1</v>
      </c>
      <c r="D27">
        <v>0</v>
      </c>
      <c r="E27">
        <v>1</v>
      </c>
      <c r="F27">
        <v>1</v>
      </c>
      <c r="G27" t="b">
        <v>0</v>
      </c>
      <c r="H27">
        <v>0</v>
      </c>
      <c r="I27">
        <v>2</v>
      </c>
      <c r="J27">
        <v>0.44</v>
      </c>
    </row>
    <row r="28" spans="1:10">
      <c r="A28">
        <v>27</v>
      </c>
      <c r="B28">
        <v>40545</v>
      </c>
      <c r="C28">
        <v>1</v>
      </c>
      <c r="D28">
        <v>0</v>
      </c>
      <c r="E28">
        <v>1</v>
      </c>
      <c r="F28">
        <v>2</v>
      </c>
      <c r="G28" t="b">
        <v>0</v>
      </c>
      <c r="H28">
        <v>0</v>
      </c>
      <c r="I28">
        <v>2</v>
      </c>
      <c r="J28">
        <v>0.42</v>
      </c>
    </row>
    <row r="29" spans="1:10">
      <c r="A29">
        <v>28</v>
      </c>
      <c r="B29">
        <v>40545</v>
      </c>
      <c r="C29">
        <v>1</v>
      </c>
      <c r="D29">
        <v>0</v>
      </c>
      <c r="E29">
        <v>1</v>
      </c>
      <c r="F29">
        <v>3</v>
      </c>
      <c r="G29" t="b">
        <v>0</v>
      </c>
      <c r="H29">
        <v>0</v>
      </c>
      <c r="I29">
        <v>2</v>
      </c>
      <c r="J29">
        <v>0.46</v>
      </c>
    </row>
    <row r="30" spans="1:10">
      <c r="A30">
        <v>29</v>
      </c>
      <c r="B30">
        <v>40545</v>
      </c>
      <c r="C30">
        <v>1</v>
      </c>
      <c r="D30">
        <v>0</v>
      </c>
      <c r="E30">
        <v>1</v>
      </c>
      <c r="F30">
        <v>4</v>
      </c>
      <c r="G30" t="b">
        <v>0</v>
      </c>
      <c r="H30">
        <v>0</v>
      </c>
      <c r="I30">
        <v>2</v>
      </c>
      <c r="J30">
        <v>0.46</v>
      </c>
    </row>
    <row r="31" spans="1:10">
      <c r="A31">
        <v>30</v>
      </c>
      <c r="B31">
        <v>40545</v>
      </c>
      <c r="C31">
        <v>1</v>
      </c>
      <c r="D31">
        <v>0</v>
      </c>
      <c r="E31">
        <v>1</v>
      </c>
      <c r="F31">
        <v>6</v>
      </c>
      <c r="G31" t="b">
        <v>0</v>
      </c>
      <c r="H31">
        <v>0</v>
      </c>
      <c r="I31">
        <v>3</v>
      </c>
      <c r="J31">
        <v>0.42</v>
      </c>
    </row>
    <row r="32" spans="1:10">
      <c r="A32">
        <v>31</v>
      </c>
      <c r="B32">
        <v>40545</v>
      </c>
      <c r="C32">
        <v>1</v>
      </c>
      <c r="D32">
        <v>0</v>
      </c>
      <c r="E32">
        <v>1</v>
      </c>
      <c r="F32">
        <v>7</v>
      </c>
      <c r="G32" t="b">
        <v>0</v>
      </c>
      <c r="H32">
        <v>0</v>
      </c>
      <c r="I32">
        <v>2</v>
      </c>
      <c r="J32">
        <v>0.4</v>
      </c>
    </row>
    <row r="33" spans="1:10">
      <c r="A33">
        <v>32</v>
      </c>
      <c r="B33">
        <v>40545</v>
      </c>
      <c r="C33">
        <v>1</v>
      </c>
      <c r="D33">
        <v>0</v>
      </c>
      <c r="E33">
        <v>1</v>
      </c>
      <c r="F33">
        <v>8</v>
      </c>
      <c r="G33" t="b">
        <v>0</v>
      </c>
      <c r="H33">
        <v>0</v>
      </c>
      <c r="I33">
        <v>3</v>
      </c>
      <c r="J33">
        <v>0.4</v>
      </c>
    </row>
    <row r="34" spans="1:10">
      <c r="A34">
        <v>33</v>
      </c>
      <c r="B34">
        <v>40545</v>
      </c>
      <c r="C34">
        <v>1</v>
      </c>
      <c r="D34">
        <v>0</v>
      </c>
      <c r="E34">
        <v>1</v>
      </c>
      <c r="F34">
        <v>9</v>
      </c>
      <c r="G34" t="b">
        <v>0</v>
      </c>
      <c r="H34">
        <v>0</v>
      </c>
      <c r="I34">
        <v>2</v>
      </c>
      <c r="J34">
        <v>0.38</v>
      </c>
    </row>
    <row r="35" spans="1:10">
      <c r="A35">
        <v>34</v>
      </c>
      <c r="B35">
        <v>40545</v>
      </c>
      <c r="C35">
        <v>1</v>
      </c>
      <c r="D35">
        <v>0</v>
      </c>
      <c r="E35">
        <v>1</v>
      </c>
      <c r="F35">
        <v>10</v>
      </c>
      <c r="G35" t="b">
        <v>0</v>
      </c>
      <c r="H35">
        <v>0</v>
      </c>
      <c r="I35">
        <v>2</v>
      </c>
      <c r="J35">
        <v>0.36</v>
      </c>
    </row>
    <row r="36" spans="1:10">
      <c r="A36">
        <v>35</v>
      </c>
      <c r="B36">
        <v>40545</v>
      </c>
      <c r="C36">
        <v>1</v>
      </c>
      <c r="D36">
        <v>0</v>
      </c>
      <c r="E36">
        <v>1</v>
      </c>
      <c r="F36">
        <v>11</v>
      </c>
      <c r="G36" t="b">
        <v>0</v>
      </c>
      <c r="H36">
        <v>0</v>
      </c>
      <c r="I36">
        <v>2</v>
      </c>
      <c r="J36">
        <v>0.36</v>
      </c>
    </row>
    <row r="37" spans="1:10">
      <c r="A37">
        <v>36</v>
      </c>
      <c r="B37">
        <v>40545</v>
      </c>
      <c r="C37">
        <v>1</v>
      </c>
      <c r="D37">
        <v>0</v>
      </c>
      <c r="E37">
        <v>1</v>
      </c>
      <c r="F37">
        <v>12</v>
      </c>
      <c r="G37" t="b">
        <v>0</v>
      </c>
      <c r="H37">
        <v>0</v>
      </c>
      <c r="I37">
        <v>2</v>
      </c>
      <c r="J37">
        <v>0.36</v>
      </c>
    </row>
    <row r="38" spans="1:10">
      <c r="A38">
        <v>37</v>
      </c>
      <c r="B38">
        <v>40545</v>
      </c>
      <c r="C38">
        <v>1</v>
      </c>
      <c r="D38">
        <v>0</v>
      </c>
      <c r="E38">
        <v>1</v>
      </c>
      <c r="F38">
        <v>13</v>
      </c>
      <c r="G38" t="b">
        <v>0</v>
      </c>
      <c r="H38">
        <v>0</v>
      </c>
      <c r="I38">
        <v>2</v>
      </c>
      <c r="J38">
        <v>0.36</v>
      </c>
    </row>
    <row r="39" spans="1:10">
      <c r="A39">
        <v>38</v>
      </c>
      <c r="B39">
        <v>40545</v>
      </c>
      <c r="C39">
        <v>1</v>
      </c>
      <c r="D39">
        <v>0</v>
      </c>
      <c r="E39">
        <v>1</v>
      </c>
      <c r="F39">
        <v>14</v>
      </c>
      <c r="G39" t="b">
        <v>0</v>
      </c>
      <c r="H39">
        <v>0</v>
      </c>
      <c r="I39">
        <v>3</v>
      </c>
      <c r="J39">
        <v>0.36</v>
      </c>
    </row>
    <row r="40" spans="1:10">
      <c r="A40">
        <v>39</v>
      </c>
      <c r="B40">
        <v>40545</v>
      </c>
      <c r="C40">
        <v>1</v>
      </c>
      <c r="D40">
        <v>0</v>
      </c>
      <c r="E40">
        <v>1</v>
      </c>
      <c r="F40">
        <v>15</v>
      </c>
      <c r="G40" t="b">
        <v>0</v>
      </c>
      <c r="H40">
        <v>0</v>
      </c>
      <c r="I40">
        <v>3</v>
      </c>
      <c r="J40">
        <v>0.34</v>
      </c>
    </row>
    <row r="41" spans="1:10">
      <c r="A41">
        <v>40</v>
      </c>
      <c r="B41">
        <v>40545</v>
      </c>
      <c r="C41">
        <v>1</v>
      </c>
      <c r="D41">
        <v>0</v>
      </c>
      <c r="E41">
        <v>1</v>
      </c>
      <c r="F41">
        <v>16</v>
      </c>
      <c r="G41" t="b">
        <v>0</v>
      </c>
      <c r="H41">
        <v>0</v>
      </c>
      <c r="I41">
        <v>3</v>
      </c>
      <c r="J41">
        <v>0.34</v>
      </c>
    </row>
    <row r="42" spans="1:10">
      <c r="A42">
        <v>41</v>
      </c>
      <c r="B42">
        <v>40545</v>
      </c>
      <c r="C42">
        <v>1</v>
      </c>
      <c r="D42">
        <v>0</v>
      </c>
      <c r="E42">
        <v>1</v>
      </c>
      <c r="F42">
        <v>17</v>
      </c>
      <c r="G42" t="b">
        <v>0</v>
      </c>
      <c r="H42">
        <v>0</v>
      </c>
      <c r="I42">
        <v>1</v>
      </c>
      <c r="J42">
        <v>0.34</v>
      </c>
    </row>
    <row r="43" spans="1:10">
      <c r="A43">
        <v>42</v>
      </c>
      <c r="B43">
        <v>40545</v>
      </c>
      <c r="C43">
        <v>1</v>
      </c>
      <c r="D43">
        <v>0</v>
      </c>
      <c r="E43">
        <v>1</v>
      </c>
      <c r="F43">
        <v>18</v>
      </c>
      <c r="G43" t="b">
        <v>0</v>
      </c>
      <c r="H43">
        <v>0</v>
      </c>
      <c r="I43">
        <v>2</v>
      </c>
      <c r="J43">
        <v>0.36</v>
      </c>
    </row>
    <row r="44" spans="1:10">
      <c r="A44">
        <v>43</v>
      </c>
      <c r="B44">
        <v>40545</v>
      </c>
      <c r="C44">
        <v>1</v>
      </c>
      <c r="D44">
        <v>0</v>
      </c>
      <c r="E44">
        <v>1</v>
      </c>
      <c r="F44">
        <v>19</v>
      </c>
      <c r="G44" t="b">
        <v>0</v>
      </c>
      <c r="H44">
        <v>0</v>
      </c>
      <c r="I44">
        <v>1</v>
      </c>
      <c r="J44">
        <v>0.32</v>
      </c>
    </row>
    <row r="45" spans="1:10">
      <c r="A45">
        <v>44</v>
      </c>
      <c r="B45">
        <v>40545</v>
      </c>
      <c r="C45">
        <v>1</v>
      </c>
      <c r="D45">
        <v>0</v>
      </c>
      <c r="E45">
        <v>1</v>
      </c>
      <c r="F45">
        <v>20</v>
      </c>
      <c r="G45" t="b">
        <v>0</v>
      </c>
      <c r="H45">
        <v>0</v>
      </c>
      <c r="I45">
        <v>1</v>
      </c>
      <c r="J45">
        <v>0.3</v>
      </c>
    </row>
    <row r="46" spans="1:10">
      <c r="A46">
        <v>45</v>
      </c>
      <c r="B46">
        <v>40545</v>
      </c>
      <c r="C46">
        <v>1</v>
      </c>
      <c r="D46">
        <v>0</v>
      </c>
      <c r="E46">
        <v>1</v>
      </c>
      <c r="F46">
        <v>21</v>
      </c>
      <c r="G46" t="b">
        <v>0</v>
      </c>
      <c r="H46">
        <v>0</v>
      </c>
      <c r="I46">
        <v>1</v>
      </c>
      <c r="J46">
        <v>0.26</v>
      </c>
    </row>
    <row r="47" spans="1:10">
      <c r="A47">
        <v>46</v>
      </c>
      <c r="B47">
        <v>40545</v>
      </c>
      <c r="C47">
        <v>1</v>
      </c>
      <c r="D47">
        <v>0</v>
      </c>
      <c r="E47">
        <v>1</v>
      </c>
      <c r="F47">
        <v>22</v>
      </c>
      <c r="G47" t="b">
        <v>0</v>
      </c>
      <c r="H47">
        <v>0</v>
      </c>
      <c r="I47">
        <v>1</v>
      </c>
      <c r="J47">
        <v>0.24</v>
      </c>
    </row>
    <row r="48" spans="1:10">
      <c r="A48">
        <v>47</v>
      </c>
      <c r="B48">
        <v>40545</v>
      </c>
      <c r="C48">
        <v>1</v>
      </c>
      <c r="D48">
        <v>0</v>
      </c>
      <c r="E48">
        <v>1</v>
      </c>
      <c r="F48">
        <v>23</v>
      </c>
      <c r="G48" t="b">
        <v>0</v>
      </c>
      <c r="H48">
        <v>0</v>
      </c>
      <c r="I48">
        <v>1</v>
      </c>
      <c r="J48">
        <v>0.22</v>
      </c>
    </row>
    <row r="49" spans="1:10">
      <c r="A49">
        <v>48</v>
      </c>
      <c r="B49">
        <v>40546</v>
      </c>
      <c r="C49">
        <v>1</v>
      </c>
      <c r="D49">
        <v>0</v>
      </c>
      <c r="E49">
        <v>1</v>
      </c>
      <c r="F49">
        <v>0</v>
      </c>
      <c r="G49" t="b">
        <v>0</v>
      </c>
      <c r="H49">
        <v>1</v>
      </c>
      <c r="I49">
        <v>1</v>
      </c>
      <c r="J49">
        <v>0.22</v>
      </c>
    </row>
    <row r="50" spans="1:10">
      <c r="A50">
        <v>49</v>
      </c>
      <c r="B50">
        <v>40546</v>
      </c>
      <c r="C50">
        <v>1</v>
      </c>
      <c r="D50">
        <v>0</v>
      </c>
      <c r="E50">
        <v>1</v>
      </c>
      <c r="F50">
        <v>1</v>
      </c>
      <c r="G50" t="b">
        <v>0</v>
      </c>
      <c r="H50">
        <v>1</v>
      </c>
      <c r="I50">
        <v>1</v>
      </c>
      <c r="J50">
        <v>0.2</v>
      </c>
    </row>
    <row r="51" spans="1:10">
      <c r="A51">
        <v>50</v>
      </c>
      <c r="B51">
        <v>40546</v>
      </c>
      <c r="C51">
        <v>1</v>
      </c>
      <c r="D51">
        <v>0</v>
      </c>
      <c r="E51">
        <v>1</v>
      </c>
      <c r="F51">
        <v>4</v>
      </c>
      <c r="G51" t="b">
        <v>0</v>
      </c>
      <c r="H51">
        <v>1</v>
      </c>
      <c r="I51">
        <v>1</v>
      </c>
      <c r="J51">
        <v>0.16</v>
      </c>
    </row>
    <row r="52" spans="1:10">
      <c r="A52">
        <v>51</v>
      </c>
      <c r="B52">
        <v>40546</v>
      </c>
      <c r="C52">
        <v>1</v>
      </c>
      <c r="D52">
        <v>0</v>
      </c>
      <c r="E52">
        <v>1</v>
      </c>
      <c r="F52">
        <v>5</v>
      </c>
      <c r="G52" t="b">
        <v>0</v>
      </c>
      <c r="H52">
        <v>1</v>
      </c>
      <c r="I52">
        <v>1</v>
      </c>
      <c r="J52">
        <v>0.16</v>
      </c>
    </row>
    <row r="53" spans="1:10">
      <c r="A53">
        <v>52</v>
      </c>
      <c r="B53">
        <v>40546</v>
      </c>
      <c r="C53">
        <v>1</v>
      </c>
      <c r="D53">
        <v>0</v>
      </c>
      <c r="E53">
        <v>1</v>
      </c>
      <c r="F53">
        <v>6</v>
      </c>
      <c r="G53" t="b">
        <v>0</v>
      </c>
      <c r="H53">
        <v>1</v>
      </c>
      <c r="I53">
        <v>1</v>
      </c>
      <c r="J53">
        <v>0.14000000000000001</v>
      </c>
    </row>
    <row r="54" spans="1:10">
      <c r="A54">
        <v>53</v>
      </c>
      <c r="B54">
        <v>40546</v>
      </c>
      <c r="C54">
        <v>1</v>
      </c>
      <c r="D54">
        <v>0</v>
      </c>
      <c r="E54">
        <v>1</v>
      </c>
      <c r="F54">
        <v>7</v>
      </c>
      <c r="G54" t="b">
        <v>0</v>
      </c>
      <c r="H54">
        <v>1</v>
      </c>
      <c r="I54">
        <v>1</v>
      </c>
      <c r="J54">
        <v>0.14000000000000001</v>
      </c>
    </row>
    <row r="55" spans="1:10">
      <c r="A55">
        <v>54</v>
      </c>
      <c r="B55">
        <v>40546</v>
      </c>
      <c r="C55">
        <v>1</v>
      </c>
      <c r="D55">
        <v>0</v>
      </c>
      <c r="E55">
        <v>1</v>
      </c>
      <c r="F55">
        <v>8</v>
      </c>
      <c r="G55" t="b">
        <v>0</v>
      </c>
      <c r="H55">
        <v>1</v>
      </c>
      <c r="I55">
        <v>1</v>
      </c>
      <c r="J55">
        <v>0.14000000000000001</v>
      </c>
    </row>
    <row r="56" spans="1:10">
      <c r="A56">
        <v>55</v>
      </c>
      <c r="B56">
        <v>40546</v>
      </c>
      <c r="C56">
        <v>1</v>
      </c>
      <c r="D56">
        <v>0</v>
      </c>
      <c r="E56">
        <v>1</v>
      </c>
      <c r="F56">
        <v>9</v>
      </c>
      <c r="G56" t="b">
        <v>0</v>
      </c>
      <c r="H56">
        <v>1</v>
      </c>
      <c r="I56">
        <v>1</v>
      </c>
      <c r="J56">
        <v>0.16</v>
      </c>
    </row>
    <row r="57" spans="1:10">
      <c r="A57">
        <v>56</v>
      </c>
      <c r="B57">
        <v>40546</v>
      </c>
      <c r="C57">
        <v>1</v>
      </c>
      <c r="D57">
        <v>0</v>
      </c>
      <c r="E57">
        <v>1</v>
      </c>
      <c r="F57">
        <v>10</v>
      </c>
      <c r="G57" t="b">
        <v>0</v>
      </c>
      <c r="H57">
        <v>1</v>
      </c>
      <c r="I57">
        <v>1</v>
      </c>
      <c r="J57">
        <v>0.18</v>
      </c>
    </row>
    <row r="58" spans="1:10">
      <c r="A58">
        <v>57</v>
      </c>
      <c r="B58">
        <v>40546</v>
      </c>
      <c r="C58">
        <v>1</v>
      </c>
      <c r="D58">
        <v>0</v>
      </c>
      <c r="E58">
        <v>1</v>
      </c>
      <c r="F58">
        <v>11</v>
      </c>
      <c r="G58" t="b">
        <v>0</v>
      </c>
      <c r="H58">
        <v>1</v>
      </c>
      <c r="I58">
        <v>1</v>
      </c>
      <c r="J58">
        <v>0.2</v>
      </c>
    </row>
    <row r="59" spans="1:10">
      <c r="A59">
        <v>58</v>
      </c>
      <c r="B59">
        <v>40546</v>
      </c>
      <c r="C59">
        <v>1</v>
      </c>
      <c r="D59">
        <v>0</v>
      </c>
      <c r="E59">
        <v>1</v>
      </c>
      <c r="F59">
        <v>12</v>
      </c>
      <c r="G59" t="b">
        <v>0</v>
      </c>
      <c r="H59">
        <v>1</v>
      </c>
      <c r="I59">
        <v>1</v>
      </c>
      <c r="J59">
        <v>0.22</v>
      </c>
    </row>
    <row r="60" spans="1:10">
      <c r="A60">
        <v>59</v>
      </c>
      <c r="B60">
        <v>40546</v>
      </c>
      <c r="C60">
        <v>1</v>
      </c>
      <c r="D60">
        <v>0</v>
      </c>
      <c r="E60">
        <v>1</v>
      </c>
      <c r="F60">
        <v>13</v>
      </c>
      <c r="G60" t="b">
        <v>0</v>
      </c>
      <c r="H60">
        <v>1</v>
      </c>
      <c r="I60">
        <v>1</v>
      </c>
      <c r="J60">
        <v>0.24</v>
      </c>
    </row>
    <row r="61" spans="1:10">
      <c r="A61">
        <v>60</v>
      </c>
      <c r="B61">
        <v>40546</v>
      </c>
      <c r="C61">
        <v>1</v>
      </c>
      <c r="D61">
        <v>0</v>
      </c>
      <c r="E61">
        <v>1</v>
      </c>
      <c r="F61">
        <v>14</v>
      </c>
      <c r="G61" t="b">
        <v>0</v>
      </c>
      <c r="H61">
        <v>1</v>
      </c>
      <c r="I61">
        <v>1</v>
      </c>
      <c r="J61">
        <v>0.26</v>
      </c>
    </row>
    <row r="62" spans="1:10">
      <c r="A62">
        <v>61</v>
      </c>
      <c r="B62">
        <v>40546</v>
      </c>
      <c r="C62">
        <v>1</v>
      </c>
      <c r="D62">
        <v>0</v>
      </c>
      <c r="E62">
        <v>1</v>
      </c>
      <c r="F62">
        <v>15</v>
      </c>
      <c r="G62" t="b">
        <v>0</v>
      </c>
      <c r="H62">
        <v>1</v>
      </c>
      <c r="I62">
        <v>1</v>
      </c>
      <c r="J62">
        <v>0.26</v>
      </c>
    </row>
    <row r="63" spans="1:10">
      <c r="A63">
        <v>62</v>
      </c>
      <c r="B63">
        <v>40546</v>
      </c>
      <c r="C63">
        <v>1</v>
      </c>
      <c r="D63">
        <v>0</v>
      </c>
      <c r="E63">
        <v>1</v>
      </c>
      <c r="F63">
        <v>16</v>
      </c>
      <c r="G63" t="b">
        <v>0</v>
      </c>
      <c r="H63">
        <v>1</v>
      </c>
      <c r="I63">
        <v>1</v>
      </c>
      <c r="J63">
        <v>0.26</v>
      </c>
    </row>
    <row r="64" spans="1:10">
      <c r="A64">
        <v>63</v>
      </c>
      <c r="B64">
        <v>40546</v>
      </c>
      <c r="C64">
        <v>1</v>
      </c>
      <c r="D64">
        <v>0</v>
      </c>
      <c r="E64">
        <v>1</v>
      </c>
      <c r="F64">
        <v>17</v>
      </c>
      <c r="G64" t="b">
        <v>0</v>
      </c>
      <c r="H64">
        <v>1</v>
      </c>
      <c r="I64">
        <v>1</v>
      </c>
      <c r="J64">
        <v>0.24</v>
      </c>
    </row>
    <row r="65" spans="1:10">
      <c r="A65">
        <v>64</v>
      </c>
      <c r="B65">
        <v>40546</v>
      </c>
      <c r="C65">
        <v>1</v>
      </c>
      <c r="D65">
        <v>0</v>
      </c>
      <c r="E65">
        <v>1</v>
      </c>
      <c r="F65">
        <v>18</v>
      </c>
      <c r="G65" t="b">
        <v>0</v>
      </c>
      <c r="H65">
        <v>1</v>
      </c>
      <c r="I65">
        <v>1</v>
      </c>
      <c r="J65">
        <v>0.24</v>
      </c>
    </row>
    <row r="66" spans="1:10">
      <c r="A66">
        <v>65</v>
      </c>
      <c r="B66">
        <v>40546</v>
      </c>
      <c r="C66">
        <v>1</v>
      </c>
      <c r="D66">
        <v>0</v>
      </c>
      <c r="E66">
        <v>1</v>
      </c>
      <c r="F66">
        <v>19</v>
      </c>
      <c r="G66" t="b">
        <v>0</v>
      </c>
      <c r="H66">
        <v>1</v>
      </c>
      <c r="I66">
        <v>1</v>
      </c>
      <c r="J66">
        <v>0.2</v>
      </c>
    </row>
    <row r="67" spans="1:10">
      <c r="A67">
        <v>66</v>
      </c>
      <c r="B67">
        <v>40546</v>
      </c>
      <c r="C67">
        <v>1</v>
      </c>
      <c r="D67">
        <v>0</v>
      </c>
      <c r="E67">
        <v>1</v>
      </c>
      <c r="F67">
        <v>20</v>
      </c>
      <c r="G67" t="b">
        <v>0</v>
      </c>
      <c r="H67">
        <v>1</v>
      </c>
      <c r="I67">
        <v>1</v>
      </c>
      <c r="J67">
        <v>0.2</v>
      </c>
    </row>
    <row r="68" spans="1:10">
      <c r="A68">
        <v>67</v>
      </c>
      <c r="B68">
        <v>40546</v>
      </c>
      <c r="C68">
        <v>1</v>
      </c>
      <c r="D68">
        <v>0</v>
      </c>
      <c r="E68">
        <v>1</v>
      </c>
      <c r="F68">
        <v>21</v>
      </c>
      <c r="G68" t="b">
        <v>0</v>
      </c>
      <c r="H68">
        <v>1</v>
      </c>
      <c r="I68">
        <v>1</v>
      </c>
      <c r="J68">
        <v>0.18</v>
      </c>
    </row>
    <row r="69" spans="1:10">
      <c r="A69">
        <v>68</v>
      </c>
      <c r="B69">
        <v>40546</v>
      </c>
      <c r="C69">
        <v>1</v>
      </c>
      <c r="D69">
        <v>0</v>
      </c>
      <c r="E69">
        <v>1</v>
      </c>
      <c r="F69">
        <v>22</v>
      </c>
      <c r="G69" t="b">
        <v>0</v>
      </c>
      <c r="H69">
        <v>1</v>
      </c>
      <c r="I69">
        <v>1</v>
      </c>
      <c r="J69">
        <v>0.14000000000000001</v>
      </c>
    </row>
    <row r="70" spans="1:10">
      <c r="A70">
        <v>69</v>
      </c>
      <c r="B70">
        <v>40546</v>
      </c>
      <c r="C70">
        <v>1</v>
      </c>
      <c r="D70">
        <v>0</v>
      </c>
      <c r="E70">
        <v>1</v>
      </c>
      <c r="F70">
        <v>23</v>
      </c>
      <c r="G70" t="b">
        <v>0</v>
      </c>
      <c r="H70">
        <v>1</v>
      </c>
      <c r="I70">
        <v>1</v>
      </c>
      <c r="J70">
        <v>0.18</v>
      </c>
    </row>
    <row r="71" spans="1:10">
      <c r="A71">
        <v>70</v>
      </c>
      <c r="B71">
        <v>40547</v>
      </c>
      <c r="C71">
        <v>1</v>
      </c>
      <c r="D71">
        <v>0</v>
      </c>
      <c r="E71">
        <v>1</v>
      </c>
      <c r="F71">
        <v>0</v>
      </c>
      <c r="G71" t="b">
        <v>0</v>
      </c>
      <c r="H71">
        <v>2</v>
      </c>
      <c r="I71">
        <v>1</v>
      </c>
      <c r="J71">
        <v>0.16</v>
      </c>
    </row>
    <row r="72" spans="1:10">
      <c r="A72">
        <v>71</v>
      </c>
      <c r="B72">
        <v>40547</v>
      </c>
      <c r="C72">
        <v>1</v>
      </c>
      <c r="D72">
        <v>0</v>
      </c>
      <c r="E72">
        <v>1</v>
      </c>
      <c r="F72">
        <v>1</v>
      </c>
      <c r="G72" t="b">
        <v>0</v>
      </c>
      <c r="H72">
        <v>2</v>
      </c>
      <c r="I72">
        <v>1</v>
      </c>
      <c r="J72">
        <v>0.16</v>
      </c>
    </row>
    <row r="73" spans="1:10">
      <c r="A73">
        <v>72</v>
      </c>
      <c r="B73">
        <v>40547</v>
      </c>
      <c r="C73">
        <v>1</v>
      </c>
      <c r="D73">
        <v>0</v>
      </c>
      <c r="E73">
        <v>1</v>
      </c>
      <c r="F73">
        <v>2</v>
      </c>
      <c r="G73" t="b">
        <v>0</v>
      </c>
      <c r="H73">
        <v>2</v>
      </c>
      <c r="I73">
        <v>1</v>
      </c>
      <c r="J73">
        <v>0.14000000000000001</v>
      </c>
    </row>
    <row r="74" spans="1:10">
      <c r="A74">
        <v>73</v>
      </c>
      <c r="B74">
        <v>40547</v>
      </c>
      <c r="C74">
        <v>1</v>
      </c>
      <c r="D74">
        <v>0</v>
      </c>
      <c r="E74">
        <v>1</v>
      </c>
      <c r="F74">
        <v>4</v>
      </c>
      <c r="G74" t="b">
        <v>0</v>
      </c>
      <c r="H74">
        <v>2</v>
      </c>
      <c r="I74">
        <v>1</v>
      </c>
      <c r="J74">
        <v>0.14000000000000001</v>
      </c>
    </row>
    <row r="75" spans="1:10">
      <c r="A75">
        <v>74</v>
      </c>
      <c r="B75">
        <v>40547</v>
      </c>
      <c r="C75">
        <v>1</v>
      </c>
      <c r="D75">
        <v>0</v>
      </c>
      <c r="E75">
        <v>1</v>
      </c>
      <c r="F75">
        <v>5</v>
      </c>
      <c r="G75" t="b">
        <v>0</v>
      </c>
      <c r="H75">
        <v>2</v>
      </c>
      <c r="I75">
        <v>1</v>
      </c>
      <c r="J75">
        <v>0.12</v>
      </c>
    </row>
    <row r="76" spans="1:10">
      <c r="A76">
        <v>75</v>
      </c>
      <c r="B76">
        <v>40547</v>
      </c>
      <c r="C76">
        <v>1</v>
      </c>
      <c r="D76">
        <v>0</v>
      </c>
      <c r="E76">
        <v>1</v>
      </c>
      <c r="F76">
        <v>6</v>
      </c>
      <c r="G76" t="b">
        <v>0</v>
      </c>
      <c r="H76">
        <v>2</v>
      </c>
      <c r="I76">
        <v>1</v>
      </c>
      <c r="J76">
        <v>0.12</v>
      </c>
    </row>
    <row r="77" spans="1:10">
      <c r="A77">
        <v>76</v>
      </c>
      <c r="B77">
        <v>40547</v>
      </c>
      <c r="C77">
        <v>1</v>
      </c>
      <c r="D77">
        <v>0</v>
      </c>
      <c r="E77">
        <v>1</v>
      </c>
      <c r="F77">
        <v>7</v>
      </c>
      <c r="G77" t="b">
        <v>0</v>
      </c>
      <c r="H77">
        <v>2</v>
      </c>
      <c r="I77">
        <v>1</v>
      </c>
      <c r="J77">
        <v>0.12</v>
      </c>
    </row>
    <row r="78" spans="1:10">
      <c r="A78">
        <v>77</v>
      </c>
      <c r="B78">
        <v>40547</v>
      </c>
      <c r="C78">
        <v>1</v>
      </c>
      <c r="D78">
        <v>0</v>
      </c>
      <c r="E78">
        <v>1</v>
      </c>
      <c r="F78">
        <v>8</v>
      </c>
      <c r="G78" t="b">
        <v>0</v>
      </c>
      <c r="H78">
        <v>2</v>
      </c>
      <c r="I78">
        <v>1</v>
      </c>
      <c r="J78">
        <v>0.14000000000000001</v>
      </c>
    </row>
    <row r="79" spans="1:10">
      <c r="A79">
        <v>78</v>
      </c>
      <c r="B79">
        <v>40547</v>
      </c>
      <c r="C79">
        <v>1</v>
      </c>
      <c r="D79">
        <v>0</v>
      </c>
      <c r="E79">
        <v>1</v>
      </c>
      <c r="F79">
        <v>9</v>
      </c>
      <c r="G79" t="b">
        <v>0</v>
      </c>
      <c r="H79">
        <v>2</v>
      </c>
      <c r="I79">
        <v>1</v>
      </c>
      <c r="J79">
        <v>0.16</v>
      </c>
    </row>
    <row r="80" spans="1:10">
      <c r="A80">
        <v>79</v>
      </c>
      <c r="B80">
        <v>40547</v>
      </c>
      <c r="C80">
        <v>1</v>
      </c>
      <c r="D80">
        <v>0</v>
      </c>
      <c r="E80">
        <v>1</v>
      </c>
      <c r="F80">
        <v>10</v>
      </c>
      <c r="G80" t="b">
        <v>0</v>
      </c>
      <c r="H80">
        <v>2</v>
      </c>
      <c r="I80">
        <v>2</v>
      </c>
      <c r="J80">
        <v>0.16</v>
      </c>
    </row>
    <row r="81" spans="1:10">
      <c r="A81">
        <v>80</v>
      </c>
      <c r="B81">
        <v>40547</v>
      </c>
      <c r="C81">
        <v>1</v>
      </c>
      <c r="D81">
        <v>0</v>
      </c>
      <c r="E81">
        <v>1</v>
      </c>
      <c r="F81">
        <v>11</v>
      </c>
      <c r="G81" t="b">
        <v>0</v>
      </c>
      <c r="H81">
        <v>2</v>
      </c>
      <c r="I81">
        <v>1</v>
      </c>
      <c r="J81">
        <v>0.22</v>
      </c>
    </row>
    <row r="82" spans="1:10">
      <c r="A82">
        <v>81</v>
      </c>
      <c r="B82">
        <v>40547</v>
      </c>
      <c r="C82">
        <v>1</v>
      </c>
      <c r="D82">
        <v>0</v>
      </c>
      <c r="E82">
        <v>1</v>
      </c>
      <c r="F82">
        <v>12</v>
      </c>
      <c r="G82" t="b">
        <v>0</v>
      </c>
      <c r="H82">
        <v>2</v>
      </c>
      <c r="I82">
        <v>1</v>
      </c>
      <c r="J82">
        <v>0.22</v>
      </c>
    </row>
    <row r="83" spans="1:10">
      <c r="A83">
        <v>82</v>
      </c>
      <c r="B83">
        <v>40547</v>
      </c>
      <c r="C83">
        <v>1</v>
      </c>
      <c r="D83">
        <v>0</v>
      </c>
      <c r="E83">
        <v>1</v>
      </c>
      <c r="F83">
        <v>13</v>
      </c>
      <c r="G83" t="b">
        <v>0</v>
      </c>
      <c r="H83">
        <v>2</v>
      </c>
      <c r="I83">
        <v>1</v>
      </c>
      <c r="J83">
        <v>0.24</v>
      </c>
    </row>
    <row r="84" spans="1:10">
      <c r="A84">
        <v>83</v>
      </c>
      <c r="B84">
        <v>40547</v>
      </c>
      <c r="C84">
        <v>1</v>
      </c>
      <c r="D84">
        <v>0</v>
      </c>
      <c r="E84">
        <v>1</v>
      </c>
      <c r="F84">
        <v>14</v>
      </c>
      <c r="G84" t="b">
        <v>0</v>
      </c>
      <c r="H84">
        <v>2</v>
      </c>
      <c r="I84">
        <v>1</v>
      </c>
      <c r="J84">
        <v>0.26</v>
      </c>
    </row>
    <row r="85" spans="1:10">
      <c r="A85">
        <v>84</v>
      </c>
      <c r="B85">
        <v>40547</v>
      </c>
      <c r="C85">
        <v>1</v>
      </c>
      <c r="D85">
        <v>0</v>
      </c>
      <c r="E85">
        <v>1</v>
      </c>
      <c r="F85">
        <v>15</v>
      </c>
      <c r="G85" t="b">
        <v>0</v>
      </c>
      <c r="H85">
        <v>2</v>
      </c>
      <c r="I85">
        <v>1</v>
      </c>
      <c r="J85">
        <v>0.28000000000000003</v>
      </c>
    </row>
    <row r="86" spans="1:10">
      <c r="A86">
        <v>85</v>
      </c>
      <c r="B86">
        <v>40547</v>
      </c>
      <c r="C86">
        <v>1</v>
      </c>
      <c r="D86">
        <v>0</v>
      </c>
      <c r="E86">
        <v>1</v>
      </c>
      <c r="F86">
        <v>16</v>
      </c>
      <c r="G86" t="b">
        <v>0</v>
      </c>
      <c r="H86">
        <v>2</v>
      </c>
      <c r="I86">
        <v>1</v>
      </c>
      <c r="J86">
        <v>0.3</v>
      </c>
    </row>
    <row r="87" spans="1:10">
      <c r="A87">
        <v>86</v>
      </c>
      <c r="B87">
        <v>40547</v>
      </c>
      <c r="C87">
        <v>1</v>
      </c>
      <c r="D87">
        <v>0</v>
      </c>
      <c r="E87">
        <v>1</v>
      </c>
      <c r="F87">
        <v>17</v>
      </c>
      <c r="G87" t="b">
        <v>0</v>
      </c>
      <c r="H87">
        <v>2</v>
      </c>
      <c r="I87">
        <v>1</v>
      </c>
      <c r="J87">
        <v>0.28000000000000003</v>
      </c>
    </row>
    <row r="88" spans="1:10">
      <c r="A88">
        <v>87</v>
      </c>
      <c r="B88">
        <v>40547</v>
      </c>
      <c r="C88">
        <v>1</v>
      </c>
      <c r="D88">
        <v>0</v>
      </c>
      <c r="E88">
        <v>1</v>
      </c>
      <c r="F88">
        <v>18</v>
      </c>
      <c r="G88" t="b">
        <v>0</v>
      </c>
      <c r="H88">
        <v>2</v>
      </c>
      <c r="I88">
        <v>1</v>
      </c>
      <c r="J88">
        <v>0.26</v>
      </c>
    </row>
    <row r="89" spans="1:10">
      <c r="A89">
        <v>88</v>
      </c>
      <c r="B89">
        <v>40547</v>
      </c>
      <c r="C89">
        <v>1</v>
      </c>
      <c r="D89">
        <v>0</v>
      </c>
      <c r="E89">
        <v>1</v>
      </c>
      <c r="F89">
        <v>19</v>
      </c>
      <c r="G89" t="b">
        <v>0</v>
      </c>
      <c r="H89">
        <v>2</v>
      </c>
      <c r="I89">
        <v>1</v>
      </c>
      <c r="J89">
        <v>0.24</v>
      </c>
    </row>
    <row r="90" spans="1:10">
      <c r="A90">
        <v>89</v>
      </c>
      <c r="B90">
        <v>40547</v>
      </c>
      <c r="C90">
        <v>1</v>
      </c>
      <c r="D90">
        <v>0</v>
      </c>
      <c r="E90">
        <v>1</v>
      </c>
      <c r="F90">
        <v>20</v>
      </c>
      <c r="G90" t="b">
        <v>0</v>
      </c>
      <c r="H90">
        <v>2</v>
      </c>
      <c r="I90">
        <v>1</v>
      </c>
      <c r="J90">
        <v>0.24</v>
      </c>
    </row>
    <row r="91" spans="1:10">
      <c r="A91">
        <v>90</v>
      </c>
      <c r="B91">
        <v>40547</v>
      </c>
      <c r="C91">
        <v>1</v>
      </c>
      <c r="D91">
        <v>0</v>
      </c>
      <c r="E91">
        <v>1</v>
      </c>
      <c r="F91">
        <v>21</v>
      </c>
      <c r="G91" t="b">
        <v>0</v>
      </c>
      <c r="H91">
        <v>2</v>
      </c>
      <c r="I91">
        <v>1</v>
      </c>
      <c r="J91">
        <v>0.22</v>
      </c>
    </row>
    <row r="92" spans="1:10">
      <c r="A92">
        <v>91</v>
      </c>
      <c r="B92">
        <v>40547</v>
      </c>
      <c r="C92">
        <v>1</v>
      </c>
      <c r="D92">
        <v>0</v>
      </c>
      <c r="E92">
        <v>1</v>
      </c>
      <c r="F92">
        <v>22</v>
      </c>
      <c r="G92" t="b">
        <v>0</v>
      </c>
      <c r="H92">
        <v>2</v>
      </c>
      <c r="I92">
        <v>1</v>
      </c>
      <c r="J92">
        <v>0.22</v>
      </c>
    </row>
    <row r="93" spans="1:10">
      <c r="A93">
        <v>92</v>
      </c>
      <c r="B93">
        <v>40547</v>
      </c>
      <c r="C93">
        <v>1</v>
      </c>
      <c r="D93">
        <v>0</v>
      </c>
      <c r="E93">
        <v>1</v>
      </c>
      <c r="F93">
        <v>23</v>
      </c>
      <c r="G93" t="b">
        <v>0</v>
      </c>
      <c r="H93">
        <v>2</v>
      </c>
      <c r="I93">
        <v>1</v>
      </c>
      <c r="J93">
        <v>0.2</v>
      </c>
    </row>
    <row r="94" spans="1:10">
      <c r="A94">
        <v>93</v>
      </c>
      <c r="B94">
        <v>40548</v>
      </c>
      <c r="C94">
        <v>1</v>
      </c>
      <c r="D94">
        <v>0</v>
      </c>
      <c r="E94">
        <v>1</v>
      </c>
      <c r="F94">
        <v>0</v>
      </c>
      <c r="G94" t="b">
        <v>0</v>
      </c>
      <c r="H94">
        <v>3</v>
      </c>
      <c r="I94">
        <v>1</v>
      </c>
      <c r="J94">
        <v>0.2</v>
      </c>
    </row>
    <row r="95" spans="1:10">
      <c r="A95">
        <v>94</v>
      </c>
      <c r="B95">
        <v>40548</v>
      </c>
      <c r="C95">
        <v>1</v>
      </c>
      <c r="D95">
        <v>0</v>
      </c>
      <c r="E95">
        <v>1</v>
      </c>
      <c r="F95">
        <v>1</v>
      </c>
      <c r="G95" t="b">
        <v>0</v>
      </c>
      <c r="H95">
        <v>3</v>
      </c>
      <c r="I95">
        <v>1</v>
      </c>
      <c r="J95">
        <v>0.16</v>
      </c>
    </row>
    <row r="96" spans="1:10">
      <c r="A96">
        <v>95</v>
      </c>
      <c r="B96">
        <v>40548</v>
      </c>
      <c r="C96">
        <v>1</v>
      </c>
      <c r="D96">
        <v>0</v>
      </c>
      <c r="E96">
        <v>1</v>
      </c>
      <c r="F96">
        <v>2</v>
      </c>
      <c r="G96" t="b">
        <v>0</v>
      </c>
      <c r="H96">
        <v>3</v>
      </c>
      <c r="I96">
        <v>1</v>
      </c>
      <c r="J96">
        <v>0.16</v>
      </c>
    </row>
    <row r="97" spans="1:10">
      <c r="A97">
        <v>96</v>
      </c>
      <c r="B97">
        <v>40548</v>
      </c>
      <c r="C97">
        <v>1</v>
      </c>
      <c r="D97">
        <v>0</v>
      </c>
      <c r="E97">
        <v>1</v>
      </c>
      <c r="F97">
        <v>4</v>
      </c>
      <c r="G97" t="b">
        <v>0</v>
      </c>
      <c r="H97">
        <v>3</v>
      </c>
      <c r="I97">
        <v>1</v>
      </c>
      <c r="J97">
        <v>0.24</v>
      </c>
    </row>
    <row r="98" spans="1:10">
      <c r="A98">
        <v>97</v>
      </c>
      <c r="B98">
        <v>40548</v>
      </c>
      <c r="C98">
        <v>1</v>
      </c>
      <c r="D98">
        <v>0</v>
      </c>
      <c r="E98">
        <v>1</v>
      </c>
      <c r="F98">
        <v>5</v>
      </c>
      <c r="G98" t="b">
        <v>0</v>
      </c>
      <c r="H98">
        <v>3</v>
      </c>
      <c r="I98">
        <v>1</v>
      </c>
      <c r="J98">
        <v>0.22</v>
      </c>
    </row>
    <row r="99" spans="1:10">
      <c r="A99">
        <v>98</v>
      </c>
      <c r="B99">
        <v>40548</v>
      </c>
      <c r="C99">
        <v>1</v>
      </c>
      <c r="D99">
        <v>0</v>
      </c>
      <c r="E99">
        <v>1</v>
      </c>
      <c r="F99">
        <v>6</v>
      </c>
      <c r="G99" t="b">
        <v>0</v>
      </c>
      <c r="H99">
        <v>3</v>
      </c>
      <c r="I99">
        <v>1</v>
      </c>
      <c r="J99">
        <v>0.2</v>
      </c>
    </row>
    <row r="100" spans="1:10">
      <c r="A100">
        <v>99</v>
      </c>
      <c r="B100">
        <v>40548</v>
      </c>
      <c r="C100">
        <v>1</v>
      </c>
      <c r="D100">
        <v>0</v>
      </c>
      <c r="E100">
        <v>1</v>
      </c>
      <c r="F100">
        <v>7</v>
      </c>
      <c r="G100" t="b">
        <v>0</v>
      </c>
      <c r="H100">
        <v>3</v>
      </c>
      <c r="I100">
        <v>1</v>
      </c>
      <c r="J100">
        <v>0.18</v>
      </c>
    </row>
    <row r="101" spans="1:10">
      <c r="A101">
        <v>100</v>
      </c>
      <c r="B101">
        <v>40548</v>
      </c>
      <c r="C101">
        <v>1</v>
      </c>
      <c r="D101">
        <v>0</v>
      </c>
      <c r="E101">
        <v>1</v>
      </c>
      <c r="F101">
        <v>8</v>
      </c>
      <c r="G101" t="b">
        <v>0</v>
      </c>
      <c r="H101">
        <v>3</v>
      </c>
      <c r="I101">
        <v>1</v>
      </c>
      <c r="J101">
        <v>0.2</v>
      </c>
    </row>
    <row r="102" spans="1:10">
      <c r="A102">
        <v>101</v>
      </c>
      <c r="B102">
        <v>40548</v>
      </c>
      <c r="C102">
        <v>1</v>
      </c>
      <c r="D102">
        <v>0</v>
      </c>
      <c r="E102">
        <v>1</v>
      </c>
      <c r="F102">
        <v>9</v>
      </c>
      <c r="G102" t="b">
        <v>0</v>
      </c>
      <c r="H102">
        <v>3</v>
      </c>
      <c r="I102">
        <v>1</v>
      </c>
      <c r="J102">
        <v>0.22</v>
      </c>
    </row>
    <row r="103" spans="1:10">
      <c r="A103">
        <v>102</v>
      </c>
      <c r="B103">
        <v>40548</v>
      </c>
      <c r="C103">
        <v>1</v>
      </c>
      <c r="D103">
        <v>0</v>
      </c>
      <c r="E103">
        <v>1</v>
      </c>
      <c r="F103">
        <v>10</v>
      </c>
      <c r="G103" t="b">
        <v>0</v>
      </c>
      <c r="H103">
        <v>3</v>
      </c>
      <c r="I103">
        <v>1</v>
      </c>
      <c r="J103">
        <v>0.22</v>
      </c>
    </row>
    <row r="104" spans="1:10">
      <c r="A104">
        <v>103</v>
      </c>
      <c r="B104">
        <v>40548</v>
      </c>
      <c r="C104">
        <v>1</v>
      </c>
      <c r="D104">
        <v>0</v>
      </c>
      <c r="E104">
        <v>1</v>
      </c>
      <c r="F104">
        <v>11</v>
      </c>
      <c r="G104" t="b">
        <v>0</v>
      </c>
      <c r="H104">
        <v>3</v>
      </c>
      <c r="I104">
        <v>1</v>
      </c>
      <c r="J104">
        <v>0.26</v>
      </c>
    </row>
    <row r="105" spans="1:10">
      <c r="A105">
        <v>104</v>
      </c>
      <c r="B105">
        <v>40548</v>
      </c>
      <c r="C105">
        <v>1</v>
      </c>
      <c r="D105">
        <v>0</v>
      </c>
      <c r="E105">
        <v>1</v>
      </c>
      <c r="F105">
        <v>12</v>
      </c>
      <c r="G105" t="b">
        <v>0</v>
      </c>
      <c r="H105">
        <v>3</v>
      </c>
      <c r="I105">
        <v>1</v>
      </c>
      <c r="J105">
        <v>0.26</v>
      </c>
    </row>
    <row r="106" spans="1:10">
      <c r="A106">
        <v>105</v>
      </c>
      <c r="B106">
        <v>40548</v>
      </c>
      <c r="C106">
        <v>1</v>
      </c>
      <c r="D106">
        <v>0</v>
      </c>
      <c r="E106">
        <v>1</v>
      </c>
      <c r="F106">
        <v>13</v>
      </c>
      <c r="G106" t="b">
        <v>0</v>
      </c>
      <c r="H106">
        <v>3</v>
      </c>
      <c r="I106">
        <v>1</v>
      </c>
      <c r="J106">
        <v>0.28000000000000003</v>
      </c>
    </row>
    <row r="107" spans="1:10">
      <c r="A107">
        <v>106</v>
      </c>
      <c r="B107">
        <v>40548</v>
      </c>
      <c r="C107">
        <v>1</v>
      </c>
      <c r="D107">
        <v>0</v>
      </c>
      <c r="E107">
        <v>1</v>
      </c>
      <c r="F107">
        <v>14</v>
      </c>
      <c r="G107" t="b">
        <v>0</v>
      </c>
      <c r="H107">
        <v>3</v>
      </c>
      <c r="I107">
        <v>1</v>
      </c>
      <c r="J107">
        <v>0.3</v>
      </c>
    </row>
    <row r="108" spans="1:10">
      <c r="A108">
        <v>107</v>
      </c>
      <c r="B108">
        <v>40548</v>
      </c>
      <c r="C108">
        <v>1</v>
      </c>
      <c r="D108">
        <v>0</v>
      </c>
      <c r="E108">
        <v>1</v>
      </c>
      <c r="F108">
        <v>15</v>
      </c>
      <c r="G108" t="b">
        <v>0</v>
      </c>
      <c r="H108">
        <v>3</v>
      </c>
      <c r="I108">
        <v>1</v>
      </c>
      <c r="J108">
        <v>0.3</v>
      </c>
    </row>
    <row r="109" spans="1:10">
      <c r="A109">
        <v>108</v>
      </c>
      <c r="B109">
        <v>40548</v>
      </c>
      <c r="C109">
        <v>1</v>
      </c>
      <c r="D109">
        <v>0</v>
      </c>
      <c r="E109">
        <v>1</v>
      </c>
      <c r="F109">
        <v>16</v>
      </c>
      <c r="G109" t="b">
        <v>0</v>
      </c>
      <c r="H109">
        <v>3</v>
      </c>
      <c r="I109">
        <v>1</v>
      </c>
      <c r="J109">
        <v>0.3</v>
      </c>
    </row>
    <row r="110" spans="1:10">
      <c r="A110">
        <v>109</v>
      </c>
      <c r="B110">
        <v>40548</v>
      </c>
      <c r="C110">
        <v>1</v>
      </c>
      <c r="D110">
        <v>0</v>
      </c>
      <c r="E110">
        <v>1</v>
      </c>
      <c r="F110">
        <v>17</v>
      </c>
      <c r="G110" t="b">
        <v>0</v>
      </c>
      <c r="H110">
        <v>3</v>
      </c>
      <c r="I110">
        <v>1</v>
      </c>
      <c r="J110">
        <v>0.24</v>
      </c>
    </row>
    <row r="111" spans="1:10">
      <c r="A111">
        <v>110</v>
      </c>
      <c r="B111">
        <v>40548</v>
      </c>
      <c r="C111">
        <v>1</v>
      </c>
      <c r="D111">
        <v>0</v>
      </c>
      <c r="E111">
        <v>1</v>
      </c>
      <c r="F111">
        <v>18</v>
      </c>
      <c r="G111" t="b">
        <v>0</v>
      </c>
      <c r="H111">
        <v>3</v>
      </c>
      <c r="I111">
        <v>1</v>
      </c>
      <c r="J111">
        <v>0.24</v>
      </c>
    </row>
    <row r="112" spans="1:10">
      <c r="A112">
        <v>111</v>
      </c>
      <c r="B112">
        <v>40548</v>
      </c>
      <c r="C112">
        <v>1</v>
      </c>
      <c r="D112">
        <v>0</v>
      </c>
      <c r="E112">
        <v>1</v>
      </c>
      <c r="F112">
        <v>19</v>
      </c>
      <c r="G112" t="b">
        <v>0</v>
      </c>
      <c r="H112">
        <v>3</v>
      </c>
      <c r="I112">
        <v>1</v>
      </c>
      <c r="J112">
        <v>0.24</v>
      </c>
    </row>
    <row r="113" spans="1:10">
      <c r="A113">
        <v>112</v>
      </c>
      <c r="B113">
        <v>40548</v>
      </c>
      <c r="C113">
        <v>1</v>
      </c>
      <c r="D113">
        <v>0</v>
      </c>
      <c r="E113">
        <v>1</v>
      </c>
      <c r="F113">
        <v>20</v>
      </c>
      <c r="G113" t="b">
        <v>0</v>
      </c>
      <c r="H113">
        <v>3</v>
      </c>
      <c r="I113">
        <v>1</v>
      </c>
      <c r="J113">
        <v>0.22</v>
      </c>
    </row>
    <row r="114" spans="1:10">
      <c r="A114">
        <v>113</v>
      </c>
      <c r="B114">
        <v>40548</v>
      </c>
      <c r="C114">
        <v>1</v>
      </c>
      <c r="D114">
        <v>0</v>
      </c>
      <c r="E114">
        <v>1</v>
      </c>
      <c r="F114">
        <v>21</v>
      </c>
      <c r="G114" t="b">
        <v>0</v>
      </c>
      <c r="H114">
        <v>3</v>
      </c>
      <c r="I114">
        <v>1</v>
      </c>
      <c r="J114">
        <v>0.2</v>
      </c>
    </row>
    <row r="115" spans="1:10">
      <c r="A115">
        <v>114</v>
      </c>
      <c r="B115">
        <v>40548</v>
      </c>
      <c r="C115">
        <v>1</v>
      </c>
      <c r="D115">
        <v>0</v>
      </c>
      <c r="E115">
        <v>1</v>
      </c>
      <c r="F115">
        <v>22</v>
      </c>
      <c r="G115" t="b">
        <v>0</v>
      </c>
      <c r="H115">
        <v>3</v>
      </c>
      <c r="I115">
        <v>1</v>
      </c>
      <c r="J115">
        <v>0.18</v>
      </c>
    </row>
    <row r="116" spans="1:10">
      <c r="A116">
        <v>115</v>
      </c>
      <c r="B116">
        <v>40548</v>
      </c>
      <c r="C116">
        <v>1</v>
      </c>
      <c r="D116">
        <v>0</v>
      </c>
      <c r="E116">
        <v>1</v>
      </c>
      <c r="F116">
        <v>23</v>
      </c>
      <c r="G116" t="b">
        <v>0</v>
      </c>
      <c r="H116">
        <v>3</v>
      </c>
      <c r="I116">
        <v>1</v>
      </c>
      <c r="J116">
        <v>0.2</v>
      </c>
    </row>
    <row r="117" spans="1:10">
      <c r="A117">
        <v>116</v>
      </c>
      <c r="B117">
        <v>40549</v>
      </c>
      <c r="C117">
        <v>1</v>
      </c>
      <c r="D117">
        <v>0</v>
      </c>
      <c r="E117">
        <v>1</v>
      </c>
      <c r="F117">
        <v>0</v>
      </c>
      <c r="G117" t="b">
        <v>0</v>
      </c>
      <c r="H117">
        <v>4</v>
      </c>
      <c r="I117">
        <v>1</v>
      </c>
      <c r="J117">
        <v>0.18</v>
      </c>
    </row>
    <row r="118" spans="1:10">
      <c r="A118">
        <v>117</v>
      </c>
      <c r="B118">
        <v>40549</v>
      </c>
      <c r="C118">
        <v>1</v>
      </c>
      <c r="D118">
        <v>0</v>
      </c>
      <c r="E118">
        <v>1</v>
      </c>
      <c r="F118">
        <v>1</v>
      </c>
      <c r="G118" t="b">
        <v>0</v>
      </c>
      <c r="H118">
        <v>4</v>
      </c>
      <c r="I118">
        <v>1</v>
      </c>
      <c r="J118">
        <v>0.16</v>
      </c>
    </row>
    <row r="119" spans="1:10">
      <c r="A119">
        <v>118</v>
      </c>
      <c r="B119">
        <v>40549</v>
      </c>
      <c r="C119">
        <v>1</v>
      </c>
      <c r="D119">
        <v>0</v>
      </c>
      <c r="E119">
        <v>1</v>
      </c>
      <c r="F119">
        <v>2</v>
      </c>
      <c r="G119" t="b">
        <v>0</v>
      </c>
      <c r="H119">
        <v>4</v>
      </c>
      <c r="I119">
        <v>1</v>
      </c>
      <c r="J119">
        <v>0.16</v>
      </c>
    </row>
    <row r="120" spans="1:10">
      <c r="A120">
        <v>119</v>
      </c>
      <c r="B120">
        <v>40549</v>
      </c>
      <c r="C120">
        <v>1</v>
      </c>
      <c r="D120">
        <v>0</v>
      </c>
      <c r="E120">
        <v>1</v>
      </c>
      <c r="F120">
        <v>4</v>
      </c>
      <c r="G120" t="b">
        <v>0</v>
      </c>
      <c r="H120">
        <v>4</v>
      </c>
      <c r="I120">
        <v>2</v>
      </c>
      <c r="J120">
        <v>0.16</v>
      </c>
    </row>
    <row r="121" spans="1:10">
      <c r="A121">
        <v>120</v>
      </c>
      <c r="B121">
        <v>40549</v>
      </c>
      <c r="C121">
        <v>1</v>
      </c>
      <c r="D121">
        <v>0</v>
      </c>
      <c r="E121">
        <v>1</v>
      </c>
      <c r="F121">
        <v>5</v>
      </c>
      <c r="G121" t="b">
        <v>0</v>
      </c>
      <c r="H121">
        <v>4</v>
      </c>
      <c r="I121">
        <v>2</v>
      </c>
      <c r="J121">
        <v>0.14000000000000001</v>
      </c>
    </row>
    <row r="122" spans="1:10">
      <c r="A122">
        <v>121</v>
      </c>
      <c r="B122">
        <v>40549</v>
      </c>
      <c r="C122">
        <v>1</v>
      </c>
      <c r="D122">
        <v>0</v>
      </c>
      <c r="E122">
        <v>1</v>
      </c>
      <c r="F122">
        <v>6</v>
      </c>
      <c r="G122" t="b">
        <v>0</v>
      </c>
      <c r="H122">
        <v>4</v>
      </c>
      <c r="I122">
        <v>2</v>
      </c>
      <c r="J122">
        <v>0.14000000000000001</v>
      </c>
    </row>
    <row r="123" spans="1:10">
      <c r="A123">
        <v>122</v>
      </c>
      <c r="B123">
        <v>40549</v>
      </c>
      <c r="C123">
        <v>1</v>
      </c>
      <c r="D123">
        <v>0</v>
      </c>
      <c r="E123">
        <v>1</v>
      </c>
      <c r="F123">
        <v>7</v>
      </c>
      <c r="G123" t="b">
        <v>0</v>
      </c>
      <c r="H123">
        <v>4</v>
      </c>
      <c r="I123">
        <v>2</v>
      </c>
      <c r="J123">
        <v>0.16</v>
      </c>
    </row>
    <row r="124" spans="1:10">
      <c r="A124">
        <v>123</v>
      </c>
      <c r="B124">
        <v>40549</v>
      </c>
      <c r="C124">
        <v>1</v>
      </c>
      <c r="D124">
        <v>0</v>
      </c>
      <c r="E124">
        <v>1</v>
      </c>
      <c r="F124">
        <v>8</v>
      </c>
      <c r="G124" t="b">
        <v>0</v>
      </c>
      <c r="H124">
        <v>4</v>
      </c>
      <c r="I124">
        <v>1</v>
      </c>
      <c r="J124">
        <v>0.16</v>
      </c>
    </row>
    <row r="125" spans="1:10">
      <c r="A125">
        <v>124</v>
      </c>
      <c r="B125">
        <v>40549</v>
      </c>
      <c r="C125">
        <v>1</v>
      </c>
      <c r="D125">
        <v>0</v>
      </c>
      <c r="E125">
        <v>1</v>
      </c>
      <c r="F125">
        <v>9</v>
      </c>
      <c r="G125" t="b">
        <v>0</v>
      </c>
      <c r="H125">
        <v>4</v>
      </c>
      <c r="I125">
        <v>2</v>
      </c>
      <c r="J125">
        <v>0.18</v>
      </c>
    </row>
    <row r="126" spans="1:10">
      <c r="A126">
        <v>125</v>
      </c>
      <c r="B126">
        <v>40549</v>
      </c>
      <c r="C126">
        <v>1</v>
      </c>
      <c r="D126">
        <v>0</v>
      </c>
      <c r="E126">
        <v>1</v>
      </c>
      <c r="F126">
        <v>10</v>
      </c>
      <c r="G126" t="b">
        <v>0</v>
      </c>
      <c r="H126">
        <v>4</v>
      </c>
      <c r="I126">
        <v>1</v>
      </c>
      <c r="J126">
        <v>0.2</v>
      </c>
    </row>
    <row r="127" spans="1:10">
      <c r="A127">
        <v>126</v>
      </c>
      <c r="B127">
        <v>40549</v>
      </c>
      <c r="C127">
        <v>1</v>
      </c>
      <c r="D127">
        <v>0</v>
      </c>
      <c r="E127">
        <v>1</v>
      </c>
      <c r="F127">
        <v>11</v>
      </c>
      <c r="G127" t="b">
        <v>0</v>
      </c>
      <c r="H127">
        <v>4</v>
      </c>
      <c r="I127">
        <v>1</v>
      </c>
      <c r="J127">
        <v>0.22</v>
      </c>
    </row>
    <row r="128" spans="1:10">
      <c r="A128">
        <v>127</v>
      </c>
      <c r="B128">
        <v>40549</v>
      </c>
      <c r="C128">
        <v>1</v>
      </c>
      <c r="D128">
        <v>0</v>
      </c>
      <c r="E128">
        <v>1</v>
      </c>
      <c r="F128">
        <v>12</v>
      </c>
      <c r="G128" t="b">
        <v>0</v>
      </c>
      <c r="H128">
        <v>4</v>
      </c>
      <c r="I128">
        <v>1</v>
      </c>
      <c r="J128">
        <v>0.26</v>
      </c>
    </row>
    <row r="129" spans="1:10">
      <c r="A129">
        <v>128</v>
      </c>
      <c r="B129">
        <v>40549</v>
      </c>
      <c r="C129">
        <v>1</v>
      </c>
      <c r="D129">
        <v>0</v>
      </c>
      <c r="E129">
        <v>1</v>
      </c>
      <c r="F129">
        <v>13</v>
      </c>
      <c r="G129" t="b">
        <v>0</v>
      </c>
      <c r="H129">
        <v>4</v>
      </c>
      <c r="I129">
        <v>1</v>
      </c>
      <c r="J129">
        <v>0.26</v>
      </c>
    </row>
    <row r="130" spans="1:10">
      <c r="A130">
        <v>129</v>
      </c>
      <c r="B130">
        <v>40549</v>
      </c>
      <c r="C130">
        <v>1</v>
      </c>
      <c r="D130">
        <v>0</v>
      </c>
      <c r="E130">
        <v>1</v>
      </c>
      <c r="F130">
        <v>14</v>
      </c>
      <c r="G130" t="b">
        <v>0</v>
      </c>
      <c r="H130">
        <v>4</v>
      </c>
      <c r="I130">
        <v>1</v>
      </c>
      <c r="J130">
        <v>0.28000000000000003</v>
      </c>
    </row>
    <row r="131" spans="1:10">
      <c r="A131">
        <v>130</v>
      </c>
      <c r="B131">
        <v>40549</v>
      </c>
      <c r="C131">
        <v>1</v>
      </c>
      <c r="D131">
        <v>0</v>
      </c>
      <c r="E131">
        <v>1</v>
      </c>
      <c r="F131">
        <v>15</v>
      </c>
      <c r="G131" t="b">
        <v>0</v>
      </c>
      <c r="H131">
        <v>4</v>
      </c>
      <c r="I131">
        <v>1</v>
      </c>
      <c r="J131">
        <v>0.28000000000000003</v>
      </c>
    </row>
    <row r="132" spans="1:10">
      <c r="A132">
        <v>131</v>
      </c>
      <c r="B132">
        <v>40549</v>
      </c>
      <c r="C132">
        <v>1</v>
      </c>
      <c r="D132">
        <v>0</v>
      </c>
      <c r="E132">
        <v>1</v>
      </c>
      <c r="F132">
        <v>16</v>
      </c>
      <c r="G132" t="b">
        <v>0</v>
      </c>
      <c r="H132">
        <v>4</v>
      </c>
      <c r="I132">
        <v>1</v>
      </c>
      <c r="J132">
        <v>0.26</v>
      </c>
    </row>
    <row r="133" spans="1:10">
      <c r="A133">
        <v>132</v>
      </c>
      <c r="B133">
        <v>40549</v>
      </c>
      <c r="C133">
        <v>1</v>
      </c>
      <c r="D133">
        <v>0</v>
      </c>
      <c r="E133">
        <v>1</v>
      </c>
      <c r="F133">
        <v>17</v>
      </c>
      <c r="G133" t="b">
        <v>0</v>
      </c>
      <c r="H133">
        <v>4</v>
      </c>
      <c r="I133">
        <v>1</v>
      </c>
      <c r="J133">
        <v>0.22</v>
      </c>
    </row>
    <row r="134" spans="1:10">
      <c r="A134">
        <v>133</v>
      </c>
      <c r="B134">
        <v>40549</v>
      </c>
      <c r="C134">
        <v>1</v>
      </c>
      <c r="D134">
        <v>0</v>
      </c>
      <c r="E134">
        <v>1</v>
      </c>
      <c r="F134">
        <v>18</v>
      </c>
      <c r="G134" t="b">
        <v>0</v>
      </c>
      <c r="H134">
        <v>4</v>
      </c>
      <c r="I134">
        <v>1</v>
      </c>
      <c r="J134">
        <v>0.22</v>
      </c>
    </row>
    <row r="135" spans="1:10">
      <c r="A135">
        <v>134</v>
      </c>
      <c r="B135">
        <v>40549</v>
      </c>
      <c r="C135">
        <v>1</v>
      </c>
      <c r="D135">
        <v>0</v>
      </c>
      <c r="E135">
        <v>1</v>
      </c>
      <c r="F135">
        <v>19</v>
      </c>
      <c r="G135" t="b">
        <v>0</v>
      </c>
      <c r="H135">
        <v>4</v>
      </c>
      <c r="I135">
        <v>1</v>
      </c>
      <c r="J135">
        <v>0.22</v>
      </c>
    </row>
    <row r="136" spans="1:10">
      <c r="A136">
        <v>135</v>
      </c>
      <c r="B136">
        <v>40549</v>
      </c>
      <c r="C136">
        <v>1</v>
      </c>
      <c r="D136">
        <v>0</v>
      </c>
      <c r="E136">
        <v>1</v>
      </c>
      <c r="F136">
        <v>20</v>
      </c>
      <c r="G136" t="b">
        <v>0</v>
      </c>
      <c r="H136">
        <v>4</v>
      </c>
      <c r="I136">
        <v>1</v>
      </c>
      <c r="J136">
        <v>0.2</v>
      </c>
    </row>
    <row r="137" spans="1:10">
      <c r="A137">
        <v>136</v>
      </c>
      <c r="B137">
        <v>40549</v>
      </c>
      <c r="C137">
        <v>1</v>
      </c>
      <c r="D137">
        <v>0</v>
      </c>
      <c r="E137">
        <v>1</v>
      </c>
      <c r="F137">
        <v>21</v>
      </c>
      <c r="G137" t="b">
        <v>0</v>
      </c>
      <c r="H137">
        <v>4</v>
      </c>
      <c r="I137">
        <v>2</v>
      </c>
      <c r="J137">
        <v>0.22</v>
      </c>
    </row>
    <row r="138" spans="1:10">
      <c r="A138">
        <v>137</v>
      </c>
      <c r="B138">
        <v>40549</v>
      </c>
      <c r="C138">
        <v>1</v>
      </c>
      <c r="D138">
        <v>0</v>
      </c>
      <c r="E138">
        <v>1</v>
      </c>
      <c r="F138">
        <v>22</v>
      </c>
      <c r="G138" t="b">
        <v>0</v>
      </c>
      <c r="H138">
        <v>4</v>
      </c>
      <c r="I138">
        <v>2</v>
      </c>
      <c r="J138">
        <v>0.22</v>
      </c>
    </row>
    <row r="139" spans="1:10">
      <c r="A139">
        <v>138</v>
      </c>
      <c r="B139">
        <v>40549</v>
      </c>
      <c r="C139">
        <v>1</v>
      </c>
      <c r="D139">
        <v>0</v>
      </c>
      <c r="E139">
        <v>1</v>
      </c>
      <c r="F139">
        <v>23</v>
      </c>
      <c r="G139" t="b">
        <v>0</v>
      </c>
      <c r="H139">
        <v>4</v>
      </c>
      <c r="I139">
        <v>2</v>
      </c>
      <c r="J139">
        <v>0.2</v>
      </c>
    </row>
    <row r="140" spans="1:10">
      <c r="A140">
        <v>139</v>
      </c>
      <c r="B140">
        <v>40550</v>
      </c>
      <c r="C140">
        <v>1</v>
      </c>
      <c r="D140">
        <v>0</v>
      </c>
      <c r="E140">
        <v>1</v>
      </c>
      <c r="F140">
        <v>0</v>
      </c>
      <c r="G140" t="b">
        <v>0</v>
      </c>
      <c r="H140">
        <v>5</v>
      </c>
      <c r="I140">
        <v>2</v>
      </c>
      <c r="J140">
        <v>0.2</v>
      </c>
    </row>
    <row r="141" spans="1:10">
      <c r="A141">
        <v>140</v>
      </c>
      <c r="B141">
        <v>40550</v>
      </c>
      <c r="C141">
        <v>1</v>
      </c>
      <c r="D141">
        <v>0</v>
      </c>
      <c r="E141">
        <v>1</v>
      </c>
      <c r="F141">
        <v>1</v>
      </c>
      <c r="G141" t="b">
        <v>0</v>
      </c>
      <c r="H141">
        <v>5</v>
      </c>
      <c r="I141">
        <v>2</v>
      </c>
      <c r="J141">
        <v>0.2</v>
      </c>
    </row>
    <row r="142" spans="1:10">
      <c r="A142">
        <v>141</v>
      </c>
      <c r="B142">
        <v>40550</v>
      </c>
      <c r="C142">
        <v>1</v>
      </c>
      <c r="D142">
        <v>0</v>
      </c>
      <c r="E142">
        <v>1</v>
      </c>
      <c r="F142">
        <v>2</v>
      </c>
      <c r="G142" t="b">
        <v>0</v>
      </c>
      <c r="H142">
        <v>5</v>
      </c>
      <c r="I142">
        <v>2</v>
      </c>
      <c r="J142">
        <v>0.2</v>
      </c>
    </row>
    <row r="143" spans="1:10">
      <c r="A143">
        <v>142</v>
      </c>
      <c r="B143">
        <v>40550</v>
      </c>
      <c r="C143">
        <v>1</v>
      </c>
      <c r="D143">
        <v>0</v>
      </c>
      <c r="E143">
        <v>1</v>
      </c>
      <c r="F143">
        <v>4</v>
      </c>
      <c r="G143" t="b">
        <v>0</v>
      </c>
      <c r="H143">
        <v>5</v>
      </c>
      <c r="I143">
        <v>2</v>
      </c>
      <c r="J143">
        <v>0.2</v>
      </c>
    </row>
    <row r="144" spans="1:10">
      <c r="A144">
        <v>143</v>
      </c>
      <c r="B144">
        <v>40550</v>
      </c>
      <c r="C144">
        <v>1</v>
      </c>
      <c r="D144">
        <v>0</v>
      </c>
      <c r="E144">
        <v>1</v>
      </c>
      <c r="F144">
        <v>5</v>
      </c>
      <c r="G144" t="b">
        <v>0</v>
      </c>
      <c r="H144">
        <v>5</v>
      </c>
      <c r="I144">
        <v>3</v>
      </c>
      <c r="J144">
        <v>0.22</v>
      </c>
    </row>
    <row r="145" spans="1:10">
      <c r="A145">
        <v>144</v>
      </c>
      <c r="B145">
        <v>40550</v>
      </c>
      <c r="C145">
        <v>1</v>
      </c>
      <c r="D145">
        <v>0</v>
      </c>
      <c r="E145">
        <v>1</v>
      </c>
      <c r="F145">
        <v>6</v>
      </c>
      <c r="G145" t="b">
        <v>0</v>
      </c>
      <c r="H145">
        <v>5</v>
      </c>
      <c r="I145">
        <v>2</v>
      </c>
      <c r="J145">
        <v>0.2</v>
      </c>
    </row>
    <row r="146" spans="1:10">
      <c r="A146">
        <v>145</v>
      </c>
      <c r="B146">
        <v>40550</v>
      </c>
      <c r="C146">
        <v>1</v>
      </c>
      <c r="D146">
        <v>0</v>
      </c>
      <c r="E146">
        <v>1</v>
      </c>
      <c r="F146">
        <v>7</v>
      </c>
      <c r="G146" t="b">
        <v>0</v>
      </c>
      <c r="H146">
        <v>5</v>
      </c>
      <c r="I146">
        <v>1</v>
      </c>
      <c r="J146">
        <v>0.2</v>
      </c>
    </row>
    <row r="147" spans="1:10">
      <c r="A147">
        <v>146</v>
      </c>
      <c r="B147">
        <v>40550</v>
      </c>
      <c r="C147">
        <v>1</v>
      </c>
      <c r="D147">
        <v>0</v>
      </c>
      <c r="E147">
        <v>1</v>
      </c>
      <c r="F147">
        <v>8</v>
      </c>
      <c r="G147" t="b">
        <v>0</v>
      </c>
      <c r="H147">
        <v>5</v>
      </c>
      <c r="I147">
        <v>1</v>
      </c>
      <c r="J147">
        <v>0.2</v>
      </c>
    </row>
    <row r="148" spans="1:10">
      <c r="A148">
        <v>147</v>
      </c>
      <c r="B148">
        <v>40550</v>
      </c>
      <c r="C148">
        <v>1</v>
      </c>
      <c r="D148">
        <v>0</v>
      </c>
      <c r="E148">
        <v>1</v>
      </c>
      <c r="F148">
        <v>9</v>
      </c>
      <c r="G148" t="b">
        <v>0</v>
      </c>
      <c r="H148">
        <v>5</v>
      </c>
      <c r="I148">
        <v>1</v>
      </c>
      <c r="J148">
        <v>0.2</v>
      </c>
    </row>
    <row r="149" spans="1:10">
      <c r="A149">
        <v>148</v>
      </c>
      <c r="B149">
        <v>40550</v>
      </c>
      <c r="C149">
        <v>1</v>
      </c>
      <c r="D149">
        <v>0</v>
      </c>
      <c r="E149">
        <v>1</v>
      </c>
      <c r="F149">
        <v>10</v>
      </c>
      <c r="G149" t="b">
        <v>0</v>
      </c>
      <c r="H149">
        <v>5</v>
      </c>
      <c r="I149">
        <v>1</v>
      </c>
      <c r="J149">
        <v>0.22</v>
      </c>
    </row>
    <row r="150" spans="1:10">
      <c r="A150">
        <v>149</v>
      </c>
      <c r="B150">
        <v>40550</v>
      </c>
      <c r="C150">
        <v>1</v>
      </c>
      <c r="D150">
        <v>0</v>
      </c>
      <c r="E150">
        <v>1</v>
      </c>
      <c r="F150">
        <v>11</v>
      </c>
      <c r="G150" t="b">
        <v>0</v>
      </c>
      <c r="H150">
        <v>5</v>
      </c>
      <c r="I150">
        <v>2</v>
      </c>
      <c r="J150">
        <v>0.2</v>
      </c>
    </row>
    <row r="151" spans="1:10">
      <c r="A151">
        <v>150</v>
      </c>
      <c r="B151">
        <v>40550</v>
      </c>
      <c r="C151">
        <v>1</v>
      </c>
      <c r="D151">
        <v>0</v>
      </c>
      <c r="E151">
        <v>1</v>
      </c>
      <c r="F151">
        <v>12</v>
      </c>
      <c r="G151" t="b">
        <v>0</v>
      </c>
      <c r="H151">
        <v>5</v>
      </c>
      <c r="I151">
        <v>2</v>
      </c>
      <c r="J151">
        <v>0.2</v>
      </c>
    </row>
    <row r="152" spans="1:10">
      <c r="A152">
        <v>151</v>
      </c>
      <c r="B152">
        <v>40550</v>
      </c>
      <c r="C152">
        <v>1</v>
      </c>
      <c r="D152">
        <v>0</v>
      </c>
      <c r="E152">
        <v>1</v>
      </c>
      <c r="F152">
        <v>13</v>
      </c>
      <c r="G152" t="b">
        <v>0</v>
      </c>
      <c r="H152">
        <v>5</v>
      </c>
      <c r="I152">
        <v>2</v>
      </c>
      <c r="J152">
        <v>0.2</v>
      </c>
    </row>
    <row r="153" spans="1:10">
      <c r="A153">
        <v>152</v>
      </c>
      <c r="B153">
        <v>40550</v>
      </c>
      <c r="C153">
        <v>1</v>
      </c>
      <c r="D153">
        <v>0</v>
      </c>
      <c r="E153">
        <v>1</v>
      </c>
      <c r="F153">
        <v>14</v>
      </c>
      <c r="G153" t="b">
        <v>0</v>
      </c>
      <c r="H153">
        <v>5</v>
      </c>
      <c r="I153">
        <v>2</v>
      </c>
      <c r="J153">
        <v>0.2</v>
      </c>
    </row>
    <row r="154" spans="1:10">
      <c r="A154">
        <v>153</v>
      </c>
      <c r="B154">
        <v>40550</v>
      </c>
      <c r="C154">
        <v>1</v>
      </c>
      <c r="D154">
        <v>0</v>
      </c>
      <c r="E154">
        <v>1</v>
      </c>
      <c r="F154">
        <v>15</v>
      </c>
      <c r="G154" t="b">
        <v>0</v>
      </c>
      <c r="H154">
        <v>5</v>
      </c>
      <c r="I154">
        <v>2</v>
      </c>
      <c r="J154">
        <v>0.2</v>
      </c>
    </row>
    <row r="155" spans="1:10">
      <c r="A155">
        <v>154</v>
      </c>
      <c r="B155">
        <v>40550</v>
      </c>
      <c r="C155">
        <v>1</v>
      </c>
      <c r="D155">
        <v>0</v>
      </c>
      <c r="E155">
        <v>1</v>
      </c>
      <c r="F155">
        <v>16</v>
      </c>
      <c r="G155" t="b">
        <v>0</v>
      </c>
      <c r="H155">
        <v>5</v>
      </c>
      <c r="I155">
        <v>2</v>
      </c>
      <c r="J155">
        <v>0.2</v>
      </c>
    </row>
    <row r="156" spans="1:10">
      <c r="A156">
        <v>155</v>
      </c>
      <c r="B156">
        <v>40550</v>
      </c>
      <c r="C156">
        <v>1</v>
      </c>
      <c r="D156">
        <v>0</v>
      </c>
      <c r="E156">
        <v>1</v>
      </c>
      <c r="F156">
        <v>17</v>
      </c>
      <c r="G156" t="b">
        <v>0</v>
      </c>
      <c r="H156">
        <v>5</v>
      </c>
      <c r="I156">
        <v>2</v>
      </c>
      <c r="J156">
        <v>0.2</v>
      </c>
    </row>
    <row r="157" spans="1:10">
      <c r="A157">
        <v>156</v>
      </c>
      <c r="B157">
        <v>40550</v>
      </c>
      <c r="C157">
        <v>1</v>
      </c>
      <c r="D157">
        <v>0</v>
      </c>
      <c r="E157">
        <v>1</v>
      </c>
      <c r="F157">
        <v>18</v>
      </c>
      <c r="G157" t="b">
        <v>0</v>
      </c>
      <c r="H157">
        <v>5</v>
      </c>
      <c r="I157">
        <v>1</v>
      </c>
      <c r="J157">
        <v>0.2</v>
      </c>
    </row>
    <row r="158" spans="1:10">
      <c r="A158">
        <v>157</v>
      </c>
      <c r="B158">
        <v>40550</v>
      </c>
      <c r="C158">
        <v>1</v>
      </c>
      <c r="D158">
        <v>0</v>
      </c>
      <c r="E158">
        <v>1</v>
      </c>
      <c r="F158">
        <v>19</v>
      </c>
      <c r="G158" t="b">
        <v>0</v>
      </c>
      <c r="H158">
        <v>5</v>
      </c>
      <c r="I158">
        <v>1</v>
      </c>
      <c r="J158">
        <v>0.16</v>
      </c>
    </row>
    <row r="159" spans="1:10">
      <c r="A159">
        <v>158</v>
      </c>
      <c r="B159">
        <v>40550</v>
      </c>
      <c r="C159">
        <v>1</v>
      </c>
      <c r="D159">
        <v>0</v>
      </c>
      <c r="E159">
        <v>1</v>
      </c>
      <c r="F159">
        <v>20</v>
      </c>
      <c r="G159" t="b">
        <v>0</v>
      </c>
      <c r="H159">
        <v>5</v>
      </c>
      <c r="I159">
        <v>1</v>
      </c>
      <c r="J159">
        <v>0.18</v>
      </c>
    </row>
    <row r="160" spans="1:10">
      <c r="A160">
        <v>159</v>
      </c>
      <c r="B160">
        <v>40550</v>
      </c>
      <c r="C160">
        <v>1</v>
      </c>
      <c r="D160">
        <v>0</v>
      </c>
      <c r="E160">
        <v>1</v>
      </c>
      <c r="F160">
        <v>21</v>
      </c>
      <c r="G160" t="b">
        <v>0</v>
      </c>
      <c r="H160">
        <v>5</v>
      </c>
      <c r="I160">
        <v>1</v>
      </c>
      <c r="J160">
        <v>0.18</v>
      </c>
    </row>
    <row r="161" spans="1:10">
      <c r="A161">
        <v>160</v>
      </c>
      <c r="B161">
        <v>40550</v>
      </c>
      <c r="C161">
        <v>1</v>
      </c>
      <c r="D161">
        <v>0</v>
      </c>
      <c r="E161">
        <v>1</v>
      </c>
      <c r="F161">
        <v>22</v>
      </c>
      <c r="G161" t="b">
        <v>0</v>
      </c>
      <c r="H161">
        <v>5</v>
      </c>
      <c r="I161">
        <v>2</v>
      </c>
      <c r="J161">
        <v>0.18</v>
      </c>
    </row>
    <row r="162" spans="1:10">
      <c r="A162">
        <v>161</v>
      </c>
      <c r="B162">
        <v>40550</v>
      </c>
      <c r="C162">
        <v>1</v>
      </c>
      <c r="D162">
        <v>0</v>
      </c>
      <c r="E162">
        <v>1</v>
      </c>
      <c r="F162">
        <v>23</v>
      </c>
      <c r="G162" t="b">
        <v>0</v>
      </c>
      <c r="H162">
        <v>5</v>
      </c>
      <c r="I162">
        <v>2</v>
      </c>
      <c r="J162">
        <v>0.18</v>
      </c>
    </row>
    <row r="163" spans="1:10">
      <c r="A163">
        <v>162</v>
      </c>
      <c r="B163">
        <v>40551</v>
      </c>
      <c r="C163">
        <v>1</v>
      </c>
      <c r="D163">
        <v>0</v>
      </c>
      <c r="E163">
        <v>1</v>
      </c>
      <c r="F163">
        <v>0</v>
      </c>
      <c r="G163" t="b">
        <v>0</v>
      </c>
      <c r="H163">
        <v>6</v>
      </c>
      <c r="I163">
        <v>2</v>
      </c>
      <c r="J163">
        <v>0.18</v>
      </c>
    </row>
    <row r="164" spans="1:10">
      <c r="A164">
        <v>163</v>
      </c>
      <c r="B164">
        <v>40551</v>
      </c>
      <c r="C164">
        <v>1</v>
      </c>
      <c r="D164">
        <v>0</v>
      </c>
      <c r="E164">
        <v>1</v>
      </c>
      <c r="F164">
        <v>1</v>
      </c>
      <c r="G164" t="b">
        <v>0</v>
      </c>
      <c r="H164">
        <v>6</v>
      </c>
      <c r="I164">
        <v>2</v>
      </c>
      <c r="J164">
        <v>0.18</v>
      </c>
    </row>
    <row r="165" spans="1:10">
      <c r="A165">
        <v>164</v>
      </c>
      <c r="B165">
        <v>40551</v>
      </c>
      <c r="C165">
        <v>1</v>
      </c>
      <c r="D165">
        <v>0</v>
      </c>
      <c r="E165">
        <v>1</v>
      </c>
      <c r="F165">
        <v>2</v>
      </c>
      <c r="G165" t="b">
        <v>0</v>
      </c>
      <c r="H165">
        <v>6</v>
      </c>
      <c r="I165">
        <v>2</v>
      </c>
      <c r="J165">
        <v>0.18</v>
      </c>
    </row>
    <row r="166" spans="1:10">
      <c r="A166">
        <v>165</v>
      </c>
      <c r="B166">
        <v>40551</v>
      </c>
      <c r="C166">
        <v>1</v>
      </c>
      <c r="D166">
        <v>0</v>
      </c>
      <c r="E166">
        <v>1</v>
      </c>
      <c r="F166">
        <v>3</v>
      </c>
      <c r="G166" t="b">
        <v>0</v>
      </c>
      <c r="H166">
        <v>6</v>
      </c>
      <c r="I166">
        <v>3</v>
      </c>
      <c r="J166">
        <v>0.18</v>
      </c>
    </row>
    <row r="167" spans="1:10">
      <c r="A167">
        <v>166</v>
      </c>
      <c r="B167">
        <v>40551</v>
      </c>
      <c r="C167">
        <v>1</v>
      </c>
      <c r="D167">
        <v>0</v>
      </c>
      <c r="E167">
        <v>1</v>
      </c>
      <c r="F167">
        <v>4</v>
      </c>
      <c r="G167" t="b">
        <v>0</v>
      </c>
      <c r="H167">
        <v>6</v>
      </c>
      <c r="I167">
        <v>3</v>
      </c>
      <c r="J167">
        <v>0.18</v>
      </c>
    </row>
    <row r="168" spans="1:10">
      <c r="A168">
        <v>167</v>
      </c>
      <c r="B168">
        <v>40551</v>
      </c>
      <c r="C168">
        <v>1</v>
      </c>
      <c r="D168">
        <v>0</v>
      </c>
      <c r="E168">
        <v>1</v>
      </c>
      <c r="F168">
        <v>5</v>
      </c>
      <c r="G168" t="b">
        <v>0</v>
      </c>
      <c r="H168">
        <v>6</v>
      </c>
      <c r="I168">
        <v>2</v>
      </c>
      <c r="J168">
        <v>0.16</v>
      </c>
    </row>
    <row r="169" spans="1:10">
      <c r="A169">
        <v>168</v>
      </c>
      <c r="B169">
        <v>40551</v>
      </c>
      <c r="C169">
        <v>1</v>
      </c>
      <c r="D169">
        <v>0</v>
      </c>
      <c r="E169">
        <v>1</v>
      </c>
      <c r="F169">
        <v>6</v>
      </c>
      <c r="G169" t="b">
        <v>0</v>
      </c>
      <c r="H169">
        <v>6</v>
      </c>
      <c r="I169">
        <v>2</v>
      </c>
      <c r="J169">
        <v>0.16</v>
      </c>
    </row>
    <row r="170" spans="1:10">
      <c r="A170">
        <v>169</v>
      </c>
      <c r="B170">
        <v>40551</v>
      </c>
      <c r="C170">
        <v>1</v>
      </c>
      <c r="D170">
        <v>0</v>
      </c>
      <c r="E170">
        <v>1</v>
      </c>
      <c r="F170">
        <v>7</v>
      </c>
      <c r="G170" t="b">
        <v>0</v>
      </c>
      <c r="H170">
        <v>6</v>
      </c>
      <c r="I170">
        <v>2</v>
      </c>
      <c r="J170">
        <v>0.16</v>
      </c>
    </row>
    <row r="171" spans="1:10">
      <c r="A171">
        <v>170</v>
      </c>
      <c r="B171">
        <v>40551</v>
      </c>
      <c r="C171">
        <v>1</v>
      </c>
      <c r="D171">
        <v>0</v>
      </c>
      <c r="E171">
        <v>1</v>
      </c>
      <c r="F171">
        <v>8</v>
      </c>
      <c r="G171" t="b">
        <v>0</v>
      </c>
      <c r="H171">
        <v>6</v>
      </c>
      <c r="I171">
        <v>3</v>
      </c>
      <c r="J171">
        <v>0.16</v>
      </c>
    </row>
    <row r="172" spans="1:10">
      <c r="A172">
        <v>171</v>
      </c>
      <c r="B172">
        <v>40551</v>
      </c>
      <c r="C172">
        <v>1</v>
      </c>
      <c r="D172">
        <v>0</v>
      </c>
      <c r="E172">
        <v>1</v>
      </c>
      <c r="F172">
        <v>9</v>
      </c>
      <c r="G172" t="b">
        <v>0</v>
      </c>
      <c r="H172">
        <v>6</v>
      </c>
      <c r="I172">
        <v>3</v>
      </c>
      <c r="J172">
        <v>0.16</v>
      </c>
    </row>
    <row r="173" spans="1:10">
      <c r="A173">
        <v>172</v>
      </c>
      <c r="B173">
        <v>40551</v>
      </c>
      <c r="C173">
        <v>1</v>
      </c>
      <c r="D173">
        <v>0</v>
      </c>
      <c r="E173">
        <v>1</v>
      </c>
      <c r="F173">
        <v>10</v>
      </c>
      <c r="G173" t="b">
        <v>0</v>
      </c>
      <c r="H173">
        <v>6</v>
      </c>
      <c r="I173">
        <v>2</v>
      </c>
      <c r="J173">
        <v>0.18</v>
      </c>
    </row>
    <row r="174" spans="1:10">
      <c r="A174">
        <v>173</v>
      </c>
      <c r="B174">
        <v>40551</v>
      </c>
      <c r="C174">
        <v>1</v>
      </c>
      <c r="D174">
        <v>0</v>
      </c>
      <c r="E174">
        <v>1</v>
      </c>
      <c r="F174">
        <v>11</v>
      </c>
      <c r="G174" t="b">
        <v>0</v>
      </c>
      <c r="H174">
        <v>6</v>
      </c>
      <c r="I174">
        <v>2</v>
      </c>
      <c r="J174">
        <v>0.2</v>
      </c>
    </row>
    <row r="175" spans="1:10">
      <c r="A175">
        <v>174</v>
      </c>
      <c r="B175">
        <v>40551</v>
      </c>
      <c r="C175">
        <v>1</v>
      </c>
      <c r="D175">
        <v>0</v>
      </c>
      <c r="E175">
        <v>1</v>
      </c>
      <c r="F175">
        <v>12</v>
      </c>
      <c r="G175" t="b">
        <v>0</v>
      </c>
      <c r="H175">
        <v>6</v>
      </c>
      <c r="I175">
        <v>2</v>
      </c>
      <c r="J175">
        <v>0.2</v>
      </c>
    </row>
    <row r="176" spans="1:10">
      <c r="A176">
        <v>175</v>
      </c>
      <c r="B176">
        <v>40551</v>
      </c>
      <c r="C176">
        <v>1</v>
      </c>
      <c r="D176">
        <v>0</v>
      </c>
      <c r="E176">
        <v>1</v>
      </c>
      <c r="F176">
        <v>13</v>
      </c>
      <c r="G176" t="b">
        <v>0</v>
      </c>
      <c r="H176">
        <v>6</v>
      </c>
      <c r="I176">
        <v>1</v>
      </c>
      <c r="J176">
        <v>0.2</v>
      </c>
    </row>
    <row r="177" spans="1:10">
      <c r="A177">
        <v>176</v>
      </c>
      <c r="B177">
        <v>40551</v>
      </c>
      <c r="C177">
        <v>1</v>
      </c>
      <c r="D177">
        <v>0</v>
      </c>
      <c r="E177">
        <v>1</v>
      </c>
      <c r="F177">
        <v>14</v>
      </c>
      <c r="G177" t="b">
        <v>0</v>
      </c>
      <c r="H177">
        <v>6</v>
      </c>
      <c r="I177">
        <v>1</v>
      </c>
      <c r="J177">
        <v>0.2</v>
      </c>
    </row>
    <row r="178" spans="1:10">
      <c r="A178">
        <v>177</v>
      </c>
      <c r="B178">
        <v>40551</v>
      </c>
      <c r="C178">
        <v>1</v>
      </c>
      <c r="D178">
        <v>0</v>
      </c>
      <c r="E178">
        <v>1</v>
      </c>
      <c r="F178">
        <v>15</v>
      </c>
      <c r="G178" t="b">
        <v>0</v>
      </c>
      <c r="H178">
        <v>6</v>
      </c>
      <c r="I178">
        <v>1</v>
      </c>
      <c r="J178">
        <v>0.2</v>
      </c>
    </row>
    <row r="179" spans="1:10">
      <c r="A179">
        <v>178</v>
      </c>
      <c r="B179">
        <v>40551</v>
      </c>
      <c r="C179">
        <v>1</v>
      </c>
      <c r="D179">
        <v>0</v>
      </c>
      <c r="E179">
        <v>1</v>
      </c>
      <c r="F179">
        <v>16</v>
      </c>
      <c r="G179" t="b">
        <v>0</v>
      </c>
      <c r="H179">
        <v>6</v>
      </c>
      <c r="I179">
        <v>1</v>
      </c>
      <c r="J179">
        <v>0.18</v>
      </c>
    </row>
    <row r="180" spans="1:10">
      <c r="A180">
        <v>179</v>
      </c>
      <c r="B180">
        <v>40551</v>
      </c>
      <c r="C180">
        <v>1</v>
      </c>
      <c r="D180">
        <v>0</v>
      </c>
      <c r="E180">
        <v>1</v>
      </c>
      <c r="F180">
        <v>17</v>
      </c>
      <c r="G180" t="b">
        <v>0</v>
      </c>
      <c r="H180">
        <v>6</v>
      </c>
      <c r="I180">
        <v>1</v>
      </c>
      <c r="J180">
        <v>0.16</v>
      </c>
    </row>
    <row r="181" spans="1:10">
      <c r="A181">
        <v>180</v>
      </c>
      <c r="B181">
        <v>40551</v>
      </c>
      <c r="C181">
        <v>1</v>
      </c>
      <c r="D181">
        <v>0</v>
      </c>
      <c r="E181">
        <v>1</v>
      </c>
      <c r="F181">
        <v>18</v>
      </c>
      <c r="G181" t="b">
        <v>0</v>
      </c>
      <c r="H181">
        <v>6</v>
      </c>
      <c r="I181">
        <v>1</v>
      </c>
      <c r="J181">
        <v>0.14000000000000001</v>
      </c>
    </row>
    <row r="182" spans="1:10">
      <c r="A182">
        <v>181</v>
      </c>
      <c r="B182">
        <v>40551</v>
      </c>
      <c r="C182">
        <v>1</v>
      </c>
      <c r="D182">
        <v>0</v>
      </c>
      <c r="E182">
        <v>1</v>
      </c>
      <c r="F182">
        <v>19</v>
      </c>
      <c r="G182" t="b">
        <v>0</v>
      </c>
      <c r="H182">
        <v>6</v>
      </c>
      <c r="I182">
        <v>1</v>
      </c>
      <c r="J182">
        <v>0.14000000000000001</v>
      </c>
    </row>
    <row r="183" spans="1:10">
      <c r="A183">
        <v>182</v>
      </c>
      <c r="B183">
        <v>40551</v>
      </c>
      <c r="C183">
        <v>1</v>
      </c>
      <c r="D183">
        <v>0</v>
      </c>
      <c r="E183">
        <v>1</v>
      </c>
      <c r="F183">
        <v>20</v>
      </c>
      <c r="G183" t="b">
        <v>0</v>
      </c>
      <c r="H183">
        <v>6</v>
      </c>
      <c r="I183">
        <v>1</v>
      </c>
      <c r="J183">
        <v>0.12</v>
      </c>
    </row>
    <row r="184" spans="1:10">
      <c r="A184">
        <v>183</v>
      </c>
      <c r="B184">
        <v>40551</v>
      </c>
      <c r="C184">
        <v>1</v>
      </c>
      <c r="D184">
        <v>0</v>
      </c>
      <c r="E184">
        <v>1</v>
      </c>
      <c r="F184">
        <v>21</v>
      </c>
      <c r="G184" t="b">
        <v>0</v>
      </c>
      <c r="H184">
        <v>6</v>
      </c>
      <c r="I184">
        <v>1</v>
      </c>
      <c r="J184">
        <v>0.12</v>
      </c>
    </row>
    <row r="185" spans="1:10">
      <c r="A185">
        <v>184</v>
      </c>
      <c r="B185">
        <v>40551</v>
      </c>
      <c r="C185">
        <v>1</v>
      </c>
      <c r="D185">
        <v>0</v>
      </c>
      <c r="E185">
        <v>1</v>
      </c>
      <c r="F185">
        <v>22</v>
      </c>
      <c r="G185" t="b">
        <v>0</v>
      </c>
      <c r="H185">
        <v>6</v>
      </c>
      <c r="I185">
        <v>1</v>
      </c>
      <c r="J185">
        <v>0.12</v>
      </c>
    </row>
    <row r="186" spans="1:10">
      <c r="A186">
        <v>185</v>
      </c>
      <c r="B186">
        <v>40551</v>
      </c>
      <c r="C186">
        <v>1</v>
      </c>
      <c r="D186">
        <v>0</v>
      </c>
      <c r="E186">
        <v>1</v>
      </c>
      <c r="F186">
        <v>23</v>
      </c>
      <c r="G186" t="b">
        <v>0</v>
      </c>
      <c r="H186">
        <v>6</v>
      </c>
      <c r="I186">
        <v>1</v>
      </c>
      <c r="J186">
        <v>0.1</v>
      </c>
    </row>
    <row r="187" spans="1:10">
      <c r="A187">
        <v>186</v>
      </c>
      <c r="B187">
        <v>40552</v>
      </c>
      <c r="C187">
        <v>1</v>
      </c>
      <c r="D187">
        <v>0</v>
      </c>
      <c r="E187">
        <v>1</v>
      </c>
      <c r="F187">
        <v>0</v>
      </c>
      <c r="G187" t="b">
        <v>0</v>
      </c>
      <c r="H187">
        <v>0</v>
      </c>
      <c r="I187">
        <v>1</v>
      </c>
      <c r="J187">
        <v>0.1</v>
      </c>
    </row>
    <row r="188" spans="1:10">
      <c r="A188">
        <v>187</v>
      </c>
      <c r="B188">
        <v>40552</v>
      </c>
      <c r="C188">
        <v>1</v>
      </c>
      <c r="D188">
        <v>0</v>
      </c>
      <c r="E188">
        <v>1</v>
      </c>
      <c r="F188">
        <v>1</v>
      </c>
      <c r="G188" t="b">
        <v>0</v>
      </c>
      <c r="H188">
        <v>0</v>
      </c>
      <c r="I188">
        <v>1</v>
      </c>
      <c r="J188">
        <v>0.1</v>
      </c>
    </row>
    <row r="189" spans="1:10">
      <c r="A189">
        <v>188</v>
      </c>
      <c r="B189">
        <v>40552</v>
      </c>
      <c r="C189">
        <v>1</v>
      </c>
      <c r="D189">
        <v>0</v>
      </c>
      <c r="E189">
        <v>1</v>
      </c>
      <c r="F189">
        <v>2</v>
      </c>
      <c r="G189" t="b">
        <v>0</v>
      </c>
      <c r="H189">
        <v>0</v>
      </c>
      <c r="I189">
        <v>1</v>
      </c>
      <c r="J189">
        <v>0.1</v>
      </c>
    </row>
    <row r="190" spans="1:10">
      <c r="A190">
        <v>189</v>
      </c>
      <c r="B190">
        <v>40552</v>
      </c>
      <c r="C190">
        <v>1</v>
      </c>
      <c r="D190">
        <v>0</v>
      </c>
      <c r="E190">
        <v>1</v>
      </c>
      <c r="F190">
        <v>3</v>
      </c>
      <c r="G190" t="b">
        <v>0</v>
      </c>
      <c r="H190">
        <v>0</v>
      </c>
      <c r="I190">
        <v>1</v>
      </c>
      <c r="J190">
        <v>0.1</v>
      </c>
    </row>
    <row r="191" spans="1:10">
      <c r="A191">
        <v>190</v>
      </c>
      <c r="B191">
        <v>40552</v>
      </c>
      <c r="C191">
        <v>1</v>
      </c>
      <c r="D191">
        <v>0</v>
      </c>
      <c r="E191">
        <v>1</v>
      </c>
      <c r="F191">
        <v>4</v>
      </c>
      <c r="G191" t="b">
        <v>0</v>
      </c>
      <c r="H191">
        <v>0</v>
      </c>
      <c r="I191">
        <v>1</v>
      </c>
      <c r="J191">
        <v>0.08</v>
      </c>
    </row>
    <row r="192" spans="1:10">
      <c r="A192">
        <v>191</v>
      </c>
      <c r="B192">
        <v>40552</v>
      </c>
      <c r="C192">
        <v>1</v>
      </c>
      <c r="D192">
        <v>0</v>
      </c>
      <c r="E192">
        <v>1</v>
      </c>
      <c r="F192">
        <v>5</v>
      </c>
      <c r="G192" t="b">
        <v>0</v>
      </c>
      <c r="H192">
        <v>0</v>
      </c>
      <c r="I192">
        <v>1</v>
      </c>
      <c r="J192">
        <v>0.08</v>
      </c>
    </row>
    <row r="193" spans="1:10">
      <c r="A193">
        <v>192</v>
      </c>
      <c r="B193">
        <v>40552</v>
      </c>
      <c r="C193">
        <v>1</v>
      </c>
      <c r="D193">
        <v>0</v>
      </c>
      <c r="E193">
        <v>1</v>
      </c>
      <c r="F193">
        <v>6</v>
      </c>
      <c r="G193" t="b">
        <v>0</v>
      </c>
      <c r="H193">
        <v>0</v>
      </c>
      <c r="I193">
        <v>1</v>
      </c>
      <c r="J193">
        <v>0.1</v>
      </c>
    </row>
    <row r="194" spans="1:10">
      <c r="A194">
        <v>193</v>
      </c>
      <c r="B194">
        <v>40552</v>
      </c>
      <c r="C194">
        <v>1</v>
      </c>
      <c r="D194">
        <v>0</v>
      </c>
      <c r="E194">
        <v>1</v>
      </c>
      <c r="F194">
        <v>7</v>
      </c>
      <c r="G194" t="b">
        <v>0</v>
      </c>
      <c r="H194">
        <v>0</v>
      </c>
      <c r="I194">
        <v>1</v>
      </c>
      <c r="J194">
        <v>0.08</v>
      </c>
    </row>
    <row r="195" spans="1:10">
      <c r="A195">
        <v>194</v>
      </c>
      <c r="B195">
        <v>40552</v>
      </c>
      <c r="C195">
        <v>1</v>
      </c>
      <c r="D195">
        <v>0</v>
      </c>
      <c r="E195">
        <v>1</v>
      </c>
      <c r="F195">
        <v>8</v>
      </c>
      <c r="G195" t="b">
        <v>0</v>
      </c>
      <c r="H195">
        <v>0</v>
      </c>
      <c r="I195">
        <v>1</v>
      </c>
      <c r="J195">
        <v>0.1</v>
      </c>
    </row>
    <row r="196" spans="1:10">
      <c r="A196">
        <v>195</v>
      </c>
      <c r="B196">
        <v>40552</v>
      </c>
      <c r="C196">
        <v>1</v>
      </c>
      <c r="D196">
        <v>0</v>
      </c>
      <c r="E196">
        <v>1</v>
      </c>
      <c r="F196">
        <v>9</v>
      </c>
      <c r="G196" t="b">
        <v>0</v>
      </c>
      <c r="H196">
        <v>0</v>
      </c>
      <c r="I196">
        <v>1</v>
      </c>
      <c r="J196">
        <v>0.12</v>
      </c>
    </row>
    <row r="197" spans="1:10">
      <c r="A197">
        <v>196</v>
      </c>
      <c r="B197">
        <v>40552</v>
      </c>
      <c r="C197">
        <v>1</v>
      </c>
      <c r="D197">
        <v>0</v>
      </c>
      <c r="E197">
        <v>1</v>
      </c>
      <c r="F197">
        <v>10</v>
      </c>
      <c r="G197" t="b">
        <v>0</v>
      </c>
      <c r="H197">
        <v>0</v>
      </c>
      <c r="I197">
        <v>1</v>
      </c>
      <c r="J197">
        <v>0.14000000000000001</v>
      </c>
    </row>
    <row r="198" spans="1:10">
      <c r="A198">
        <v>197</v>
      </c>
      <c r="B198">
        <v>40552</v>
      </c>
      <c r="C198">
        <v>1</v>
      </c>
      <c r="D198">
        <v>0</v>
      </c>
      <c r="E198">
        <v>1</v>
      </c>
      <c r="F198">
        <v>11</v>
      </c>
      <c r="G198" t="b">
        <v>0</v>
      </c>
      <c r="H198">
        <v>0</v>
      </c>
      <c r="I198">
        <v>1</v>
      </c>
      <c r="J198">
        <v>0.16</v>
      </c>
    </row>
    <row r="199" spans="1:10">
      <c r="A199">
        <v>198</v>
      </c>
      <c r="B199">
        <v>40552</v>
      </c>
      <c r="C199">
        <v>1</v>
      </c>
      <c r="D199">
        <v>0</v>
      </c>
      <c r="E199">
        <v>1</v>
      </c>
      <c r="F199">
        <v>12</v>
      </c>
      <c r="G199" t="b">
        <v>0</v>
      </c>
      <c r="H199">
        <v>0</v>
      </c>
      <c r="I199">
        <v>1</v>
      </c>
      <c r="J199">
        <v>0.18</v>
      </c>
    </row>
    <row r="200" spans="1:10">
      <c r="A200">
        <v>199</v>
      </c>
      <c r="B200">
        <v>40552</v>
      </c>
      <c r="C200">
        <v>1</v>
      </c>
      <c r="D200">
        <v>0</v>
      </c>
      <c r="E200">
        <v>1</v>
      </c>
      <c r="F200">
        <v>13</v>
      </c>
      <c r="G200" t="b">
        <v>0</v>
      </c>
      <c r="H200">
        <v>0</v>
      </c>
      <c r="I200">
        <v>1</v>
      </c>
      <c r="J200">
        <v>0.2</v>
      </c>
    </row>
    <row r="201" spans="1:10">
      <c r="A201">
        <v>200</v>
      </c>
      <c r="B201">
        <v>40552</v>
      </c>
      <c r="C201">
        <v>1</v>
      </c>
      <c r="D201">
        <v>0</v>
      </c>
      <c r="E201">
        <v>1</v>
      </c>
      <c r="F201">
        <v>14</v>
      </c>
      <c r="G201" t="b">
        <v>0</v>
      </c>
      <c r="H201">
        <v>0</v>
      </c>
      <c r="I201">
        <v>1</v>
      </c>
      <c r="J201">
        <v>0.22</v>
      </c>
    </row>
    <row r="202" spans="1:10">
      <c r="A202">
        <v>201</v>
      </c>
      <c r="B202">
        <v>40552</v>
      </c>
      <c r="C202">
        <v>1</v>
      </c>
      <c r="D202">
        <v>0</v>
      </c>
      <c r="E202">
        <v>1</v>
      </c>
      <c r="F202">
        <v>15</v>
      </c>
      <c r="G202" t="b">
        <v>0</v>
      </c>
      <c r="H202">
        <v>0</v>
      </c>
      <c r="I202">
        <v>1</v>
      </c>
      <c r="J202">
        <v>0.22</v>
      </c>
    </row>
    <row r="203" spans="1:10">
      <c r="A203">
        <v>202</v>
      </c>
      <c r="B203">
        <v>40552</v>
      </c>
      <c r="C203">
        <v>1</v>
      </c>
      <c r="D203">
        <v>0</v>
      </c>
      <c r="E203">
        <v>1</v>
      </c>
      <c r="F203">
        <v>16</v>
      </c>
      <c r="G203" t="b">
        <v>0</v>
      </c>
      <c r="H203">
        <v>0</v>
      </c>
      <c r="I203">
        <v>1</v>
      </c>
      <c r="J203">
        <v>0.2</v>
      </c>
    </row>
    <row r="204" spans="1:10">
      <c r="A204">
        <v>203</v>
      </c>
      <c r="B204">
        <v>40552</v>
      </c>
      <c r="C204">
        <v>1</v>
      </c>
      <c r="D204">
        <v>0</v>
      </c>
      <c r="E204">
        <v>1</v>
      </c>
      <c r="F204">
        <v>17</v>
      </c>
      <c r="G204" t="b">
        <v>0</v>
      </c>
      <c r="H204">
        <v>0</v>
      </c>
      <c r="I204">
        <v>1</v>
      </c>
      <c r="J204">
        <v>0.18</v>
      </c>
    </row>
    <row r="205" spans="1:10">
      <c r="A205">
        <v>204</v>
      </c>
      <c r="B205">
        <v>40552</v>
      </c>
      <c r="C205">
        <v>1</v>
      </c>
      <c r="D205">
        <v>0</v>
      </c>
      <c r="E205">
        <v>1</v>
      </c>
      <c r="F205">
        <v>18</v>
      </c>
      <c r="G205" t="b">
        <v>0</v>
      </c>
      <c r="H205">
        <v>0</v>
      </c>
      <c r="I205">
        <v>1</v>
      </c>
      <c r="J205">
        <v>0.16</v>
      </c>
    </row>
    <row r="206" spans="1:10">
      <c r="A206">
        <v>205</v>
      </c>
      <c r="B206">
        <v>40552</v>
      </c>
      <c r="C206">
        <v>1</v>
      </c>
      <c r="D206">
        <v>0</v>
      </c>
      <c r="E206">
        <v>1</v>
      </c>
      <c r="F206">
        <v>19</v>
      </c>
      <c r="G206" t="b">
        <v>0</v>
      </c>
      <c r="H206">
        <v>0</v>
      </c>
      <c r="I206">
        <v>1</v>
      </c>
      <c r="J206">
        <v>0.16</v>
      </c>
    </row>
    <row r="207" spans="1:10">
      <c r="A207">
        <v>206</v>
      </c>
      <c r="B207">
        <v>40552</v>
      </c>
      <c r="C207">
        <v>1</v>
      </c>
      <c r="D207">
        <v>0</v>
      </c>
      <c r="E207">
        <v>1</v>
      </c>
      <c r="F207">
        <v>20</v>
      </c>
      <c r="G207" t="b">
        <v>0</v>
      </c>
      <c r="H207">
        <v>0</v>
      </c>
      <c r="I207">
        <v>1</v>
      </c>
      <c r="J207">
        <v>0.14000000000000001</v>
      </c>
    </row>
    <row r="208" spans="1:10">
      <c r="A208">
        <v>207</v>
      </c>
      <c r="B208">
        <v>40552</v>
      </c>
      <c r="C208">
        <v>1</v>
      </c>
      <c r="D208">
        <v>0</v>
      </c>
      <c r="E208">
        <v>1</v>
      </c>
      <c r="F208">
        <v>21</v>
      </c>
      <c r="G208" t="b">
        <v>0</v>
      </c>
      <c r="H208">
        <v>0</v>
      </c>
      <c r="I208">
        <v>1</v>
      </c>
      <c r="J208">
        <v>0.14000000000000001</v>
      </c>
    </row>
    <row r="209" spans="1:10">
      <c r="A209">
        <v>208</v>
      </c>
      <c r="B209">
        <v>40552</v>
      </c>
      <c r="C209">
        <v>1</v>
      </c>
      <c r="D209">
        <v>0</v>
      </c>
      <c r="E209">
        <v>1</v>
      </c>
      <c r="F209">
        <v>22</v>
      </c>
      <c r="G209" t="b">
        <v>0</v>
      </c>
      <c r="H209">
        <v>0</v>
      </c>
      <c r="I209">
        <v>1</v>
      </c>
      <c r="J209">
        <v>0.14000000000000001</v>
      </c>
    </row>
    <row r="210" spans="1:10">
      <c r="A210">
        <v>209</v>
      </c>
      <c r="B210">
        <v>40552</v>
      </c>
      <c r="C210">
        <v>1</v>
      </c>
      <c r="D210">
        <v>0</v>
      </c>
      <c r="E210">
        <v>1</v>
      </c>
      <c r="F210">
        <v>23</v>
      </c>
      <c r="G210" t="b">
        <v>0</v>
      </c>
      <c r="H210">
        <v>0</v>
      </c>
      <c r="I210">
        <v>1</v>
      </c>
      <c r="J210">
        <v>0.12</v>
      </c>
    </row>
    <row r="211" spans="1:10">
      <c r="A211">
        <v>210</v>
      </c>
      <c r="B211">
        <v>40553</v>
      </c>
      <c r="C211">
        <v>1</v>
      </c>
      <c r="D211">
        <v>0</v>
      </c>
      <c r="E211">
        <v>1</v>
      </c>
      <c r="F211">
        <v>0</v>
      </c>
      <c r="G211" t="b">
        <v>0</v>
      </c>
      <c r="H211">
        <v>1</v>
      </c>
      <c r="I211">
        <v>1</v>
      </c>
      <c r="J211">
        <v>0.12</v>
      </c>
    </row>
    <row r="212" spans="1:10">
      <c r="A212">
        <v>211</v>
      </c>
      <c r="B212">
        <v>40553</v>
      </c>
      <c r="C212">
        <v>1</v>
      </c>
      <c r="D212">
        <v>0</v>
      </c>
      <c r="E212">
        <v>1</v>
      </c>
      <c r="F212">
        <v>1</v>
      </c>
      <c r="G212" t="b">
        <v>0</v>
      </c>
      <c r="H212">
        <v>1</v>
      </c>
      <c r="I212">
        <v>1</v>
      </c>
      <c r="J212">
        <v>0.12</v>
      </c>
    </row>
    <row r="213" spans="1:10">
      <c r="A213">
        <v>212</v>
      </c>
      <c r="B213">
        <v>40553</v>
      </c>
      <c r="C213">
        <v>1</v>
      </c>
      <c r="D213">
        <v>0</v>
      </c>
      <c r="E213">
        <v>1</v>
      </c>
      <c r="F213">
        <v>2</v>
      </c>
      <c r="G213" t="b">
        <v>0</v>
      </c>
      <c r="H213">
        <v>1</v>
      </c>
      <c r="I213">
        <v>1</v>
      </c>
      <c r="J213">
        <v>0.12</v>
      </c>
    </row>
    <row r="214" spans="1:10">
      <c r="A214">
        <v>213</v>
      </c>
      <c r="B214">
        <v>40553</v>
      </c>
      <c r="C214">
        <v>1</v>
      </c>
      <c r="D214">
        <v>0</v>
      </c>
      <c r="E214">
        <v>1</v>
      </c>
      <c r="F214">
        <v>3</v>
      </c>
      <c r="G214" t="b">
        <v>0</v>
      </c>
      <c r="H214">
        <v>1</v>
      </c>
      <c r="I214">
        <v>1</v>
      </c>
      <c r="J214">
        <v>0.12</v>
      </c>
    </row>
    <row r="215" spans="1:10">
      <c r="A215">
        <v>214</v>
      </c>
      <c r="B215">
        <v>40553</v>
      </c>
      <c r="C215">
        <v>1</v>
      </c>
      <c r="D215">
        <v>0</v>
      </c>
      <c r="E215">
        <v>1</v>
      </c>
      <c r="F215">
        <v>4</v>
      </c>
      <c r="G215" t="b">
        <v>0</v>
      </c>
      <c r="H215">
        <v>1</v>
      </c>
      <c r="I215">
        <v>1</v>
      </c>
      <c r="J215">
        <v>0.1</v>
      </c>
    </row>
    <row r="216" spans="1:10">
      <c r="A216">
        <v>215</v>
      </c>
      <c r="B216">
        <v>40553</v>
      </c>
      <c r="C216">
        <v>1</v>
      </c>
      <c r="D216">
        <v>0</v>
      </c>
      <c r="E216">
        <v>1</v>
      </c>
      <c r="F216">
        <v>5</v>
      </c>
      <c r="G216" t="b">
        <v>0</v>
      </c>
      <c r="H216">
        <v>1</v>
      </c>
      <c r="I216">
        <v>1</v>
      </c>
      <c r="J216">
        <v>0.1</v>
      </c>
    </row>
    <row r="217" spans="1:10">
      <c r="A217">
        <v>216</v>
      </c>
      <c r="B217">
        <v>40553</v>
      </c>
      <c r="C217">
        <v>1</v>
      </c>
      <c r="D217">
        <v>0</v>
      </c>
      <c r="E217">
        <v>1</v>
      </c>
      <c r="F217">
        <v>6</v>
      </c>
      <c r="G217" t="b">
        <v>0</v>
      </c>
      <c r="H217">
        <v>1</v>
      </c>
      <c r="I217">
        <v>1</v>
      </c>
      <c r="J217">
        <v>0.12</v>
      </c>
    </row>
    <row r="218" spans="1:10">
      <c r="A218">
        <v>217</v>
      </c>
      <c r="B218">
        <v>40553</v>
      </c>
      <c r="C218">
        <v>1</v>
      </c>
      <c r="D218">
        <v>0</v>
      </c>
      <c r="E218">
        <v>1</v>
      </c>
      <c r="F218">
        <v>7</v>
      </c>
      <c r="G218" t="b">
        <v>0</v>
      </c>
      <c r="H218">
        <v>1</v>
      </c>
      <c r="I218">
        <v>1</v>
      </c>
      <c r="J218">
        <v>0.12</v>
      </c>
    </row>
    <row r="219" spans="1:10">
      <c r="A219">
        <v>218</v>
      </c>
      <c r="B219">
        <v>40553</v>
      </c>
      <c r="C219">
        <v>1</v>
      </c>
      <c r="D219">
        <v>0</v>
      </c>
      <c r="E219">
        <v>1</v>
      </c>
      <c r="F219">
        <v>8</v>
      </c>
      <c r="G219" t="b">
        <v>0</v>
      </c>
      <c r="H219">
        <v>1</v>
      </c>
      <c r="I219">
        <v>2</v>
      </c>
      <c r="J219">
        <v>0.12</v>
      </c>
    </row>
    <row r="220" spans="1:10">
      <c r="A220">
        <v>219</v>
      </c>
      <c r="B220">
        <v>40553</v>
      </c>
      <c r="C220">
        <v>1</v>
      </c>
      <c r="D220">
        <v>0</v>
      </c>
      <c r="E220">
        <v>1</v>
      </c>
      <c r="F220">
        <v>9</v>
      </c>
      <c r="G220" t="b">
        <v>0</v>
      </c>
      <c r="H220">
        <v>1</v>
      </c>
      <c r="I220">
        <v>2</v>
      </c>
      <c r="J220">
        <v>0.14000000000000001</v>
      </c>
    </row>
    <row r="221" spans="1:10">
      <c r="A221">
        <v>220</v>
      </c>
      <c r="B221">
        <v>40553</v>
      </c>
      <c r="C221">
        <v>1</v>
      </c>
      <c r="D221">
        <v>0</v>
      </c>
      <c r="E221">
        <v>1</v>
      </c>
      <c r="F221">
        <v>10</v>
      </c>
      <c r="G221" t="b">
        <v>0</v>
      </c>
      <c r="H221">
        <v>1</v>
      </c>
      <c r="I221">
        <v>2</v>
      </c>
      <c r="J221">
        <v>0.14000000000000001</v>
      </c>
    </row>
    <row r="222" spans="1:10">
      <c r="A222">
        <v>221</v>
      </c>
      <c r="B222">
        <v>40553</v>
      </c>
      <c r="C222">
        <v>1</v>
      </c>
      <c r="D222">
        <v>0</v>
      </c>
      <c r="E222">
        <v>1</v>
      </c>
      <c r="F222">
        <v>11</v>
      </c>
      <c r="G222" t="b">
        <v>0</v>
      </c>
      <c r="H222">
        <v>1</v>
      </c>
      <c r="I222">
        <v>2</v>
      </c>
      <c r="J222">
        <v>0.16</v>
      </c>
    </row>
    <row r="223" spans="1:10">
      <c r="A223">
        <v>222</v>
      </c>
      <c r="B223">
        <v>40553</v>
      </c>
      <c r="C223">
        <v>1</v>
      </c>
      <c r="D223">
        <v>0</v>
      </c>
      <c r="E223">
        <v>1</v>
      </c>
      <c r="F223">
        <v>12</v>
      </c>
      <c r="G223" t="b">
        <v>0</v>
      </c>
      <c r="H223">
        <v>1</v>
      </c>
      <c r="I223">
        <v>2</v>
      </c>
      <c r="J223">
        <v>0.2</v>
      </c>
    </row>
    <row r="224" spans="1:10">
      <c r="A224">
        <v>223</v>
      </c>
      <c r="B224">
        <v>40553</v>
      </c>
      <c r="C224">
        <v>1</v>
      </c>
      <c r="D224">
        <v>0</v>
      </c>
      <c r="E224">
        <v>1</v>
      </c>
      <c r="F224">
        <v>13</v>
      </c>
      <c r="G224" t="b">
        <v>0</v>
      </c>
      <c r="H224">
        <v>1</v>
      </c>
      <c r="I224">
        <v>2</v>
      </c>
      <c r="J224">
        <v>0.2</v>
      </c>
    </row>
    <row r="225" spans="1:10">
      <c r="A225">
        <v>224</v>
      </c>
      <c r="B225">
        <v>40553</v>
      </c>
      <c r="C225">
        <v>1</v>
      </c>
      <c r="D225">
        <v>0</v>
      </c>
      <c r="E225">
        <v>1</v>
      </c>
      <c r="F225">
        <v>14</v>
      </c>
      <c r="G225" t="b">
        <v>0</v>
      </c>
      <c r="H225">
        <v>1</v>
      </c>
      <c r="I225">
        <v>2</v>
      </c>
      <c r="J225">
        <v>0.2</v>
      </c>
    </row>
    <row r="226" spans="1:10">
      <c r="A226">
        <v>225</v>
      </c>
      <c r="B226">
        <v>40553</v>
      </c>
      <c r="C226">
        <v>1</v>
      </c>
      <c r="D226">
        <v>0</v>
      </c>
      <c r="E226">
        <v>1</v>
      </c>
      <c r="F226">
        <v>15</v>
      </c>
      <c r="G226" t="b">
        <v>0</v>
      </c>
      <c r="H226">
        <v>1</v>
      </c>
      <c r="I226">
        <v>2</v>
      </c>
      <c r="J226">
        <v>0.2</v>
      </c>
    </row>
    <row r="227" spans="1:10">
      <c r="A227">
        <v>226</v>
      </c>
      <c r="B227">
        <v>40553</v>
      </c>
      <c r="C227">
        <v>1</v>
      </c>
      <c r="D227">
        <v>0</v>
      </c>
      <c r="E227">
        <v>1</v>
      </c>
      <c r="F227">
        <v>16</v>
      </c>
      <c r="G227" t="b">
        <v>0</v>
      </c>
      <c r="H227">
        <v>1</v>
      </c>
      <c r="I227">
        <v>1</v>
      </c>
      <c r="J227">
        <v>0.2</v>
      </c>
    </row>
    <row r="228" spans="1:10">
      <c r="A228">
        <v>227</v>
      </c>
      <c r="B228">
        <v>40553</v>
      </c>
      <c r="C228">
        <v>1</v>
      </c>
      <c r="D228">
        <v>0</v>
      </c>
      <c r="E228">
        <v>1</v>
      </c>
      <c r="F228">
        <v>17</v>
      </c>
      <c r="G228" t="b">
        <v>0</v>
      </c>
      <c r="H228">
        <v>1</v>
      </c>
      <c r="I228">
        <v>1</v>
      </c>
      <c r="J228">
        <v>0.2</v>
      </c>
    </row>
    <row r="229" spans="1:10">
      <c r="A229">
        <v>228</v>
      </c>
      <c r="B229">
        <v>40553</v>
      </c>
      <c r="C229">
        <v>1</v>
      </c>
      <c r="D229">
        <v>0</v>
      </c>
      <c r="E229">
        <v>1</v>
      </c>
      <c r="F229">
        <v>18</v>
      </c>
      <c r="G229" t="b">
        <v>0</v>
      </c>
      <c r="H229">
        <v>1</v>
      </c>
      <c r="I229">
        <v>1</v>
      </c>
      <c r="J229">
        <v>0.2</v>
      </c>
    </row>
    <row r="230" spans="1:10">
      <c r="A230">
        <v>229</v>
      </c>
      <c r="B230">
        <v>40553</v>
      </c>
      <c r="C230">
        <v>1</v>
      </c>
      <c r="D230">
        <v>0</v>
      </c>
      <c r="E230">
        <v>1</v>
      </c>
      <c r="F230">
        <v>19</v>
      </c>
      <c r="G230" t="b">
        <v>0</v>
      </c>
      <c r="H230">
        <v>1</v>
      </c>
      <c r="I230">
        <v>1</v>
      </c>
      <c r="J230">
        <v>0.16</v>
      </c>
    </row>
    <row r="231" spans="1:10">
      <c r="A231">
        <v>230</v>
      </c>
      <c r="B231">
        <v>40553</v>
      </c>
      <c r="C231">
        <v>1</v>
      </c>
      <c r="D231">
        <v>0</v>
      </c>
      <c r="E231">
        <v>1</v>
      </c>
      <c r="F231">
        <v>20</v>
      </c>
      <c r="G231" t="b">
        <v>0</v>
      </c>
      <c r="H231">
        <v>1</v>
      </c>
      <c r="I231">
        <v>1</v>
      </c>
      <c r="J231">
        <v>0.16</v>
      </c>
    </row>
    <row r="232" spans="1:10">
      <c r="A232">
        <v>231</v>
      </c>
      <c r="B232">
        <v>40553</v>
      </c>
      <c r="C232">
        <v>1</v>
      </c>
      <c r="D232">
        <v>0</v>
      </c>
      <c r="E232">
        <v>1</v>
      </c>
      <c r="F232">
        <v>21</v>
      </c>
      <c r="G232" t="b">
        <v>0</v>
      </c>
      <c r="H232">
        <v>1</v>
      </c>
      <c r="I232">
        <v>1</v>
      </c>
      <c r="J232">
        <v>0.14000000000000001</v>
      </c>
    </row>
    <row r="233" spans="1:10">
      <c r="A233">
        <v>232</v>
      </c>
      <c r="B233">
        <v>40553</v>
      </c>
      <c r="C233">
        <v>1</v>
      </c>
      <c r="D233">
        <v>0</v>
      </c>
      <c r="E233">
        <v>1</v>
      </c>
      <c r="F233">
        <v>22</v>
      </c>
      <c r="G233" t="b">
        <v>0</v>
      </c>
      <c r="H233">
        <v>1</v>
      </c>
      <c r="I233">
        <v>1</v>
      </c>
      <c r="J233">
        <v>0.14000000000000001</v>
      </c>
    </row>
    <row r="234" spans="1:10">
      <c r="A234">
        <v>233</v>
      </c>
      <c r="B234">
        <v>40553</v>
      </c>
      <c r="C234">
        <v>1</v>
      </c>
      <c r="D234">
        <v>0</v>
      </c>
      <c r="E234">
        <v>1</v>
      </c>
      <c r="F234">
        <v>23</v>
      </c>
      <c r="G234" t="b">
        <v>0</v>
      </c>
      <c r="H234">
        <v>1</v>
      </c>
      <c r="I234">
        <v>1</v>
      </c>
      <c r="J234">
        <v>0.14000000000000001</v>
      </c>
    </row>
    <row r="235" spans="1:10">
      <c r="A235">
        <v>234</v>
      </c>
      <c r="B235">
        <v>40554</v>
      </c>
      <c r="C235">
        <v>1</v>
      </c>
      <c r="D235">
        <v>0</v>
      </c>
      <c r="E235">
        <v>1</v>
      </c>
      <c r="F235">
        <v>0</v>
      </c>
      <c r="G235" t="b">
        <v>0</v>
      </c>
      <c r="H235">
        <v>2</v>
      </c>
      <c r="I235">
        <v>1</v>
      </c>
      <c r="J235">
        <v>0.14000000000000001</v>
      </c>
    </row>
    <row r="236" spans="1:10">
      <c r="A236">
        <v>235</v>
      </c>
      <c r="B236">
        <v>40554</v>
      </c>
      <c r="C236">
        <v>1</v>
      </c>
      <c r="D236">
        <v>0</v>
      </c>
      <c r="E236">
        <v>1</v>
      </c>
      <c r="F236">
        <v>1</v>
      </c>
      <c r="G236" t="b">
        <v>0</v>
      </c>
      <c r="H236">
        <v>2</v>
      </c>
      <c r="I236">
        <v>1</v>
      </c>
      <c r="J236">
        <v>0.14000000000000001</v>
      </c>
    </row>
    <row r="237" spans="1:10">
      <c r="A237">
        <v>236</v>
      </c>
      <c r="B237">
        <v>40554</v>
      </c>
      <c r="C237">
        <v>1</v>
      </c>
      <c r="D237">
        <v>0</v>
      </c>
      <c r="E237">
        <v>1</v>
      </c>
      <c r="F237">
        <v>2</v>
      </c>
      <c r="G237" t="b">
        <v>0</v>
      </c>
      <c r="H237">
        <v>2</v>
      </c>
      <c r="I237">
        <v>2</v>
      </c>
      <c r="J237">
        <v>0.16</v>
      </c>
    </row>
    <row r="238" spans="1:10">
      <c r="A238">
        <v>237</v>
      </c>
      <c r="B238">
        <v>40554</v>
      </c>
      <c r="C238">
        <v>1</v>
      </c>
      <c r="D238">
        <v>0</v>
      </c>
      <c r="E238">
        <v>1</v>
      </c>
      <c r="F238">
        <v>5</v>
      </c>
      <c r="G238" t="b">
        <v>0</v>
      </c>
      <c r="H238">
        <v>2</v>
      </c>
      <c r="I238">
        <v>2</v>
      </c>
      <c r="J238">
        <v>0.16</v>
      </c>
    </row>
    <row r="239" spans="1:10">
      <c r="A239">
        <v>238</v>
      </c>
      <c r="B239">
        <v>40554</v>
      </c>
      <c r="C239">
        <v>1</v>
      </c>
      <c r="D239">
        <v>0</v>
      </c>
      <c r="E239">
        <v>1</v>
      </c>
      <c r="F239">
        <v>6</v>
      </c>
      <c r="G239" t="b">
        <v>0</v>
      </c>
      <c r="H239">
        <v>2</v>
      </c>
      <c r="I239">
        <v>2</v>
      </c>
      <c r="J239">
        <v>0.16</v>
      </c>
    </row>
    <row r="240" spans="1:10">
      <c r="A240">
        <v>239</v>
      </c>
      <c r="B240">
        <v>40554</v>
      </c>
      <c r="C240">
        <v>1</v>
      </c>
      <c r="D240">
        <v>0</v>
      </c>
      <c r="E240">
        <v>1</v>
      </c>
      <c r="F240">
        <v>7</v>
      </c>
      <c r="G240" t="b">
        <v>0</v>
      </c>
      <c r="H240">
        <v>2</v>
      </c>
      <c r="I240">
        <v>2</v>
      </c>
      <c r="J240">
        <v>0.16</v>
      </c>
    </row>
    <row r="241" spans="1:10">
      <c r="A241">
        <v>240</v>
      </c>
      <c r="B241">
        <v>40554</v>
      </c>
      <c r="C241">
        <v>1</v>
      </c>
      <c r="D241">
        <v>0</v>
      </c>
      <c r="E241">
        <v>1</v>
      </c>
      <c r="F241">
        <v>8</v>
      </c>
      <c r="G241" t="b">
        <v>0</v>
      </c>
      <c r="H241">
        <v>2</v>
      </c>
      <c r="I241">
        <v>2</v>
      </c>
      <c r="J241">
        <v>0.18</v>
      </c>
    </row>
    <row r="242" spans="1:10">
      <c r="A242">
        <v>241</v>
      </c>
      <c r="B242">
        <v>40554</v>
      </c>
      <c r="C242">
        <v>1</v>
      </c>
      <c r="D242">
        <v>0</v>
      </c>
      <c r="E242">
        <v>1</v>
      </c>
      <c r="F242">
        <v>9</v>
      </c>
      <c r="G242" t="b">
        <v>0</v>
      </c>
      <c r="H242">
        <v>2</v>
      </c>
      <c r="I242">
        <v>2</v>
      </c>
      <c r="J242">
        <v>0.18</v>
      </c>
    </row>
    <row r="243" spans="1:10">
      <c r="A243">
        <v>242</v>
      </c>
      <c r="B243">
        <v>40554</v>
      </c>
      <c r="C243">
        <v>1</v>
      </c>
      <c r="D243">
        <v>0</v>
      </c>
      <c r="E243">
        <v>1</v>
      </c>
      <c r="F243">
        <v>10</v>
      </c>
      <c r="G243" t="b">
        <v>0</v>
      </c>
      <c r="H243">
        <v>2</v>
      </c>
      <c r="I243">
        <v>2</v>
      </c>
      <c r="J243">
        <v>0.2</v>
      </c>
    </row>
    <row r="244" spans="1:10">
      <c r="A244">
        <v>243</v>
      </c>
      <c r="B244">
        <v>40554</v>
      </c>
      <c r="C244">
        <v>1</v>
      </c>
      <c r="D244">
        <v>0</v>
      </c>
      <c r="E244">
        <v>1</v>
      </c>
      <c r="F244">
        <v>11</v>
      </c>
      <c r="G244" t="b">
        <v>0</v>
      </c>
      <c r="H244">
        <v>2</v>
      </c>
      <c r="I244">
        <v>2</v>
      </c>
      <c r="J244">
        <v>0.2</v>
      </c>
    </row>
    <row r="245" spans="1:10">
      <c r="A245">
        <v>244</v>
      </c>
      <c r="B245">
        <v>40554</v>
      </c>
      <c r="C245">
        <v>1</v>
      </c>
      <c r="D245">
        <v>0</v>
      </c>
      <c r="E245">
        <v>1</v>
      </c>
      <c r="F245">
        <v>12</v>
      </c>
      <c r="G245" t="b">
        <v>0</v>
      </c>
      <c r="H245">
        <v>2</v>
      </c>
      <c r="I245">
        <v>2</v>
      </c>
      <c r="J245">
        <v>0.2</v>
      </c>
    </row>
    <row r="246" spans="1:10">
      <c r="A246">
        <v>245</v>
      </c>
      <c r="B246">
        <v>40554</v>
      </c>
      <c r="C246">
        <v>1</v>
      </c>
      <c r="D246">
        <v>0</v>
      </c>
      <c r="E246">
        <v>1</v>
      </c>
      <c r="F246">
        <v>13</v>
      </c>
      <c r="G246" t="b">
        <v>0</v>
      </c>
      <c r="H246">
        <v>2</v>
      </c>
      <c r="I246">
        <v>2</v>
      </c>
      <c r="J246">
        <v>0.2</v>
      </c>
    </row>
    <row r="247" spans="1:10">
      <c r="A247">
        <v>246</v>
      </c>
      <c r="B247">
        <v>40554</v>
      </c>
      <c r="C247">
        <v>1</v>
      </c>
      <c r="D247">
        <v>0</v>
      </c>
      <c r="E247">
        <v>1</v>
      </c>
      <c r="F247">
        <v>14</v>
      </c>
      <c r="G247" t="b">
        <v>0</v>
      </c>
      <c r="H247">
        <v>2</v>
      </c>
      <c r="I247">
        <v>2</v>
      </c>
      <c r="J247">
        <v>0.2</v>
      </c>
    </row>
    <row r="248" spans="1:10">
      <c r="A248">
        <v>247</v>
      </c>
      <c r="B248">
        <v>40554</v>
      </c>
      <c r="C248">
        <v>1</v>
      </c>
      <c r="D248">
        <v>0</v>
      </c>
      <c r="E248">
        <v>1</v>
      </c>
      <c r="F248">
        <v>15</v>
      </c>
      <c r="G248" t="b">
        <v>0</v>
      </c>
      <c r="H248">
        <v>2</v>
      </c>
      <c r="I248">
        <v>2</v>
      </c>
      <c r="J248">
        <v>0.16</v>
      </c>
    </row>
    <row r="249" spans="1:10">
      <c r="A249">
        <v>248</v>
      </c>
      <c r="B249">
        <v>40554</v>
      </c>
      <c r="C249">
        <v>1</v>
      </c>
      <c r="D249">
        <v>0</v>
      </c>
      <c r="E249">
        <v>1</v>
      </c>
      <c r="F249">
        <v>16</v>
      </c>
      <c r="G249" t="b">
        <v>0</v>
      </c>
      <c r="H249">
        <v>2</v>
      </c>
      <c r="I249">
        <v>2</v>
      </c>
      <c r="J249">
        <v>0.16</v>
      </c>
    </row>
    <row r="250" spans="1:10">
      <c r="A250">
        <v>249</v>
      </c>
      <c r="B250">
        <v>40554</v>
      </c>
      <c r="C250">
        <v>1</v>
      </c>
      <c r="D250">
        <v>0</v>
      </c>
      <c r="E250">
        <v>1</v>
      </c>
      <c r="F250">
        <v>17</v>
      </c>
      <c r="G250" t="b">
        <v>0</v>
      </c>
      <c r="H250">
        <v>2</v>
      </c>
      <c r="I250">
        <v>2</v>
      </c>
      <c r="J250">
        <v>0.16</v>
      </c>
    </row>
    <row r="251" spans="1:10">
      <c r="A251">
        <v>250</v>
      </c>
      <c r="B251">
        <v>40554</v>
      </c>
      <c r="C251">
        <v>1</v>
      </c>
      <c r="D251">
        <v>0</v>
      </c>
      <c r="E251">
        <v>1</v>
      </c>
      <c r="F251">
        <v>18</v>
      </c>
      <c r="G251" t="b">
        <v>0</v>
      </c>
      <c r="H251">
        <v>2</v>
      </c>
      <c r="I251">
        <v>3</v>
      </c>
      <c r="J251">
        <v>0.16</v>
      </c>
    </row>
    <row r="252" spans="1:10">
      <c r="A252">
        <v>251</v>
      </c>
      <c r="B252">
        <v>40554</v>
      </c>
      <c r="C252">
        <v>1</v>
      </c>
      <c r="D252">
        <v>0</v>
      </c>
      <c r="E252">
        <v>1</v>
      </c>
      <c r="F252">
        <v>19</v>
      </c>
      <c r="G252" t="b">
        <v>0</v>
      </c>
      <c r="H252">
        <v>2</v>
      </c>
      <c r="I252">
        <v>3</v>
      </c>
      <c r="J252">
        <v>0.16</v>
      </c>
    </row>
    <row r="253" spans="1:10">
      <c r="A253">
        <v>252</v>
      </c>
      <c r="B253">
        <v>40554</v>
      </c>
      <c r="C253">
        <v>1</v>
      </c>
      <c r="D253">
        <v>0</v>
      </c>
      <c r="E253">
        <v>1</v>
      </c>
      <c r="F253">
        <v>20</v>
      </c>
      <c r="G253" t="b">
        <v>0</v>
      </c>
      <c r="H253">
        <v>2</v>
      </c>
      <c r="I253">
        <v>3</v>
      </c>
      <c r="J253">
        <v>0.16</v>
      </c>
    </row>
    <row r="254" spans="1:10">
      <c r="A254">
        <v>253</v>
      </c>
      <c r="B254">
        <v>40554</v>
      </c>
      <c r="C254">
        <v>1</v>
      </c>
      <c r="D254">
        <v>0</v>
      </c>
      <c r="E254">
        <v>1</v>
      </c>
      <c r="F254">
        <v>21</v>
      </c>
      <c r="G254" t="b">
        <v>0</v>
      </c>
      <c r="H254">
        <v>2</v>
      </c>
      <c r="I254">
        <v>3</v>
      </c>
      <c r="J254">
        <v>0.16</v>
      </c>
    </row>
    <row r="255" spans="1:10">
      <c r="A255">
        <v>254</v>
      </c>
      <c r="B255">
        <v>40554</v>
      </c>
      <c r="C255">
        <v>1</v>
      </c>
      <c r="D255">
        <v>0</v>
      </c>
      <c r="E255">
        <v>1</v>
      </c>
      <c r="F255">
        <v>22</v>
      </c>
      <c r="G255" t="b">
        <v>0</v>
      </c>
      <c r="H255">
        <v>2</v>
      </c>
      <c r="I255">
        <v>3</v>
      </c>
      <c r="J255">
        <v>0.16</v>
      </c>
    </row>
    <row r="256" spans="1:10">
      <c r="A256">
        <v>255</v>
      </c>
      <c r="B256">
        <v>40554</v>
      </c>
      <c r="C256">
        <v>1</v>
      </c>
      <c r="D256">
        <v>0</v>
      </c>
      <c r="E256">
        <v>1</v>
      </c>
      <c r="F256">
        <v>23</v>
      </c>
      <c r="G256" t="b">
        <v>0</v>
      </c>
      <c r="H256">
        <v>2</v>
      </c>
      <c r="I256">
        <v>3</v>
      </c>
      <c r="J256">
        <v>0.16</v>
      </c>
    </row>
    <row r="257" spans="1:10">
      <c r="A257">
        <v>256</v>
      </c>
      <c r="B257">
        <v>40555</v>
      </c>
      <c r="C257">
        <v>1</v>
      </c>
      <c r="D257">
        <v>0</v>
      </c>
      <c r="E257">
        <v>1</v>
      </c>
      <c r="F257">
        <v>0</v>
      </c>
      <c r="G257" t="b">
        <v>0</v>
      </c>
      <c r="H257">
        <v>3</v>
      </c>
      <c r="I257">
        <v>2</v>
      </c>
      <c r="J257">
        <v>0.16</v>
      </c>
    </row>
    <row r="258" spans="1:10">
      <c r="A258">
        <v>257</v>
      </c>
      <c r="B258">
        <v>40555</v>
      </c>
      <c r="C258">
        <v>1</v>
      </c>
      <c r="D258">
        <v>0</v>
      </c>
      <c r="E258">
        <v>1</v>
      </c>
      <c r="F258">
        <v>1</v>
      </c>
      <c r="G258" t="b">
        <v>0</v>
      </c>
      <c r="H258">
        <v>3</v>
      </c>
      <c r="I258">
        <v>2</v>
      </c>
      <c r="J258">
        <v>0.16</v>
      </c>
    </row>
    <row r="259" spans="1:10">
      <c r="A259">
        <v>258</v>
      </c>
      <c r="B259">
        <v>40555</v>
      </c>
      <c r="C259">
        <v>1</v>
      </c>
      <c r="D259">
        <v>0</v>
      </c>
      <c r="E259">
        <v>1</v>
      </c>
      <c r="F259">
        <v>2</v>
      </c>
      <c r="G259" t="b">
        <v>0</v>
      </c>
      <c r="H259">
        <v>3</v>
      </c>
      <c r="I259">
        <v>1</v>
      </c>
      <c r="J259">
        <v>0.14000000000000001</v>
      </c>
    </row>
    <row r="260" spans="1:10">
      <c r="A260">
        <v>259</v>
      </c>
      <c r="B260">
        <v>40555</v>
      </c>
      <c r="C260">
        <v>1</v>
      </c>
      <c r="D260">
        <v>0</v>
      </c>
      <c r="E260">
        <v>1</v>
      </c>
      <c r="F260">
        <v>5</v>
      </c>
      <c r="G260" t="b">
        <v>0</v>
      </c>
      <c r="H260">
        <v>3</v>
      </c>
      <c r="I260">
        <v>1</v>
      </c>
      <c r="J260">
        <v>0.14000000000000001</v>
      </c>
    </row>
    <row r="261" spans="1:10">
      <c r="A261">
        <v>260</v>
      </c>
      <c r="B261">
        <v>40555</v>
      </c>
      <c r="C261">
        <v>1</v>
      </c>
      <c r="D261">
        <v>0</v>
      </c>
      <c r="E261">
        <v>1</v>
      </c>
      <c r="F261">
        <v>6</v>
      </c>
      <c r="G261" t="b">
        <v>0</v>
      </c>
      <c r="H261">
        <v>3</v>
      </c>
      <c r="I261">
        <v>1</v>
      </c>
      <c r="J261">
        <v>0.12</v>
      </c>
    </row>
    <row r="262" spans="1:10">
      <c r="A262">
        <v>261</v>
      </c>
      <c r="B262">
        <v>40555</v>
      </c>
      <c r="C262">
        <v>1</v>
      </c>
      <c r="D262">
        <v>0</v>
      </c>
      <c r="E262">
        <v>1</v>
      </c>
      <c r="F262">
        <v>7</v>
      </c>
      <c r="G262" t="b">
        <v>0</v>
      </c>
      <c r="H262">
        <v>3</v>
      </c>
      <c r="I262">
        <v>1</v>
      </c>
      <c r="J262">
        <v>0.14000000000000001</v>
      </c>
    </row>
    <row r="263" spans="1:10">
      <c r="A263">
        <v>262</v>
      </c>
      <c r="B263">
        <v>40555</v>
      </c>
      <c r="C263">
        <v>1</v>
      </c>
      <c r="D263">
        <v>0</v>
      </c>
      <c r="E263">
        <v>1</v>
      </c>
      <c r="F263">
        <v>8</v>
      </c>
      <c r="G263" t="b">
        <v>0</v>
      </c>
      <c r="H263">
        <v>3</v>
      </c>
      <c r="I263">
        <v>1</v>
      </c>
      <c r="J263">
        <v>0.16</v>
      </c>
    </row>
    <row r="264" spans="1:10">
      <c r="A264">
        <v>263</v>
      </c>
      <c r="B264">
        <v>40555</v>
      </c>
      <c r="C264">
        <v>1</v>
      </c>
      <c r="D264">
        <v>0</v>
      </c>
      <c r="E264">
        <v>1</v>
      </c>
      <c r="F264">
        <v>9</v>
      </c>
      <c r="G264" t="b">
        <v>0</v>
      </c>
      <c r="H264">
        <v>3</v>
      </c>
      <c r="I264">
        <v>1</v>
      </c>
      <c r="J264">
        <v>0.16</v>
      </c>
    </row>
    <row r="265" spans="1:10">
      <c r="A265">
        <v>264</v>
      </c>
      <c r="B265">
        <v>40555</v>
      </c>
      <c r="C265">
        <v>1</v>
      </c>
      <c r="D265">
        <v>0</v>
      </c>
      <c r="E265">
        <v>1</v>
      </c>
      <c r="F265">
        <v>10</v>
      </c>
      <c r="G265" t="b">
        <v>0</v>
      </c>
      <c r="H265">
        <v>3</v>
      </c>
      <c r="I265">
        <v>1</v>
      </c>
      <c r="J265">
        <v>0.18</v>
      </c>
    </row>
    <row r="266" spans="1:10">
      <c r="A266">
        <v>265</v>
      </c>
      <c r="B266">
        <v>40555</v>
      </c>
      <c r="C266">
        <v>1</v>
      </c>
      <c r="D266">
        <v>0</v>
      </c>
      <c r="E266">
        <v>1</v>
      </c>
      <c r="F266">
        <v>11</v>
      </c>
      <c r="G266" t="b">
        <v>0</v>
      </c>
      <c r="H266">
        <v>3</v>
      </c>
      <c r="I266">
        <v>1</v>
      </c>
      <c r="J266">
        <v>0.2</v>
      </c>
    </row>
    <row r="267" spans="1:10">
      <c r="A267">
        <v>266</v>
      </c>
      <c r="B267">
        <v>40555</v>
      </c>
      <c r="C267">
        <v>1</v>
      </c>
      <c r="D267">
        <v>0</v>
      </c>
      <c r="E267">
        <v>1</v>
      </c>
      <c r="F267">
        <v>12</v>
      </c>
      <c r="G267" t="b">
        <v>0</v>
      </c>
      <c r="H267">
        <v>3</v>
      </c>
      <c r="I267">
        <v>1</v>
      </c>
      <c r="J267">
        <v>0.2</v>
      </c>
    </row>
    <row r="268" spans="1:10">
      <c r="A268">
        <v>267</v>
      </c>
      <c r="B268">
        <v>40555</v>
      </c>
      <c r="C268">
        <v>1</v>
      </c>
      <c r="D268">
        <v>0</v>
      </c>
      <c r="E268">
        <v>1</v>
      </c>
      <c r="F268">
        <v>13</v>
      </c>
      <c r="G268" t="b">
        <v>0</v>
      </c>
      <c r="H268">
        <v>3</v>
      </c>
      <c r="I268">
        <v>1</v>
      </c>
      <c r="J268">
        <v>0.22</v>
      </c>
    </row>
    <row r="269" spans="1:10">
      <c r="A269">
        <v>268</v>
      </c>
      <c r="B269">
        <v>40555</v>
      </c>
      <c r="C269">
        <v>1</v>
      </c>
      <c r="D269">
        <v>0</v>
      </c>
      <c r="E269">
        <v>1</v>
      </c>
      <c r="F269">
        <v>14</v>
      </c>
      <c r="G269" t="b">
        <v>0</v>
      </c>
      <c r="H269">
        <v>3</v>
      </c>
      <c r="I269">
        <v>1</v>
      </c>
      <c r="J269">
        <v>0.2</v>
      </c>
    </row>
    <row r="270" spans="1:10">
      <c r="A270">
        <v>269</v>
      </c>
      <c r="B270">
        <v>40555</v>
      </c>
      <c r="C270">
        <v>1</v>
      </c>
      <c r="D270">
        <v>0</v>
      </c>
      <c r="E270">
        <v>1</v>
      </c>
      <c r="F270">
        <v>15</v>
      </c>
      <c r="G270" t="b">
        <v>0</v>
      </c>
      <c r="H270">
        <v>3</v>
      </c>
      <c r="I270">
        <v>1</v>
      </c>
      <c r="J270">
        <v>0.2</v>
      </c>
    </row>
    <row r="271" spans="1:10">
      <c r="A271">
        <v>270</v>
      </c>
      <c r="B271">
        <v>40555</v>
      </c>
      <c r="C271">
        <v>1</v>
      </c>
      <c r="D271">
        <v>0</v>
      </c>
      <c r="E271">
        <v>1</v>
      </c>
      <c r="F271">
        <v>16</v>
      </c>
      <c r="G271" t="b">
        <v>0</v>
      </c>
      <c r="H271">
        <v>3</v>
      </c>
      <c r="I271">
        <v>1</v>
      </c>
      <c r="J271">
        <v>0.22</v>
      </c>
    </row>
    <row r="272" spans="1:10">
      <c r="A272">
        <v>271</v>
      </c>
      <c r="B272">
        <v>40555</v>
      </c>
      <c r="C272">
        <v>1</v>
      </c>
      <c r="D272">
        <v>0</v>
      </c>
      <c r="E272">
        <v>1</v>
      </c>
      <c r="F272">
        <v>17</v>
      </c>
      <c r="G272" t="b">
        <v>0</v>
      </c>
      <c r="H272">
        <v>3</v>
      </c>
      <c r="I272">
        <v>1</v>
      </c>
      <c r="J272">
        <v>0.2</v>
      </c>
    </row>
    <row r="273" spans="1:10">
      <c r="A273">
        <v>272</v>
      </c>
      <c r="B273">
        <v>40555</v>
      </c>
      <c r="C273">
        <v>1</v>
      </c>
      <c r="D273">
        <v>0</v>
      </c>
      <c r="E273">
        <v>1</v>
      </c>
      <c r="F273">
        <v>18</v>
      </c>
      <c r="G273" t="b">
        <v>0</v>
      </c>
      <c r="H273">
        <v>3</v>
      </c>
      <c r="I273">
        <v>1</v>
      </c>
      <c r="J273">
        <v>0.2</v>
      </c>
    </row>
    <row r="274" spans="1:10">
      <c r="A274">
        <v>273</v>
      </c>
      <c r="B274">
        <v>40555</v>
      </c>
      <c r="C274">
        <v>1</v>
      </c>
      <c r="D274">
        <v>0</v>
      </c>
      <c r="E274">
        <v>1</v>
      </c>
      <c r="F274">
        <v>19</v>
      </c>
      <c r="G274" t="b">
        <v>0</v>
      </c>
      <c r="H274">
        <v>3</v>
      </c>
      <c r="I274">
        <v>1</v>
      </c>
      <c r="J274">
        <v>0.18</v>
      </c>
    </row>
    <row r="275" spans="1:10">
      <c r="A275">
        <v>274</v>
      </c>
      <c r="B275">
        <v>40555</v>
      </c>
      <c r="C275">
        <v>1</v>
      </c>
      <c r="D275">
        <v>0</v>
      </c>
      <c r="E275">
        <v>1</v>
      </c>
      <c r="F275">
        <v>20</v>
      </c>
      <c r="G275" t="b">
        <v>0</v>
      </c>
      <c r="H275">
        <v>3</v>
      </c>
      <c r="I275">
        <v>1</v>
      </c>
      <c r="J275">
        <v>0.16</v>
      </c>
    </row>
    <row r="276" spans="1:10">
      <c r="A276">
        <v>275</v>
      </c>
      <c r="B276">
        <v>40555</v>
      </c>
      <c r="C276">
        <v>1</v>
      </c>
      <c r="D276">
        <v>0</v>
      </c>
      <c r="E276">
        <v>1</v>
      </c>
      <c r="F276">
        <v>21</v>
      </c>
      <c r="G276" t="b">
        <v>0</v>
      </c>
      <c r="H276">
        <v>3</v>
      </c>
      <c r="I276">
        <v>1</v>
      </c>
      <c r="J276">
        <v>0.16</v>
      </c>
    </row>
    <row r="277" spans="1:10">
      <c r="A277">
        <v>276</v>
      </c>
      <c r="B277">
        <v>40555</v>
      </c>
      <c r="C277">
        <v>1</v>
      </c>
      <c r="D277">
        <v>0</v>
      </c>
      <c r="E277">
        <v>1</v>
      </c>
      <c r="F277">
        <v>22</v>
      </c>
      <c r="G277" t="b">
        <v>0</v>
      </c>
      <c r="H277">
        <v>3</v>
      </c>
      <c r="I277">
        <v>1</v>
      </c>
      <c r="J277">
        <v>0.16</v>
      </c>
    </row>
    <row r="278" spans="1:10">
      <c r="A278">
        <v>277</v>
      </c>
      <c r="B278">
        <v>40555</v>
      </c>
      <c r="C278">
        <v>1</v>
      </c>
      <c r="D278">
        <v>0</v>
      </c>
      <c r="E278">
        <v>1</v>
      </c>
      <c r="F278">
        <v>23</v>
      </c>
      <c r="G278" t="b">
        <v>0</v>
      </c>
      <c r="H278">
        <v>3</v>
      </c>
      <c r="I278">
        <v>1</v>
      </c>
      <c r="J278">
        <v>0.14000000000000001</v>
      </c>
    </row>
    <row r="279" spans="1:10">
      <c r="A279">
        <v>278</v>
      </c>
      <c r="B279">
        <v>40556</v>
      </c>
      <c r="C279">
        <v>1</v>
      </c>
      <c r="D279">
        <v>0</v>
      </c>
      <c r="E279">
        <v>1</v>
      </c>
      <c r="F279">
        <v>0</v>
      </c>
      <c r="G279" t="b">
        <v>0</v>
      </c>
      <c r="H279">
        <v>4</v>
      </c>
      <c r="I279">
        <v>1</v>
      </c>
      <c r="J279">
        <v>0.14000000000000001</v>
      </c>
    </row>
    <row r="280" spans="1:10">
      <c r="A280">
        <v>279</v>
      </c>
      <c r="B280">
        <v>40556</v>
      </c>
      <c r="C280">
        <v>1</v>
      </c>
      <c r="D280">
        <v>0</v>
      </c>
      <c r="E280">
        <v>1</v>
      </c>
      <c r="F280">
        <v>1</v>
      </c>
      <c r="G280" t="b">
        <v>0</v>
      </c>
      <c r="H280">
        <v>4</v>
      </c>
      <c r="I280">
        <v>1</v>
      </c>
      <c r="J280">
        <v>0.14000000000000001</v>
      </c>
    </row>
    <row r="281" spans="1:10">
      <c r="A281">
        <v>280</v>
      </c>
      <c r="B281">
        <v>40556</v>
      </c>
      <c r="C281">
        <v>1</v>
      </c>
      <c r="D281">
        <v>0</v>
      </c>
      <c r="E281">
        <v>1</v>
      </c>
      <c r="F281">
        <v>2</v>
      </c>
      <c r="G281" t="b">
        <v>0</v>
      </c>
      <c r="H281">
        <v>4</v>
      </c>
      <c r="I281">
        <v>1</v>
      </c>
      <c r="J281">
        <v>0.14000000000000001</v>
      </c>
    </row>
    <row r="282" spans="1:10">
      <c r="A282">
        <v>281</v>
      </c>
      <c r="B282">
        <v>40556</v>
      </c>
      <c r="C282">
        <v>1</v>
      </c>
      <c r="D282">
        <v>0</v>
      </c>
      <c r="E282">
        <v>1</v>
      </c>
      <c r="F282">
        <v>3</v>
      </c>
      <c r="G282" t="b">
        <v>0</v>
      </c>
      <c r="H282">
        <v>4</v>
      </c>
      <c r="I282">
        <v>1</v>
      </c>
      <c r="J282">
        <v>0.14000000000000001</v>
      </c>
    </row>
    <row r="283" spans="1:10">
      <c r="A283">
        <v>282</v>
      </c>
      <c r="B283">
        <v>40556</v>
      </c>
      <c r="C283">
        <v>1</v>
      </c>
      <c r="D283">
        <v>0</v>
      </c>
      <c r="E283">
        <v>1</v>
      </c>
      <c r="F283">
        <v>4</v>
      </c>
      <c r="G283" t="b">
        <v>0</v>
      </c>
      <c r="H283">
        <v>4</v>
      </c>
      <c r="I283">
        <v>1</v>
      </c>
      <c r="J283">
        <v>0.14000000000000001</v>
      </c>
    </row>
    <row r="284" spans="1:10">
      <c r="A284">
        <v>283</v>
      </c>
      <c r="B284">
        <v>40556</v>
      </c>
      <c r="C284">
        <v>1</v>
      </c>
      <c r="D284">
        <v>0</v>
      </c>
      <c r="E284">
        <v>1</v>
      </c>
      <c r="F284">
        <v>5</v>
      </c>
      <c r="G284" t="b">
        <v>0</v>
      </c>
      <c r="H284">
        <v>4</v>
      </c>
      <c r="I284">
        <v>1</v>
      </c>
      <c r="J284">
        <v>0.14000000000000001</v>
      </c>
    </row>
    <row r="285" spans="1:10">
      <c r="A285">
        <v>284</v>
      </c>
      <c r="B285">
        <v>40556</v>
      </c>
      <c r="C285">
        <v>1</v>
      </c>
      <c r="D285">
        <v>0</v>
      </c>
      <c r="E285">
        <v>1</v>
      </c>
      <c r="F285">
        <v>6</v>
      </c>
      <c r="G285" t="b">
        <v>0</v>
      </c>
      <c r="H285">
        <v>4</v>
      </c>
      <c r="I285">
        <v>1</v>
      </c>
      <c r="J285">
        <v>0.12</v>
      </c>
    </row>
    <row r="286" spans="1:10">
      <c r="A286">
        <v>285</v>
      </c>
      <c r="B286">
        <v>40556</v>
      </c>
      <c r="C286">
        <v>1</v>
      </c>
      <c r="D286">
        <v>0</v>
      </c>
      <c r="E286">
        <v>1</v>
      </c>
      <c r="F286">
        <v>7</v>
      </c>
      <c r="G286" t="b">
        <v>0</v>
      </c>
      <c r="H286">
        <v>4</v>
      </c>
      <c r="I286">
        <v>1</v>
      </c>
      <c r="J286">
        <v>0.12</v>
      </c>
    </row>
    <row r="287" spans="1:10">
      <c r="A287">
        <v>286</v>
      </c>
      <c r="B287">
        <v>40556</v>
      </c>
      <c r="C287">
        <v>1</v>
      </c>
      <c r="D287">
        <v>0</v>
      </c>
      <c r="E287">
        <v>1</v>
      </c>
      <c r="F287">
        <v>8</v>
      </c>
      <c r="G287" t="b">
        <v>0</v>
      </c>
      <c r="H287">
        <v>4</v>
      </c>
      <c r="I287">
        <v>1</v>
      </c>
      <c r="J287">
        <v>0.14000000000000001</v>
      </c>
    </row>
    <row r="288" spans="1:10">
      <c r="A288">
        <v>287</v>
      </c>
      <c r="B288">
        <v>40556</v>
      </c>
      <c r="C288">
        <v>1</v>
      </c>
      <c r="D288">
        <v>0</v>
      </c>
      <c r="E288">
        <v>1</v>
      </c>
      <c r="F288">
        <v>9</v>
      </c>
      <c r="G288" t="b">
        <v>0</v>
      </c>
      <c r="H288">
        <v>4</v>
      </c>
      <c r="I288">
        <v>1</v>
      </c>
      <c r="J288">
        <v>0.14000000000000001</v>
      </c>
    </row>
    <row r="289" spans="1:10">
      <c r="A289">
        <v>288</v>
      </c>
      <c r="B289">
        <v>40556</v>
      </c>
      <c r="C289">
        <v>1</v>
      </c>
      <c r="D289">
        <v>0</v>
      </c>
      <c r="E289">
        <v>1</v>
      </c>
      <c r="F289">
        <v>10</v>
      </c>
      <c r="G289" t="b">
        <v>0</v>
      </c>
      <c r="H289">
        <v>4</v>
      </c>
      <c r="I289">
        <v>2</v>
      </c>
      <c r="J289">
        <v>0.16</v>
      </c>
    </row>
    <row r="290" spans="1:10">
      <c r="A290">
        <v>289</v>
      </c>
      <c r="B290">
        <v>40556</v>
      </c>
      <c r="C290">
        <v>1</v>
      </c>
      <c r="D290">
        <v>0</v>
      </c>
      <c r="E290">
        <v>1</v>
      </c>
      <c r="F290">
        <v>11</v>
      </c>
      <c r="G290" t="b">
        <v>0</v>
      </c>
      <c r="H290">
        <v>4</v>
      </c>
      <c r="I290">
        <v>2</v>
      </c>
      <c r="J290">
        <v>0.2</v>
      </c>
    </row>
    <row r="291" spans="1:10">
      <c r="A291">
        <v>290</v>
      </c>
      <c r="B291">
        <v>40556</v>
      </c>
      <c r="C291">
        <v>1</v>
      </c>
      <c r="D291">
        <v>0</v>
      </c>
      <c r="E291">
        <v>1</v>
      </c>
      <c r="F291">
        <v>12</v>
      </c>
      <c r="G291" t="b">
        <v>0</v>
      </c>
      <c r="H291">
        <v>4</v>
      </c>
      <c r="I291">
        <v>1</v>
      </c>
      <c r="J291">
        <v>0.2</v>
      </c>
    </row>
    <row r="292" spans="1:10">
      <c r="A292">
        <v>291</v>
      </c>
      <c r="B292">
        <v>40556</v>
      </c>
      <c r="C292">
        <v>1</v>
      </c>
      <c r="D292">
        <v>0</v>
      </c>
      <c r="E292">
        <v>1</v>
      </c>
      <c r="F292">
        <v>13</v>
      </c>
      <c r="G292" t="b">
        <v>0</v>
      </c>
      <c r="H292">
        <v>4</v>
      </c>
      <c r="I292">
        <v>1</v>
      </c>
      <c r="J292">
        <v>0.22</v>
      </c>
    </row>
    <row r="293" spans="1:10">
      <c r="A293">
        <v>292</v>
      </c>
      <c r="B293">
        <v>40556</v>
      </c>
      <c r="C293">
        <v>1</v>
      </c>
      <c r="D293">
        <v>0</v>
      </c>
      <c r="E293">
        <v>1</v>
      </c>
      <c r="F293">
        <v>14</v>
      </c>
      <c r="G293" t="b">
        <v>0</v>
      </c>
      <c r="H293">
        <v>4</v>
      </c>
      <c r="I293">
        <v>1</v>
      </c>
      <c r="J293">
        <v>0.22</v>
      </c>
    </row>
    <row r="294" spans="1:10">
      <c r="A294">
        <v>293</v>
      </c>
      <c r="B294">
        <v>40556</v>
      </c>
      <c r="C294">
        <v>1</v>
      </c>
      <c r="D294">
        <v>0</v>
      </c>
      <c r="E294">
        <v>1</v>
      </c>
      <c r="F294">
        <v>15</v>
      </c>
      <c r="G294" t="b">
        <v>0</v>
      </c>
      <c r="H294">
        <v>4</v>
      </c>
      <c r="I294">
        <v>1</v>
      </c>
      <c r="J294">
        <v>0.24</v>
      </c>
    </row>
    <row r="295" spans="1:10">
      <c r="A295">
        <v>294</v>
      </c>
      <c r="B295">
        <v>40556</v>
      </c>
      <c r="C295">
        <v>1</v>
      </c>
      <c r="D295">
        <v>0</v>
      </c>
      <c r="E295">
        <v>1</v>
      </c>
      <c r="F295">
        <v>16</v>
      </c>
      <c r="G295" t="b">
        <v>0</v>
      </c>
      <c r="H295">
        <v>4</v>
      </c>
      <c r="I295">
        <v>1</v>
      </c>
      <c r="J295">
        <v>0.24</v>
      </c>
    </row>
    <row r="296" spans="1:10">
      <c r="A296">
        <v>295</v>
      </c>
      <c r="B296">
        <v>40556</v>
      </c>
      <c r="C296">
        <v>1</v>
      </c>
      <c r="D296">
        <v>0</v>
      </c>
      <c r="E296">
        <v>1</v>
      </c>
      <c r="F296">
        <v>17</v>
      </c>
      <c r="G296" t="b">
        <v>0</v>
      </c>
      <c r="H296">
        <v>4</v>
      </c>
      <c r="I296">
        <v>1</v>
      </c>
      <c r="J296">
        <v>0.2</v>
      </c>
    </row>
    <row r="297" spans="1:10">
      <c r="A297">
        <v>296</v>
      </c>
      <c r="B297">
        <v>40556</v>
      </c>
      <c r="C297">
        <v>1</v>
      </c>
      <c r="D297">
        <v>0</v>
      </c>
      <c r="E297">
        <v>1</v>
      </c>
      <c r="F297">
        <v>18</v>
      </c>
      <c r="G297" t="b">
        <v>0</v>
      </c>
      <c r="H297">
        <v>4</v>
      </c>
      <c r="I297">
        <v>1</v>
      </c>
      <c r="J297">
        <v>0.2</v>
      </c>
    </row>
    <row r="298" spans="1:10">
      <c r="A298">
        <v>297</v>
      </c>
      <c r="B298">
        <v>40556</v>
      </c>
      <c r="C298">
        <v>1</v>
      </c>
      <c r="D298">
        <v>0</v>
      </c>
      <c r="E298">
        <v>1</v>
      </c>
      <c r="F298">
        <v>19</v>
      </c>
      <c r="G298" t="b">
        <v>0</v>
      </c>
      <c r="H298">
        <v>4</v>
      </c>
      <c r="I298">
        <v>1</v>
      </c>
      <c r="J298">
        <v>0.16</v>
      </c>
    </row>
    <row r="299" spans="1:10">
      <c r="A299">
        <v>298</v>
      </c>
      <c r="B299">
        <v>40556</v>
      </c>
      <c r="C299">
        <v>1</v>
      </c>
      <c r="D299">
        <v>0</v>
      </c>
      <c r="E299">
        <v>1</v>
      </c>
      <c r="F299">
        <v>20</v>
      </c>
      <c r="G299" t="b">
        <v>0</v>
      </c>
      <c r="H299">
        <v>4</v>
      </c>
      <c r="I299">
        <v>1</v>
      </c>
      <c r="J299">
        <v>0.16</v>
      </c>
    </row>
    <row r="300" spans="1:10">
      <c r="A300">
        <v>299</v>
      </c>
      <c r="B300">
        <v>40556</v>
      </c>
      <c r="C300">
        <v>1</v>
      </c>
      <c r="D300">
        <v>0</v>
      </c>
      <c r="E300">
        <v>1</v>
      </c>
      <c r="F300">
        <v>21</v>
      </c>
      <c r="G300" t="b">
        <v>0</v>
      </c>
      <c r="H300">
        <v>4</v>
      </c>
      <c r="I300">
        <v>1</v>
      </c>
      <c r="J300">
        <v>0.14000000000000001</v>
      </c>
    </row>
    <row r="301" spans="1:10">
      <c r="A301">
        <v>300</v>
      </c>
      <c r="B301">
        <v>40556</v>
      </c>
      <c r="C301">
        <v>1</v>
      </c>
      <c r="D301">
        <v>0</v>
      </c>
      <c r="E301">
        <v>1</v>
      </c>
      <c r="F301">
        <v>22</v>
      </c>
      <c r="G301" t="b">
        <v>0</v>
      </c>
      <c r="H301">
        <v>4</v>
      </c>
      <c r="I301">
        <v>1</v>
      </c>
      <c r="J301">
        <v>0.14000000000000001</v>
      </c>
    </row>
    <row r="302" spans="1:10">
      <c r="A302">
        <v>301</v>
      </c>
      <c r="B302">
        <v>40556</v>
      </c>
      <c r="C302">
        <v>1</v>
      </c>
      <c r="D302">
        <v>0</v>
      </c>
      <c r="E302">
        <v>1</v>
      </c>
      <c r="F302">
        <v>23</v>
      </c>
      <c r="G302" t="b">
        <v>0</v>
      </c>
      <c r="H302">
        <v>4</v>
      </c>
      <c r="I302">
        <v>1</v>
      </c>
      <c r="J302">
        <v>0.12</v>
      </c>
    </row>
    <row r="303" spans="1:10">
      <c r="A303">
        <v>302</v>
      </c>
      <c r="B303">
        <v>40557</v>
      </c>
      <c r="C303">
        <v>1</v>
      </c>
      <c r="D303">
        <v>0</v>
      </c>
      <c r="E303">
        <v>1</v>
      </c>
      <c r="F303">
        <v>0</v>
      </c>
      <c r="G303" t="b">
        <v>0</v>
      </c>
      <c r="H303">
        <v>5</v>
      </c>
      <c r="I303">
        <v>1</v>
      </c>
      <c r="J303">
        <v>0.12</v>
      </c>
    </row>
    <row r="304" spans="1:10">
      <c r="A304">
        <v>303</v>
      </c>
      <c r="B304">
        <v>40557</v>
      </c>
      <c r="C304">
        <v>1</v>
      </c>
      <c r="D304">
        <v>0</v>
      </c>
      <c r="E304">
        <v>1</v>
      </c>
      <c r="F304">
        <v>1</v>
      </c>
      <c r="G304" t="b">
        <v>0</v>
      </c>
      <c r="H304">
        <v>5</v>
      </c>
      <c r="I304">
        <v>1</v>
      </c>
      <c r="J304">
        <v>0.1</v>
      </c>
    </row>
    <row r="305" spans="1:10">
      <c r="A305">
        <v>304</v>
      </c>
      <c r="B305">
        <v>40557</v>
      </c>
      <c r="C305">
        <v>1</v>
      </c>
      <c r="D305">
        <v>0</v>
      </c>
      <c r="E305">
        <v>1</v>
      </c>
      <c r="F305">
        <v>2</v>
      </c>
      <c r="G305" t="b">
        <v>0</v>
      </c>
      <c r="H305">
        <v>5</v>
      </c>
      <c r="I305">
        <v>1</v>
      </c>
      <c r="J305">
        <v>0.1</v>
      </c>
    </row>
    <row r="306" spans="1:10">
      <c r="A306">
        <v>305</v>
      </c>
      <c r="B306">
        <v>40557</v>
      </c>
      <c r="C306">
        <v>1</v>
      </c>
      <c r="D306">
        <v>0</v>
      </c>
      <c r="E306">
        <v>1</v>
      </c>
      <c r="F306">
        <v>3</v>
      </c>
      <c r="G306" t="b">
        <v>0</v>
      </c>
      <c r="H306">
        <v>5</v>
      </c>
      <c r="I306">
        <v>1</v>
      </c>
      <c r="J306">
        <v>0.1</v>
      </c>
    </row>
    <row r="307" spans="1:10">
      <c r="A307">
        <v>306</v>
      </c>
      <c r="B307">
        <v>40557</v>
      </c>
      <c r="C307">
        <v>1</v>
      </c>
      <c r="D307">
        <v>0</v>
      </c>
      <c r="E307">
        <v>1</v>
      </c>
      <c r="F307">
        <v>5</v>
      </c>
      <c r="G307" t="b">
        <v>0</v>
      </c>
      <c r="H307">
        <v>5</v>
      </c>
      <c r="I307">
        <v>1</v>
      </c>
      <c r="J307">
        <v>0.1</v>
      </c>
    </row>
    <row r="308" spans="1:10">
      <c r="A308">
        <v>307</v>
      </c>
      <c r="B308">
        <v>40557</v>
      </c>
      <c r="C308">
        <v>1</v>
      </c>
      <c r="D308">
        <v>0</v>
      </c>
      <c r="E308">
        <v>1</v>
      </c>
      <c r="F308">
        <v>6</v>
      </c>
      <c r="G308" t="b">
        <v>0</v>
      </c>
      <c r="H308">
        <v>5</v>
      </c>
      <c r="I308">
        <v>1</v>
      </c>
      <c r="J308">
        <v>0.1</v>
      </c>
    </row>
    <row r="309" spans="1:10">
      <c r="A309">
        <v>308</v>
      </c>
      <c r="B309">
        <v>40557</v>
      </c>
      <c r="C309">
        <v>1</v>
      </c>
      <c r="D309">
        <v>0</v>
      </c>
      <c r="E309">
        <v>1</v>
      </c>
      <c r="F309">
        <v>7</v>
      </c>
      <c r="G309" t="b">
        <v>0</v>
      </c>
      <c r="H309">
        <v>5</v>
      </c>
      <c r="I309">
        <v>1</v>
      </c>
      <c r="J309">
        <v>0.1</v>
      </c>
    </row>
    <row r="310" spans="1:10">
      <c r="A310">
        <v>309</v>
      </c>
      <c r="B310">
        <v>40557</v>
      </c>
      <c r="C310">
        <v>1</v>
      </c>
      <c r="D310">
        <v>0</v>
      </c>
      <c r="E310">
        <v>1</v>
      </c>
      <c r="F310">
        <v>8</v>
      </c>
      <c r="G310" t="b">
        <v>0</v>
      </c>
      <c r="H310">
        <v>5</v>
      </c>
      <c r="I310">
        <v>1</v>
      </c>
      <c r="J310">
        <v>0.12</v>
      </c>
    </row>
    <row r="311" spans="1:10">
      <c r="A311">
        <v>310</v>
      </c>
      <c r="B311">
        <v>40557</v>
      </c>
      <c r="C311">
        <v>1</v>
      </c>
      <c r="D311">
        <v>0</v>
      </c>
      <c r="E311">
        <v>1</v>
      </c>
      <c r="F311">
        <v>9</v>
      </c>
      <c r="G311" t="b">
        <v>0</v>
      </c>
      <c r="H311">
        <v>5</v>
      </c>
      <c r="I311">
        <v>1</v>
      </c>
      <c r="J311">
        <v>0.14000000000000001</v>
      </c>
    </row>
    <row r="312" spans="1:10">
      <c r="A312">
        <v>311</v>
      </c>
      <c r="B312">
        <v>40557</v>
      </c>
      <c r="C312">
        <v>1</v>
      </c>
      <c r="D312">
        <v>0</v>
      </c>
      <c r="E312">
        <v>1</v>
      </c>
      <c r="F312">
        <v>10</v>
      </c>
      <c r="G312" t="b">
        <v>0</v>
      </c>
      <c r="H312">
        <v>5</v>
      </c>
      <c r="I312">
        <v>1</v>
      </c>
      <c r="J312">
        <v>0.18</v>
      </c>
    </row>
    <row r="313" spans="1:10">
      <c r="A313">
        <v>312</v>
      </c>
      <c r="B313">
        <v>40557</v>
      </c>
      <c r="C313">
        <v>1</v>
      </c>
      <c r="D313">
        <v>0</v>
      </c>
      <c r="E313">
        <v>1</v>
      </c>
      <c r="F313">
        <v>11</v>
      </c>
      <c r="G313" t="b">
        <v>0</v>
      </c>
      <c r="H313">
        <v>5</v>
      </c>
      <c r="I313">
        <v>1</v>
      </c>
      <c r="J313">
        <v>0.18</v>
      </c>
    </row>
    <row r="314" spans="1:10">
      <c r="A314">
        <v>313</v>
      </c>
      <c r="B314">
        <v>40557</v>
      </c>
      <c r="C314">
        <v>1</v>
      </c>
      <c r="D314">
        <v>0</v>
      </c>
      <c r="E314">
        <v>1</v>
      </c>
      <c r="F314">
        <v>12</v>
      </c>
      <c r="G314" t="b">
        <v>0</v>
      </c>
      <c r="H314">
        <v>5</v>
      </c>
      <c r="I314">
        <v>1</v>
      </c>
      <c r="J314">
        <v>0.2</v>
      </c>
    </row>
    <row r="315" spans="1:10">
      <c r="A315">
        <v>314</v>
      </c>
      <c r="B315">
        <v>40557</v>
      </c>
      <c r="C315">
        <v>1</v>
      </c>
      <c r="D315">
        <v>0</v>
      </c>
      <c r="E315">
        <v>1</v>
      </c>
      <c r="F315">
        <v>13</v>
      </c>
      <c r="G315" t="b">
        <v>0</v>
      </c>
      <c r="H315">
        <v>5</v>
      </c>
      <c r="I315">
        <v>1</v>
      </c>
      <c r="J315">
        <v>0.22</v>
      </c>
    </row>
    <row r="316" spans="1:10">
      <c r="A316">
        <v>315</v>
      </c>
      <c r="B316">
        <v>40557</v>
      </c>
      <c r="C316">
        <v>1</v>
      </c>
      <c r="D316">
        <v>0</v>
      </c>
      <c r="E316">
        <v>1</v>
      </c>
      <c r="F316">
        <v>14</v>
      </c>
      <c r="G316" t="b">
        <v>0</v>
      </c>
      <c r="H316">
        <v>5</v>
      </c>
      <c r="I316">
        <v>1</v>
      </c>
      <c r="J316">
        <v>0.22</v>
      </c>
    </row>
    <row r="317" spans="1:10">
      <c r="A317">
        <v>316</v>
      </c>
      <c r="B317">
        <v>40557</v>
      </c>
      <c r="C317">
        <v>1</v>
      </c>
      <c r="D317">
        <v>0</v>
      </c>
      <c r="E317">
        <v>1</v>
      </c>
      <c r="F317">
        <v>15</v>
      </c>
      <c r="G317" t="b">
        <v>0</v>
      </c>
      <c r="H317">
        <v>5</v>
      </c>
      <c r="I317">
        <v>1</v>
      </c>
      <c r="J317">
        <v>0.24</v>
      </c>
    </row>
    <row r="318" spans="1:10">
      <c r="A318">
        <v>317</v>
      </c>
      <c r="B318">
        <v>40557</v>
      </c>
      <c r="C318">
        <v>1</v>
      </c>
      <c r="D318">
        <v>0</v>
      </c>
      <c r="E318">
        <v>1</v>
      </c>
      <c r="F318">
        <v>16</v>
      </c>
      <c r="G318" t="b">
        <v>0</v>
      </c>
      <c r="H318">
        <v>5</v>
      </c>
      <c r="I318">
        <v>1</v>
      </c>
      <c r="J318">
        <v>0.22</v>
      </c>
    </row>
    <row r="319" spans="1:10">
      <c r="A319">
        <v>318</v>
      </c>
      <c r="B319">
        <v>40557</v>
      </c>
      <c r="C319">
        <v>1</v>
      </c>
      <c r="D319">
        <v>0</v>
      </c>
      <c r="E319">
        <v>1</v>
      </c>
      <c r="F319">
        <v>17</v>
      </c>
      <c r="G319" t="b">
        <v>0</v>
      </c>
      <c r="H319">
        <v>5</v>
      </c>
      <c r="I319">
        <v>1</v>
      </c>
      <c r="J319">
        <v>0.22</v>
      </c>
    </row>
    <row r="320" spans="1:10">
      <c r="A320">
        <v>319</v>
      </c>
      <c r="B320">
        <v>40557</v>
      </c>
      <c r="C320">
        <v>1</v>
      </c>
      <c r="D320">
        <v>0</v>
      </c>
      <c r="E320">
        <v>1</v>
      </c>
      <c r="F320">
        <v>18</v>
      </c>
      <c r="G320" t="b">
        <v>0</v>
      </c>
      <c r="H320">
        <v>5</v>
      </c>
      <c r="I320">
        <v>1</v>
      </c>
      <c r="J320">
        <v>0.2</v>
      </c>
    </row>
    <row r="321" spans="1:10">
      <c r="A321">
        <v>320</v>
      </c>
      <c r="B321">
        <v>40557</v>
      </c>
      <c r="C321">
        <v>1</v>
      </c>
      <c r="D321">
        <v>0</v>
      </c>
      <c r="E321">
        <v>1</v>
      </c>
      <c r="F321">
        <v>19</v>
      </c>
      <c r="G321" t="b">
        <v>0</v>
      </c>
      <c r="H321">
        <v>5</v>
      </c>
      <c r="I321">
        <v>1</v>
      </c>
      <c r="J321">
        <v>0.16</v>
      </c>
    </row>
    <row r="322" spans="1:10">
      <c r="A322">
        <v>321</v>
      </c>
      <c r="B322">
        <v>40557</v>
      </c>
      <c r="C322">
        <v>1</v>
      </c>
      <c r="D322">
        <v>0</v>
      </c>
      <c r="E322">
        <v>1</v>
      </c>
      <c r="F322">
        <v>20</v>
      </c>
      <c r="G322" t="b">
        <v>0</v>
      </c>
      <c r="H322">
        <v>5</v>
      </c>
      <c r="I322">
        <v>1</v>
      </c>
      <c r="J322">
        <v>0.18</v>
      </c>
    </row>
    <row r="323" spans="1:10">
      <c r="A323">
        <v>322</v>
      </c>
      <c r="B323">
        <v>40557</v>
      </c>
      <c r="C323">
        <v>1</v>
      </c>
      <c r="D323">
        <v>0</v>
      </c>
      <c r="E323">
        <v>1</v>
      </c>
      <c r="F323">
        <v>21</v>
      </c>
      <c r="G323" t="b">
        <v>0</v>
      </c>
      <c r="H323">
        <v>5</v>
      </c>
      <c r="I323">
        <v>1</v>
      </c>
      <c r="J323">
        <v>0.16</v>
      </c>
    </row>
    <row r="324" spans="1:10">
      <c r="A324">
        <v>323</v>
      </c>
      <c r="B324">
        <v>40557</v>
      </c>
      <c r="C324">
        <v>1</v>
      </c>
      <c r="D324">
        <v>0</v>
      </c>
      <c r="E324">
        <v>1</v>
      </c>
      <c r="F324">
        <v>22</v>
      </c>
      <c r="G324" t="b">
        <v>0</v>
      </c>
      <c r="H324">
        <v>5</v>
      </c>
      <c r="I324">
        <v>2</v>
      </c>
      <c r="J324">
        <v>0.16</v>
      </c>
    </row>
    <row r="325" spans="1:10">
      <c r="A325">
        <v>324</v>
      </c>
      <c r="B325">
        <v>40557</v>
      </c>
      <c r="C325">
        <v>1</v>
      </c>
      <c r="D325">
        <v>0</v>
      </c>
      <c r="E325">
        <v>1</v>
      </c>
      <c r="F325">
        <v>23</v>
      </c>
      <c r="G325" t="b">
        <v>0</v>
      </c>
      <c r="H325">
        <v>5</v>
      </c>
      <c r="I325">
        <v>2</v>
      </c>
      <c r="J325">
        <v>0.18</v>
      </c>
    </row>
    <row r="326" spans="1:10">
      <c r="A326">
        <v>325</v>
      </c>
      <c r="B326">
        <v>40558</v>
      </c>
      <c r="C326">
        <v>1</v>
      </c>
      <c r="D326">
        <v>0</v>
      </c>
      <c r="E326">
        <v>1</v>
      </c>
      <c r="F326">
        <v>0</v>
      </c>
      <c r="G326" t="b">
        <v>0</v>
      </c>
      <c r="H326">
        <v>6</v>
      </c>
      <c r="I326">
        <v>1</v>
      </c>
      <c r="J326">
        <v>0.18</v>
      </c>
    </row>
    <row r="327" spans="1:10">
      <c r="A327">
        <v>326</v>
      </c>
      <c r="B327">
        <v>40558</v>
      </c>
      <c r="C327">
        <v>1</v>
      </c>
      <c r="D327">
        <v>0</v>
      </c>
      <c r="E327">
        <v>1</v>
      </c>
      <c r="F327">
        <v>1</v>
      </c>
      <c r="G327" t="b">
        <v>0</v>
      </c>
      <c r="H327">
        <v>6</v>
      </c>
      <c r="I327">
        <v>2</v>
      </c>
      <c r="J327">
        <v>0.16</v>
      </c>
    </row>
    <row r="328" spans="1:10">
      <c r="A328">
        <v>327</v>
      </c>
      <c r="B328">
        <v>40558</v>
      </c>
      <c r="C328">
        <v>1</v>
      </c>
      <c r="D328">
        <v>0</v>
      </c>
      <c r="E328">
        <v>1</v>
      </c>
      <c r="F328">
        <v>2</v>
      </c>
      <c r="G328" t="b">
        <v>0</v>
      </c>
      <c r="H328">
        <v>6</v>
      </c>
      <c r="I328">
        <v>2</v>
      </c>
      <c r="J328">
        <v>0.16</v>
      </c>
    </row>
    <row r="329" spans="1:10">
      <c r="A329">
        <v>328</v>
      </c>
      <c r="B329">
        <v>40558</v>
      </c>
      <c r="C329">
        <v>1</v>
      </c>
      <c r="D329">
        <v>0</v>
      </c>
      <c r="E329">
        <v>1</v>
      </c>
      <c r="F329">
        <v>3</v>
      </c>
      <c r="G329" t="b">
        <v>0</v>
      </c>
      <c r="H329">
        <v>6</v>
      </c>
      <c r="I329">
        <v>2</v>
      </c>
      <c r="J329">
        <v>0.16</v>
      </c>
    </row>
    <row r="330" spans="1:10">
      <c r="A330">
        <v>329</v>
      </c>
      <c r="B330">
        <v>40558</v>
      </c>
      <c r="C330">
        <v>1</v>
      </c>
      <c r="D330">
        <v>0</v>
      </c>
      <c r="E330">
        <v>1</v>
      </c>
      <c r="F330">
        <v>4</v>
      </c>
      <c r="G330" t="b">
        <v>0</v>
      </c>
      <c r="H330">
        <v>6</v>
      </c>
      <c r="I330">
        <v>2</v>
      </c>
      <c r="J330">
        <v>0.16</v>
      </c>
    </row>
    <row r="331" spans="1:10">
      <c r="A331">
        <v>330</v>
      </c>
      <c r="B331">
        <v>40558</v>
      </c>
      <c r="C331">
        <v>1</v>
      </c>
      <c r="D331">
        <v>0</v>
      </c>
      <c r="E331">
        <v>1</v>
      </c>
      <c r="F331">
        <v>5</v>
      </c>
      <c r="G331" t="b">
        <v>0</v>
      </c>
      <c r="H331">
        <v>6</v>
      </c>
      <c r="I331">
        <v>1</v>
      </c>
      <c r="J331">
        <v>0.16</v>
      </c>
    </row>
    <row r="332" spans="1:10">
      <c r="A332">
        <v>331</v>
      </c>
      <c r="B332">
        <v>40558</v>
      </c>
      <c r="C332">
        <v>1</v>
      </c>
      <c r="D332">
        <v>0</v>
      </c>
      <c r="E332">
        <v>1</v>
      </c>
      <c r="F332">
        <v>6</v>
      </c>
      <c r="G332" t="b">
        <v>0</v>
      </c>
      <c r="H332">
        <v>6</v>
      </c>
      <c r="I332">
        <v>1</v>
      </c>
      <c r="J332">
        <v>0.14000000000000001</v>
      </c>
    </row>
    <row r="333" spans="1:10">
      <c r="A333">
        <v>332</v>
      </c>
      <c r="B333">
        <v>40558</v>
      </c>
      <c r="C333">
        <v>1</v>
      </c>
      <c r="D333">
        <v>0</v>
      </c>
      <c r="E333">
        <v>1</v>
      </c>
      <c r="F333">
        <v>7</v>
      </c>
      <c r="G333" t="b">
        <v>0</v>
      </c>
      <c r="H333">
        <v>6</v>
      </c>
      <c r="I333">
        <v>1</v>
      </c>
      <c r="J333">
        <v>0.14000000000000001</v>
      </c>
    </row>
    <row r="334" spans="1:10">
      <c r="A334">
        <v>333</v>
      </c>
      <c r="B334">
        <v>40558</v>
      </c>
      <c r="C334">
        <v>1</v>
      </c>
      <c r="D334">
        <v>0</v>
      </c>
      <c r="E334">
        <v>1</v>
      </c>
      <c r="F334">
        <v>8</v>
      </c>
      <c r="G334" t="b">
        <v>0</v>
      </c>
      <c r="H334">
        <v>6</v>
      </c>
      <c r="I334">
        <v>1</v>
      </c>
      <c r="J334">
        <v>0.14000000000000001</v>
      </c>
    </row>
    <row r="335" spans="1:10">
      <c r="A335">
        <v>334</v>
      </c>
      <c r="B335">
        <v>40558</v>
      </c>
      <c r="C335">
        <v>1</v>
      </c>
      <c r="D335">
        <v>0</v>
      </c>
      <c r="E335">
        <v>1</v>
      </c>
      <c r="F335">
        <v>9</v>
      </c>
      <c r="G335" t="b">
        <v>0</v>
      </c>
      <c r="H335">
        <v>6</v>
      </c>
      <c r="I335">
        <v>1</v>
      </c>
      <c r="J335">
        <v>0.16</v>
      </c>
    </row>
    <row r="336" spans="1:10">
      <c r="A336">
        <v>335</v>
      </c>
      <c r="B336">
        <v>40558</v>
      </c>
      <c r="C336">
        <v>1</v>
      </c>
      <c r="D336">
        <v>0</v>
      </c>
      <c r="E336">
        <v>1</v>
      </c>
      <c r="F336">
        <v>10</v>
      </c>
      <c r="G336" t="b">
        <v>0</v>
      </c>
      <c r="H336">
        <v>6</v>
      </c>
      <c r="I336">
        <v>1</v>
      </c>
      <c r="J336">
        <v>0.18</v>
      </c>
    </row>
    <row r="337" spans="1:10">
      <c r="A337">
        <v>336</v>
      </c>
      <c r="B337">
        <v>40558</v>
      </c>
      <c r="C337">
        <v>1</v>
      </c>
      <c r="D337">
        <v>0</v>
      </c>
      <c r="E337">
        <v>1</v>
      </c>
      <c r="F337">
        <v>11</v>
      </c>
      <c r="G337" t="b">
        <v>0</v>
      </c>
      <c r="H337">
        <v>6</v>
      </c>
      <c r="I337">
        <v>1</v>
      </c>
      <c r="J337">
        <v>0.2</v>
      </c>
    </row>
    <row r="338" spans="1:10">
      <c r="A338">
        <v>337</v>
      </c>
      <c r="B338">
        <v>40558</v>
      </c>
      <c r="C338">
        <v>1</v>
      </c>
      <c r="D338">
        <v>0</v>
      </c>
      <c r="E338">
        <v>1</v>
      </c>
      <c r="F338">
        <v>12</v>
      </c>
      <c r="G338" t="b">
        <v>0</v>
      </c>
      <c r="H338">
        <v>6</v>
      </c>
      <c r="I338">
        <v>1</v>
      </c>
      <c r="J338">
        <v>0.24</v>
      </c>
    </row>
    <row r="339" spans="1:10">
      <c r="A339">
        <v>338</v>
      </c>
      <c r="B339">
        <v>40558</v>
      </c>
      <c r="C339">
        <v>1</v>
      </c>
      <c r="D339">
        <v>0</v>
      </c>
      <c r="E339">
        <v>1</v>
      </c>
      <c r="F339">
        <v>13</v>
      </c>
      <c r="G339" t="b">
        <v>0</v>
      </c>
      <c r="H339">
        <v>6</v>
      </c>
      <c r="I339">
        <v>1</v>
      </c>
      <c r="J339">
        <v>0.28000000000000003</v>
      </c>
    </row>
    <row r="340" spans="1:10">
      <c r="A340">
        <v>339</v>
      </c>
      <c r="B340">
        <v>40558</v>
      </c>
      <c r="C340">
        <v>1</v>
      </c>
      <c r="D340">
        <v>0</v>
      </c>
      <c r="E340">
        <v>1</v>
      </c>
      <c r="F340">
        <v>14</v>
      </c>
      <c r="G340" t="b">
        <v>0</v>
      </c>
      <c r="H340">
        <v>6</v>
      </c>
      <c r="I340">
        <v>1</v>
      </c>
      <c r="J340">
        <v>0.3</v>
      </c>
    </row>
    <row r="341" spans="1:10">
      <c r="A341">
        <v>340</v>
      </c>
      <c r="B341">
        <v>40558</v>
      </c>
      <c r="C341">
        <v>1</v>
      </c>
      <c r="D341">
        <v>0</v>
      </c>
      <c r="E341">
        <v>1</v>
      </c>
      <c r="F341">
        <v>15</v>
      </c>
      <c r="G341" t="b">
        <v>0</v>
      </c>
      <c r="H341">
        <v>6</v>
      </c>
      <c r="I341">
        <v>2</v>
      </c>
      <c r="J341">
        <v>0.32</v>
      </c>
    </row>
    <row r="342" spans="1:10">
      <c r="A342">
        <v>341</v>
      </c>
      <c r="B342">
        <v>40558</v>
      </c>
      <c r="C342">
        <v>1</v>
      </c>
      <c r="D342">
        <v>0</v>
      </c>
      <c r="E342">
        <v>1</v>
      </c>
      <c r="F342">
        <v>16</v>
      </c>
      <c r="G342" t="b">
        <v>0</v>
      </c>
      <c r="H342">
        <v>6</v>
      </c>
      <c r="I342">
        <v>2</v>
      </c>
      <c r="J342">
        <v>0.34</v>
      </c>
    </row>
    <row r="343" spans="1:10">
      <c r="A343">
        <v>342</v>
      </c>
      <c r="B343">
        <v>40558</v>
      </c>
      <c r="C343">
        <v>1</v>
      </c>
      <c r="D343">
        <v>0</v>
      </c>
      <c r="E343">
        <v>1</v>
      </c>
      <c r="F343">
        <v>17</v>
      </c>
      <c r="G343" t="b">
        <v>0</v>
      </c>
      <c r="H343">
        <v>6</v>
      </c>
      <c r="I343">
        <v>2</v>
      </c>
      <c r="J343">
        <v>0.32</v>
      </c>
    </row>
    <row r="344" spans="1:10">
      <c r="A344">
        <v>343</v>
      </c>
      <c r="B344">
        <v>40558</v>
      </c>
      <c r="C344">
        <v>1</v>
      </c>
      <c r="D344">
        <v>0</v>
      </c>
      <c r="E344">
        <v>1</v>
      </c>
      <c r="F344">
        <v>18</v>
      </c>
      <c r="G344" t="b">
        <v>0</v>
      </c>
      <c r="H344">
        <v>6</v>
      </c>
      <c r="I344">
        <v>2</v>
      </c>
      <c r="J344">
        <v>0.3</v>
      </c>
    </row>
    <row r="345" spans="1:10">
      <c r="A345">
        <v>344</v>
      </c>
      <c r="B345">
        <v>40558</v>
      </c>
      <c r="C345">
        <v>1</v>
      </c>
      <c r="D345">
        <v>0</v>
      </c>
      <c r="E345">
        <v>1</v>
      </c>
      <c r="F345">
        <v>19</v>
      </c>
      <c r="G345" t="b">
        <v>0</v>
      </c>
      <c r="H345">
        <v>6</v>
      </c>
      <c r="I345">
        <v>2</v>
      </c>
      <c r="J345">
        <v>0.32</v>
      </c>
    </row>
    <row r="346" spans="1:10">
      <c r="A346">
        <v>345</v>
      </c>
      <c r="B346">
        <v>40558</v>
      </c>
      <c r="C346">
        <v>1</v>
      </c>
      <c r="D346">
        <v>0</v>
      </c>
      <c r="E346">
        <v>1</v>
      </c>
      <c r="F346">
        <v>20</v>
      </c>
      <c r="G346" t="b">
        <v>0</v>
      </c>
      <c r="H346">
        <v>6</v>
      </c>
      <c r="I346">
        <v>2</v>
      </c>
      <c r="J346">
        <v>0.32</v>
      </c>
    </row>
    <row r="347" spans="1:10">
      <c r="A347">
        <v>346</v>
      </c>
      <c r="B347">
        <v>40558</v>
      </c>
      <c r="C347">
        <v>1</v>
      </c>
      <c r="D347">
        <v>0</v>
      </c>
      <c r="E347">
        <v>1</v>
      </c>
      <c r="F347">
        <v>21</v>
      </c>
      <c r="G347" t="b">
        <v>0</v>
      </c>
      <c r="H347">
        <v>6</v>
      </c>
      <c r="I347">
        <v>2</v>
      </c>
      <c r="J347">
        <v>0.32</v>
      </c>
    </row>
    <row r="348" spans="1:10">
      <c r="A348">
        <v>347</v>
      </c>
      <c r="B348">
        <v>40558</v>
      </c>
      <c r="C348">
        <v>1</v>
      </c>
      <c r="D348">
        <v>0</v>
      </c>
      <c r="E348">
        <v>1</v>
      </c>
      <c r="F348">
        <v>22</v>
      </c>
      <c r="G348" t="b">
        <v>0</v>
      </c>
      <c r="H348">
        <v>6</v>
      </c>
      <c r="I348">
        <v>2</v>
      </c>
      <c r="J348">
        <v>0.3</v>
      </c>
    </row>
    <row r="349" spans="1:10">
      <c r="A349">
        <v>348</v>
      </c>
      <c r="B349">
        <v>40558</v>
      </c>
      <c r="C349">
        <v>1</v>
      </c>
      <c r="D349">
        <v>0</v>
      </c>
      <c r="E349">
        <v>1</v>
      </c>
      <c r="F349">
        <v>23</v>
      </c>
      <c r="G349" t="b">
        <v>0</v>
      </c>
      <c r="H349">
        <v>6</v>
      </c>
      <c r="I349">
        <v>1</v>
      </c>
      <c r="J349">
        <v>0.3</v>
      </c>
    </row>
    <row r="350" spans="1:10">
      <c r="A350">
        <v>349</v>
      </c>
      <c r="B350">
        <v>40559</v>
      </c>
      <c r="C350">
        <v>1</v>
      </c>
      <c r="D350">
        <v>0</v>
      </c>
      <c r="E350">
        <v>1</v>
      </c>
      <c r="F350">
        <v>0</v>
      </c>
      <c r="G350" t="b">
        <v>0</v>
      </c>
      <c r="H350">
        <v>0</v>
      </c>
      <c r="I350">
        <v>1</v>
      </c>
      <c r="J350">
        <v>0.26</v>
      </c>
    </row>
    <row r="351" spans="1:10">
      <c r="A351">
        <v>350</v>
      </c>
      <c r="B351">
        <v>40559</v>
      </c>
      <c r="C351">
        <v>1</v>
      </c>
      <c r="D351">
        <v>0</v>
      </c>
      <c r="E351">
        <v>1</v>
      </c>
      <c r="F351">
        <v>1</v>
      </c>
      <c r="G351" t="b">
        <v>0</v>
      </c>
      <c r="H351">
        <v>0</v>
      </c>
      <c r="I351">
        <v>1</v>
      </c>
      <c r="J351">
        <v>0.26</v>
      </c>
    </row>
    <row r="352" spans="1:10">
      <c r="A352">
        <v>351</v>
      </c>
      <c r="B352">
        <v>40559</v>
      </c>
      <c r="C352">
        <v>1</v>
      </c>
      <c r="D352">
        <v>0</v>
      </c>
      <c r="E352">
        <v>1</v>
      </c>
      <c r="F352">
        <v>2</v>
      </c>
      <c r="G352" t="b">
        <v>0</v>
      </c>
      <c r="H352">
        <v>0</v>
      </c>
      <c r="I352">
        <v>1</v>
      </c>
      <c r="J352">
        <v>0.26</v>
      </c>
    </row>
    <row r="353" spans="1:10">
      <c r="A353">
        <v>352</v>
      </c>
      <c r="B353">
        <v>40559</v>
      </c>
      <c r="C353">
        <v>1</v>
      </c>
      <c r="D353">
        <v>0</v>
      </c>
      <c r="E353">
        <v>1</v>
      </c>
      <c r="F353">
        <v>3</v>
      </c>
      <c r="G353" t="b">
        <v>0</v>
      </c>
      <c r="H353">
        <v>0</v>
      </c>
      <c r="I353">
        <v>1</v>
      </c>
      <c r="J353">
        <v>0.22</v>
      </c>
    </row>
    <row r="354" spans="1:10">
      <c r="A354">
        <v>353</v>
      </c>
      <c r="B354">
        <v>40559</v>
      </c>
      <c r="C354">
        <v>1</v>
      </c>
      <c r="D354">
        <v>0</v>
      </c>
      <c r="E354">
        <v>1</v>
      </c>
      <c r="F354">
        <v>4</v>
      </c>
      <c r="G354" t="b">
        <v>0</v>
      </c>
      <c r="H354">
        <v>0</v>
      </c>
      <c r="I354">
        <v>1</v>
      </c>
      <c r="J354">
        <v>0.26</v>
      </c>
    </row>
    <row r="355" spans="1:10">
      <c r="A355">
        <v>354</v>
      </c>
      <c r="B355">
        <v>40559</v>
      </c>
      <c r="C355">
        <v>1</v>
      </c>
      <c r="D355">
        <v>0</v>
      </c>
      <c r="E355">
        <v>1</v>
      </c>
      <c r="F355">
        <v>5</v>
      </c>
      <c r="G355" t="b">
        <v>0</v>
      </c>
      <c r="H355">
        <v>0</v>
      </c>
      <c r="I355">
        <v>2</v>
      </c>
      <c r="J355">
        <v>0.26</v>
      </c>
    </row>
    <row r="356" spans="1:10">
      <c r="A356">
        <v>355</v>
      </c>
      <c r="B356">
        <v>40559</v>
      </c>
      <c r="C356">
        <v>1</v>
      </c>
      <c r="D356">
        <v>0</v>
      </c>
      <c r="E356">
        <v>1</v>
      </c>
      <c r="F356">
        <v>6</v>
      </c>
      <c r="G356" t="b">
        <v>0</v>
      </c>
      <c r="H356">
        <v>0</v>
      </c>
      <c r="I356">
        <v>2</v>
      </c>
      <c r="J356">
        <v>0.26</v>
      </c>
    </row>
    <row r="357" spans="1:10">
      <c r="A357">
        <v>356</v>
      </c>
      <c r="B357">
        <v>40559</v>
      </c>
      <c r="C357">
        <v>1</v>
      </c>
      <c r="D357">
        <v>0</v>
      </c>
      <c r="E357">
        <v>1</v>
      </c>
      <c r="F357">
        <v>7</v>
      </c>
      <c r="G357" t="b">
        <v>0</v>
      </c>
      <c r="H357">
        <v>0</v>
      </c>
      <c r="I357">
        <v>2</v>
      </c>
      <c r="J357">
        <v>0.24</v>
      </c>
    </row>
    <row r="358" spans="1:10">
      <c r="A358">
        <v>357</v>
      </c>
      <c r="B358">
        <v>40559</v>
      </c>
      <c r="C358">
        <v>1</v>
      </c>
      <c r="D358">
        <v>0</v>
      </c>
      <c r="E358">
        <v>1</v>
      </c>
      <c r="F358">
        <v>8</v>
      </c>
      <c r="G358" t="b">
        <v>0</v>
      </c>
      <c r="H358">
        <v>0</v>
      </c>
      <c r="I358">
        <v>1</v>
      </c>
      <c r="J358">
        <v>0.22</v>
      </c>
    </row>
    <row r="359" spans="1:10">
      <c r="A359">
        <v>358</v>
      </c>
      <c r="B359">
        <v>40559</v>
      </c>
      <c r="C359">
        <v>1</v>
      </c>
      <c r="D359">
        <v>0</v>
      </c>
      <c r="E359">
        <v>1</v>
      </c>
      <c r="F359">
        <v>9</v>
      </c>
      <c r="G359" t="b">
        <v>0</v>
      </c>
      <c r="H359">
        <v>0</v>
      </c>
      <c r="I359">
        <v>1</v>
      </c>
      <c r="J359">
        <v>0.22</v>
      </c>
    </row>
    <row r="360" spans="1:10">
      <c r="A360">
        <v>359</v>
      </c>
      <c r="B360">
        <v>40559</v>
      </c>
      <c r="C360">
        <v>1</v>
      </c>
      <c r="D360">
        <v>0</v>
      </c>
      <c r="E360">
        <v>1</v>
      </c>
      <c r="F360">
        <v>10</v>
      </c>
      <c r="G360" t="b">
        <v>0</v>
      </c>
      <c r="H360">
        <v>0</v>
      </c>
      <c r="I360">
        <v>1</v>
      </c>
      <c r="J360">
        <v>0.22</v>
      </c>
    </row>
    <row r="361" spans="1:10">
      <c r="A361">
        <v>360</v>
      </c>
      <c r="B361">
        <v>40559</v>
      </c>
      <c r="C361">
        <v>1</v>
      </c>
      <c r="D361">
        <v>0</v>
      </c>
      <c r="E361">
        <v>1</v>
      </c>
      <c r="F361">
        <v>11</v>
      </c>
      <c r="G361" t="b">
        <v>0</v>
      </c>
      <c r="H361">
        <v>0</v>
      </c>
      <c r="I361">
        <v>1</v>
      </c>
      <c r="J361">
        <v>0.24</v>
      </c>
    </row>
    <row r="362" spans="1:10">
      <c r="A362">
        <v>361</v>
      </c>
      <c r="B362">
        <v>40559</v>
      </c>
      <c r="C362">
        <v>1</v>
      </c>
      <c r="D362">
        <v>0</v>
      </c>
      <c r="E362">
        <v>1</v>
      </c>
      <c r="F362">
        <v>12</v>
      </c>
      <c r="G362" t="b">
        <v>0</v>
      </c>
      <c r="H362">
        <v>0</v>
      </c>
      <c r="I362">
        <v>1</v>
      </c>
      <c r="J362">
        <v>0.24</v>
      </c>
    </row>
    <row r="363" spans="1:10">
      <c r="A363">
        <v>362</v>
      </c>
      <c r="B363">
        <v>40559</v>
      </c>
      <c r="C363">
        <v>1</v>
      </c>
      <c r="D363">
        <v>0</v>
      </c>
      <c r="E363">
        <v>1</v>
      </c>
      <c r="F363">
        <v>13</v>
      </c>
      <c r="G363" t="b">
        <v>0</v>
      </c>
      <c r="H363">
        <v>0</v>
      </c>
      <c r="I363">
        <v>1</v>
      </c>
      <c r="J363">
        <v>0.26</v>
      </c>
    </row>
    <row r="364" spans="1:10">
      <c r="A364">
        <v>363</v>
      </c>
      <c r="B364">
        <v>40559</v>
      </c>
      <c r="C364">
        <v>1</v>
      </c>
      <c r="D364">
        <v>0</v>
      </c>
      <c r="E364">
        <v>1</v>
      </c>
      <c r="F364">
        <v>14</v>
      </c>
      <c r="G364" t="b">
        <v>0</v>
      </c>
      <c r="H364">
        <v>0</v>
      </c>
      <c r="I364">
        <v>1</v>
      </c>
      <c r="J364">
        <v>0.28000000000000003</v>
      </c>
    </row>
    <row r="365" spans="1:10">
      <c r="A365">
        <v>364</v>
      </c>
      <c r="B365">
        <v>40559</v>
      </c>
      <c r="C365">
        <v>1</v>
      </c>
      <c r="D365">
        <v>0</v>
      </c>
      <c r="E365">
        <v>1</v>
      </c>
      <c r="F365">
        <v>15</v>
      </c>
      <c r="G365" t="b">
        <v>0</v>
      </c>
      <c r="H365">
        <v>0</v>
      </c>
      <c r="I365">
        <v>1</v>
      </c>
      <c r="J365">
        <v>0.26</v>
      </c>
    </row>
    <row r="366" spans="1:10">
      <c r="A366">
        <v>365</v>
      </c>
      <c r="B366">
        <v>40559</v>
      </c>
      <c r="C366">
        <v>1</v>
      </c>
      <c r="D366">
        <v>0</v>
      </c>
      <c r="E366">
        <v>1</v>
      </c>
      <c r="F366">
        <v>16</v>
      </c>
      <c r="G366" t="b">
        <v>0</v>
      </c>
      <c r="H366">
        <v>0</v>
      </c>
      <c r="I366">
        <v>1</v>
      </c>
      <c r="J366">
        <v>0.24</v>
      </c>
    </row>
    <row r="367" spans="1:10">
      <c r="A367">
        <v>366</v>
      </c>
      <c r="B367">
        <v>40559</v>
      </c>
      <c r="C367">
        <v>1</v>
      </c>
      <c r="D367">
        <v>0</v>
      </c>
      <c r="E367">
        <v>1</v>
      </c>
      <c r="F367">
        <v>17</v>
      </c>
      <c r="G367" t="b">
        <v>0</v>
      </c>
      <c r="H367">
        <v>0</v>
      </c>
      <c r="I367">
        <v>1</v>
      </c>
      <c r="J367">
        <v>0.22</v>
      </c>
    </row>
    <row r="368" spans="1:10">
      <c r="A368">
        <v>367</v>
      </c>
      <c r="B368">
        <v>40559</v>
      </c>
      <c r="C368">
        <v>1</v>
      </c>
      <c r="D368">
        <v>0</v>
      </c>
      <c r="E368">
        <v>1</v>
      </c>
      <c r="F368">
        <v>18</v>
      </c>
      <c r="G368" t="b">
        <v>0</v>
      </c>
      <c r="H368">
        <v>0</v>
      </c>
      <c r="I368">
        <v>1</v>
      </c>
      <c r="J368">
        <v>0.2</v>
      </c>
    </row>
    <row r="369" spans="1:10">
      <c r="A369">
        <v>368</v>
      </c>
      <c r="B369">
        <v>40559</v>
      </c>
      <c r="C369">
        <v>1</v>
      </c>
      <c r="D369">
        <v>0</v>
      </c>
      <c r="E369">
        <v>1</v>
      </c>
      <c r="F369">
        <v>19</v>
      </c>
      <c r="G369" t="b">
        <v>0</v>
      </c>
      <c r="H369">
        <v>0</v>
      </c>
      <c r="I369">
        <v>1</v>
      </c>
      <c r="J369">
        <v>0.18</v>
      </c>
    </row>
    <row r="370" spans="1:10">
      <c r="A370">
        <v>369</v>
      </c>
      <c r="B370">
        <v>40559</v>
      </c>
      <c r="C370">
        <v>1</v>
      </c>
      <c r="D370">
        <v>0</v>
      </c>
      <c r="E370">
        <v>1</v>
      </c>
      <c r="F370">
        <v>20</v>
      </c>
      <c r="G370" t="b">
        <v>0</v>
      </c>
      <c r="H370">
        <v>0</v>
      </c>
      <c r="I370">
        <v>1</v>
      </c>
      <c r="J370">
        <v>0.18</v>
      </c>
    </row>
    <row r="371" spans="1:10">
      <c r="A371">
        <v>370</v>
      </c>
      <c r="B371">
        <v>40559</v>
      </c>
      <c r="C371">
        <v>1</v>
      </c>
      <c r="D371">
        <v>0</v>
      </c>
      <c r="E371">
        <v>1</v>
      </c>
      <c r="F371">
        <v>21</v>
      </c>
      <c r="G371" t="b">
        <v>0</v>
      </c>
      <c r="H371">
        <v>0</v>
      </c>
      <c r="I371">
        <v>1</v>
      </c>
      <c r="J371">
        <v>0.18</v>
      </c>
    </row>
    <row r="372" spans="1:10">
      <c r="A372">
        <v>371</v>
      </c>
      <c r="B372">
        <v>40559</v>
      </c>
      <c r="C372">
        <v>1</v>
      </c>
      <c r="D372">
        <v>0</v>
      </c>
      <c r="E372">
        <v>1</v>
      </c>
      <c r="F372">
        <v>22</v>
      </c>
      <c r="G372" t="b">
        <v>0</v>
      </c>
      <c r="H372">
        <v>0</v>
      </c>
      <c r="I372">
        <v>2</v>
      </c>
      <c r="J372">
        <v>0.2</v>
      </c>
    </row>
    <row r="373" spans="1:10">
      <c r="A373">
        <v>372</v>
      </c>
      <c r="B373">
        <v>40559</v>
      </c>
      <c r="C373">
        <v>1</v>
      </c>
      <c r="D373">
        <v>0</v>
      </c>
      <c r="E373">
        <v>1</v>
      </c>
      <c r="F373">
        <v>23</v>
      </c>
      <c r="G373" t="b">
        <v>0</v>
      </c>
      <c r="H373">
        <v>0</v>
      </c>
      <c r="I373">
        <v>2</v>
      </c>
      <c r="J373">
        <v>0.2</v>
      </c>
    </row>
    <row r="374" spans="1:10">
      <c r="A374">
        <v>373</v>
      </c>
      <c r="B374">
        <v>40560</v>
      </c>
      <c r="C374">
        <v>1</v>
      </c>
      <c r="D374">
        <v>0</v>
      </c>
      <c r="E374">
        <v>1</v>
      </c>
      <c r="F374">
        <v>0</v>
      </c>
      <c r="G374" t="b">
        <v>1</v>
      </c>
      <c r="H374">
        <v>1</v>
      </c>
      <c r="I374">
        <v>2</v>
      </c>
      <c r="J374">
        <v>0.2</v>
      </c>
    </row>
    <row r="375" spans="1:10">
      <c r="A375">
        <v>374</v>
      </c>
      <c r="B375">
        <v>40560</v>
      </c>
      <c r="C375">
        <v>1</v>
      </c>
      <c r="D375">
        <v>0</v>
      </c>
      <c r="E375">
        <v>1</v>
      </c>
      <c r="F375">
        <v>1</v>
      </c>
      <c r="G375" t="b">
        <v>1</v>
      </c>
      <c r="H375">
        <v>1</v>
      </c>
      <c r="I375">
        <v>2</v>
      </c>
      <c r="J375">
        <v>0.2</v>
      </c>
    </row>
    <row r="376" spans="1:10">
      <c r="A376">
        <v>375</v>
      </c>
      <c r="B376">
        <v>40560</v>
      </c>
      <c r="C376">
        <v>1</v>
      </c>
      <c r="D376">
        <v>0</v>
      </c>
      <c r="E376">
        <v>1</v>
      </c>
      <c r="F376">
        <v>2</v>
      </c>
      <c r="G376" t="b">
        <v>1</v>
      </c>
      <c r="H376">
        <v>1</v>
      </c>
      <c r="I376">
        <v>2</v>
      </c>
      <c r="J376">
        <v>0.18</v>
      </c>
    </row>
    <row r="377" spans="1:10">
      <c r="A377">
        <v>376</v>
      </c>
      <c r="B377">
        <v>40560</v>
      </c>
      <c r="C377">
        <v>1</v>
      </c>
      <c r="D377">
        <v>0</v>
      </c>
      <c r="E377">
        <v>1</v>
      </c>
      <c r="F377">
        <v>3</v>
      </c>
      <c r="G377" t="b">
        <v>1</v>
      </c>
      <c r="H377">
        <v>1</v>
      </c>
      <c r="I377">
        <v>2</v>
      </c>
      <c r="J377">
        <v>0.18</v>
      </c>
    </row>
    <row r="378" spans="1:10">
      <c r="A378">
        <v>377</v>
      </c>
      <c r="B378">
        <v>40560</v>
      </c>
      <c r="C378">
        <v>1</v>
      </c>
      <c r="D378">
        <v>0</v>
      </c>
      <c r="E378">
        <v>1</v>
      </c>
      <c r="F378">
        <v>4</v>
      </c>
      <c r="G378" t="b">
        <v>1</v>
      </c>
      <c r="H378">
        <v>1</v>
      </c>
      <c r="I378">
        <v>2</v>
      </c>
      <c r="J378">
        <v>0.18</v>
      </c>
    </row>
    <row r="379" spans="1:10">
      <c r="A379">
        <v>378</v>
      </c>
      <c r="B379">
        <v>40560</v>
      </c>
      <c r="C379">
        <v>1</v>
      </c>
      <c r="D379">
        <v>0</v>
      </c>
      <c r="E379">
        <v>1</v>
      </c>
      <c r="F379">
        <v>5</v>
      </c>
      <c r="G379" t="b">
        <v>1</v>
      </c>
      <c r="H379">
        <v>1</v>
      </c>
      <c r="I379">
        <v>2</v>
      </c>
      <c r="J379">
        <v>0.18</v>
      </c>
    </row>
    <row r="380" spans="1:10">
      <c r="A380">
        <v>379</v>
      </c>
      <c r="B380">
        <v>40560</v>
      </c>
      <c r="C380">
        <v>1</v>
      </c>
      <c r="D380">
        <v>0</v>
      </c>
      <c r="E380">
        <v>1</v>
      </c>
      <c r="F380">
        <v>6</v>
      </c>
      <c r="G380" t="b">
        <v>1</v>
      </c>
      <c r="H380">
        <v>1</v>
      </c>
      <c r="I380">
        <v>2</v>
      </c>
      <c r="J380">
        <v>0.18</v>
      </c>
    </row>
    <row r="381" spans="1:10">
      <c r="A381">
        <v>380</v>
      </c>
      <c r="B381">
        <v>40560</v>
      </c>
      <c r="C381">
        <v>1</v>
      </c>
      <c r="D381">
        <v>0</v>
      </c>
      <c r="E381">
        <v>1</v>
      </c>
      <c r="F381">
        <v>7</v>
      </c>
      <c r="G381" t="b">
        <v>1</v>
      </c>
      <c r="H381">
        <v>1</v>
      </c>
      <c r="I381">
        <v>2</v>
      </c>
      <c r="J381">
        <v>0.16</v>
      </c>
    </row>
    <row r="382" spans="1:10">
      <c r="A382">
        <v>381</v>
      </c>
      <c r="B382">
        <v>40560</v>
      </c>
      <c r="C382">
        <v>1</v>
      </c>
      <c r="D382">
        <v>0</v>
      </c>
      <c r="E382">
        <v>1</v>
      </c>
      <c r="F382">
        <v>8</v>
      </c>
      <c r="G382" t="b">
        <v>1</v>
      </c>
      <c r="H382">
        <v>1</v>
      </c>
      <c r="I382">
        <v>2</v>
      </c>
      <c r="J382">
        <v>0.16</v>
      </c>
    </row>
    <row r="383" spans="1:10">
      <c r="A383">
        <v>382</v>
      </c>
      <c r="B383">
        <v>40560</v>
      </c>
      <c r="C383">
        <v>1</v>
      </c>
      <c r="D383">
        <v>0</v>
      </c>
      <c r="E383">
        <v>1</v>
      </c>
      <c r="F383">
        <v>9</v>
      </c>
      <c r="G383" t="b">
        <v>1</v>
      </c>
      <c r="H383">
        <v>1</v>
      </c>
      <c r="I383">
        <v>2</v>
      </c>
      <c r="J383">
        <v>0.16</v>
      </c>
    </row>
    <row r="384" spans="1:10">
      <c r="A384">
        <v>383</v>
      </c>
      <c r="B384">
        <v>40560</v>
      </c>
      <c r="C384">
        <v>1</v>
      </c>
      <c r="D384">
        <v>0</v>
      </c>
      <c r="E384">
        <v>1</v>
      </c>
      <c r="F384">
        <v>10</v>
      </c>
      <c r="G384" t="b">
        <v>1</v>
      </c>
      <c r="H384">
        <v>1</v>
      </c>
      <c r="I384">
        <v>2</v>
      </c>
      <c r="J384">
        <v>0.16</v>
      </c>
    </row>
    <row r="385" spans="1:10">
      <c r="A385">
        <v>384</v>
      </c>
      <c r="B385">
        <v>40560</v>
      </c>
      <c r="C385">
        <v>1</v>
      </c>
      <c r="D385">
        <v>0</v>
      </c>
      <c r="E385">
        <v>1</v>
      </c>
      <c r="F385">
        <v>11</v>
      </c>
      <c r="G385" t="b">
        <v>1</v>
      </c>
      <c r="H385">
        <v>1</v>
      </c>
      <c r="I385">
        <v>2</v>
      </c>
      <c r="J385">
        <v>0.16</v>
      </c>
    </row>
    <row r="386" spans="1:10">
      <c r="A386">
        <v>385</v>
      </c>
      <c r="B386">
        <v>40560</v>
      </c>
      <c r="C386">
        <v>1</v>
      </c>
      <c r="D386">
        <v>0</v>
      </c>
      <c r="E386">
        <v>1</v>
      </c>
      <c r="F386">
        <v>12</v>
      </c>
      <c r="G386" t="b">
        <v>1</v>
      </c>
      <c r="H386">
        <v>1</v>
      </c>
      <c r="I386">
        <v>2</v>
      </c>
      <c r="J386">
        <v>0.18</v>
      </c>
    </row>
    <row r="387" spans="1:10">
      <c r="A387">
        <v>386</v>
      </c>
      <c r="B387">
        <v>40560</v>
      </c>
      <c r="C387">
        <v>1</v>
      </c>
      <c r="D387">
        <v>0</v>
      </c>
      <c r="E387">
        <v>1</v>
      </c>
      <c r="F387">
        <v>13</v>
      </c>
      <c r="G387" t="b">
        <v>1</v>
      </c>
      <c r="H387">
        <v>1</v>
      </c>
      <c r="I387">
        <v>2</v>
      </c>
      <c r="J387">
        <v>0.18</v>
      </c>
    </row>
    <row r="388" spans="1:10">
      <c r="A388">
        <v>387</v>
      </c>
      <c r="B388">
        <v>40560</v>
      </c>
      <c r="C388">
        <v>1</v>
      </c>
      <c r="D388">
        <v>0</v>
      </c>
      <c r="E388">
        <v>1</v>
      </c>
      <c r="F388">
        <v>14</v>
      </c>
      <c r="G388" t="b">
        <v>1</v>
      </c>
      <c r="H388">
        <v>1</v>
      </c>
      <c r="I388">
        <v>2</v>
      </c>
      <c r="J388">
        <v>0.18</v>
      </c>
    </row>
    <row r="389" spans="1:10">
      <c r="A389">
        <v>388</v>
      </c>
      <c r="B389">
        <v>40560</v>
      </c>
      <c r="C389">
        <v>1</v>
      </c>
      <c r="D389">
        <v>0</v>
      </c>
      <c r="E389">
        <v>1</v>
      </c>
      <c r="F389">
        <v>15</v>
      </c>
      <c r="G389" t="b">
        <v>1</v>
      </c>
      <c r="H389">
        <v>1</v>
      </c>
      <c r="I389">
        <v>2</v>
      </c>
      <c r="J389">
        <v>0.2</v>
      </c>
    </row>
    <row r="390" spans="1:10">
      <c r="A390">
        <v>389</v>
      </c>
      <c r="B390">
        <v>40560</v>
      </c>
      <c r="C390">
        <v>1</v>
      </c>
      <c r="D390">
        <v>0</v>
      </c>
      <c r="E390">
        <v>1</v>
      </c>
      <c r="F390">
        <v>16</v>
      </c>
      <c r="G390" t="b">
        <v>1</v>
      </c>
      <c r="H390">
        <v>1</v>
      </c>
      <c r="I390">
        <v>2</v>
      </c>
      <c r="J390">
        <v>0.2</v>
      </c>
    </row>
    <row r="391" spans="1:10">
      <c r="A391">
        <v>390</v>
      </c>
      <c r="B391">
        <v>40560</v>
      </c>
      <c r="C391">
        <v>1</v>
      </c>
      <c r="D391">
        <v>0</v>
      </c>
      <c r="E391">
        <v>1</v>
      </c>
      <c r="F391">
        <v>17</v>
      </c>
      <c r="G391" t="b">
        <v>1</v>
      </c>
      <c r="H391">
        <v>1</v>
      </c>
      <c r="I391">
        <v>1</v>
      </c>
      <c r="J391">
        <v>0.2</v>
      </c>
    </row>
    <row r="392" spans="1:10">
      <c r="A392">
        <v>391</v>
      </c>
      <c r="B392">
        <v>40560</v>
      </c>
      <c r="C392">
        <v>1</v>
      </c>
      <c r="D392">
        <v>0</v>
      </c>
      <c r="E392">
        <v>1</v>
      </c>
      <c r="F392">
        <v>18</v>
      </c>
      <c r="G392" t="b">
        <v>1</v>
      </c>
      <c r="H392">
        <v>1</v>
      </c>
      <c r="I392">
        <v>2</v>
      </c>
      <c r="J392">
        <v>0.18</v>
      </c>
    </row>
    <row r="393" spans="1:10">
      <c r="A393">
        <v>392</v>
      </c>
      <c r="B393">
        <v>40560</v>
      </c>
      <c r="C393">
        <v>1</v>
      </c>
      <c r="D393">
        <v>0</v>
      </c>
      <c r="E393">
        <v>1</v>
      </c>
      <c r="F393">
        <v>19</v>
      </c>
      <c r="G393" t="b">
        <v>1</v>
      </c>
      <c r="H393">
        <v>1</v>
      </c>
      <c r="I393">
        <v>3</v>
      </c>
      <c r="J393">
        <v>0.18</v>
      </c>
    </row>
    <row r="394" spans="1:10">
      <c r="A394">
        <v>393</v>
      </c>
      <c r="B394">
        <v>40560</v>
      </c>
      <c r="C394">
        <v>1</v>
      </c>
      <c r="D394">
        <v>0</v>
      </c>
      <c r="E394">
        <v>1</v>
      </c>
      <c r="F394">
        <v>20</v>
      </c>
      <c r="G394" t="b">
        <v>1</v>
      </c>
      <c r="H394">
        <v>1</v>
      </c>
      <c r="I394">
        <v>3</v>
      </c>
      <c r="J394">
        <v>0.16</v>
      </c>
    </row>
    <row r="395" spans="1:10">
      <c r="A395">
        <v>394</v>
      </c>
      <c r="B395">
        <v>40560</v>
      </c>
      <c r="C395">
        <v>1</v>
      </c>
      <c r="D395">
        <v>0</v>
      </c>
      <c r="E395">
        <v>1</v>
      </c>
      <c r="F395">
        <v>21</v>
      </c>
      <c r="G395" t="b">
        <v>1</v>
      </c>
      <c r="H395">
        <v>1</v>
      </c>
      <c r="I395">
        <v>3</v>
      </c>
      <c r="J395">
        <v>0.16</v>
      </c>
    </row>
    <row r="396" spans="1:10">
      <c r="A396">
        <v>395</v>
      </c>
      <c r="B396">
        <v>40560</v>
      </c>
      <c r="C396">
        <v>1</v>
      </c>
      <c r="D396">
        <v>0</v>
      </c>
      <c r="E396">
        <v>1</v>
      </c>
      <c r="F396">
        <v>22</v>
      </c>
      <c r="G396" t="b">
        <v>1</v>
      </c>
      <c r="H396">
        <v>1</v>
      </c>
      <c r="I396">
        <v>3</v>
      </c>
      <c r="J396">
        <v>0.14000000000000001</v>
      </c>
    </row>
    <row r="397" spans="1:10">
      <c r="A397">
        <v>396</v>
      </c>
      <c r="B397">
        <v>40560</v>
      </c>
      <c r="C397">
        <v>1</v>
      </c>
      <c r="D397">
        <v>0</v>
      </c>
      <c r="E397">
        <v>1</v>
      </c>
      <c r="F397">
        <v>23</v>
      </c>
      <c r="G397" t="b">
        <v>1</v>
      </c>
      <c r="H397">
        <v>1</v>
      </c>
      <c r="I397">
        <v>3</v>
      </c>
      <c r="J397">
        <v>0.16</v>
      </c>
    </row>
    <row r="398" spans="1:10">
      <c r="A398">
        <v>397</v>
      </c>
      <c r="B398">
        <v>40561</v>
      </c>
      <c r="C398">
        <v>1</v>
      </c>
      <c r="D398">
        <v>0</v>
      </c>
      <c r="E398">
        <v>1</v>
      </c>
      <c r="F398">
        <v>12</v>
      </c>
      <c r="G398" t="b">
        <v>0</v>
      </c>
      <c r="H398">
        <v>2</v>
      </c>
      <c r="I398">
        <v>2</v>
      </c>
      <c r="J398">
        <v>0.2</v>
      </c>
    </row>
    <row r="399" spans="1:10">
      <c r="A399">
        <v>398</v>
      </c>
      <c r="B399">
        <v>40561</v>
      </c>
      <c r="C399">
        <v>1</v>
      </c>
      <c r="D399">
        <v>0</v>
      </c>
      <c r="E399">
        <v>1</v>
      </c>
      <c r="F399">
        <v>13</v>
      </c>
      <c r="G399" t="b">
        <v>0</v>
      </c>
      <c r="H399">
        <v>2</v>
      </c>
      <c r="I399">
        <v>2</v>
      </c>
      <c r="J399">
        <v>0.2</v>
      </c>
    </row>
    <row r="400" spans="1:10">
      <c r="A400">
        <v>399</v>
      </c>
      <c r="B400">
        <v>40561</v>
      </c>
      <c r="C400">
        <v>1</v>
      </c>
      <c r="D400">
        <v>0</v>
      </c>
      <c r="E400">
        <v>1</v>
      </c>
      <c r="F400">
        <v>14</v>
      </c>
      <c r="G400" t="b">
        <v>0</v>
      </c>
      <c r="H400">
        <v>2</v>
      </c>
      <c r="I400">
        <v>2</v>
      </c>
      <c r="J400">
        <v>0.22</v>
      </c>
    </row>
    <row r="401" spans="1:10">
      <c r="A401">
        <v>400</v>
      </c>
      <c r="B401">
        <v>40561</v>
      </c>
      <c r="C401">
        <v>1</v>
      </c>
      <c r="D401">
        <v>0</v>
      </c>
      <c r="E401">
        <v>1</v>
      </c>
      <c r="F401">
        <v>15</v>
      </c>
      <c r="G401" t="b">
        <v>0</v>
      </c>
      <c r="H401">
        <v>2</v>
      </c>
      <c r="I401">
        <v>2</v>
      </c>
      <c r="J401">
        <v>0.22</v>
      </c>
    </row>
    <row r="402" spans="1:10">
      <c r="A402">
        <v>401</v>
      </c>
      <c r="B402">
        <v>40561</v>
      </c>
      <c r="C402">
        <v>1</v>
      </c>
      <c r="D402">
        <v>0</v>
      </c>
      <c r="E402">
        <v>1</v>
      </c>
      <c r="F402">
        <v>16</v>
      </c>
      <c r="G402" t="b">
        <v>0</v>
      </c>
      <c r="H402">
        <v>2</v>
      </c>
      <c r="I402">
        <v>2</v>
      </c>
      <c r="J402">
        <v>0.22</v>
      </c>
    </row>
    <row r="403" spans="1:10">
      <c r="A403">
        <v>402</v>
      </c>
      <c r="B403">
        <v>40561</v>
      </c>
      <c r="C403">
        <v>1</v>
      </c>
      <c r="D403">
        <v>0</v>
      </c>
      <c r="E403">
        <v>1</v>
      </c>
      <c r="F403">
        <v>17</v>
      </c>
      <c r="G403" t="b">
        <v>0</v>
      </c>
      <c r="H403">
        <v>2</v>
      </c>
      <c r="I403">
        <v>2</v>
      </c>
      <c r="J403">
        <v>0.22</v>
      </c>
    </row>
    <row r="404" spans="1:10">
      <c r="A404">
        <v>403</v>
      </c>
      <c r="B404">
        <v>40561</v>
      </c>
      <c r="C404">
        <v>1</v>
      </c>
      <c r="D404">
        <v>0</v>
      </c>
      <c r="E404">
        <v>1</v>
      </c>
      <c r="F404">
        <v>18</v>
      </c>
      <c r="G404" t="b">
        <v>0</v>
      </c>
      <c r="H404">
        <v>2</v>
      </c>
      <c r="I404">
        <v>2</v>
      </c>
      <c r="J404">
        <v>0.22</v>
      </c>
    </row>
    <row r="405" spans="1:10">
      <c r="A405">
        <v>404</v>
      </c>
      <c r="B405">
        <v>40561</v>
      </c>
      <c r="C405">
        <v>1</v>
      </c>
      <c r="D405">
        <v>0</v>
      </c>
      <c r="E405">
        <v>1</v>
      </c>
      <c r="F405">
        <v>19</v>
      </c>
      <c r="G405" t="b">
        <v>0</v>
      </c>
      <c r="H405">
        <v>2</v>
      </c>
      <c r="I405">
        <v>2</v>
      </c>
      <c r="J405">
        <v>0.22</v>
      </c>
    </row>
    <row r="406" spans="1:10">
      <c r="A406">
        <v>405</v>
      </c>
      <c r="B406">
        <v>40561</v>
      </c>
      <c r="C406">
        <v>1</v>
      </c>
      <c r="D406">
        <v>0</v>
      </c>
      <c r="E406">
        <v>1</v>
      </c>
      <c r="F406">
        <v>20</v>
      </c>
      <c r="G406" t="b">
        <v>0</v>
      </c>
      <c r="H406">
        <v>2</v>
      </c>
      <c r="I406">
        <v>2</v>
      </c>
      <c r="J406">
        <v>0.22</v>
      </c>
    </row>
    <row r="407" spans="1:10">
      <c r="A407">
        <v>406</v>
      </c>
      <c r="B407">
        <v>40561</v>
      </c>
      <c r="C407">
        <v>1</v>
      </c>
      <c r="D407">
        <v>0</v>
      </c>
      <c r="E407">
        <v>1</v>
      </c>
      <c r="F407">
        <v>21</v>
      </c>
      <c r="G407" t="b">
        <v>0</v>
      </c>
      <c r="H407">
        <v>2</v>
      </c>
      <c r="I407">
        <v>2</v>
      </c>
      <c r="J407">
        <v>0.22</v>
      </c>
    </row>
    <row r="408" spans="1:10">
      <c r="A408">
        <v>407</v>
      </c>
      <c r="B408">
        <v>40561</v>
      </c>
      <c r="C408">
        <v>1</v>
      </c>
      <c r="D408">
        <v>0</v>
      </c>
      <c r="E408">
        <v>1</v>
      </c>
      <c r="F408">
        <v>22</v>
      </c>
      <c r="G408" t="b">
        <v>0</v>
      </c>
      <c r="H408">
        <v>2</v>
      </c>
      <c r="I408">
        <v>2</v>
      </c>
      <c r="J408">
        <v>0.22</v>
      </c>
    </row>
    <row r="409" spans="1:10">
      <c r="A409">
        <v>408</v>
      </c>
      <c r="B409">
        <v>40561</v>
      </c>
      <c r="C409">
        <v>1</v>
      </c>
      <c r="D409">
        <v>0</v>
      </c>
      <c r="E409">
        <v>1</v>
      </c>
      <c r="F409">
        <v>23</v>
      </c>
      <c r="G409" t="b">
        <v>0</v>
      </c>
      <c r="H409">
        <v>2</v>
      </c>
      <c r="I409">
        <v>2</v>
      </c>
      <c r="J409">
        <v>0.22</v>
      </c>
    </row>
    <row r="410" spans="1:10">
      <c r="A410">
        <v>409</v>
      </c>
      <c r="B410">
        <v>40562</v>
      </c>
      <c r="C410">
        <v>1</v>
      </c>
      <c r="D410">
        <v>0</v>
      </c>
      <c r="E410">
        <v>1</v>
      </c>
      <c r="F410">
        <v>0</v>
      </c>
      <c r="G410" t="b">
        <v>0</v>
      </c>
      <c r="H410">
        <v>3</v>
      </c>
      <c r="I410">
        <v>2</v>
      </c>
      <c r="J410">
        <v>0.22</v>
      </c>
    </row>
    <row r="411" spans="1:10">
      <c r="A411">
        <v>410</v>
      </c>
      <c r="B411">
        <v>40562</v>
      </c>
      <c r="C411">
        <v>1</v>
      </c>
      <c r="D411">
        <v>0</v>
      </c>
      <c r="E411">
        <v>1</v>
      </c>
      <c r="F411">
        <v>1</v>
      </c>
      <c r="G411" t="b">
        <v>0</v>
      </c>
      <c r="H411">
        <v>3</v>
      </c>
      <c r="I411">
        <v>3</v>
      </c>
      <c r="J411">
        <v>0.22</v>
      </c>
    </row>
    <row r="412" spans="1:10">
      <c r="A412">
        <v>411</v>
      </c>
      <c r="B412">
        <v>40562</v>
      </c>
      <c r="C412">
        <v>1</v>
      </c>
      <c r="D412">
        <v>0</v>
      </c>
      <c r="E412">
        <v>1</v>
      </c>
      <c r="F412">
        <v>2</v>
      </c>
      <c r="G412" t="b">
        <v>0</v>
      </c>
      <c r="H412">
        <v>3</v>
      </c>
      <c r="I412">
        <v>3</v>
      </c>
      <c r="J412">
        <v>0.22</v>
      </c>
    </row>
    <row r="413" spans="1:10">
      <c r="A413">
        <v>412</v>
      </c>
      <c r="B413">
        <v>40562</v>
      </c>
      <c r="C413">
        <v>1</v>
      </c>
      <c r="D413">
        <v>0</v>
      </c>
      <c r="E413">
        <v>1</v>
      </c>
      <c r="F413">
        <v>4</v>
      </c>
      <c r="G413" t="b">
        <v>0</v>
      </c>
      <c r="H413">
        <v>3</v>
      </c>
      <c r="I413">
        <v>3</v>
      </c>
      <c r="J413">
        <v>0.22</v>
      </c>
    </row>
    <row r="414" spans="1:10">
      <c r="A414">
        <v>413</v>
      </c>
      <c r="B414">
        <v>40562</v>
      </c>
      <c r="C414">
        <v>1</v>
      </c>
      <c r="D414">
        <v>0</v>
      </c>
      <c r="E414">
        <v>1</v>
      </c>
      <c r="F414">
        <v>5</v>
      </c>
      <c r="G414" t="b">
        <v>0</v>
      </c>
      <c r="H414">
        <v>3</v>
      </c>
      <c r="I414">
        <v>2</v>
      </c>
      <c r="J414">
        <v>0.22</v>
      </c>
    </row>
    <row r="415" spans="1:10">
      <c r="A415">
        <v>414</v>
      </c>
      <c r="B415">
        <v>40562</v>
      </c>
      <c r="C415">
        <v>1</v>
      </c>
      <c r="D415">
        <v>0</v>
      </c>
      <c r="E415">
        <v>1</v>
      </c>
      <c r="F415">
        <v>6</v>
      </c>
      <c r="G415" t="b">
        <v>0</v>
      </c>
      <c r="H415">
        <v>3</v>
      </c>
      <c r="I415">
        <v>2</v>
      </c>
      <c r="J415">
        <v>0.22</v>
      </c>
    </row>
    <row r="416" spans="1:10">
      <c r="A416">
        <v>415</v>
      </c>
      <c r="B416">
        <v>40562</v>
      </c>
      <c r="C416">
        <v>1</v>
      </c>
      <c r="D416">
        <v>0</v>
      </c>
      <c r="E416">
        <v>1</v>
      </c>
      <c r="F416">
        <v>7</v>
      </c>
      <c r="G416" t="b">
        <v>0</v>
      </c>
      <c r="H416">
        <v>3</v>
      </c>
      <c r="I416">
        <v>2</v>
      </c>
      <c r="J416">
        <v>0.24</v>
      </c>
    </row>
    <row r="417" spans="1:10">
      <c r="A417">
        <v>416</v>
      </c>
      <c r="B417">
        <v>40562</v>
      </c>
      <c r="C417">
        <v>1</v>
      </c>
      <c r="D417">
        <v>0</v>
      </c>
      <c r="E417">
        <v>1</v>
      </c>
      <c r="F417">
        <v>8</v>
      </c>
      <c r="G417" t="b">
        <v>0</v>
      </c>
      <c r="H417">
        <v>3</v>
      </c>
      <c r="I417">
        <v>2</v>
      </c>
      <c r="J417">
        <v>0.24</v>
      </c>
    </row>
    <row r="418" spans="1:10">
      <c r="A418">
        <v>417</v>
      </c>
      <c r="B418">
        <v>40562</v>
      </c>
      <c r="C418">
        <v>1</v>
      </c>
      <c r="D418">
        <v>0</v>
      </c>
      <c r="E418">
        <v>1</v>
      </c>
      <c r="F418">
        <v>9</v>
      </c>
      <c r="G418" t="b">
        <v>0</v>
      </c>
      <c r="H418">
        <v>3</v>
      </c>
      <c r="I418">
        <v>2</v>
      </c>
      <c r="J418">
        <v>0.24</v>
      </c>
    </row>
    <row r="419" spans="1:10">
      <c r="A419">
        <v>418</v>
      </c>
      <c r="B419">
        <v>40562</v>
      </c>
      <c r="C419">
        <v>1</v>
      </c>
      <c r="D419">
        <v>0</v>
      </c>
      <c r="E419">
        <v>1</v>
      </c>
      <c r="F419">
        <v>10</v>
      </c>
      <c r="G419" t="b">
        <v>0</v>
      </c>
      <c r="H419">
        <v>3</v>
      </c>
      <c r="I419">
        <v>2</v>
      </c>
      <c r="J419">
        <v>0.26</v>
      </c>
    </row>
    <row r="420" spans="1:10">
      <c r="A420">
        <v>419</v>
      </c>
      <c r="B420">
        <v>40562</v>
      </c>
      <c r="C420">
        <v>1</v>
      </c>
      <c r="D420">
        <v>0</v>
      </c>
      <c r="E420">
        <v>1</v>
      </c>
      <c r="F420">
        <v>11</v>
      </c>
      <c r="G420" t="b">
        <v>0</v>
      </c>
      <c r="H420">
        <v>3</v>
      </c>
      <c r="I420">
        <v>2</v>
      </c>
      <c r="J420">
        <v>0.28000000000000003</v>
      </c>
    </row>
    <row r="421" spans="1:10">
      <c r="A421">
        <v>420</v>
      </c>
      <c r="B421">
        <v>40562</v>
      </c>
      <c r="C421">
        <v>1</v>
      </c>
      <c r="D421">
        <v>0</v>
      </c>
      <c r="E421">
        <v>1</v>
      </c>
      <c r="F421">
        <v>12</v>
      </c>
      <c r="G421" t="b">
        <v>0</v>
      </c>
      <c r="H421">
        <v>3</v>
      </c>
      <c r="I421">
        <v>2</v>
      </c>
      <c r="J421">
        <v>0.3</v>
      </c>
    </row>
    <row r="422" spans="1:10">
      <c r="A422">
        <v>421</v>
      </c>
      <c r="B422">
        <v>40562</v>
      </c>
      <c r="C422">
        <v>1</v>
      </c>
      <c r="D422">
        <v>0</v>
      </c>
      <c r="E422">
        <v>1</v>
      </c>
      <c r="F422">
        <v>13</v>
      </c>
      <c r="G422" t="b">
        <v>0</v>
      </c>
      <c r="H422">
        <v>3</v>
      </c>
      <c r="I422">
        <v>1</v>
      </c>
      <c r="J422">
        <v>0.4</v>
      </c>
    </row>
    <row r="423" spans="1:10">
      <c r="A423">
        <v>422</v>
      </c>
      <c r="B423">
        <v>40562</v>
      </c>
      <c r="C423">
        <v>1</v>
      </c>
      <c r="D423">
        <v>0</v>
      </c>
      <c r="E423">
        <v>1</v>
      </c>
      <c r="F423">
        <v>14</v>
      </c>
      <c r="G423" t="b">
        <v>0</v>
      </c>
      <c r="H423">
        <v>3</v>
      </c>
      <c r="I423">
        <v>1</v>
      </c>
      <c r="J423">
        <v>0.4</v>
      </c>
    </row>
    <row r="424" spans="1:10">
      <c r="A424">
        <v>423</v>
      </c>
      <c r="B424">
        <v>40562</v>
      </c>
      <c r="C424">
        <v>1</v>
      </c>
      <c r="D424">
        <v>0</v>
      </c>
      <c r="E424">
        <v>1</v>
      </c>
      <c r="F424">
        <v>15</v>
      </c>
      <c r="G424" t="b">
        <v>0</v>
      </c>
      <c r="H424">
        <v>3</v>
      </c>
      <c r="I424">
        <v>1</v>
      </c>
      <c r="J424">
        <v>0.4</v>
      </c>
    </row>
    <row r="425" spans="1:10">
      <c r="A425">
        <v>424</v>
      </c>
      <c r="B425">
        <v>40562</v>
      </c>
      <c r="C425">
        <v>1</v>
      </c>
      <c r="D425">
        <v>0</v>
      </c>
      <c r="E425">
        <v>1</v>
      </c>
      <c r="F425">
        <v>16</v>
      </c>
      <c r="G425" t="b">
        <v>0</v>
      </c>
      <c r="H425">
        <v>3</v>
      </c>
      <c r="I425">
        <v>1</v>
      </c>
      <c r="J425">
        <v>0.38</v>
      </c>
    </row>
    <row r="426" spans="1:10">
      <c r="A426">
        <v>425</v>
      </c>
      <c r="B426">
        <v>40562</v>
      </c>
      <c r="C426">
        <v>1</v>
      </c>
      <c r="D426">
        <v>0</v>
      </c>
      <c r="E426">
        <v>1</v>
      </c>
      <c r="F426">
        <v>17</v>
      </c>
      <c r="G426" t="b">
        <v>0</v>
      </c>
      <c r="H426">
        <v>3</v>
      </c>
      <c r="I426">
        <v>1</v>
      </c>
      <c r="J426">
        <v>0.36</v>
      </c>
    </row>
    <row r="427" spans="1:10">
      <c r="A427">
        <v>426</v>
      </c>
      <c r="B427">
        <v>40562</v>
      </c>
      <c r="C427">
        <v>1</v>
      </c>
      <c r="D427">
        <v>0</v>
      </c>
      <c r="E427">
        <v>1</v>
      </c>
      <c r="F427">
        <v>18</v>
      </c>
      <c r="G427" t="b">
        <v>0</v>
      </c>
      <c r="H427">
        <v>3</v>
      </c>
      <c r="I427">
        <v>1</v>
      </c>
      <c r="J427">
        <v>0.34</v>
      </c>
    </row>
    <row r="428" spans="1:10">
      <c r="A428">
        <v>427</v>
      </c>
      <c r="B428">
        <v>40562</v>
      </c>
      <c r="C428">
        <v>1</v>
      </c>
      <c r="D428">
        <v>0</v>
      </c>
      <c r="E428">
        <v>1</v>
      </c>
      <c r="F428">
        <v>19</v>
      </c>
      <c r="G428" t="b">
        <v>0</v>
      </c>
      <c r="H428">
        <v>3</v>
      </c>
      <c r="I428">
        <v>1</v>
      </c>
      <c r="J428">
        <v>0.32</v>
      </c>
    </row>
    <row r="429" spans="1:10">
      <c r="A429">
        <v>428</v>
      </c>
      <c r="B429">
        <v>40562</v>
      </c>
      <c r="C429">
        <v>1</v>
      </c>
      <c r="D429">
        <v>0</v>
      </c>
      <c r="E429">
        <v>1</v>
      </c>
      <c r="F429">
        <v>20</v>
      </c>
      <c r="G429" t="b">
        <v>0</v>
      </c>
      <c r="H429">
        <v>3</v>
      </c>
      <c r="I429">
        <v>1</v>
      </c>
      <c r="J429">
        <v>0.32</v>
      </c>
    </row>
    <row r="430" spans="1:10">
      <c r="A430">
        <v>429</v>
      </c>
      <c r="B430">
        <v>40562</v>
      </c>
      <c r="C430">
        <v>1</v>
      </c>
      <c r="D430">
        <v>0</v>
      </c>
      <c r="E430">
        <v>1</v>
      </c>
      <c r="F430">
        <v>21</v>
      </c>
      <c r="G430" t="b">
        <v>0</v>
      </c>
      <c r="H430">
        <v>3</v>
      </c>
      <c r="I430">
        <v>1</v>
      </c>
      <c r="J430">
        <v>0.32</v>
      </c>
    </row>
    <row r="431" spans="1:10">
      <c r="A431">
        <v>430</v>
      </c>
      <c r="B431">
        <v>40562</v>
      </c>
      <c r="C431">
        <v>1</v>
      </c>
      <c r="D431">
        <v>0</v>
      </c>
      <c r="E431">
        <v>1</v>
      </c>
      <c r="F431">
        <v>22</v>
      </c>
      <c r="G431" t="b">
        <v>0</v>
      </c>
      <c r="H431">
        <v>3</v>
      </c>
      <c r="I431">
        <v>1</v>
      </c>
      <c r="J431">
        <v>0.3</v>
      </c>
    </row>
    <row r="432" spans="1:10">
      <c r="A432">
        <v>431</v>
      </c>
      <c r="B432">
        <v>40562</v>
      </c>
      <c r="C432">
        <v>1</v>
      </c>
      <c r="D432">
        <v>0</v>
      </c>
      <c r="E432">
        <v>1</v>
      </c>
      <c r="F432">
        <v>23</v>
      </c>
      <c r="G432" t="b">
        <v>0</v>
      </c>
      <c r="H432">
        <v>3</v>
      </c>
      <c r="I432">
        <v>1</v>
      </c>
      <c r="J432">
        <v>0.3</v>
      </c>
    </row>
    <row r="433" spans="1:10">
      <c r="A433">
        <v>432</v>
      </c>
      <c r="B433">
        <v>40563</v>
      </c>
      <c r="C433">
        <v>1</v>
      </c>
      <c r="D433">
        <v>0</v>
      </c>
      <c r="E433">
        <v>1</v>
      </c>
      <c r="F433">
        <v>0</v>
      </c>
      <c r="G433" t="b">
        <v>0</v>
      </c>
      <c r="H433">
        <v>4</v>
      </c>
      <c r="I433">
        <v>1</v>
      </c>
      <c r="J433">
        <v>0.26</v>
      </c>
    </row>
    <row r="434" spans="1:10">
      <c r="A434">
        <v>433</v>
      </c>
      <c r="B434">
        <v>40563</v>
      </c>
      <c r="C434">
        <v>1</v>
      </c>
      <c r="D434">
        <v>0</v>
      </c>
      <c r="E434">
        <v>1</v>
      </c>
      <c r="F434">
        <v>1</v>
      </c>
      <c r="G434" t="b">
        <v>0</v>
      </c>
      <c r="H434">
        <v>4</v>
      </c>
      <c r="I434">
        <v>1</v>
      </c>
      <c r="J434">
        <v>0.26</v>
      </c>
    </row>
    <row r="435" spans="1:10">
      <c r="A435">
        <v>434</v>
      </c>
      <c r="B435">
        <v>40563</v>
      </c>
      <c r="C435">
        <v>1</v>
      </c>
      <c r="D435">
        <v>0</v>
      </c>
      <c r="E435">
        <v>1</v>
      </c>
      <c r="F435">
        <v>2</v>
      </c>
      <c r="G435" t="b">
        <v>0</v>
      </c>
      <c r="H435">
        <v>4</v>
      </c>
      <c r="I435">
        <v>1</v>
      </c>
      <c r="J435">
        <v>0.26</v>
      </c>
    </row>
    <row r="436" spans="1:10">
      <c r="A436">
        <v>435</v>
      </c>
      <c r="B436">
        <v>40563</v>
      </c>
      <c r="C436">
        <v>1</v>
      </c>
      <c r="D436">
        <v>0</v>
      </c>
      <c r="E436">
        <v>1</v>
      </c>
      <c r="F436">
        <v>3</v>
      </c>
      <c r="G436" t="b">
        <v>0</v>
      </c>
      <c r="H436">
        <v>4</v>
      </c>
      <c r="I436">
        <v>1</v>
      </c>
      <c r="J436">
        <v>0.26</v>
      </c>
    </row>
    <row r="437" spans="1:10">
      <c r="A437">
        <v>436</v>
      </c>
      <c r="B437">
        <v>40563</v>
      </c>
      <c r="C437">
        <v>1</v>
      </c>
      <c r="D437">
        <v>0</v>
      </c>
      <c r="E437">
        <v>1</v>
      </c>
      <c r="F437">
        <v>4</v>
      </c>
      <c r="G437" t="b">
        <v>0</v>
      </c>
      <c r="H437">
        <v>4</v>
      </c>
      <c r="I437">
        <v>1</v>
      </c>
      <c r="J437">
        <v>0.26</v>
      </c>
    </row>
    <row r="438" spans="1:10">
      <c r="A438">
        <v>437</v>
      </c>
      <c r="B438">
        <v>40563</v>
      </c>
      <c r="C438">
        <v>1</v>
      </c>
      <c r="D438">
        <v>0</v>
      </c>
      <c r="E438">
        <v>1</v>
      </c>
      <c r="F438">
        <v>5</v>
      </c>
      <c r="G438" t="b">
        <v>0</v>
      </c>
      <c r="H438">
        <v>4</v>
      </c>
      <c r="I438">
        <v>1</v>
      </c>
      <c r="J438">
        <v>0.24</v>
      </c>
    </row>
    <row r="439" spans="1:10">
      <c r="A439">
        <v>438</v>
      </c>
      <c r="B439">
        <v>40563</v>
      </c>
      <c r="C439">
        <v>1</v>
      </c>
      <c r="D439">
        <v>0</v>
      </c>
      <c r="E439">
        <v>1</v>
      </c>
      <c r="F439">
        <v>6</v>
      </c>
      <c r="G439" t="b">
        <v>0</v>
      </c>
      <c r="H439">
        <v>4</v>
      </c>
      <c r="I439">
        <v>1</v>
      </c>
      <c r="J439">
        <v>0.22</v>
      </c>
    </row>
    <row r="440" spans="1:10">
      <c r="A440">
        <v>439</v>
      </c>
      <c r="B440">
        <v>40563</v>
      </c>
      <c r="C440">
        <v>1</v>
      </c>
      <c r="D440">
        <v>0</v>
      </c>
      <c r="E440">
        <v>1</v>
      </c>
      <c r="F440">
        <v>7</v>
      </c>
      <c r="G440" t="b">
        <v>0</v>
      </c>
      <c r="H440">
        <v>4</v>
      </c>
      <c r="I440">
        <v>1</v>
      </c>
      <c r="J440">
        <v>0.22</v>
      </c>
    </row>
    <row r="441" spans="1:10">
      <c r="A441">
        <v>440</v>
      </c>
      <c r="B441">
        <v>40563</v>
      </c>
      <c r="C441">
        <v>1</v>
      </c>
      <c r="D441">
        <v>0</v>
      </c>
      <c r="E441">
        <v>1</v>
      </c>
      <c r="F441">
        <v>8</v>
      </c>
      <c r="G441" t="b">
        <v>0</v>
      </c>
      <c r="H441">
        <v>4</v>
      </c>
      <c r="I441">
        <v>1</v>
      </c>
      <c r="J441">
        <v>0.22</v>
      </c>
    </row>
    <row r="442" spans="1:10">
      <c r="A442">
        <v>441</v>
      </c>
      <c r="B442">
        <v>40563</v>
      </c>
      <c r="C442">
        <v>1</v>
      </c>
      <c r="D442">
        <v>0</v>
      </c>
      <c r="E442">
        <v>1</v>
      </c>
      <c r="F442">
        <v>9</v>
      </c>
      <c r="G442" t="b">
        <v>0</v>
      </c>
      <c r="H442">
        <v>4</v>
      </c>
      <c r="I442">
        <v>2</v>
      </c>
      <c r="J442">
        <v>0.24</v>
      </c>
    </row>
    <row r="443" spans="1:10">
      <c r="A443">
        <v>442</v>
      </c>
      <c r="B443">
        <v>40563</v>
      </c>
      <c r="C443">
        <v>1</v>
      </c>
      <c r="D443">
        <v>0</v>
      </c>
      <c r="E443">
        <v>1</v>
      </c>
      <c r="F443">
        <v>10</v>
      </c>
      <c r="G443" t="b">
        <v>0</v>
      </c>
      <c r="H443">
        <v>4</v>
      </c>
      <c r="I443">
        <v>1</v>
      </c>
      <c r="J443">
        <v>0.26</v>
      </c>
    </row>
    <row r="444" spans="1:10">
      <c r="A444">
        <v>443</v>
      </c>
      <c r="B444">
        <v>40563</v>
      </c>
      <c r="C444">
        <v>1</v>
      </c>
      <c r="D444">
        <v>0</v>
      </c>
      <c r="E444">
        <v>1</v>
      </c>
      <c r="F444">
        <v>11</v>
      </c>
      <c r="G444" t="b">
        <v>0</v>
      </c>
      <c r="H444">
        <v>4</v>
      </c>
      <c r="I444">
        <v>2</v>
      </c>
      <c r="J444">
        <v>0.28000000000000003</v>
      </c>
    </row>
    <row r="445" spans="1:10">
      <c r="A445">
        <v>444</v>
      </c>
      <c r="B445">
        <v>40563</v>
      </c>
      <c r="C445">
        <v>1</v>
      </c>
      <c r="D445">
        <v>0</v>
      </c>
      <c r="E445">
        <v>1</v>
      </c>
      <c r="F445">
        <v>12</v>
      </c>
      <c r="G445" t="b">
        <v>0</v>
      </c>
      <c r="H445">
        <v>4</v>
      </c>
      <c r="I445">
        <v>2</v>
      </c>
      <c r="J445">
        <v>0.3</v>
      </c>
    </row>
    <row r="446" spans="1:10">
      <c r="A446">
        <v>445</v>
      </c>
      <c r="B446">
        <v>40563</v>
      </c>
      <c r="C446">
        <v>1</v>
      </c>
      <c r="D446">
        <v>0</v>
      </c>
      <c r="E446">
        <v>1</v>
      </c>
      <c r="F446">
        <v>13</v>
      </c>
      <c r="G446" t="b">
        <v>0</v>
      </c>
      <c r="H446">
        <v>4</v>
      </c>
      <c r="I446">
        <v>2</v>
      </c>
      <c r="J446">
        <v>0.28000000000000003</v>
      </c>
    </row>
    <row r="447" spans="1:10">
      <c r="A447">
        <v>446</v>
      </c>
      <c r="B447">
        <v>40563</v>
      </c>
      <c r="C447">
        <v>1</v>
      </c>
      <c r="D447">
        <v>0</v>
      </c>
      <c r="E447">
        <v>1</v>
      </c>
      <c r="F447">
        <v>14</v>
      </c>
      <c r="G447" t="b">
        <v>0</v>
      </c>
      <c r="H447">
        <v>4</v>
      </c>
      <c r="I447">
        <v>2</v>
      </c>
      <c r="J447">
        <v>0.3</v>
      </c>
    </row>
    <row r="448" spans="1:10">
      <c r="A448">
        <v>447</v>
      </c>
      <c r="B448">
        <v>40563</v>
      </c>
      <c r="C448">
        <v>1</v>
      </c>
      <c r="D448">
        <v>0</v>
      </c>
      <c r="E448">
        <v>1</v>
      </c>
      <c r="F448">
        <v>15</v>
      </c>
      <c r="G448" t="b">
        <v>0</v>
      </c>
      <c r="H448">
        <v>4</v>
      </c>
      <c r="I448">
        <v>2</v>
      </c>
      <c r="J448">
        <v>0.32</v>
      </c>
    </row>
    <row r="449" spans="1:10">
      <c r="A449">
        <v>448</v>
      </c>
      <c r="B449">
        <v>40563</v>
      </c>
      <c r="C449">
        <v>1</v>
      </c>
      <c r="D449">
        <v>0</v>
      </c>
      <c r="E449">
        <v>1</v>
      </c>
      <c r="F449">
        <v>16</v>
      </c>
      <c r="G449" t="b">
        <v>0</v>
      </c>
      <c r="H449">
        <v>4</v>
      </c>
      <c r="I449">
        <v>2</v>
      </c>
      <c r="J449">
        <v>0.3</v>
      </c>
    </row>
    <row r="450" spans="1:10">
      <c r="A450">
        <v>449</v>
      </c>
      <c r="B450">
        <v>40563</v>
      </c>
      <c r="C450">
        <v>1</v>
      </c>
      <c r="D450">
        <v>0</v>
      </c>
      <c r="E450">
        <v>1</v>
      </c>
      <c r="F450">
        <v>17</v>
      </c>
      <c r="G450" t="b">
        <v>0</v>
      </c>
      <c r="H450">
        <v>4</v>
      </c>
      <c r="I450">
        <v>2</v>
      </c>
      <c r="J450">
        <v>0.3</v>
      </c>
    </row>
    <row r="451" spans="1:10">
      <c r="A451">
        <v>450</v>
      </c>
      <c r="B451">
        <v>40563</v>
      </c>
      <c r="C451">
        <v>1</v>
      </c>
      <c r="D451">
        <v>0</v>
      </c>
      <c r="E451">
        <v>1</v>
      </c>
      <c r="F451">
        <v>18</v>
      </c>
      <c r="G451" t="b">
        <v>0</v>
      </c>
      <c r="H451">
        <v>4</v>
      </c>
      <c r="I451">
        <v>2</v>
      </c>
      <c r="J451">
        <v>0.26</v>
      </c>
    </row>
    <row r="452" spans="1:10">
      <c r="A452">
        <v>451</v>
      </c>
      <c r="B452">
        <v>40563</v>
      </c>
      <c r="C452">
        <v>1</v>
      </c>
      <c r="D452">
        <v>0</v>
      </c>
      <c r="E452">
        <v>1</v>
      </c>
      <c r="F452">
        <v>19</v>
      </c>
      <c r="G452" t="b">
        <v>0</v>
      </c>
      <c r="H452">
        <v>4</v>
      </c>
      <c r="I452">
        <v>1</v>
      </c>
      <c r="J452">
        <v>0.26</v>
      </c>
    </row>
    <row r="453" spans="1:10">
      <c r="A453">
        <v>452</v>
      </c>
      <c r="B453">
        <v>40563</v>
      </c>
      <c r="C453">
        <v>1</v>
      </c>
      <c r="D453">
        <v>0</v>
      </c>
      <c r="E453">
        <v>1</v>
      </c>
      <c r="F453">
        <v>20</v>
      </c>
      <c r="G453" t="b">
        <v>0</v>
      </c>
      <c r="H453">
        <v>4</v>
      </c>
      <c r="I453">
        <v>2</v>
      </c>
      <c r="J453">
        <v>0.26</v>
      </c>
    </row>
    <row r="454" spans="1:10">
      <c r="A454">
        <v>453</v>
      </c>
      <c r="B454">
        <v>40563</v>
      </c>
      <c r="C454">
        <v>1</v>
      </c>
      <c r="D454">
        <v>0</v>
      </c>
      <c r="E454">
        <v>1</v>
      </c>
      <c r="F454">
        <v>21</v>
      </c>
      <c r="G454" t="b">
        <v>0</v>
      </c>
      <c r="H454">
        <v>4</v>
      </c>
      <c r="I454">
        <v>2</v>
      </c>
      <c r="J454">
        <v>0.24</v>
      </c>
    </row>
    <row r="455" spans="1:10">
      <c r="A455">
        <v>454</v>
      </c>
      <c r="B455">
        <v>40563</v>
      </c>
      <c r="C455">
        <v>1</v>
      </c>
      <c r="D455">
        <v>0</v>
      </c>
      <c r="E455">
        <v>1</v>
      </c>
      <c r="F455">
        <v>22</v>
      </c>
      <c r="G455" t="b">
        <v>0</v>
      </c>
      <c r="H455">
        <v>4</v>
      </c>
      <c r="I455">
        <v>2</v>
      </c>
      <c r="J455">
        <v>0.24</v>
      </c>
    </row>
    <row r="456" spans="1:10">
      <c r="A456">
        <v>455</v>
      </c>
      <c r="B456">
        <v>40563</v>
      </c>
      <c r="C456">
        <v>1</v>
      </c>
      <c r="D456">
        <v>0</v>
      </c>
      <c r="E456">
        <v>1</v>
      </c>
      <c r="F456">
        <v>23</v>
      </c>
      <c r="G456" t="b">
        <v>0</v>
      </c>
      <c r="H456">
        <v>4</v>
      </c>
      <c r="I456">
        <v>2</v>
      </c>
      <c r="J456">
        <v>0.24</v>
      </c>
    </row>
    <row r="457" spans="1:10">
      <c r="A457">
        <v>456</v>
      </c>
      <c r="B457">
        <v>40564</v>
      </c>
      <c r="C457">
        <v>1</v>
      </c>
      <c r="D457">
        <v>0</v>
      </c>
      <c r="E457">
        <v>1</v>
      </c>
      <c r="F457">
        <v>0</v>
      </c>
      <c r="G457" t="b">
        <v>0</v>
      </c>
      <c r="H457">
        <v>5</v>
      </c>
      <c r="I457">
        <v>2</v>
      </c>
      <c r="J457">
        <v>0.24</v>
      </c>
    </row>
    <row r="458" spans="1:10">
      <c r="A458">
        <v>457</v>
      </c>
      <c r="B458">
        <v>40564</v>
      </c>
      <c r="C458">
        <v>1</v>
      </c>
      <c r="D458">
        <v>0</v>
      </c>
      <c r="E458">
        <v>1</v>
      </c>
      <c r="F458">
        <v>1</v>
      </c>
      <c r="G458" t="b">
        <v>0</v>
      </c>
      <c r="H458">
        <v>5</v>
      </c>
      <c r="I458">
        <v>2</v>
      </c>
      <c r="J458">
        <v>0.24</v>
      </c>
    </row>
    <row r="459" spans="1:10">
      <c r="A459">
        <v>458</v>
      </c>
      <c r="B459">
        <v>40564</v>
      </c>
      <c r="C459">
        <v>1</v>
      </c>
      <c r="D459">
        <v>0</v>
      </c>
      <c r="E459">
        <v>1</v>
      </c>
      <c r="F459">
        <v>2</v>
      </c>
      <c r="G459" t="b">
        <v>0</v>
      </c>
      <c r="H459">
        <v>5</v>
      </c>
      <c r="I459">
        <v>3</v>
      </c>
      <c r="J459">
        <v>0.24</v>
      </c>
    </row>
    <row r="460" spans="1:10">
      <c r="A460">
        <v>459</v>
      </c>
      <c r="B460">
        <v>40564</v>
      </c>
      <c r="C460">
        <v>1</v>
      </c>
      <c r="D460">
        <v>0</v>
      </c>
      <c r="E460">
        <v>1</v>
      </c>
      <c r="F460">
        <v>3</v>
      </c>
      <c r="G460" t="b">
        <v>0</v>
      </c>
      <c r="H460">
        <v>5</v>
      </c>
      <c r="I460">
        <v>3</v>
      </c>
      <c r="J460">
        <v>0.22</v>
      </c>
    </row>
    <row r="461" spans="1:10">
      <c r="A461">
        <v>460</v>
      </c>
      <c r="B461">
        <v>40564</v>
      </c>
      <c r="C461">
        <v>1</v>
      </c>
      <c r="D461">
        <v>0</v>
      </c>
      <c r="E461">
        <v>1</v>
      </c>
      <c r="F461">
        <v>4</v>
      </c>
      <c r="G461" t="b">
        <v>0</v>
      </c>
      <c r="H461">
        <v>5</v>
      </c>
      <c r="I461">
        <v>2</v>
      </c>
      <c r="J461">
        <v>0.22</v>
      </c>
    </row>
    <row r="462" spans="1:10">
      <c r="A462">
        <v>461</v>
      </c>
      <c r="B462">
        <v>40564</v>
      </c>
      <c r="C462">
        <v>1</v>
      </c>
      <c r="D462">
        <v>0</v>
      </c>
      <c r="E462">
        <v>1</v>
      </c>
      <c r="F462">
        <v>5</v>
      </c>
      <c r="G462" t="b">
        <v>0</v>
      </c>
      <c r="H462">
        <v>5</v>
      </c>
      <c r="I462">
        <v>1</v>
      </c>
      <c r="J462">
        <v>0.24</v>
      </c>
    </row>
    <row r="463" spans="1:10">
      <c r="A463">
        <v>462</v>
      </c>
      <c r="B463">
        <v>40564</v>
      </c>
      <c r="C463">
        <v>1</v>
      </c>
      <c r="D463">
        <v>0</v>
      </c>
      <c r="E463">
        <v>1</v>
      </c>
      <c r="F463">
        <v>6</v>
      </c>
      <c r="G463" t="b">
        <v>0</v>
      </c>
      <c r="H463">
        <v>5</v>
      </c>
      <c r="I463">
        <v>1</v>
      </c>
      <c r="J463">
        <v>0.22</v>
      </c>
    </row>
    <row r="464" spans="1:10">
      <c r="A464">
        <v>463</v>
      </c>
      <c r="B464">
        <v>40564</v>
      </c>
      <c r="C464">
        <v>1</v>
      </c>
      <c r="D464">
        <v>0</v>
      </c>
      <c r="E464">
        <v>1</v>
      </c>
      <c r="F464">
        <v>7</v>
      </c>
      <c r="G464" t="b">
        <v>0</v>
      </c>
      <c r="H464">
        <v>5</v>
      </c>
      <c r="I464">
        <v>1</v>
      </c>
      <c r="J464">
        <v>0.2</v>
      </c>
    </row>
    <row r="465" spans="1:10">
      <c r="A465">
        <v>464</v>
      </c>
      <c r="B465">
        <v>40564</v>
      </c>
      <c r="C465">
        <v>1</v>
      </c>
      <c r="D465">
        <v>0</v>
      </c>
      <c r="E465">
        <v>1</v>
      </c>
      <c r="F465">
        <v>8</v>
      </c>
      <c r="G465" t="b">
        <v>0</v>
      </c>
      <c r="H465">
        <v>5</v>
      </c>
      <c r="I465">
        <v>1</v>
      </c>
      <c r="J465">
        <v>0.2</v>
      </c>
    </row>
    <row r="466" spans="1:10">
      <c r="A466">
        <v>465</v>
      </c>
      <c r="B466">
        <v>40564</v>
      </c>
      <c r="C466">
        <v>1</v>
      </c>
      <c r="D466">
        <v>0</v>
      </c>
      <c r="E466">
        <v>1</v>
      </c>
      <c r="F466">
        <v>9</v>
      </c>
      <c r="G466" t="b">
        <v>0</v>
      </c>
      <c r="H466">
        <v>5</v>
      </c>
      <c r="I466">
        <v>1</v>
      </c>
      <c r="J466">
        <v>0.2</v>
      </c>
    </row>
    <row r="467" spans="1:10">
      <c r="A467">
        <v>466</v>
      </c>
      <c r="B467">
        <v>40564</v>
      </c>
      <c r="C467">
        <v>1</v>
      </c>
      <c r="D467">
        <v>0</v>
      </c>
      <c r="E467">
        <v>1</v>
      </c>
      <c r="F467">
        <v>10</v>
      </c>
      <c r="G467" t="b">
        <v>0</v>
      </c>
      <c r="H467">
        <v>5</v>
      </c>
      <c r="I467">
        <v>1</v>
      </c>
      <c r="J467">
        <v>0.2</v>
      </c>
    </row>
    <row r="468" spans="1:10">
      <c r="A468">
        <v>467</v>
      </c>
      <c r="B468">
        <v>40564</v>
      </c>
      <c r="C468">
        <v>1</v>
      </c>
      <c r="D468">
        <v>0</v>
      </c>
      <c r="E468">
        <v>1</v>
      </c>
      <c r="F468">
        <v>11</v>
      </c>
      <c r="G468" t="b">
        <v>0</v>
      </c>
      <c r="H468">
        <v>5</v>
      </c>
      <c r="I468">
        <v>1</v>
      </c>
      <c r="J468">
        <v>0.22</v>
      </c>
    </row>
    <row r="469" spans="1:10">
      <c r="A469">
        <v>468</v>
      </c>
      <c r="B469">
        <v>40564</v>
      </c>
      <c r="C469">
        <v>1</v>
      </c>
      <c r="D469">
        <v>0</v>
      </c>
      <c r="E469">
        <v>1</v>
      </c>
      <c r="F469">
        <v>12</v>
      </c>
      <c r="G469" t="b">
        <v>0</v>
      </c>
      <c r="H469">
        <v>5</v>
      </c>
      <c r="I469">
        <v>1</v>
      </c>
      <c r="J469">
        <v>0.22</v>
      </c>
    </row>
    <row r="470" spans="1:10">
      <c r="A470">
        <v>469</v>
      </c>
      <c r="B470">
        <v>40564</v>
      </c>
      <c r="C470">
        <v>1</v>
      </c>
      <c r="D470">
        <v>0</v>
      </c>
      <c r="E470">
        <v>1</v>
      </c>
      <c r="F470">
        <v>13</v>
      </c>
      <c r="G470" t="b">
        <v>0</v>
      </c>
      <c r="H470">
        <v>5</v>
      </c>
      <c r="I470">
        <v>1</v>
      </c>
      <c r="J470">
        <v>0.2</v>
      </c>
    </row>
    <row r="471" spans="1:10">
      <c r="A471">
        <v>470</v>
      </c>
      <c r="B471">
        <v>40564</v>
      </c>
      <c r="C471">
        <v>1</v>
      </c>
      <c r="D471">
        <v>0</v>
      </c>
      <c r="E471">
        <v>1</v>
      </c>
      <c r="F471">
        <v>14</v>
      </c>
      <c r="G471" t="b">
        <v>0</v>
      </c>
      <c r="H471">
        <v>5</v>
      </c>
      <c r="I471">
        <v>1</v>
      </c>
      <c r="J471">
        <v>0.2</v>
      </c>
    </row>
    <row r="472" spans="1:10">
      <c r="A472">
        <v>471</v>
      </c>
      <c r="B472">
        <v>40564</v>
      </c>
      <c r="C472">
        <v>1</v>
      </c>
      <c r="D472">
        <v>0</v>
      </c>
      <c r="E472">
        <v>1</v>
      </c>
      <c r="F472">
        <v>15</v>
      </c>
      <c r="G472" t="b">
        <v>0</v>
      </c>
      <c r="H472">
        <v>5</v>
      </c>
      <c r="I472">
        <v>1</v>
      </c>
      <c r="J472">
        <v>0.16</v>
      </c>
    </row>
    <row r="473" spans="1:10">
      <c r="A473">
        <v>472</v>
      </c>
      <c r="B473">
        <v>40564</v>
      </c>
      <c r="C473">
        <v>1</v>
      </c>
      <c r="D473">
        <v>0</v>
      </c>
      <c r="E473">
        <v>1</v>
      </c>
      <c r="F473">
        <v>16</v>
      </c>
      <c r="G473" t="b">
        <v>0</v>
      </c>
      <c r="H473">
        <v>5</v>
      </c>
      <c r="I473">
        <v>1</v>
      </c>
      <c r="J473">
        <v>0.16</v>
      </c>
    </row>
    <row r="474" spans="1:10">
      <c r="A474">
        <v>473</v>
      </c>
      <c r="B474">
        <v>40564</v>
      </c>
      <c r="C474">
        <v>1</v>
      </c>
      <c r="D474">
        <v>0</v>
      </c>
      <c r="E474">
        <v>1</v>
      </c>
      <c r="F474">
        <v>17</v>
      </c>
      <c r="G474" t="b">
        <v>0</v>
      </c>
      <c r="H474">
        <v>5</v>
      </c>
      <c r="I474">
        <v>1</v>
      </c>
      <c r="J474">
        <v>0.14000000000000001</v>
      </c>
    </row>
    <row r="475" spans="1:10">
      <c r="A475">
        <v>474</v>
      </c>
      <c r="B475">
        <v>40564</v>
      </c>
      <c r="C475">
        <v>1</v>
      </c>
      <c r="D475">
        <v>0</v>
      </c>
      <c r="E475">
        <v>1</v>
      </c>
      <c r="F475">
        <v>18</v>
      </c>
      <c r="G475" t="b">
        <v>0</v>
      </c>
      <c r="H475">
        <v>5</v>
      </c>
      <c r="I475">
        <v>1</v>
      </c>
      <c r="J475">
        <v>0.12</v>
      </c>
    </row>
    <row r="476" spans="1:10">
      <c r="A476">
        <v>475</v>
      </c>
      <c r="B476">
        <v>40564</v>
      </c>
      <c r="C476">
        <v>1</v>
      </c>
      <c r="D476">
        <v>0</v>
      </c>
      <c r="E476">
        <v>1</v>
      </c>
      <c r="F476">
        <v>19</v>
      </c>
      <c r="G476" t="b">
        <v>0</v>
      </c>
      <c r="H476">
        <v>5</v>
      </c>
      <c r="I476">
        <v>1</v>
      </c>
      <c r="J476">
        <v>0.12</v>
      </c>
    </row>
    <row r="477" spans="1:10">
      <c r="A477">
        <v>476</v>
      </c>
      <c r="B477">
        <v>40564</v>
      </c>
      <c r="C477">
        <v>1</v>
      </c>
      <c r="D477">
        <v>0</v>
      </c>
      <c r="E477">
        <v>1</v>
      </c>
      <c r="F477">
        <v>20</v>
      </c>
      <c r="G477" t="b">
        <v>0</v>
      </c>
      <c r="H477">
        <v>5</v>
      </c>
      <c r="I477">
        <v>1</v>
      </c>
      <c r="J477">
        <v>0.1</v>
      </c>
    </row>
    <row r="478" spans="1:10">
      <c r="A478">
        <v>477</v>
      </c>
      <c r="B478">
        <v>40564</v>
      </c>
      <c r="C478">
        <v>1</v>
      </c>
      <c r="D478">
        <v>0</v>
      </c>
      <c r="E478">
        <v>1</v>
      </c>
      <c r="F478">
        <v>21</v>
      </c>
      <c r="G478" t="b">
        <v>0</v>
      </c>
      <c r="H478">
        <v>5</v>
      </c>
      <c r="I478">
        <v>1</v>
      </c>
      <c r="J478">
        <v>0.08</v>
      </c>
    </row>
    <row r="479" spans="1:10">
      <c r="A479">
        <v>478</v>
      </c>
      <c r="B479">
        <v>40564</v>
      </c>
      <c r="C479">
        <v>1</v>
      </c>
      <c r="D479">
        <v>0</v>
      </c>
      <c r="E479">
        <v>1</v>
      </c>
      <c r="F479">
        <v>22</v>
      </c>
      <c r="G479" t="b">
        <v>0</v>
      </c>
      <c r="H479">
        <v>5</v>
      </c>
      <c r="I479">
        <v>1</v>
      </c>
      <c r="J479">
        <v>0.06</v>
      </c>
    </row>
    <row r="480" spans="1:10">
      <c r="A480">
        <v>479</v>
      </c>
      <c r="B480">
        <v>40564</v>
      </c>
      <c r="C480">
        <v>1</v>
      </c>
      <c r="D480">
        <v>0</v>
      </c>
      <c r="E480">
        <v>1</v>
      </c>
      <c r="F480">
        <v>23</v>
      </c>
      <c r="G480" t="b">
        <v>0</v>
      </c>
      <c r="H480">
        <v>5</v>
      </c>
      <c r="I480">
        <v>1</v>
      </c>
      <c r="J480">
        <v>0.06</v>
      </c>
    </row>
    <row r="481" spans="1:10">
      <c r="A481">
        <v>480</v>
      </c>
      <c r="B481">
        <v>40565</v>
      </c>
      <c r="C481">
        <v>1</v>
      </c>
      <c r="D481">
        <v>0</v>
      </c>
      <c r="E481">
        <v>1</v>
      </c>
      <c r="F481">
        <v>0</v>
      </c>
      <c r="G481" t="b">
        <v>0</v>
      </c>
      <c r="H481">
        <v>6</v>
      </c>
      <c r="I481">
        <v>1</v>
      </c>
      <c r="J481">
        <v>0.04</v>
      </c>
    </row>
    <row r="482" spans="1:10">
      <c r="A482">
        <v>481</v>
      </c>
      <c r="B482">
        <v>40565</v>
      </c>
      <c r="C482">
        <v>1</v>
      </c>
      <c r="D482">
        <v>0</v>
      </c>
      <c r="E482">
        <v>1</v>
      </c>
      <c r="F482">
        <v>1</v>
      </c>
      <c r="G482" t="b">
        <v>0</v>
      </c>
      <c r="H482">
        <v>6</v>
      </c>
      <c r="I482">
        <v>2</v>
      </c>
      <c r="J482">
        <v>0.04</v>
      </c>
    </row>
    <row r="483" spans="1:10">
      <c r="A483">
        <v>482</v>
      </c>
      <c r="B483">
        <v>40565</v>
      </c>
      <c r="C483">
        <v>1</v>
      </c>
      <c r="D483">
        <v>0</v>
      </c>
      <c r="E483">
        <v>1</v>
      </c>
      <c r="F483">
        <v>2</v>
      </c>
      <c r="G483" t="b">
        <v>0</v>
      </c>
      <c r="H483">
        <v>6</v>
      </c>
      <c r="I483">
        <v>2</v>
      </c>
      <c r="J483">
        <v>0.04</v>
      </c>
    </row>
    <row r="484" spans="1:10">
      <c r="A484">
        <v>483</v>
      </c>
      <c r="B484">
        <v>40565</v>
      </c>
      <c r="C484">
        <v>1</v>
      </c>
      <c r="D484">
        <v>0</v>
      </c>
      <c r="E484">
        <v>1</v>
      </c>
      <c r="F484">
        <v>3</v>
      </c>
      <c r="G484" t="b">
        <v>0</v>
      </c>
      <c r="H484">
        <v>6</v>
      </c>
      <c r="I484">
        <v>2</v>
      </c>
      <c r="J484">
        <v>0.04</v>
      </c>
    </row>
    <row r="485" spans="1:10">
      <c r="A485">
        <v>484</v>
      </c>
      <c r="B485">
        <v>40565</v>
      </c>
      <c r="C485">
        <v>1</v>
      </c>
      <c r="D485">
        <v>0</v>
      </c>
      <c r="E485">
        <v>1</v>
      </c>
      <c r="F485">
        <v>4</v>
      </c>
      <c r="G485" t="b">
        <v>0</v>
      </c>
      <c r="H485">
        <v>6</v>
      </c>
      <c r="I485">
        <v>2</v>
      </c>
      <c r="J485">
        <v>0.02</v>
      </c>
    </row>
    <row r="486" spans="1:10">
      <c r="A486">
        <v>485</v>
      </c>
      <c r="B486">
        <v>40565</v>
      </c>
      <c r="C486">
        <v>1</v>
      </c>
      <c r="D486">
        <v>0</v>
      </c>
      <c r="E486">
        <v>1</v>
      </c>
      <c r="F486">
        <v>6</v>
      </c>
      <c r="G486" t="b">
        <v>0</v>
      </c>
      <c r="H486">
        <v>6</v>
      </c>
      <c r="I486">
        <v>2</v>
      </c>
      <c r="J486">
        <v>0.02</v>
      </c>
    </row>
    <row r="487" spans="1:10">
      <c r="A487">
        <v>486</v>
      </c>
      <c r="B487">
        <v>40565</v>
      </c>
      <c r="C487">
        <v>1</v>
      </c>
      <c r="D487">
        <v>0</v>
      </c>
      <c r="E487">
        <v>1</v>
      </c>
      <c r="F487">
        <v>7</v>
      </c>
      <c r="G487" t="b">
        <v>0</v>
      </c>
      <c r="H487">
        <v>6</v>
      </c>
      <c r="I487">
        <v>1</v>
      </c>
      <c r="J487">
        <v>0.02</v>
      </c>
    </row>
    <row r="488" spans="1:10">
      <c r="A488">
        <v>487</v>
      </c>
      <c r="B488">
        <v>40565</v>
      </c>
      <c r="C488">
        <v>1</v>
      </c>
      <c r="D488">
        <v>0</v>
      </c>
      <c r="E488">
        <v>1</v>
      </c>
      <c r="F488">
        <v>8</v>
      </c>
      <c r="G488" t="b">
        <v>0</v>
      </c>
      <c r="H488">
        <v>6</v>
      </c>
      <c r="I488">
        <v>1</v>
      </c>
      <c r="J488">
        <v>0.02</v>
      </c>
    </row>
    <row r="489" spans="1:10">
      <c r="A489">
        <v>488</v>
      </c>
      <c r="B489">
        <v>40565</v>
      </c>
      <c r="C489">
        <v>1</v>
      </c>
      <c r="D489">
        <v>0</v>
      </c>
      <c r="E489">
        <v>1</v>
      </c>
      <c r="F489">
        <v>9</v>
      </c>
      <c r="G489" t="b">
        <v>0</v>
      </c>
      <c r="H489">
        <v>6</v>
      </c>
      <c r="I489">
        <v>1</v>
      </c>
      <c r="J489">
        <v>0.04</v>
      </c>
    </row>
    <row r="490" spans="1:10">
      <c r="A490">
        <v>489</v>
      </c>
      <c r="B490">
        <v>40565</v>
      </c>
      <c r="C490">
        <v>1</v>
      </c>
      <c r="D490">
        <v>0</v>
      </c>
      <c r="E490">
        <v>1</v>
      </c>
      <c r="F490">
        <v>10</v>
      </c>
      <c r="G490" t="b">
        <v>0</v>
      </c>
      <c r="H490">
        <v>6</v>
      </c>
      <c r="I490">
        <v>2</v>
      </c>
      <c r="J490">
        <v>0.04</v>
      </c>
    </row>
    <row r="491" spans="1:10">
      <c r="A491">
        <v>490</v>
      </c>
      <c r="B491">
        <v>40565</v>
      </c>
      <c r="C491">
        <v>1</v>
      </c>
      <c r="D491">
        <v>0</v>
      </c>
      <c r="E491">
        <v>1</v>
      </c>
      <c r="F491">
        <v>11</v>
      </c>
      <c r="G491" t="b">
        <v>0</v>
      </c>
      <c r="H491">
        <v>6</v>
      </c>
      <c r="I491">
        <v>2</v>
      </c>
      <c r="J491">
        <v>0.06</v>
      </c>
    </row>
    <row r="492" spans="1:10">
      <c r="A492">
        <v>491</v>
      </c>
      <c r="B492">
        <v>40565</v>
      </c>
      <c r="C492">
        <v>1</v>
      </c>
      <c r="D492">
        <v>0</v>
      </c>
      <c r="E492">
        <v>1</v>
      </c>
      <c r="F492">
        <v>12</v>
      </c>
      <c r="G492" t="b">
        <v>0</v>
      </c>
      <c r="H492">
        <v>6</v>
      </c>
      <c r="I492">
        <v>2</v>
      </c>
      <c r="J492">
        <v>0.06</v>
      </c>
    </row>
    <row r="493" spans="1:10">
      <c r="A493">
        <v>492</v>
      </c>
      <c r="B493">
        <v>40565</v>
      </c>
      <c r="C493">
        <v>1</v>
      </c>
      <c r="D493">
        <v>0</v>
      </c>
      <c r="E493">
        <v>1</v>
      </c>
      <c r="F493">
        <v>13</v>
      </c>
      <c r="G493" t="b">
        <v>0</v>
      </c>
      <c r="H493">
        <v>6</v>
      </c>
      <c r="I493">
        <v>1</v>
      </c>
      <c r="J493">
        <v>0.08</v>
      </c>
    </row>
    <row r="494" spans="1:10">
      <c r="A494">
        <v>493</v>
      </c>
      <c r="B494">
        <v>40565</v>
      </c>
      <c r="C494">
        <v>1</v>
      </c>
      <c r="D494">
        <v>0</v>
      </c>
      <c r="E494">
        <v>1</v>
      </c>
      <c r="F494">
        <v>14</v>
      </c>
      <c r="G494" t="b">
        <v>0</v>
      </c>
      <c r="H494">
        <v>6</v>
      </c>
      <c r="I494">
        <v>1</v>
      </c>
      <c r="J494">
        <v>0.1</v>
      </c>
    </row>
    <row r="495" spans="1:10">
      <c r="A495">
        <v>494</v>
      </c>
      <c r="B495">
        <v>40565</v>
      </c>
      <c r="C495">
        <v>1</v>
      </c>
      <c r="D495">
        <v>0</v>
      </c>
      <c r="E495">
        <v>1</v>
      </c>
      <c r="F495">
        <v>15</v>
      </c>
      <c r="G495" t="b">
        <v>0</v>
      </c>
      <c r="H495">
        <v>6</v>
      </c>
      <c r="I495">
        <v>1</v>
      </c>
      <c r="J495">
        <v>0.12</v>
      </c>
    </row>
    <row r="496" spans="1:10">
      <c r="A496">
        <v>495</v>
      </c>
      <c r="B496">
        <v>40565</v>
      </c>
      <c r="C496">
        <v>1</v>
      </c>
      <c r="D496">
        <v>0</v>
      </c>
      <c r="E496">
        <v>1</v>
      </c>
      <c r="F496">
        <v>16</v>
      </c>
      <c r="G496" t="b">
        <v>0</v>
      </c>
      <c r="H496">
        <v>6</v>
      </c>
      <c r="I496">
        <v>1</v>
      </c>
      <c r="J496">
        <v>0.12</v>
      </c>
    </row>
    <row r="497" spans="1:10">
      <c r="A497">
        <v>496</v>
      </c>
      <c r="B497">
        <v>40565</v>
      </c>
      <c r="C497">
        <v>1</v>
      </c>
      <c r="D497">
        <v>0</v>
      </c>
      <c r="E497">
        <v>1</v>
      </c>
      <c r="F497">
        <v>17</v>
      </c>
      <c r="G497" t="b">
        <v>0</v>
      </c>
      <c r="H497">
        <v>6</v>
      </c>
      <c r="I497">
        <v>1</v>
      </c>
      <c r="J497">
        <v>0.12</v>
      </c>
    </row>
    <row r="498" spans="1:10">
      <c r="A498">
        <v>497</v>
      </c>
      <c r="B498">
        <v>40565</v>
      </c>
      <c r="C498">
        <v>1</v>
      </c>
      <c r="D498">
        <v>0</v>
      </c>
      <c r="E498">
        <v>1</v>
      </c>
      <c r="F498">
        <v>18</v>
      </c>
      <c r="G498" t="b">
        <v>0</v>
      </c>
      <c r="H498">
        <v>6</v>
      </c>
      <c r="I498">
        <v>1</v>
      </c>
      <c r="J498">
        <v>0.08</v>
      </c>
    </row>
    <row r="499" spans="1:10">
      <c r="A499">
        <v>498</v>
      </c>
      <c r="B499">
        <v>40565</v>
      </c>
      <c r="C499">
        <v>1</v>
      </c>
      <c r="D499">
        <v>0</v>
      </c>
      <c r="E499">
        <v>1</v>
      </c>
      <c r="F499">
        <v>19</v>
      </c>
      <c r="G499" t="b">
        <v>0</v>
      </c>
      <c r="H499">
        <v>6</v>
      </c>
      <c r="I499">
        <v>1</v>
      </c>
      <c r="J499">
        <v>0.08</v>
      </c>
    </row>
    <row r="500" spans="1:10">
      <c r="A500">
        <v>499</v>
      </c>
      <c r="B500">
        <v>40565</v>
      </c>
      <c r="C500">
        <v>1</v>
      </c>
      <c r="D500">
        <v>0</v>
      </c>
      <c r="E500">
        <v>1</v>
      </c>
      <c r="F500">
        <v>20</v>
      </c>
      <c r="G500" t="b">
        <v>0</v>
      </c>
      <c r="H500">
        <v>6</v>
      </c>
      <c r="I500">
        <v>1</v>
      </c>
      <c r="J500">
        <v>0.06</v>
      </c>
    </row>
    <row r="501" spans="1:10">
      <c r="A501">
        <v>500</v>
      </c>
      <c r="B501">
        <v>40565</v>
      </c>
      <c r="C501">
        <v>1</v>
      </c>
      <c r="D501">
        <v>0</v>
      </c>
      <c r="E501">
        <v>1</v>
      </c>
      <c r="F501">
        <v>21</v>
      </c>
      <c r="G501" t="b">
        <v>0</v>
      </c>
      <c r="H501">
        <v>6</v>
      </c>
      <c r="I501">
        <v>1</v>
      </c>
      <c r="J501">
        <v>0.06</v>
      </c>
    </row>
    <row r="502" spans="1:10">
      <c r="A502">
        <v>501</v>
      </c>
      <c r="B502">
        <v>40565</v>
      </c>
      <c r="C502">
        <v>1</v>
      </c>
      <c r="D502">
        <v>0</v>
      </c>
      <c r="E502">
        <v>1</v>
      </c>
      <c r="F502">
        <v>22</v>
      </c>
      <c r="G502" t="b">
        <v>0</v>
      </c>
      <c r="H502">
        <v>6</v>
      </c>
      <c r="I502">
        <v>1</v>
      </c>
      <c r="J502">
        <v>0.06</v>
      </c>
    </row>
    <row r="503" spans="1:10">
      <c r="A503">
        <v>502</v>
      </c>
      <c r="B503">
        <v>40565</v>
      </c>
      <c r="C503">
        <v>1</v>
      </c>
      <c r="D503">
        <v>0</v>
      </c>
      <c r="E503">
        <v>1</v>
      </c>
      <c r="F503">
        <v>23</v>
      </c>
      <c r="G503" t="b">
        <v>0</v>
      </c>
      <c r="H503">
        <v>6</v>
      </c>
      <c r="I503">
        <v>1</v>
      </c>
      <c r="J503">
        <v>0.04</v>
      </c>
    </row>
    <row r="504" spans="1:10">
      <c r="A504">
        <v>503</v>
      </c>
      <c r="B504">
        <v>40566</v>
      </c>
      <c r="C504">
        <v>1</v>
      </c>
      <c r="D504">
        <v>0</v>
      </c>
      <c r="E504">
        <v>1</v>
      </c>
      <c r="F504">
        <v>0</v>
      </c>
      <c r="G504" t="b">
        <v>0</v>
      </c>
      <c r="H504">
        <v>0</v>
      </c>
      <c r="I504">
        <v>1</v>
      </c>
      <c r="J504">
        <v>0.04</v>
      </c>
    </row>
    <row r="505" spans="1:10">
      <c r="A505">
        <v>504</v>
      </c>
      <c r="B505">
        <v>40566</v>
      </c>
      <c r="C505">
        <v>1</v>
      </c>
      <c r="D505">
        <v>0</v>
      </c>
      <c r="E505">
        <v>1</v>
      </c>
      <c r="F505">
        <v>1</v>
      </c>
      <c r="G505" t="b">
        <v>0</v>
      </c>
      <c r="H505">
        <v>0</v>
      </c>
      <c r="I505">
        <v>1</v>
      </c>
      <c r="J505">
        <v>0.04</v>
      </c>
    </row>
    <row r="506" spans="1:10">
      <c r="A506">
        <v>505</v>
      </c>
      <c r="B506">
        <v>40566</v>
      </c>
      <c r="C506">
        <v>1</v>
      </c>
      <c r="D506">
        <v>0</v>
      </c>
      <c r="E506">
        <v>1</v>
      </c>
      <c r="F506">
        <v>2</v>
      </c>
      <c r="G506" t="b">
        <v>0</v>
      </c>
      <c r="H506">
        <v>0</v>
      </c>
      <c r="I506">
        <v>1</v>
      </c>
      <c r="J506">
        <v>0.02</v>
      </c>
    </row>
    <row r="507" spans="1:10">
      <c r="A507">
        <v>506</v>
      </c>
      <c r="B507">
        <v>40566</v>
      </c>
      <c r="C507">
        <v>1</v>
      </c>
      <c r="D507">
        <v>0</v>
      </c>
      <c r="E507">
        <v>1</v>
      </c>
      <c r="F507">
        <v>3</v>
      </c>
      <c r="G507" t="b">
        <v>0</v>
      </c>
      <c r="H507">
        <v>0</v>
      </c>
      <c r="I507">
        <v>1</v>
      </c>
      <c r="J507">
        <v>0.02</v>
      </c>
    </row>
    <row r="508" spans="1:10">
      <c r="A508">
        <v>507</v>
      </c>
      <c r="B508">
        <v>40566</v>
      </c>
      <c r="C508">
        <v>1</v>
      </c>
      <c r="D508">
        <v>0</v>
      </c>
      <c r="E508">
        <v>1</v>
      </c>
      <c r="F508">
        <v>5</v>
      </c>
      <c r="G508" t="b">
        <v>0</v>
      </c>
      <c r="H508">
        <v>0</v>
      </c>
      <c r="I508">
        <v>2</v>
      </c>
      <c r="J508">
        <v>0.04</v>
      </c>
    </row>
    <row r="509" spans="1:10">
      <c r="A509">
        <v>508</v>
      </c>
      <c r="B509">
        <v>40566</v>
      </c>
      <c r="C509">
        <v>1</v>
      </c>
      <c r="D509">
        <v>0</v>
      </c>
      <c r="E509">
        <v>1</v>
      </c>
      <c r="F509">
        <v>6</v>
      </c>
      <c r="G509" t="b">
        <v>0</v>
      </c>
      <c r="H509">
        <v>0</v>
      </c>
      <c r="I509">
        <v>2</v>
      </c>
      <c r="J509">
        <v>0.04</v>
      </c>
    </row>
    <row r="510" spans="1:10">
      <c r="A510">
        <v>509</v>
      </c>
      <c r="B510">
        <v>40566</v>
      </c>
      <c r="C510">
        <v>1</v>
      </c>
      <c r="D510">
        <v>0</v>
      </c>
      <c r="E510">
        <v>1</v>
      </c>
      <c r="F510">
        <v>7</v>
      </c>
      <c r="G510" t="b">
        <v>0</v>
      </c>
      <c r="H510">
        <v>0</v>
      </c>
      <c r="I510">
        <v>1</v>
      </c>
      <c r="J510">
        <v>0.08</v>
      </c>
    </row>
    <row r="511" spans="1:10">
      <c r="A511">
        <v>510</v>
      </c>
      <c r="B511">
        <v>40566</v>
      </c>
      <c r="C511">
        <v>1</v>
      </c>
      <c r="D511">
        <v>0</v>
      </c>
      <c r="E511">
        <v>1</v>
      </c>
      <c r="F511">
        <v>8</v>
      </c>
      <c r="G511" t="b">
        <v>0</v>
      </c>
      <c r="H511">
        <v>0</v>
      </c>
      <c r="I511">
        <v>1</v>
      </c>
      <c r="J511">
        <v>0.06</v>
      </c>
    </row>
    <row r="512" spans="1:10">
      <c r="A512">
        <v>511</v>
      </c>
      <c r="B512">
        <v>40566</v>
      </c>
      <c r="C512">
        <v>1</v>
      </c>
      <c r="D512">
        <v>0</v>
      </c>
      <c r="E512">
        <v>1</v>
      </c>
      <c r="F512">
        <v>9</v>
      </c>
      <c r="G512" t="b">
        <v>0</v>
      </c>
      <c r="H512">
        <v>0</v>
      </c>
      <c r="I512">
        <v>1</v>
      </c>
      <c r="J512">
        <v>0.1</v>
      </c>
    </row>
    <row r="513" spans="1:10">
      <c r="A513">
        <v>512</v>
      </c>
      <c r="B513">
        <v>40566</v>
      </c>
      <c r="C513">
        <v>1</v>
      </c>
      <c r="D513">
        <v>0</v>
      </c>
      <c r="E513">
        <v>1</v>
      </c>
      <c r="F513">
        <v>10</v>
      </c>
      <c r="G513" t="b">
        <v>0</v>
      </c>
      <c r="H513">
        <v>0</v>
      </c>
      <c r="I513">
        <v>1</v>
      </c>
      <c r="J513">
        <v>0.14000000000000001</v>
      </c>
    </row>
    <row r="514" spans="1:10">
      <c r="A514">
        <v>513</v>
      </c>
      <c r="B514">
        <v>40566</v>
      </c>
      <c r="C514">
        <v>1</v>
      </c>
      <c r="D514">
        <v>0</v>
      </c>
      <c r="E514">
        <v>1</v>
      </c>
      <c r="F514">
        <v>11</v>
      </c>
      <c r="G514" t="b">
        <v>0</v>
      </c>
      <c r="H514">
        <v>0</v>
      </c>
      <c r="I514">
        <v>1</v>
      </c>
      <c r="J514">
        <v>0.14000000000000001</v>
      </c>
    </row>
    <row r="515" spans="1:10">
      <c r="A515">
        <v>514</v>
      </c>
      <c r="B515">
        <v>40566</v>
      </c>
      <c r="C515">
        <v>1</v>
      </c>
      <c r="D515">
        <v>0</v>
      </c>
      <c r="E515">
        <v>1</v>
      </c>
      <c r="F515">
        <v>12</v>
      </c>
      <c r="G515" t="b">
        <v>0</v>
      </c>
      <c r="H515">
        <v>0</v>
      </c>
      <c r="I515">
        <v>1</v>
      </c>
      <c r="J515">
        <v>0.16</v>
      </c>
    </row>
    <row r="516" spans="1:10">
      <c r="A516">
        <v>515</v>
      </c>
      <c r="B516">
        <v>40566</v>
      </c>
      <c r="C516">
        <v>1</v>
      </c>
      <c r="D516">
        <v>0</v>
      </c>
      <c r="E516">
        <v>1</v>
      </c>
      <c r="F516">
        <v>13</v>
      </c>
      <c r="G516" t="b">
        <v>0</v>
      </c>
      <c r="H516">
        <v>0</v>
      </c>
      <c r="I516">
        <v>1</v>
      </c>
      <c r="J516">
        <v>0.14000000000000001</v>
      </c>
    </row>
    <row r="517" spans="1:10">
      <c r="A517">
        <v>516</v>
      </c>
      <c r="B517">
        <v>40566</v>
      </c>
      <c r="C517">
        <v>1</v>
      </c>
      <c r="D517">
        <v>0</v>
      </c>
      <c r="E517">
        <v>1</v>
      </c>
      <c r="F517">
        <v>14</v>
      </c>
      <c r="G517" t="b">
        <v>0</v>
      </c>
      <c r="H517">
        <v>0</v>
      </c>
      <c r="I517">
        <v>1</v>
      </c>
      <c r="J517">
        <v>0.16</v>
      </c>
    </row>
    <row r="518" spans="1:10">
      <c r="A518">
        <v>517</v>
      </c>
      <c r="B518">
        <v>40566</v>
      </c>
      <c r="C518">
        <v>1</v>
      </c>
      <c r="D518">
        <v>0</v>
      </c>
      <c r="E518">
        <v>1</v>
      </c>
      <c r="F518">
        <v>15</v>
      </c>
      <c r="G518" t="b">
        <v>0</v>
      </c>
      <c r="H518">
        <v>0</v>
      </c>
      <c r="I518">
        <v>1</v>
      </c>
      <c r="J518">
        <v>0.16</v>
      </c>
    </row>
    <row r="519" spans="1:10">
      <c r="A519">
        <v>518</v>
      </c>
      <c r="B519">
        <v>40566</v>
      </c>
      <c r="C519">
        <v>1</v>
      </c>
      <c r="D519">
        <v>0</v>
      </c>
      <c r="E519">
        <v>1</v>
      </c>
      <c r="F519">
        <v>16</v>
      </c>
      <c r="G519" t="b">
        <v>0</v>
      </c>
      <c r="H519">
        <v>0</v>
      </c>
      <c r="I519">
        <v>1</v>
      </c>
      <c r="J519">
        <v>0.16</v>
      </c>
    </row>
    <row r="520" spans="1:10">
      <c r="A520">
        <v>519</v>
      </c>
      <c r="B520">
        <v>40566</v>
      </c>
      <c r="C520">
        <v>1</v>
      </c>
      <c r="D520">
        <v>0</v>
      </c>
      <c r="E520">
        <v>1</v>
      </c>
      <c r="F520">
        <v>17</v>
      </c>
      <c r="G520" t="b">
        <v>0</v>
      </c>
      <c r="H520">
        <v>0</v>
      </c>
      <c r="I520">
        <v>1</v>
      </c>
      <c r="J520">
        <v>0.14000000000000001</v>
      </c>
    </row>
    <row r="521" spans="1:10">
      <c r="A521">
        <v>520</v>
      </c>
      <c r="B521">
        <v>40566</v>
      </c>
      <c r="C521">
        <v>1</v>
      </c>
      <c r="D521">
        <v>0</v>
      </c>
      <c r="E521">
        <v>1</v>
      </c>
      <c r="F521">
        <v>18</v>
      </c>
      <c r="G521" t="b">
        <v>0</v>
      </c>
      <c r="H521">
        <v>0</v>
      </c>
      <c r="I521">
        <v>1</v>
      </c>
      <c r="J521">
        <v>0.12</v>
      </c>
    </row>
    <row r="522" spans="1:10">
      <c r="A522">
        <v>521</v>
      </c>
      <c r="B522">
        <v>40566</v>
      </c>
      <c r="C522">
        <v>1</v>
      </c>
      <c r="D522">
        <v>0</v>
      </c>
      <c r="E522">
        <v>1</v>
      </c>
      <c r="F522">
        <v>19</v>
      </c>
      <c r="G522" t="b">
        <v>0</v>
      </c>
      <c r="H522">
        <v>0</v>
      </c>
      <c r="I522">
        <v>1</v>
      </c>
      <c r="J522">
        <v>0.12</v>
      </c>
    </row>
    <row r="523" spans="1:10">
      <c r="A523">
        <v>522</v>
      </c>
      <c r="B523">
        <v>40566</v>
      </c>
      <c r="C523">
        <v>1</v>
      </c>
      <c r="D523">
        <v>0</v>
      </c>
      <c r="E523">
        <v>1</v>
      </c>
      <c r="F523">
        <v>20</v>
      </c>
      <c r="G523" t="b">
        <v>0</v>
      </c>
      <c r="H523">
        <v>0</v>
      </c>
      <c r="I523">
        <v>1</v>
      </c>
      <c r="J523">
        <v>0.1</v>
      </c>
    </row>
    <row r="524" spans="1:10">
      <c r="A524">
        <v>523</v>
      </c>
      <c r="B524">
        <v>40566</v>
      </c>
      <c r="C524">
        <v>1</v>
      </c>
      <c r="D524">
        <v>0</v>
      </c>
      <c r="E524">
        <v>1</v>
      </c>
      <c r="F524">
        <v>21</v>
      </c>
      <c r="G524" t="b">
        <v>0</v>
      </c>
      <c r="H524">
        <v>0</v>
      </c>
      <c r="I524">
        <v>1</v>
      </c>
      <c r="J524">
        <v>0.1</v>
      </c>
    </row>
    <row r="525" spans="1:10">
      <c r="A525">
        <v>524</v>
      </c>
      <c r="B525">
        <v>40566</v>
      </c>
      <c r="C525">
        <v>1</v>
      </c>
      <c r="D525">
        <v>0</v>
      </c>
      <c r="E525">
        <v>1</v>
      </c>
      <c r="F525">
        <v>22</v>
      </c>
      <c r="G525" t="b">
        <v>0</v>
      </c>
      <c r="H525">
        <v>0</v>
      </c>
      <c r="I525">
        <v>1</v>
      </c>
      <c r="J525">
        <v>0.08</v>
      </c>
    </row>
    <row r="526" spans="1:10">
      <c r="A526">
        <v>525</v>
      </c>
      <c r="B526">
        <v>40566</v>
      </c>
      <c r="C526">
        <v>1</v>
      </c>
      <c r="D526">
        <v>0</v>
      </c>
      <c r="E526">
        <v>1</v>
      </c>
      <c r="F526">
        <v>23</v>
      </c>
      <c r="G526" t="b">
        <v>0</v>
      </c>
      <c r="H526">
        <v>0</v>
      </c>
      <c r="I526">
        <v>1</v>
      </c>
      <c r="J526">
        <v>0.06</v>
      </c>
    </row>
    <row r="527" spans="1:10">
      <c r="A527">
        <v>526</v>
      </c>
      <c r="B527">
        <v>40567</v>
      </c>
      <c r="C527">
        <v>1</v>
      </c>
      <c r="D527">
        <v>0</v>
      </c>
      <c r="E527">
        <v>1</v>
      </c>
      <c r="F527">
        <v>0</v>
      </c>
      <c r="G527" t="b">
        <v>0</v>
      </c>
      <c r="H527">
        <v>1</v>
      </c>
      <c r="I527">
        <v>1</v>
      </c>
      <c r="J527">
        <v>0.06</v>
      </c>
    </row>
    <row r="528" spans="1:10">
      <c r="A528">
        <v>527</v>
      </c>
      <c r="B528">
        <v>40567</v>
      </c>
      <c r="C528">
        <v>1</v>
      </c>
      <c r="D528">
        <v>0</v>
      </c>
      <c r="E528">
        <v>1</v>
      </c>
      <c r="F528">
        <v>1</v>
      </c>
      <c r="G528" t="b">
        <v>0</v>
      </c>
      <c r="H528">
        <v>1</v>
      </c>
      <c r="I528">
        <v>1</v>
      </c>
      <c r="J528">
        <v>0.04</v>
      </c>
    </row>
    <row r="529" spans="1:10">
      <c r="A529">
        <v>528</v>
      </c>
      <c r="B529">
        <v>40567</v>
      </c>
      <c r="C529">
        <v>1</v>
      </c>
      <c r="D529">
        <v>0</v>
      </c>
      <c r="E529">
        <v>1</v>
      </c>
      <c r="F529">
        <v>3</v>
      </c>
      <c r="G529" t="b">
        <v>0</v>
      </c>
      <c r="H529">
        <v>1</v>
      </c>
      <c r="I529">
        <v>1</v>
      </c>
      <c r="J529">
        <v>0.04</v>
      </c>
    </row>
    <row r="530" spans="1:10">
      <c r="A530">
        <v>529</v>
      </c>
      <c r="B530">
        <v>40567</v>
      </c>
      <c r="C530">
        <v>1</v>
      </c>
      <c r="D530">
        <v>0</v>
      </c>
      <c r="E530">
        <v>1</v>
      </c>
      <c r="F530">
        <v>4</v>
      </c>
      <c r="G530" t="b">
        <v>0</v>
      </c>
      <c r="H530">
        <v>1</v>
      </c>
      <c r="I530">
        <v>1</v>
      </c>
      <c r="J530">
        <v>0.02</v>
      </c>
    </row>
    <row r="531" spans="1:10">
      <c r="A531">
        <v>530</v>
      </c>
      <c r="B531">
        <v>40567</v>
      </c>
      <c r="C531">
        <v>1</v>
      </c>
      <c r="D531">
        <v>0</v>
      </c>
      <c r="E531">
        <v>1</v>
      </c>
      <c r="F531">
        <v>5</v>
      </c>
      <c r="G531" t="b">
        <v>0</v>
      </c>
      <c r="H531">
        <v>1</v>
      </c>
      <c r="I531">
        <v>1</v>
      </c>
      <c r="J531">
        <v>0.02</v>
      </c>
    </row>
    <row r="532" spans="1:10">
      <c r="A532">
        <v>531</v>
      </c>
      <c r="B532">
        <v>40567</v>
      </c>
      <c r="C532">
        <v>1</v>
      </c>
      <c r="D532">
        <v>0</v>
      </c>
      <c r="E532">
        <v>1</v>
      </c>
      <c r="F532">
        <v>6</v>
      </c>
      <c r="G532" t="b">
        <v>0</v>
      </c>
      <c r="H532">
        <v>1</v>
      </c>
      <c r="I532">
        <v>1</v>
      </c>
      <c r="J532">
        <v>0.02</v>
      </c>
    </row>
    <row r="533" spans="1:10">
      <c r="A533">
        <v>532</v>
      </c>
      <c r="B533">
        <v>40567</v>
      </c>
      <c r="C533">
        <v>1</v>
      </c>
      <c r="D533">
        <v>0</v>
      </c>
      <c r="E533">
        <v>1</v>
      </c>
      <c r="F533">
        <v>7</v>
      </c>
      <c r="G533" t="b">
        <v>0</v>
      </c>
      <c r="H533">
        <v>1</v>
      </c>
      <c r="I533">
        <v>1</v>
      </c>
      <c r="J533">
        <v>0.02</v>
      </c>
    </row>
    <row r="534" spans="1:10">
      <c r="A534">
        <v>533</v>
      </c>
      <c r="B534">
        <v>40567</v>
      </c>
      <c r="C534">
        <v>1</v>
      </c>
      <c r="D534">
        <v>0</v>
      </c>
      <c r="E534">
        <v>1</v>
      </c>
      <c r="F534">
        <v>8</v>
      </c>
      <c r="G534" t="b">
        <v>0</v>
      </c>
      <c r="H534">
        <v>1</v>
      </c>
      <c r="I534">
        <v>1</v>
      </c>
      <c r="J534">
        <v>0.04</v>
      </c>
    </row>
    <row r="535" spans="1:10">
      <c r="A535">
        <v>534</v>
      </c>
      <c r="B535">
        <v>40567</v>
      </c>
      <c r="C535">
        <v>1</v>
      </c>
      <c r="D535">
        <v>0</v>
      </c>
      <c r="E535">
        <v>1</v>
      </c>
      <c r="F535">
        <v>9</v>
      </c>
      <c r="G535" t="b">
        <v>0</v>
      </c>
      <c r="H535">
        <v>1</v>
      </c>
      <c r="I535">
        <v>1</v>
      </c>
      <c r="J535">
        <v>0.06</v>
      </c>
    </row>
    <row r="536" spans="1:10">
      <c r="A536">
        <v>535</v>
      </c>
      <c r="B536">
        <v>40567</v>
      </c>
      <c r="C536">
        <v>1</v>
      </c>
      <c r="D536">
        <v>0</v>
      </c>
      <c r="E536">
        <v>1</v>
      </c>
      <c r="F536">
        <v>10</v>
      </c>
      <c r="G536" t="b">
        <v>0</v>
      </c>
      <c r="H536">
        <v>1</v>
      </c>
      <c r="I536">
        <v>1</v>
      </c>
      <c r="J536">
        <v>0.1</v>
      </c>
    </row>
    <row r="537" spans="1:10">
      <c r="A537">
        <v>536</v>
      </c>
      <c r="B537">
        <v>40567</v>
      </c>
      <c r="C537">
        <v>1</v>
      </c>
      <c r="D537">
        <v>0</v>
      </c>
      <c r="E537">
        <v>1</v>
      </c>
      <c r="F537">
        <v>11</v>
      </c>
      <c r="G537" t="b">
        <v>0</v>
      </c>
      <c r="H537">
        <v>1</v>
      </c>
      <c r="I537">
        <v>1</v>
      </c>
      <c r="J537">
        <v>0.1</v>
      </c>
    </row>
    <row r="538" spans="1:10">
      <c r="A538">
        <v>537</v>
      </c>
      <c r="B538">
        <v>40567</v>
      </c>
      <c r="C538">
        <v>1</v>
      </c>
      <c r="D538">
        <v>0</v>
      </c>
      <c r="E538">
        <v>1</v>
      </c>
      <c r="F538">
        <v>12</v>
      </c>
      <c r="G538" t="b">
        <v>0</v>
      </c>
      <c r="H538">
        <v>1</v>
      </c>
      <c r="I538">
        <v>2</v>
      </c>
      <c r="J538">
        <v>0.12</v>
      </c>
    </row>
    <row r="539" spans="1:10">
      <c r="A539">
        <v>538</v>
      </c>
      <c r="B539">
        <v>40567</v>
      </c>
      <c r="C539">
        <v>1</v>
      </c>
      <c r="D539">
        <v>0</v>
      </c>
      <c r="E539">
        <v>1</v>
      </c>
      <c r="F539">
        <v>13</v>
      </c>
      <c r="G539" t="b">
        <v>0</v>
      </c>
      <c r="H539">
        <v>1</v>
      </c>
      <c r="I539">
        <v>2</v>
      </c>
      <c r="J539">
        <v>0.14000000000000001</v>
      </c>
    </row>
    <row r="540" spans="1:10">
      <c r="A540">
        <v>539</v>
      </c>
      <c r="B540">
        <v>40567</v>
      </c>
      <c r="C540">
        <v>1</v>
      </c>
      <c r="D540">
        <v>0</v>
      </c>
      <c r="E540">
        <v>1</v>
      </c>
      <c r="F540">
        <v>14</v>
      </c>
      <c r="G540" t="b">
        <v>0</v>
      </c>
      <c r="H540">
        <v>1</v>
      </c>
      <c r="I540">
        <v>2</v>
      </c>
      <c r="J540">
        <v>0.14000000000000001</v>
      </c>
    </row>
    <row r="541" spans="1:10">
      <c r="A541">
        <v>540</v>
      </c>
      <c r="B541">
        <v>40567</v>
      </c>
      <c r="C541">
        <v>1</v>
      </c>
      <c r="D541">
        <v>0</v>
      </c>
      <c r="E541">
        <v>1</v>
      </c>
      <c r="F541">
        <v>15</v>
      </c>
      <c r="G541" t="b">
        <v>0</v>
      </c>
      <c r="H541">
        <v>1</v>
      </c>
      <c r="I541">
        <v>1</v>
      </c>
      <c r="J541">
        <v>0.16</v>
      </c>
    </row>
    <row r="542" spans="1:10">
      <c r="A542">
        <v>541</v>
      </c>
      <c r="B542">
        <v>40567</v>
      </c>
      <c r="C542">
        <v>1</v>
      </c>
      <c r="D542">
        <v>0</v>
      </c>
      <c r="E542">
        <v>1</v>
      </c>
      <c r="F542">
        <v>16</v>
      </c>
      <c r="G542" t="b">
        <v>0</v>
      </c>
      <c r="H542">
        <v>1</v>
      </c>
      <c r="I542">
        <v>1</v>
      </c>
      <c r="J542">
        <v>0.16</v>
      </c>
    </row>
    <row r="543" spans="1:10">
      <c r="A543">
        <v>542</v>
      </c>
      <c r="B543">
        <v>40567</v>
      </c>
      <c r="C543">
        <v>1</v>
      </c>
      <c r="D543">
        <v>0</v>
      </c>
      <c r="E543">
        <v>1</v>
      </c>
      <c r="F543">
        <v>17</v>
      </c>
      <c r="G543" t="b">
        <v>0</v>
      </c>
      <c r="H543">
        <v>1</v>
      </c>
      <c r="I543">
        <v>1</v>
      </c>
      <c r="J543">
        <v>0.14000000000000001</v>
      </c>
    </row>
    <row r="544" spans="1:10">
      <c r="A544">
        <v>543</v>
      </c>
      <c r="B544">
        <v>40567</v>
      </c>
      <c r="C544">
        <v>1</v>
      </c>
      <c r="D544">
        <v>0</v>
      </c>
      <c r="E544">
        <v>1</v>
      </c>
      <c r="F544">
        <v>18</v>
      </c>
      <c r="G544" t="b">
        <v>0</v>
      </c>
      <c r="H544">
        <v>1</v>
      </c>
      <c r="I544">
        <v>1</v>
      </c>
      <c r="J544">
        <v>0.14000000000000001</v>
      </c>
    </row>
    <row r="545" spans="1:10">
      <c r="A545">
        <v>544</v>
      </c>
      <c r="B545">
        <v>40567</v>
      </c>
      <c r="C545">
        <v>1</v>
      </c>
      <c r="D545">
        <v>0</v>
      </c>
      <c r="E545">
        <v>1</v>
      </c>
      <c r="F545">
        <v>19</v>
      </c>
      <c r="G545" t="b">
        <v>0</v>
      </c>
      <c r="H545">
        <v>1</v>
      </c>
      <c r="I545">
        <v>1</v>
      </c>
      <c r="J545">
        <v>0.14000000000000001</v>
      </c>
    </row>
    <row r="546" spans="1:10">
      <c r="A546">
        <v>545</v>
      </c>
      <c r="B546">
        <v>40567</v>
      </c>
      <c r="C546">
        <v>1</v>
      </c>
      <c r="D546">
        <v>0</v>
      </c>
      <c r="E546">
        <v>1</v>
      </c>
      <c r="F546">
        <v>20</v>
      </c>
      <c r="G546" t="b">
        <v>0</v>
      </c>
      <c r="H546">
        <v>1</v>
      </c>
      <c r="I546">
        <v>1</v>
      </c>
      <c r="J546">
        <v>0.14000000000000001</v>
      </c>
    </row>
    <row r="547" spans="1:10">
      <c r="A547">
        <v>546</v>
      </c>
      <c r="B547">
        <v>40567</v>
      </c>
      <c r="C547">
        <v>1</v>
      </c>
      <c r="D547">
        <v>0</v>
      </c>
      <c r="E547">
        <v>1</v>
      </c>
      <c r="F547">
        <v>21</v>
      </c>
      <c r="G547" t="b">
        <v>0</v>
      </c>
      <c r="H547">
        <v>1</v>
      </c>
      <c r="I547">
        <v>1</v>
      </c>
      <c r="J547">
        <v>0.14000000000000001</v>
      </c>
    </row>
    <row r="548" spans="1:10">
      <c r="A548">
        <v>547</v>
      </c>
      <c r="B548">
        <v>40567</v>
      </c>
      <c r="C548">
        <v>1</v>
      </c>
      <c r="D548">
        <v>0</v>
      </c>
      <c r="E548">
        <v>1</v>
      </c>
      <c r="F548">
        <v>22</v>
      </c>
      <c r="G548" t="b">
        <v>0</v>
      </c>
      <c r="H548">
        <v>1</v>
      </c>
      <c r="I548">
        <v>2</v>
      </c>
      <c r="J548">
        <v>0.14000000000000001</v>
      </c>
    </row>
    <row r="549" spans="1:10">
      <c r="A549">
        <v>548</v>
      </c>
      <c r="B549">
        <v>40567</v>
      </c>
      <c r="C549">
        <v>1</v>
      </c>
      <c r="D549">
        <v>0</v>
      </c>
      <c r="E549">
        <v>1</v>
      </c>
      <c r="F549">
        <v>23</v>
      </c>
      <c r="G549" t="b">
        <v>0</v>
      </c>
      <c r="H549">
        <v>1</v>
      </c>
      <c r="I549">
        <v>2</v>
      </c>
      <c r="J549">
        <v>0.16</v>
      </c>
    </row>
    <row r="550" spans="1:10">
      <c r="A550">
        <v>549</v>
      </c>
      <c r="B550">
        <v>40568</v>
      </c>
      <c r="C550">
        <v>1</v>
      </c>
      <c r="D550">
        <v>0</v>
      </c>
      <c r="E550">
        <v>1</v>
      </c>
      <c r="F550">
        <v>0</v>
      </c>
      <c r="G550" t="b">
        <v>0</v>
      </c>
      <c r="H550">
        <v>2</v>
      </c>
      <c r="I550">
        <v>2</v>
      </c>
      <c r="J550">
        <v>0.16</v>
      </c>
    </row>
    <row r="551" spans="1:10">
      <c r="A551">
        <v>550</v>
      </c>
      <c r="B551">
        <v>40568</v>
      </c>
      <c r="C551">
        <v>1</v>
      </c>
      <c r="D551">
        <v>0</v>
      </c>
      <c r="E551">
        <v>1</v>
      </c>
      <c r="F551">
        <v>1</v>
      </c>
      <c r="G551" t="b">
        <v>0</v>
      </c>
      <c r="H551">
        <v>2</v>
      </c>
      <c r="I551">
        <v>2</v>
      </c>
      <c r="J551">
        <v>0.16</v>
      </c>
    </row>
    <row r="552" spans="1:10">
      <c r="A552">
        <v>551</v>
      </c>
      <c r="B552">
        <v>40568</v>
      </c>
      <c r="C552">
        <v>1</v>
      </c>
      <c r="D552">
        <v>0</v>
      </c>
      <c r="E552">
        <v>1</v>
      </c>
      <c r="F552">
        <v>2</v>
      </c>
      <c r="G552" t="b">
        <v>0</v>
      </c>
      <c r="H552">
        <v>2</v>
      </c>
      <c r="I552">
        <v>1</v>
      </c>
      <c r="J552">
        <v>0.16</v>
      </c>
    </row>
    <row r="553" spans="1:10">
      <c r="A553">
        <v>552</v>
      </c>
      <c r="B553">
        <v>40568</v>
      </c>
      <c r="C553">
        <v>1</v>
      </c>
      <c r="D553">
        <v>0</v>
      </c>
      <c r="E553">
        <v>1</v>
      </c>
      <c r="F553">
        <v>4</v>
      </c>
      <c r="G553" t="b">
        <v>0</v>
      </c>
      <c r="H553">
        <v>2</v>
      </c>
      <c r="I553">
        <v>1</v>
      </c>
      <c r="J553">
        <v>0.14000000000000001</v>
      </c>
    </row>
    <row r="554" spans="1:10">
      <c r="A554">
        <v>553</v>
      </c>
      <c r="B554">
        <v>40568</v>
      </c>
      <c r="C554">
        <v>1</v>
      </c>
      <c r="D554">
        <v>0</v>
      </c>
      <c r="E554">
        <v>1</v>
      </c>
      <c r="F554">
        <v>5</v>
      </c>
      <c r="G554" t="b">
        <v>0</v>
      </c>
      <c r="H554">
        <v>2</v>
      </c>
      <c r="I554">
        <v>1</v>
      </c>
      <c r="J554">
        <v>0.14000000000000001</v>
      </c>
    </row>
    <row r="555" spans="1:10">
      <c r="A555">
        <v>554</v>
      </c>
      <c r="B555">
        <v>40568</v>
      </c>
      <c r="C555">
        <v>1</v>
      </c>
      <c r="D555">
        <v>0</v>
      </c>
      <c r="E555">
        <v>1</v>
      </c>
      <c r="F555">
        <v>6</v>
      </c>
      <c r="G555" t="b">
        <v>0</v>
      </c>
      <c r="H555">
        <v>2</v>
      </c>
      <c r="I555">
        <v>1</v>
      </c>
      <c r="J555">
        <v>0.16</v>
      </c>
    </row>
    <row r="556" spans="1:10">
      <c r="A556">
        <v>555</v>
      </c>
      <c r="B556">
        <v>40568</v>
      </c>
      <c r="C556">
        <v>1</v>
      </c>
      <c r="D556">
        <v>0</v>
      </c>
      <c r="E556">
        <v>1</v>
      </c>
      <c r="F556">
        <v>7</v>
      </c>
      <c r="G556" t="b">
        <v>0</v>
      </c>
      <c r="H556">
        <v>2</v>
      </c>
      <c r="I556">
        <v>1</v>
      </c>
      <c r="J556">
        <v>0.16</v>
      </c>
    </row>
    <row r="557" spans="1:10">
      <c r="A557">
        <v>556</v>
      </c>
      <c r="B557">
        <v>40568</v>
      </c>
      <c r="C557">
        <v>1</v>
      </c>
      <c r="D557">
        <v>0</v>
      </c>
      <c r="E557">
        <v>1</v>
      </c>
      <c r="F557">
        <v>8</v>
      </c>
      <c r="G557" t="b">
        <v>0</v>
      </c>
      <c r="H557">
        <v>2</v>
      </c>
      <c r="I557">
        <v>2</v>
      </c>
      <c r="J557">
        <v>0.16</v>
      </c>
    </row>
    <row r="558" spans="1:10">
      <c r="A558">
        <v>557</v>
      </c>
      <c r="B558">
        <v>40568</v>
      </c>
      <c r="C558">
        <v>1</v>
      </c>
      <c r="D558">
        <v>0</v>
      </c>
      <c r="E558">
        <v>1</v>
      </c>
      <c r="F558">
        <v>9</v>
      </c>
      <c r="G558" t="b">
        <v>0</v>
      </c>
      <c r="H558">
        <v>2</v>
      </c>
      <c r="I558">
        <v>2</v>
      </c>
      <c r="J558">
        <v>0.2</v>
      </c>
    </row>
    <row r="559" spans="1:10">
      <c r="A559">
        <v>558</v>
      </c>
      <c r="B559">
        <v>40568</v>
      </c>
      <c r="C559">
        <v>1</v>
      </c>
      <c r="D559">
        <v>0</v>
      </c>
      <c r="E559">
        <v>1</v>
      </c>
      <c r="F559">
        <v>10</v>
      </c>
      <c r="G559" t="b">
        <v>0</v>
      </c>
      <c r="H559">
        <v>2</v>
      </c>
      <c r="I559">
        <v>2</v>
      </c>
      <c r="J559">
        <v>0.22</v>
      </c>
    </row>
    <row r="560" spans="1:10">
      <c r="A560">
        <v>559</v>
      </c>
      <c r="B560">
        <v>40568</v>
      </c>
      <c r="C560">
        <v>1</v>
      </c>
      <c r="D560">
        <v>0</v>
      </c>
      <c r="E560">
        <v>1</v>
      </c>
      <c r="F560">
        <v>11</v>
      </c>
      <c r="G560" t="b">
        <v>0</v>
      </c>
      <c r="H560">
        <v>2</v>
      </c>
      <c r="I560">
        <v>2</v>
      </c>
      <c r="J560">
        <v>0.24</v>
      </c>
    </row>
    <row r="561" spans="1:10">
      <c r="A561">
        <v>560</v>
      </c>
      <c r="B561">
        <v>40568</v>
      </c>
      <c r="C561">
        <v>1</v>
      </c>
      <c r="D561">
        <v>0</v>
      </c>
      <c r="E561">
        <v>1</v>
      </c>
      <c r="F561">
        <v>12</v>
      </c>
      <c r="G561" t="b">
        <v>0</v>
      </c>
      <c r="H561">
        <v>2</v>
      </c>
      <c r="I561">
        <v>2</v>
      </c>
      <c r="J561">
        <v>0.26</v>
      </c>
    </row>
    <row r="562" spans="1:10">
      <c r="A562">
        <v>561</v>
      </c>
      <c r="B562">
        <v>40568</v>
      </c>
      <c r="C562">
        <v>1</v>
      </c>
      <c r="D562">
        <v>0</v>
      </c>
      <c r="E562">
        <v>1</v>
      </c>
      <c r="F562">
        <v>13</v>
      </c>
      <c r="G562" t="b">
        <v>0</v>
      </c>
      <c r="H562">
        <v>2</v>
      </c>
      <c r="I562">
        <v>2</v>
      </c>
      <c r="J562">
        <v>0.26</v>
      </c>
    </row>
    <row r="563" spans="1:10">
      <c r="A563">
        <v>562</v>
      </c>
      <c r="B563">
        <v>40568</v>
      </c>
      <c r="C563">
        <v>1</v>
      </c>
      <c r="D563">
        <v>0</v>
      </c>
      <c r="E563">
        <v>1</v>
      </c>
      <c r="F563">
        <v>14</v>
      </c>
      <c r="G563" t="b">
        <v>0</v>
      </c>
      <c r="H563">
        <v>2</v>
      </c>
      <c r="I563">
        <v>2</v>
      </c>
      <c r="J563">
        <v>0.3</v>
      </c>
    </row>
    <row r="564" spans="1:10">
      <c r="A564">
        <v>563</v>
      </c>
      <c r="B564">
        <v>40568</v>
      </c>
      <c r="C564">
        <v>1</v>
      </c>
      <c r="D564">
        <v>0</v>
      </c>
      <c r="E564">
        <v>1</v>
      </c>
      <c r="F564">
        <v>15</v>
      </c>
      <c r="G564" t="b">
        <v>0</v>
      </c>
      <c r="H564">
        <v>2</v>
      </c>
      <c r="I564">
        <v>2</v>
      </c>
      <c r="J564">
        <v>0.32</v>
      </c>
    </row>
    <row r="565" spans="1:10">
      <c r="A565">
        <v>564</v>
      </c>
      <c r="B565">
        <v>40568</v>
      </c>
      <c r="C565">
        <v>1</v>
      </c>
      <c r="D565">
        <v>0</v>
      </c>
      <c r="E565">
        <v>1</v>
      </c>
      <c r="F565">
        <v>16</v>
      </c>
      <c r="G565" t="b">
        <v>0</v>
      </c>
      <c r="H565">
        <v>2</v>
      </c>
      <c r="I565">
        <v>2</v>
      </c>
      <c r="J565">
        <v>0.32</v>
      </c>
    </row>
    <row r="566" spans="1:10">
      <c r="A566">
        <v>565</v>
      </c>
      <c r="B566">
        <v>40568</v>
      </c>
      <c r="C566">
        <v>1</v>
      </c>
      <c r="D566">
        <v>0</v>
      </c>
      <c r="E566">
        <v>1</v>
      </c>
      <c r="F566">
        <v>17</v>
      </c>
      <c r="G566" t="b">
        <v>0</v>
      </c>
      <c r="H566">
        <v>2</v>
      </c>
      <c r="I566">
        <v>1</v>
      </c>
      <c r="J566">
        <v>0.3</v>
      </c>
    </row>
    <row r="567" spans="1:10">
      <c r="A567">
        <v>566</v>
      </c>
      <c r="B567">
        <v>40568</v>
      </c>
      <c r="C567">
        <v>1</v>
      </c>
      <c r="D567">
        <v>0</v>
      </c>
      <c r="E567">
        <v>1</v>
      </c>
      <c r="F567">
        <v>18</v>
      </c>
      <c r="G567" t="b">
        <v>0</v>
      </c>
      <c r="H567">
        <v>2</v>
      </c>
      <c r="I567">
        <v>2</v>
      </c>
      <c r="J567">
        <v>0.3</v>
      </c>
    </row>
    <row r="568" spans="1:10">
      <c r="A568">
        <v>567</v>
      </c>
      <c r="B568">
        <v>40568</v>
      </c>
      <c r="C568">
        <v>1</v>
      </c>
      <c r="D568">
        <v>0</v>
      </c>
      <c r="E568">
        <v>1</v>
      </c>
      <c r="F568">
        <v>19</v>
      </c>
      <c r="G568" t="b">
        <v>0</v>
      </c>
      <c r="H568">
        <v>2</v>
      </c>
      <c r="I568">
        <v>2</v>
      </c>
      <c r="J568">
        <v>0.26</v>
      </c>
    </row>
    <row r="569" spans="1:10">
      <c r="A569">
        <v>568</v>
      </c>
      <c r="B569">
        <v>40568</v>
      </c>
      <c r="C569">
        <v>1</v>
      </c>
      <c r="D569">
        <v>0</v>
      </c>
      <c r="E569">
        <v>1</v>
      </c>
      <c r="F569">
        <v>20</v>
      </c>
      <c r="G569" t="b">
        <v>0</v>
      </c>
      <c r="H569">
        <v>2</v>
      </c>
      <c r="I569">
        <v>1</v>
      </c>
      <c r="J569">
        <v>0.24</v>
      </c>
    </row>
    <row r="570" spans="1:10">
      <c r="A570">
        <v>569</v>
      </c>
      <c r="B570">
        <v>40568</v>
      </c>
      <c r="C570">
        <v>1</v>
      </c>
      <c r="D570">
        <v>0</v>
      </c>
      <c r="E570">
        <v>1</v>
      </c>
      <c r="F570">
        <v>21</v>
      </c>
      <c r="G570" t="b">
        <v>0</v>
      </c>
      <c r="H570">
        <v>2</v>
      </c>
      <c r="I570">
        <v>1</v>
      </c>
      <c r="J570">
        <v>0.24</v>
      </c>
    </row>
    <row r="571" spans="1:10">
      <c r="A571">
        <v>570</v>
      </c>
      <c r="B571">
        <v>40568</v>
      </c>
      <c r="C571">
        <v>1</v>
      </c>
      <c r="D571">
        <v>0</v>
      </c>
      <c r="E571">
        <v>1</v>
      </c>
      <c r="F571">
        <v>22</v>
      </c>
      <c r="G571" t="b">
        <v>0</v>
      </c>
      <c r="H571">
        <v>2</v>
      </c>
      <c r="I571">
        <v>1</v>
      </c>
      <c r="J571">
        <v>0.22</v>
      </c>
    </row>
    <row r="572" spans="1:10">
      <c r="A572">
        <v>571</v>
      </c>
      <c r="B572">
        <v>40568</v>
      </c>
      <c r="C572">
        <v>1</v>
      </c>
      <c r="D572">
        <v>0</v>
      </c>
      <c r="E572">
        <v>1</v>
      </c>
      <c r="F572">
        <v>23</v>
      </c>
      <c r="G572" t="b">
        <v>0</v>
      </c>
      <c r="H572">
        <v>2</v>
      </c>
      <c r="I572">
        <v>2</v>
      </c>
      <c r="J572">
        <v>0.22</v>
      </c>
    </row>
    <row r="573" spans="1:10">
      <c r="A573">
        <v>572</v>
      </c>
      <c r="B573">
        <v>40569</v>
      </c>
      <c r="C573">
        <v>1</v>
      </c>
      <c r="D573">
        <v>0</v>
      </c>
      <c r="E573">
        <v>1</v>
      </c>
      <c r="F573">
        <v>0</v>
      </c>
      <c r="G573" t="b">
        <v>0</v>
      </c>
      <c r="H573">
        <v>3</v>
      </c>
      <c r="I573">
        <v>2</v>
      </c>
      <c r="J573">
        <v>0.22</v>
      </c>
    </row>
    <row r="574" spans="1:10">
      <c r="A574">
        <v>573</v>
      </c>
      <c r="B574">
        <v>40569</v>
      </c>
      <c r="C574">
        <v>1</v>
      </c>
      <c r="D574">
        <v>0</v>
      </c>
      <c r="E574">
        <v>1</v>
      </c>
      <c r="F574">
        <v>1</v>
      </c>
      <c r="G574" t="b">
        <v>0</v>
      </c>
      <c r="H574">
        <v>3</v>
      </c>
      <c r="I574">
        <v>2</v>
      </c>
      <c r="J574">
        <v>0.24</v>
      </c>
    </row>
    <row r="575" spans="1:10">
      <c r="A575">
        <v>574</v>
      </c>
      <c r="B575">
        <v>40569</v>
      </c>
      <c r="C575">
        <v>1</v>
      </c>
      <c r="D575">
        <v>0</v>
      </c>
      <c r="E575">
        <v>1</v>
      </c>
      <c r="F575">
        <v>2</v>
      </c>
      <c r="G575" t="b">
        <v>0</v>
      </c>
      <c r="H575">
        <v>3</v>
      </c>
      <c r="I575">
        <v>3</v>
      </c>
      <c r="J575">
        <v>0.22</v>
      </c>
    </row>
    <row r="576" spans="1:10">
      <c r="A576">
        <v>575</v>
      </c>
      <c r="B576">
        <v>40569</v>
      </c>
      <c r="C576">
        <v>1</v>
      </c>
      <c r="D576">
        <v>0</v>
      </c>
      <c r="E576">
        <v>1</v>
      </c>
      <c r="F576">
        <v>5</v>
      </c>
      <c r="G576" t="b">
        <v>0</v>
      </c>
      <c r="H576">
        <v>3</v>
      </c>
      <c r="I576">
        <v>3</v>
      </c>
      <c r="J576">
        <v>0.2</v>
      </c>
    </row>
    <row r="577" spans="1:10">
      <c r="A577">
        <v>576</v>
      </c>
      <c r="B577">
        <v>40569</v>
      </c>
      <c r="C577">
        <v>1</v>
      </c>
      <c r="D577">
        <v>0</v>
      </c>
      <c r="E577">
        <v>1</v>
      </c>
      <c r="F577">
        <v>6</v>
      </c>
      <c r="G577" t="b">
        <v>0</v>
      </c>
      <c r="H577">
        <v>3</v>
      </c>
      <c r="I577">
        <v>3</v>
      </c>
      <c r="J577">
        <v>0.2</v>
      </c>
    </row>
    <row r="578" spans="1:10">
      <c r="A578">
        <v>577</v>
      </c>
      <c r="B578">
        <v>40569</v>
      </c>
      <c r="C578">
        <v>1</v>
      </c>
      <c r="D578">
        <v>0</v>
      </c>
      <c r="E578">
        <v>1</v>
      </c>
      <c r="F578">
        <v>7</v>
      </c>
      <c r="G578" t="b">
        <v>0</v>
      </c>
      <c r="H578">
        <v>3</v>
      </c>
      <c r="I578">
        <v>3</v>
      </c>
      <c r="J578">
        <v>0.22</v>
      </c>
    </row>
    <row r="579" spans="1:10">
      <c r="A579">
        <v>578</v>
      </c>
      <c r="B579">
        <v>40569</v>
      </c>
      <c r="C579">
        <v>1</v>
      </c>
      <c r="D579">
        <v>0</v>
      </c>
      <c r="E579">
        <v>1</v>
      </c>
      <c r="F579">
        <v>8</v>
      </c>
      <c r="G579" t="b">
        <v>0</v>
      </c>
      <c r="H579">
        <v>3</v>
      </c>
      <c r="I579">
        <v>3</v>
      </c>
      <c r="J579">
        <v>0.22</v>
      </c>
    </row>
    <row r="580" spans="1:10">
      <c r="A580">
        <v>579</v>
      </c>
      <c r="B580">
        <v>40569</v>
      </c>
      <c r="C580">
        <v>1</v>
      </c>
      <c r="D580">
        <v>0</v>
      </c>
      <c r="E580">
        <v>1</v>
      </c>
      <c r="F580">
        <v>9</v>
      </c>
      <c r="G580" t="b">
        <v>0</v>
      </c>
      <c r="H580">
        <v>3</v>
      </c>
      <c r="I580">
        <v>3</v>
      </c>
      <c r="J580">
        <v>0.22</v>
      </c>
    </row>
    <row r="581" spans="1:10">
      <c r="A581">
        <v>580</v>
      </c>
      <c r="B581">
        <v>40569</v>
      </c>
      <c r="C581">
        <v>1</v>
      </c>
      <c r="D581">
        <v>0</v>
      </c>
      <c r="E581">
        <v>1</v>
      </c>
      <c r="F581">
        <v>10</v>
      </c>
      <c r="G581" t="b">
        <v>0</v>
      </c>
      <c r="H581">
        <v>3</v>
      </c>
      <c r="I581">
        <v>3</v>
      </c>
      <c r="J581">
        <v>0.22</v>
      </c>
    </row>
    <row r="582" spans="1:10">
      <c r="A582">
        <v>581</v>
      </c>
      <c r="B582">
        <v>40569</v>
      </c>
      <c r="C582">
        <v>1</v>
      </c>
      <c r="D582">
        <v>0</v>
      </c>
      <c r="E582">
        <v>1</v>
      </c>
      <c r="F582">
        <v>11</v>
      </c>
      <c r="G582" t="b">
        <v>0</v>
      </c>
      <c r="H582">
        <v>3</v>
      </c>
      <c r="I582">
        <v>3</v>
      </c>
      <c r="J582">
        <v>0.22</v>
      </c>
    </row>
    <row r="583" spans="1:10">
      <c r="A583">
        <v>582</v>
      </c>
      <c r="B583">
        <v>40569</v>
      </c>
      <c r="C583">
        <v>1</v>
      </c>
      <c r="D583">
        <v>0</v>
      </c>
      <c r="E583">
        <v>1</v>
      </c>
      <c r="F583">
        <v>12</v>
      </c>
      <c r="G583" t="b">
        <v>0</v>
      </c>
      <c r="H583">
        <v>3</v>
      </c>
      <c r="I583">
        <v>3</v>
      </c>
      <c r="J583">
        <v>0.22</v>
      </c>
    </row>
    <row r="584" spans="1:10">
      <c r="A584">
        <v>583</v>
      </c>
      <c r="B584">
        <v>40569</v>
      </c>
      <c r="C584">
        <v>1</v>
      </c>
      <c r="D584">
        <v>0</v>
      </c>
      <c r="E584">
        <v>1</v>
      </c>
      <c r="F584">
        <v>13</v>
      </c>
      <c r="G584" t="b">
        <v>0</v>
      </c>
      <c r="H584">
        <v>3</v>
      </c>
      <c r="I584">
        <v>3</v>
      </c>
      <c r="J584">
        <v>0.22</v>
      </c>
    </row>
    <row r="585" spans="1:10">
      <c r="A585">
        <v>584</v>
      </c>
      <c r="B585">
        <v>40569</v>
      </c>
      <c r="C585">
        <v>1</v>
      </c>
      <c r="D585">
        <v>0</v>
      </c>
      <c r="E585">
        <v>1</v>
      </c>
      <c r="F585">
        <v>14</v>
      </c>
      <c r="G585" t="b">
        <v>0</v>
      </c>
      <c r="H585">
        <v>3</v>
      </c>
      <c r="I585">
        <v>3</v>
      </c>
      <c r="J585">
        <v>0.22</v>
      </c>
    </row>
    <row r="586" spans="1:10">
      <c r="A586">
        <v>585</v>
      </c>
      <c r="B586">
        <v>40569</v>
      </c>
      <c r="C586">
        <v>1</v>
      </c>
      <c r="D586">
        <v>0</v>
      </c>
      <c r="E586">
        <v>1</v>
      </c>
      <c r="F586">
        <v>15</v>
      </c>
      <c r="G586" t="b">
        <v>0</v>
      </c>
      <c r="H586">
        <v>3</v>
      </c>
      <c r="I586">
        <v>3</v>
      </c>
      <c r="J586">
        <v>0.22</v>
      </c>
    </row>
    <row r="587" spans="1:10">
      <c r="A587">
        <v>586</v>
      </c>
      <c r="B587">
        <v>40569</v>
      </c>
      <c r="C587">
        <v>1</v>
      </c>
      <c r="D587">
        <v>0</v>
      </c>
      <c r="E587">
        <v>1</v>
      </c>
      <c r="F587">
        <v>16</v>
      </c>
      <c r="G587" t="b">
        <v>0</v>
      </c>
      <c r="H587">
        <v>3</v>
      </c>
      <c r="I587">
        <v>4</v>
      </c>
      <c r="J587">
        <v>0.22</v>
      </c>
    </row>
    <row r="588" spans="1:10">
      <c r="A588">
        <v>587</v>
      </c>
      <c r="B588">
        <v>40569</v>
      </c>
      <c r="C588">
        <v>1</v>
      </c>
      <c r="D588">
        <v>0</v>
      </c>
      <c r="E588">
        <v>1</v>
      </c>
      <c r="F588">
        <v>17</v>
      </c>
      <c r="G588" t="b">
        <v>0</v>
      </c>
      <c r="H588">
        <v>3</v>
      </c>
      <c r="I588">
        <v>3</v>
      </c>
      <c r="J588">
        <v>0.2</v>
      </c>
    </row>
    <row r="589" spans="1:10">
      <c r="A589">
        <v>588</v>
      </c>
      <c r="B589">
        <v>40570</v>
      </c>
      <c r="C589">
        <v>1</v>
      </c>
      <c r="D589">
        <v>0</v>
      </c>
      <c r="E589">
        <v>1</v>
      </c>
      <c r="F589">
        <v>16</v>
      </c>
      <c r="G589" t="b">
        <v>0</v>
      </c>
      <c r="H589">
        <v>4</v>
      </c>
      <c r="I589">
        <v>1</v>
      </c>
      <c r="J589">
        <v>0.22</v>
      </c>
    </row>
    <row r="590" spans="1:10">
      <c r="A590">
        <v>589</v>
      </c>
      <c r="B590">
        <v>40570</v>
      </c>
      <c r="C590">
        <v>1</v>
      </c>
      <c r="D590">
        <v>0</v>
      </c>
      <c r="E590">
        <v>1</v>
      </c>
      <c r="F590">
        <v>17</v>
      </c>
      <c r="G590" t="b">
        <v>0</v>
      </c>
      <c r="H590">
        <v>4</v>
      </c>
      <c r="I590">
        <v>1</v>
      </c>
      <c r="J590">
        <v>0.22</v>
      </c>
    </row>
    <row r="591" spans="1:10">
      <c r="A591">
        <v>590</v>
      </c>
      <c r="B591">
        <v>40570</v>
      </c>
      <c r="C591">
        <v>1</v>
      </c>
      <c r="D591">
        <v>0</v>
      </c>
      <c r="E591">
        <v>1</v>
      </c>
      <c r="F591">
        <v>18</v>
      </c>
      <c r="G591" t="b">
        <v>0</v>
      </c>
      <c r="H591">
        <v>4</v>
      </c>
      <c r="I591">
        <v>1</v>
      </c>
      <c r="J591">
        <v>0.2</v>
      </c>
    </row>
    <row r="592" spans="1:10">
      <c r="A592">
        <v>591</v>
      </c>
      <c r="B592">
        <v>40570</v>
      </c>
      <c r="C592">
        <v>1</v>
      </c>
      <c r="D592">
        <v>0</v>
      </c>
      <c r="E592">
        <v>1</v>
      </c>
      <c r="F592">
        <v>19</v>
      </c>
      <c r="G592" t="b">
        <v>0</v>
      </c>
      <c r="H592">
        <v>4</v>
      </c>
      <c r="I592">
        <v>1</v>
      </c>
      <c r="J592">
        <v>0.2</v>
      </c>
    </row>
    <row r="593" spans="1:10">
      <c r="A593">
        <v>592</v>
      </c>
      <c r="B593">
        <v>40570</v>
      </c>
      <c r="C593">
        <v>1</v>
      </c>
      <c r="D593">
        <v>0</v>
      </c>
      <c r="E593">
        <v>1</v>
      </c>
      <c r="F593">
        <v>20</v>
      </c>
      <c r="G593" t="b">
        <v>0</v>
      </c>
      <c r="H593">
        <v>4</v>
      </c>
      <c r="I593">
        <v>1</v>
      </c>
      <c r="J593">
        <v>0.18</v>
      </c>
    </row>
    <row r="594" spans="1:10">
      <c r="A594">
        <v>593</v>
      </c>
      <c r="B594">
        <v>40570</v>
      </c>
      <c r="C594">
        <v>1</v>
      </c>
      <c r="D594">
        <v>0</v>
      </c>
      <c r="E594">
        <v>1</v>
      </c>
      <c r="F594">
        <v>21</v>
      </c>
      <c r="G594" t="b">
        <v>0</v>
      </c>
      <c r="H594">
        <v>4</v>
      </c>
      <c r="I594">
        <v>1</v>
      </c>
      <c r="J594">
        <v>0.18</v>
      </c>
    </row>
    <row r="595" spans="1:10">
      <c r="A595">
        <v>594</v>
      </c>
      <c r="B595">
        <v>40570</v>
      </c>
      <c r="C595">
        <v>1</v>
      </c>
      <c r="D595">
        <v>0</v>
      </c>
      <c r="E595">
        <v>1</v>
      </c>
      <c r="F595">
        <v>22</v>
      </c>
      <c r="G595" t="b">
        <v>0</v>
      </c>
      <c r="H595">
        <v>4</v>
      </c>
      <c r="I595">
        <v>1</v>
      </c>
      <c r="J595">
        <v>0.18</v>
      </c>
    </row>
    <row r="596" spans="1:10">
      <c r="A596">
        <v>595</v>
      </c>
      <c r="B596">
        <v>40570</v>
      </c>
      <c r="C596">
        <v>1</v>
      </c>
      <c r="D596">
        <v>0</v>
      </c>
      <c r="E596">
        <v>1</v>
      </c>
      <c r="F596">
        <v>23</v>
      </c>
      <c r="G596" t="b">
        <v>0</v>
      </c>
      <c r="H596">
        <v>4</v>
      </c>
      <c r="I596">
        <v>1</v>
      </c>
      <c r="J596">
        <v>0.18</v>
      </c>
    </row>
    <row r="597" spans="1:10">
      <c r="A597">
        <v>596</v>
      </c>
      <c r="B597">
        <v>40571</v>
      </c>
      <c r="C597">
        <v>1</v>
      </c>
      <c r="D597">
        <v>0</v>
      </c>
      <c r="E597">
        <v>1</v>
      </c>
      <c r="F597">
        <v>0</v>
      </c>
      <c r="G597" t="b">
        <v>0</v>
      </c>
      <c r="H597">
        <v>5</v>
      </c>
      <c r="I597">
        <v>2</v>
      </c>
      <c r="J597">
        <v>0.2</v>
      </c>
    </row>
    <row r="598" spans="1:10">
      <c r="A598">
        <v>597</v>
      </c>
      <c r="B598">
        <v>40571</v>
      </c>
      <c r="C598">
        <v>1</v>
      </c>
      <c r="D598">
        <v>0</v>
      </c>
      <c r="E598">
        <v>1</v>
      </c>
      <c r="F598">
        <v>1</v>
      </c>
      <c r="G598" t="b">
        <v>0</v>
      </c>
      <c r="H598">
        <v>5</v>
      </c>
      <c r="I598">
        <v>2</v>
      </c>
      <c r="J598">
        <v>0.2</v>
      </c>
    </row>
    <row r="599" spans="1:10">
      <c r="A599">
        <v>598</v>
      </c>
      <c r="B599">
        <v>40571</v>
      </c>
      <c r="C599">
        <v>1</v>
      </c>
      <c r="D599">
        <v>0</v>
      </c>
      <c r="E599">
        <v>1</v>
      </c>
      <c r="F599">
        <v>2</v>
      </c>
      <c r="G599" t="b">
        <v>0</v>
      </c>
      <c r="H599">
        <v>5</v>
      </c>
      <c r="I599">
        <v>2</v>
      </c>
      <c r="J599">
        <v>0.2</v>
      </c>
    </row>
    <row r="600" spans="1:10">
      <c r="A600">
        <v>599</v>
      </c>
      <c r="B600">
        <v>40571</v>
      </c>
      <c r="C600">
        <v>1</v>
      </c>
      <c r="D600">
        <v>0</v>
      </c>
      <c r="E600">
        <v>1</v>
      </c>
      <c r="F600">
        <v>3</v>
      </c>
      <c r="G600" t="b">
        <v>0</v>
      </c>
      <c r="H600">
        <v>5</v>
      </c>
      <c r="I600">
        <v>2</v>
      </c>
      <c r="J600">
        <v>0.2</v>
      </c>
    </row>
    <row r="601" spans="1:10">
      <c r="A601">
        <v>600</v>
      </c>
      <c r="B601">
        <v>40571</v>
      </c>
      <c r="C601">
        <v>1</v>
      </c>
      <c r="D601">
        <v>0</v>
      </c>
      <c r="E601">
        <v>1</v>
      </c>
      <c r="F601">
        <v>5</v>
      </c>
      <c r="G601" t="b">
        <v>0</v>
      </c>
      <c r="H601">
        <v>5</v>
      </c>
      <c r="I601">
        <v>2</v>
      </c>
      <c r="J601">
        <v>0.18</v>
      </c>
    </row>
    <row r="602" spans="1:10">
      <c r="A602">
        <v>601</v>
      </c>
      <c r="B602">
        <v>40571</v>
      </c>
      <c r="C602">
        <v>1</v>
      </c>
      <c r="D602">
        <v>0</v>
      </c>
      <c r="E602">
        <v>1</v>
      </c>
      <c r="F602">
        <v>6</v>
      </c>
      <c r="G602" t="b">
        <v>0</v>
      </c>
      <c r="H602">
        <v>5</v>
      </c>
      <c r="I602">
        <v>2</v>
      </c>
      <c r="J602">
        <v>0.18</v>
      </c>
    </row>
    <row r="603" spans="1:10">
      <c r="A603">
        <v>602</v>
      </c>
      <c r="B603">
        <v>40571</v>
      </c>
      <c r="C603">
        <v>1</v>
      </c>
      <c r="D603">
        <v>0</v>
      </c>
      <c r="E603">
        <v>1</v>
      </c>
      <c r="F603">
        <v>7</v>
      </c>
      <c r="G603" t="b">
        <v>0</v>
      </c>
      <c r="H603">
        <v>5</v>
      </c>
      <c r="I603">
        <v>2</v>
      </c>
      <c r="J603">
        <v>0.16</v>
      </c>
    </row>
    <row r="604" spans="1:10">
      <c r="A604">
        <v>603</v>
      </c>
      <c r="B604">
        <v>40571</v>
      </c>
      <c r="C604">
        <v>1</v>
      </c>
      <c r="D604">
        <v>0</v>
      </c>
      <c r="E604">
        <v>1</v>
      </c>
      <c r="F604">
        <v>8</v>
      </c>
      <c r="G604" t="b">
        <v>0</v>
      </c>
      <c r="H604">
        <v>5</v>
      </c>
      <c r="I604">
        <v>2</v>
      </c>
      <c r="J604">
        <v>0.16</v>
      </c>
    </row>
    <row r="605" spans="1:10">
      <c r="A605">
        <v>604</v>
      </c>
      <c r="B605">
        <v>40571</v>
      </c>
      <c r="C605">
        <v>1</v>
      </c>
      <c r="D605">
        <v>0</v>
      </c>
      <c r="E605">
        <v>1</v>
      </c>
      <c r="F605">
        <v>9</v>
      </c>
      <c r="G605" t="b">
        <v>0</v>
      </c>
      <c r="H605">
        <v>5</v>
      </c>
      <c r="I605">
        <v>3</v>
      </c>
      <c r="J605">
        <v>0.18</v>
      </c>
    </row>
    <row r="606" spans="1:10">
      <c r="A606">
        <v>605</v>
      </c>
      <c r="B606">
        <v>40571</v>
      </c>
      <c r="C606">
        <v>1</v>
      </c>
      <c r="D606">
        <v>0</v>
      </c>
      <c r="E606">
        <v>1</v>
      </c>
      <c r="F606">
        <v>10</v>
      </c>
      <c r="G606" t="b">
        <v>0</v>
      </c>
      <c r="H606">
        <v>5</v>
      </c>
      <c r="I606">
        <v>3</v>
      </c>
      <c r="J606">
        <v>0.18</v>
      </c>
    </row>
    <row r="607" spans="1:10">
      <c r="A607">
        <v>606</v>
      </c>
      <c r="B607">
        <v>40571</v>
      </c>
      <c r="C607">
        <v>1</v>
      </c>
      <c r="D607">
        <v>0</v>
      </c>
      <c r="E607">
        <v>1</v>
      </c>
      <c r="F607">
        <v>11</v>
      </c>
      <c r="G607" t="b">
        <v>0</v>
      </c>
      <c r="H607">
        <v>5</v>
      </c>
      <c r="I607">
        <v>3</v>
      </c>
      <c r="J607">
        <v>0.18</v>
      </c>
    </row>
    <row r="608" spans="1:10">
      <c r="A608">
        <v>607</v>
      </c>
      <c r="B608">
        <v>40571</v>
      </c>
      <c r="C608">
        <v>1</v>
      </c>
      <c r="D608">
        <v>0</v>
      </c>
      <c r="E608">
        <v>1</v>
      </c>
      <c r="F608">
        <v>12</v>
      </c>
      <c r="G608" t="b">
        <v>0</v>
      </c>
      <c r="H608">
        <v>5</v>
      </c>
      <c r="I608">
        <v>3</v>
      </c>
      <c r="J608">
        <v>0.18</v>
      </c>
    </row>
    <row r="609" spans="1:10">
      <c r="A609">
        <v>608</v>
      </c>
      <c r="B609">
        <v>40571</v>
      </c>
      <c r="C609">
        <v>1</v>
      </c>
      <c r="D609">
        <v>0</v>
      </c>
      <c r="E609">
        <v>1</v>
      </c>
      <c r="F609">
        <v>13</v>
      </c>
      <c r="G609" t="b">
        <v>0</v>
      </c>
      <c r="H609">
        <v>5</v>
      </c>
      <c r="I609">
        <v>3</v>
      </c>
      <c r="J609">
        <v>0.18</v>
      </c>
    </row>
    <row r="610" spans="1:10">
      <c r="A610">
        <v>609</v>
      </c>
      <c r="B610">
        <v>40571</v>
      </c>
      <c r="C610">
        <v>1</v>
      </c>
      <c r="D610">
        <v>0</v>
      </c>
      <c r="E610">
        <v>1</v>
      </c>
      <c r="F610">
        <v>14</v>
      </c>
      <c r="G610" t="b">
        <v>0</v>
      </c>
      <c r="H610">
        <v>5</v>
      </c>
      <c r="I610">
        <v>3</v>
      </c>
      <c r="J610">
        <v>0.22</v>
      </c>
    </row>
    <row r="611" spans="1:10">
      <c r="A611">
        <v>610</v>
      </c>
      <c r="B611">
        <v>40571</v>
      </c>
      <c r="C611">
        <v>1</v>
      </c>
      <c r="D611">
        <v>0</v>
      </c>
      <c r="E611">
        <v>1</v>
      </c>
      <c r="F611">
        <v>15</v>
      </c>
      <c r="G611" t="b">
        <v>0</v>
      </c>
      <c r="H611">
        <v>5</v>
      </c>
      <c r="I611">
        <v>2</v>
      </c>
      <c r="J611">
        <v>0.2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CA01C-4C4B-4EE8-8A05-12FA6B7F3E4F}">
  <sheetPr codeName="Sheet18"/>
  <dimension ref="A1:H611"/>
  <sheetViews>
    <sheetView workbookViewId="0">
      <selection sqref="A1:H611"/>
    </sheetView>
  </sheetViews>
  <sheetFormatPr defaultRowHeight="14.4"/>
  <sheetData>
    <row r="1" spans="1:8">
      <c r="A1" t="s">
        <v>44</v>
      </c>
      <c r="B1" t="s">
        <v>34</v>
      </c>
      <c r="C1" t="s">
        <v>45</v>
      </c>
      <c r="D1" t="s">
        <v>46</v>
      </c>
      <c r="E1" t="s">
        <v>47</v>
      </c>
      <c r="F1" t="s">
        <v>48</v>
      </c>
      <c r="G1" t="s">
        <v>49</v>
      </c>
      <c r="H1" t="s">
        <v>50</v>
      </c>
    </row>
    <row r="2" spans="1:8">
      <c r="A2">
        <v>0</v>
      </c>
      <c r="B2">
        <v>1</v>
      </c>
      <c r="C2">
        <v>0.28789999999999999</v>
      </c>
      <c r="D2">
        <v>0.81</v>
      </c>
      <c r="E2">
        <v>0</v>
      </c>
      <c r="F2">
        <v>3</v>
      </c>
      <c r="G2">
        <v>13</v>
      </c>
      <c r="H2">
        <v>16</v>
      </c>
    </row>
    <row r="3" spans="1:8">
      <c r="A3">
        <v>1</v>
      </c>
      <c r="B3">
        <v>2</v>
      </c>
      <c r="C3">
        <v>0.2727</v>
      </c>
      <c r="D3">
        <v>0.8</v>
      </c>
      <c r="E3">
        <v>0</v>
      </c>
      <c r="F3">
        <v>8</v>
      </c>
      <c r="G3">
        <v>32</v>
      </c>
      <c r="H3">
        <v>40</v>
      </c>
    </row>
    <row r="4" spans="1:8">
      <c r="A4">
        <v>2</v>
      </c>
      <c r="B4">
        <v>3</v>
      </c>
      <c r="C4">
        <v>0.2727</v>
      </c>
      <c r="D4">
        <v>0.8</v>
      </c>
      <c r="E4">
        <v>0</v>
      </c>
      <c r="F4">
        <v>5</v>
      </c>
      <c r="G4">
        <v>27</v>
      </c>
      <c r="H4">
        <v>32</v>
      </c>
    </row>
    <row r="5" spans="1:8">
      <c r="A5">
        <v>3</v>
      </c>
      <c r="B5">
        <v>4</v>
      </c>
      <c r="C5">
        <v>0.28789999999999999</v>
      </c>
      <c r="D5">
        <v>0.75</v>
      </c>
      <c r="E5">
        <v>0</v>
      </c>
      <c r="F5">
        <v>3</v>
      </c>
      <c r="G5">
        <v>10</v>
      </c>
      <c r="H5">
        <v>13</v>
      </c>
    </row>
    <row r="6" spans="1:8">
      <c r="A6">
        <v>4</v>
      </c>
      <c r="B6">
        <v>5</v>
      </c>
      <c r="C6">
        <v>0.28789999999999999</v>
      </c>
      <c r="D6">
        <v>0.75</v>
      </c>
      <c r="E6">
        <v>0</v>
      </c>
      <c r="F6">
        <v>0</v>
      </c>
      <c r="G6">
        <v>1</v>
      </c>
      <c r="H6">
        <v>1</v>
      </c>
    </row>
    <row r="7" spans="1:8">
      <c r="A7">
        <v>5</v>
      </c>
      <c r="B7">
        <v>6</v>
      </c>
      <c r="C7">
        <v>0.2576</v>
      </c>
      <c r="D7">
        <v>0.75</v>
      </c>
      <c r="E7">
        <v>8.9599999999999999E-2</v>
      </c>
      <c r="F7">
        <v>0</v>
      </c>
      <c r="G7">
        <v>1</v>
      </c>
      <c r="H7">
        <v>1</v>
      </c>
    </row>
    <row r="8" spans="1:8">
      <c r="A8">
        <v>6</v>
      </c>
      <c r="B8">
        <v>7</v>
      </c>
      <c r="C8">
        <v>0.2727</v>
      </c>
      <c r="D8">
        <v>0.8</v>
      </c>
      <c r="E8">
        <v>0</v>
      </c>
      <c r="F8">
        <v>2</v>
      </c>
      <c r="G8">
        <v>0</v>
      </c>
      <c r="H8">
        <v>2</v>
      </c>
    </row>
    <row r="9" spans="1:8">
      <c r="A9">
        <v>7</v>
      </c>
      <c r="B9">
        <v>8</v>
      </c>
      <c r="C9">
        <v>0.2576</v>
      </c>
      <c r="D9">
        <v>0.86</v>
      </c>
      <c r="E9">
        <v>0</v>
      </c>
      <c r="F9">
        <v>1</v>
      </c>
      <c r="G9">
        <v>2</v>
      </c>
      <c r="H9">
        <v>3</v>
      </c>
    </row>
    <row r="10" spans="1:8">
      <c r="A10">
        <v>8</v>
      </c>
      <c r="B10">
        <v>9</v>
      </c>
      <c r="D10">
        <v>0.75</v>
      </c>
      <c r="E10">
        <v>0</v>
      </c>
      <c r="F10">
        <v>1</v>
      </c>
      <c r="G10">
        <v>7</v>
      </c>
      <c r="H10">
        <v>8</v>
      </c>
    </row>
    <row r="11" spans="1:8">
      <c r="A11">
        <v>9</v>
      </c>
      <c r="B11">
        <v>10</v>
      </c>
      <c r="C11">
        <v>0.34849999999999998</v>
      </c>
      <c r="D11">
        <v>0.76</v>
      </c>
      <c r="E11">
        <v>0</v>
      </c>
      <c r="F11">
        <v>8</v>
      </c>
      <c r="G11">
        <v>6</v>
      </c>
      <c r="H11">
        <v>14</v>
      </c>
    </row>
    <row r="12" spans="1:8">
      <c r="A12">
        <v>10</v>
      </c>
      <c r="B12">
        <v>11</v>
      </c>
      <c r="C12">
        <v>0.39389999999999997</v>
      </c>
      <c r="D12">
        <v>0.76</v>
      </c>
      <c r="E12">
        <v>0.25369999999999998</v>
      </c>
      <c r="F12">
        <v>12</v>
      </c>
      <c r="G12">
        <v>24</v>
      </c>
      <c r="H12">
        <v>36</v>
      </c>
    </row>
    <row r="13" spans="1:8">
      <c r="A13">
        <v>11</v>
      </c>
      <c r="B13">
        <v>12</v>
      </c>
      <c r="C13">
        <v>0.33329999999999999</v>
      </c>
      <c r="D13">
        <v>0.81</v>
      </c>
      <c r="E13">
        <v>0.28360000000000002</v>
      </c>
      <c r="F13">
        <v>26</v>
      </c>
      <c r="G13">
        <v>30</v>
      </c>
      <c r="H13">
        <v>56</v>
      </c>
    </row>
    <row r="14" spans="1:8">
      <c r="A14">
        <v>12</v>
      </c>
      <c r="B14">
        <v>13</v>
      </c>
      <c r="C14">
        <v>0.42420000000000002</v>
      </c>
      <c r="D14">
        <v>0.77</v>
      </c>
      <c r="E14">
        <v>0.28360000000000002</v>
      </c>
      <c r="F14">
        <v>29</v>
      </c>
      <c r="G14">
        <v>55</v>
      </c>
      <c r="H14">
        <v>84</v>
      </c>
    </row>
    <row r="15" spans="1:8">
      <c r="A15">
        <v>13</v>
      </c>
      <c r="B15">
        <v>14</v>
      </c>
      <c r="C15">
        <v>0.45450000000000002</v>
      </c>
      <c r="D15">
        <v>0.72</v>
      </c>
      <c r="E15">
        <v>0.29849999999999999</v>
      </c>
      <c r="F15">
        <v>47</v>
      </c>
      <c r="G15">
        <v>47</v>
      </c>
      <c r="H15">
        <v>94</v>
      </c>
    </row>
    <row r="16" spans="1:8">
      <c r="A16">
        <v>14</v>
      </c>
      <c r="B16">
        <v>15</v>
      </c>
      <c r="C16">
        <v>0.45450000000000002</v>
      </c>
      <c r="D16">
        <v>0.72</v>
      </c>
      <c r="E16">
        <v>0.28360000000000002</v>
      </c>
      <c r="F16">
        <v>35</v>
      </c>
      <c r="G16">
        <v>71</v>
      </c>
      <c r="H16">
        <v>106</v>
      </c>
    </row>
    <row r="17" spans="1:8">
      <c r="A17">
        <v>15</v>
      </c>
      <c r="B17">
        <v>16</v>
      </c>
      <c r="C17">
        <v>0.43940000000000001</v>
      </c>
      <c r="D17">
        <v>0.77</v>
      </c>
      <c r="E17">
        <v>0.29849999999999999</v>
      </c>
      <c r="F17">
        <v>40</v>
      </c>
      <c r="G17">
        <v>70</v>
      </c>
      <c r="H17">
        <v>110</v>
      </c>
    </row>
    <row r="18" spans="1:8">
      <c r="A18">
        <v>16</v>
      </c>
      <c r="B18">
        <v>17</v>
      </c>
      <c r="C18">
        <v>0.42420000000000002</v>
      </c>
      <c r="D18">
        <v>0.82</v>
      </c>
      <c r="E18">
        <v>0.29849999999999999</v>
      </c>
      <c r="F18">
        <v>41</v>
      </c>
      <c r="G18">
        <v>52</v>
      </c>
      <c r="H18">
        <v>93</v>
      </c>
    </row>
    <row r="19" spans="1:8">
      <c r="A19">
        <v>17</v>
      </c>
      <c r="B19">
        <v>18</v>
      </c>
      <c r="D19">
        <v>0.82</v>
      </c>
      <c r="E19">
        <v>0.28360000000000002</v>
      </c>
      <c r="F19">
        <v>15</v>
      </c>
      <c r="G19">
        <v>52</v>
      </c>
      <c r="H19">
        <v>67</v>
      </c>
    </row>
    <row r="20" spans="1:8">
      <c r="A20">
        <v>18</v>
      </c>
      <c r="B20">
        <v>19</v>
      </c>
      <c r="C20">
        <v>0.42420000000000002</v>
      </c>
      <c r="D20">
        <v>0.88</v>
      </c>
      <c r="E20">
        <v>0.25369999999999998</v>
      </c>
      <c r="F20">
        <v>9</v>
      </c>
      <c r="G20">
        <v>26</v>
      </c>
      <c r="H20">
        <v>35</v>
      </c>
    </row>
    <row r="21" spans="1:8">
      <c r="A21">
        <v>19</v>
      </c>
      <c r="B21">
        <v>20</v>
      </c>
      <c r="C21">
        <v>0.42420000000000002</v>
      </c>
      <c r="D21">
        <v>0.88</v>
      </c>
      <c r="E21">
        <v>0.25369999999999998</v>
      </c>
      <c r="F21">
        <v>6</v>
      </c>
      <c r="G21">
        <v>31</v>
      </c>
      <c r="H21">
        <v>37</v>
      </c>
    </row>
    <row r="22" spans="1:8">
      <c r="A22">
        <v>20</v>
      </c>
      <c r="B22">
        <v>21</v>
      </c>
      <c r="C22">
        <v>0.40910000000000002</v>
      </c>
      <c r="D22">
        <v>0.87</v>
      </c>
      <c r="E22">
        <v>0.25369999999999998</v>
      </c>
      <c r="F22">
        <v>11</v>
      </c>
      <c r="G22">
        <v>25</v>
      </c>
      <c r="H22">
        <v>36</v>
      </c>
    </row>
    <row r="23" spans="1:8">
      <c r="A23">
        <v>21</v>
      </c>
      <c r="B23">
        <v>22</v>
      </c>
      <c r="C23">
        <v>0.40910000000000002</v>
      </c>
      <c r="D23">
        <v>0.87</v>
      </c>
      <c r="E23">
        <v>0.19400000000000001</v>
      </c>
      <c r="F23">
        <v>3</v>
      </c>
      <c r="G23">
        <v>31</v>
      </c>
      <c r="H23">
        <v>34</v>
      </c>
    </row>
    <row r="24" spans="1:8">
      <c r="A24">
        <v>22</v>
      </c>
      <c r="B24">
        <v>23</v>
      </c>
      <c r="C24">
        <v>0.40910000000000002</v>
      </c>
      <c r="D24">
        <v>0.94</v>
      </c>
      <c r="E24">
        <v>0.22389999999999999</v>
      </c>
      <c r="F24">
        <v>11</v>
      </c>
      <c r="G24">
        <v>17</v>
      </c>
      <c r="H24">
        <v>28</v>
      </c>
    </row>
    <row r="25" spans="1:8">
      <c r="A25">
        <v>23</v>
      </c>
      <c r="B25">
        <v>24</v>
      </c>
      <c r="D25">
        <v>0.88</v>
      </c>
      <c r="E25">
        <v>0.29849999999999999</v>
      </c>
      <c r="F25">
        <v>15</v>
      </c>
      <c r="G25">
        <v>24</v>
      </c>
      <c r="H25">
        <v>39</v>
      </c>
    </row>
    <row r="26" spans="1:8">
      <c r="A26">
        <v>24</v>
      </c>
      <c r="B26">
        <v>25</v>
      </c>
      <c r="C26">
        <v>0.45450000000000002</v>
      </c>
      <c r="D26">
        <v>0.88</v>
      </c>
      <c r="E26">
        <v>0.29849999999999999</v>
      </c>
      <c r="F26">
        <v>4</v>
      </c>
      <c r="G26">
        <v>13</v>
      </c>
      <c r="H26">
        <v>17</v>
      </c>
    </row>
    <row r="27" spans="1:8">
      <c r="A27">
        <v>25</v>
      </c>
      <c r="B27">
        <v>26</v>
      </c>
      <c r="C27">
        <v>0.43940000000000001</v>
      </c>
      <c r="D27">
        <v>0.94</v>
      </c>
      <c r="E27">
        <v>0.25369999999999998</v>
      </c>
      <c r="F27">
        <v>1</v>
      </c>
      <c r="G27">
        <v>16</v>
      </c>
      <c r="H27">
        <v>17</v>
      </c>
    </row>
    <row r="28" spans="1:8">
      <c r="A28">
        <v>26</v>
      </c>
      <c r="B28">
        <v>27</v>
      </c>
      <c r="C28">
        <v>0.42420000000000002</v>
      </c>
      <c r="D28">
        <v>1</v>
      </c>
      <c r="E28">
        <v>0.28360000000000002</v>
      </c>
      <c r="F28">
        <v>1</v>
      </c>
      <c r="G28">
        <v>8</v>
      </c>
      <c r="H28">
        <v>9</v>
      </c>
    </row>
    <row r="29" spans="1:8">
      <c r="A29">
        <v>27</v>
      </c>
      <c r="B29">
        <v>28</v>
      </c>
      <c r="C29">
        <v>0.45450000000000002</v>
      </c>
      <c r="D29">
        <v>0.94</v>
      </c>
      <c r="E29">
        <v>0.19400000000000001</v>
      </c>
      <c r="F29">
        <v>2</v>
      </c>
      <c r="G29">
        <v>4</v>
      </c>
      <c r="H29">
        <v>6</v>
      </c>
    </row>
    <row r="30" spans="1:8">
      <c r="A30">
        <v>28</v>
      </c>
      <c r="B30">
        <v>29</v>
      </c>
      <c r="D30">
        <v>0.94</v>
      </c>
      <c r="E30">
        <v>0.19400000000000001</v>
      </c>
      <c r="F30">
        <v>2</v>
      </c>
      <c r="G30">
        <v>1</v>
      </c>
      <c r="H30">
        <v>3</v>
      </c>
    </row>
    <row r="31" spans="1:8">
      <c r="A31">
        <v>29</v>
      </c>
      <c r="B31">
        <v>30</v>
      </c>
      <c r="C31">
        <v>0.42420000000000002</v>
      </c>
      <c r="D31">
        <v>0.77</v>
      </c>
      <c r="E31">
        <v>0.29849999999999999</v>
      </c>
      <c r="F31">
        <v>0</v>
      </c>
      <c r="G31">
        <v>2</v>
      </c>
      <c r="H31">
        <v>2</v>
      </c>
    </row>
    <row r="32" spans="1:8">
      <c r="A32">
        <v>30</v>
      </c>
      <c r="B32">
        <v>31</v>
      </c>
      <c r="C32">
        <v>0.40910000000000002</v>
      </c>
      <c r="D32">
        <v>0.76</v>
      </c>
      <c r="E32">
        <v>0.19400000000000001</v>
      </c>
      <c r="F32">
        <v>0</v>
      </c>
      <c r="G32">
        <v>1</v>
      </c>
      <c r="H32">
        <v>1</v>
      </c>
    </row>
    <row r="33" spans="1:8">
      <c r="A33">
        <v>31</v>
      </c>
      <c r="B33">
        <v>32</v>
      </c>
      <c r="C33">
        <v>0.40910000000000002</v>
      </c>
      <c r="D33">
        <v>0.71</v>
      </c>
      <c r="E33">
        <v>0.22389999999999999</v>
      </c>
      <c r="F33">
        <v>0</v>
      </c>
      <c r="G33">
        <v>8</v>
      </c>
      <c r="H33">
        <v>8</v>
      </c>
    </row>
    <row r="34" spans="1:8">
      <c r="A34">
        <v>32</v>
      </c>
      <c r="B34">
        <v>33</v>
      </c>
      <c r="D34">
        <v>0.76</v>
      </c>
      <c r="E34">
        <v>0.22389999999999999</v>
      </c>
      <c r="F34">
        <v>1</v>
      </c>
      <c r="G34">
        <v>19</v>
      </c>
      <c r="H34">
        <v>20</v>
      </c>
    </row>
    <row r="35" spans="1:8">
      <c r="A35">
        <v>33</v>
      </c>
      <c r="B35">
        <v>34</v>
      </c>
      <c r="C35">
        <v>0.34849999999999998</v>
      </c>
      <c r="D35">
        <v>0.81</v>
      </c>
      <c r="E35">
        <v>0.22389999999999999</v>
      </c>
      <c r="F35">
        <v>7</v>
      </c>
      <c r="G35">
        <v>46</v>
      </c>
      <c r="H35">
        <v>53</v>
      </c>
    </row>
    <row r="36" spans="1:8">
      <c r="A36">
        <v>34</v>
      </c>
      <c r="B36">
        <v>35</v>
      </c>
      <c r="C36">
        <v>0.33329999999999999</v>
      </c>
      <c r="D36">
        <v>0.71</v>
      </c>
      <c r="E36">
        <v>0.25369999999999998</v>
      </c>
      <c r="F36">
        <v>16</v>
      </c>
      <c r="G36">
        <v>54</v>
      </c>
      <c r="H36">
        <v>70</v>
      </c>
    </row>
    <row r="37" spans="1:8">
      <c r="A37">
        <v>35</v>
      </c>
      <c r="B37">
        <v>36</v>
      </c>
      <c r="C37">
        <v>0.33329999999999999</v>
      </c>
      <c r="D37">
        <v>0.66</v>
      </c>
      <c r="E37">
        <v>0.29849999999999999</v>
      </c>
      <c r="F37">
        <v>20</v>
      </c>
      <c r="G37">
        <v>73</v>
      </c>
      <c r="H37">
        <v>93</v>
      </c>
    </row>
    <row r="38" spans="1:8">
      <c r="A38">
        <v>36</v>
      </c>
      <c r="B38">
        <v>37</v>
      </c>
      <c r="C38">
        <v>0.34849999999999998</v>
      </c>
      <c r="D38">
        <v>0.66</v>
      </c>
      <c r="E38">
        <v>0.1343</v>
      </c>
      <c r="F38">
        <v>11</v>
      </c>
      <c r="G38">
        <v>64</v>
      </c>
      <c r="H38">
        <v>75</v>
      </c>
    </row>
    <row r="39" spans="1:8">
      <c r="A39">
        <v>37</v>
      </c>
      <c r="B39">
        <v>38</v>
      </c>
      <c r="D39">
        <v>0.76</v>
      </c>
      <c r="E39">
        <v>0.19400000000000001</v>
      </c>
      <c r="F39">
        <v>4</v>
      </c>
      <c r="G39">
        <v>55</v>
      </c>
      <c r="H39">
        <v>59</v>
      </c>
    </row>
    <row r="40" spans="1:8">
      <c r="A40">
        <v>38</v>
      </c>
      <c r="B40">
        <v>39</v>
      </c>
      <c r="C40">
        <v>0.33329999999999999</v>
      </c>
      <c r="D40">
        <v>0.81</v>
      </c>
      <c r="E40">
        <v>0.16420000000000001</v>
      </c>
      <c r="F40">
        <v>19</v>
      </c>
      <c r="G40">
        <v>55</v>
      </c>
      <c r="H40">
        <v>74</v>
      </c>
    </row>
    <row r="41" spans="1:8">
      <c r="A41">
        <v>39</v>
      </c>
      <c r="B41">
        <v>40</v>
      </c>
      <c r="C41">
        <v>0.33329999999999999</v>
      </c>
      <c r="D41">
        <v>0.71</v>
      </c>
      <c r="E41">
        <v>0.16420000000000001</v>
      </c>
      <c r="F41">
        <v>9</v>
      </c>
      <c r="G41">
        <v>67</v>
      </c>
      <c r="H41">
        <v>76</v>
      </c>
    </row>
    <row r="42" spans="1:8">
      <c r="A42">
        <v>40</v>
      </c>
      <c r="B42">
        <v>41</v>
      </c>
      <c r="C42">
        <v>0.33329999999999999</v>
      </c>
      <c r="D42">
        <v>0.56999999999999995</v>
      </c>
      <c r="E42">
        <v>0.19400000000000001</v>
      </c>
      <c r="F42">
        <v>7</v>
      </c>
      <c r="G42">
        <v>58</v>
      </c>
      <c r="H42">
        <v>65</v>
      </c>
    </row>
    <row r="43" spans="1:8">
      <c r="A43">
        <v>41</v>
      </c>
      <c r="B43">
        <v>42</v>
      </c>
      <c r="C43">
        <v>0.33329999999999999</v>
      </c>
      <c r="D43">
        <v>0.46</v>
      </c>
      <c r="E43">
        <v>0.32840000000000003</v>
      </c>
      <c r="F43">
        <v>10</v>
      </c>
      <c r="G43">
        <v>43</v>
      </c>
      <c r="H43">
        <v>53</v>
      </c>
    </row>
    <row r="44" spans="1:8">
      <c r="A44">
        <v>42</v>
      </c>
      <c r="B44">
        <v>43</v>
      </c>
      <c r="C44">
        <v>0.28789999999999999</v>
      </c>
      <c r="D44">
        <v>0.42</v>
      </c>
      <c r="E44">
        <v>0.44779999999999998</v>
      </c>
      <c r="F44">
        <v>1</v>
      </c>
      <c r="G44">
        <v>29</v>
      </c>
      <c r="H44">
        <v>30</v>
      </c>
    </row>
    <row r="45" spans="1:8">
      <c r="A45">
        <v>43</v>
      </c>
      <c r="B45">
        <v>44</v>
      </c>
      <c r="D45">
        <v>0.39</v>
      </c>
      <c r="E45">
        <v>0.35820000000000002</v>
      </c>
      <c r="F45">
        <v>5</v>
      </c>
      <c r="G45">
        <v>17</v>
      </c>
      <c r="H45">
        <v>22</v>
      </c>
    </row>
    <row r="46" spans="1:8">
      <c r="A46">
        <v>44</v>
      </c>
      <c r="B46">
        <v>45</v>
      </c>
      <c r="C46">
        <v>0.2273</v>
      </c>
      <c r="D46">
        <v>0.44</v>
      </c>
      <c r="E46">
        <v>0.32840000000000003</v>
      </c>
      <c r="F46">
        <v>11</v>
      </c>
      <c r="G46">
        <v>20</v>
      </c>
      <c r="H46">
        <v>31</v>
      </c>
    </row>
    <row r="47" spans="1:8">
      <c r="A47">
        <v>45</v>
      </c>
      <c r="B47">
        <v>46</v>
      </c>
      <c r="C47">
        <v>0.21210000000000001</v>
      </c>
      <c r="D47">
        <v>0.44</v>
      </c>
      <c r="E47">
        <v>0.29849999999999999</v>
      </c>
      <c r="F47">
        <v>0</v>
      </c>
      <c r="G47">
        <v>9</v>
      </c>
      <c r="H47">
        <v>9</v>
      </c>
    </row>
    <row r="48" spans="1:8">
      <c r="A48">
        <v>46</v>
      </c>
      <c r="B48">
        <v>47</v>
      </c>
      <c r="C48">
        <v>0.2273</v>
      </c>
      <c r="D48">
        <v>0.47</v>
      </c>
      <c r="E48">
        <v>0.16420000000000001</v>
      </c>
      <c r="F48">
        <v>0</v>
      </c>
      <c r="G48">
        <v>8</v>
      </c>
      <c r="H48">
        <v>8</v>
      </c>
    </row>
    <row r="49" spans="1:8">
      <c r="A49">
        <v>47</v>
      </c>
      <c r="B49">
        <v>48</v>
      </c>
      <c r="C49">
        <v>0.19700000000000001</v>
      </c>
      <c r="D49">
        <v>0.44</v>
      </c>
      <c r="E49">
        <v>0.35820000000000002</v>
      </c>
      <c r="F49">
        <v>0</v>
      </c>
      <c r="G49">
        <v>5</v>
      </c>
      <c r="H49">
        <v>5</v>
      </c>
    </row>
    <row r="50" spans="1:8">
      <c r="A50">
        <v>48</v>
      </c>
      <c r="B50">
        <v>49</v>
      </c>
      <c r="D50">
        <v>0.44</v>
      </c>
      <c r="E50">
        <v>0.41789999999999999</v>
      </c>
      <c r="F50">
        <v>0</v>
      </c>
      <c r="G50">
        <v>2</v>
      </c>
      <c r="H50">
        <v>2</v>
      </c>
    </row>
    <row r="51" spans="1:8">
      <c r="A51">
        <v>49</v>
      </c>
      <c r="B51">
        <v>50</v>
      </c>
      <c r="C51">
        <v>0.13639999999999999</v>
      </c>
      <c r="D51">
        <v>0.47</v>
      </c>
      <c r="E51">
        <v>0.3881</v>
      </c>
      <c r="F51">
        <v>0</v>
      </c>
      <c r="G51">
        <v>1</v>
      </c>
      <c r="H51">
        <v>1</v>
      </c>
    </row>
    <row r="52" spans="1:8">
      <c r="A52">
        <v>50</v>
      </c>
      <c r="B52">
        <v>51</v>
      </c>
      <c r="C52">
        <v>0.13639999999999999</v>
      </c>
      <c r="D52">
        <v>0.47</v>
      </c>
      <c r="E52">
        <v>0.28360000000000002</v>
      </c>
      <c r="F52">
        <v>0</v>
      </c>
      <c r="G52">
        <v>3</v>
      </c>
      <c r="H52">
        <v>3</v>
      </c>
    </row>
    <row r="53" spans="1:8">
      <c r="A53">
        <v>51</v>
      </c>
      <c r="B53">
        <v>52</v>
      </c>
      <c r="C53">
        <v>0.1061</v>
      </c>
      <c r="D53">
        <v>0.5</v>
      </c>
      <c r="E53">
        <v>0.3881</v>
      </c>
      <c r="F53">
        <v>0</v>
      </c>
      <c r="G53">
        <v>30</v>
      </c>
      <c r="H53">
        <v>30</v>
      </c>
    </row>
    <row r="54" spans="1:8">
      <c r="A54">
        <v>52</v>
      </c>
      <c r="B54">
        <v>53</v>
      </c>
      <c r="C54">
        <v>0.13639999999999999</v>
      </c>
      <c r="D54">
        <v>0.5</v>
      </c>
      <c r="E54">
        <v>0.19400000000000001</v>
      </c>
      <c r="F54">
        <v>1</v>
      </c>
      <c r="G54">
        <v>63</v>
      </c>
      <c r="H54">
        <v>64</v>
      </c>
    </row>
    <row r="55" spans="1:8">
      <c r="A55">
        <v>53</v>
      </c>
      <c r="B55">
        <v>54</v>
      </c>
      <c r="C55">
        <v>0.1212</v>
      </c>
      <c r="D55">
        <v>0.5</v>
      </c>
      <c r="E55">
        <v>0.28360000000000002</v>
      </c>
      <c r="F55">
        <v>1</v>
      </c>
      <c r="G55">
        <v>153</v>
      </c>
      <c r="H55">
        <v>154</v>
      </c>
    </row>
    <row r="56" spans="1:8">
      <c r="A56">
        <v>54</v>
      </c>
      <c r="B56">
        <v>55</v>
      </c>
      <c r="C56">
        <v>0.13639999999999999</v>
      </c>
      <c r="D56">
        <v>0.43</v>
      </c>
      <c r="E56">
        <v>0.3881</v>
      </c>
      <c r="F56">
        <v>7</v>
      </c>
      <c r="G56">
        <v>81</v>
      </c>
      <c r="H56">
        <v>88</v>
      </c>
    </row>
    <row r="57" spans="1:8">
      <c r="A57">
        <v>55</v>
      </c>
      <c r="B57">
        <v>56</v>
      </c>
      <c r="C57">
        <v>0.16669999999999999</v>
      </c>
      <c r="D57">
        <v>0.43</v>
      </c>
      <c r="E57">
        <v>0.25369999999999998</v>
      </c>
      <c r="F57">
        <v>11</v>
      </c>
      <c r="G57">
        <v>33</v>
      </c>
      <c r="H57">
        <v>44</v>
      </c>
    </row>
    <row r="58" spans="1:8">
      <c r="A58">
        <v>56</v>
      </c>
      <c r="B58">
        <v>57</v>
      </c>
      <c r="C58">
        <v>0.18179999999999999</v>
      </c>
      <c r="D58">
        <v>0.4</v>
      </c>
      <c r="E58">
        <v>0.32840000000000003</v>
      </c>
      <c r="F58">
        <v>10</v>
      </c>
      <c r="G58">
        <v>41</v>
      </c>
      <c r="H58">
        <v>51</v>
      </c>
    </row>
    <row r="59" spans="1:8">
      <c r="A59">
        <v>57</v>
      </c>
      <c r="B59">
        <v>58</v>
      </c>
      <c r="C59">
        <v>0.21210000000000001</v>
      </c>
      <c r="D59">
        <v>0.35</v>
      </c>
      <c r="E59">
        <v>0.29849999999999999</v>
      </c>
      <c r="F59">
        <v>13</v>
      </c>
      <c r="G59">
        <v>48</v>
      </c>
      <c r="H59">
        <v>61</v>
      </c>
    </row>
    <row r="60" spans="1:8">
      <c r="A60">
        <v>58</v>
      </c>
      <c r="B60">
        <v>59</v>
      </c>
      <c r="D60">
        <v>0.35</v>
      </c>
      <c r="E60">
        <v>0.28360000000000002</v>
      </c>
      <c r="F60">
        <v>8</v>
      </c>
      <c r="G60">
        <v>53</v>
      </c>
      <c r="H60">
        <v>61</v>
      </c>
    </row>
    <row r="61" spans="1:8">
      <c r="A61">
        <v>59</v>
      </c>
      <c r="B61">
        <v>60</v>
      </c>
      <c r="C61">
        <v>0.2424</v>
      </c>
      <c r="D61">
        <v>0.3</v>
      </c>
      <c r="E61">
        <v>0.28360000000000002</v>
      </c>
      <c r="F61">
        <v>11</v>
      </c>
      <c r="G61">
        <v>66</v>
      </c>
      <c r="H61">
        <v>77</v>
      </c>
    </row>
    <row r="62" spans="1:8">
      <c r="A62">
        <v>60</v>
      </c>
      <c r="B62">
        <v>61</v>
      </c>
      <c r="C62">
        <v>0.2424</v>
      </c>
      <c r="D62">
        <v>0.3</v>
      </c>
      <c r="E62">
        <v>0.25369999999999998</v>
      </c>
      <c r="F62">
        <v>14</v>
      </c>
      <c r="G62">
        <v>58</v>
      </c>
      <c r="H62">
        <v>72</v>
      </c>
    </row>
    <row r="63" spans="1:8">
      <c r="A63">
        <v>61</v>
      </c>
      <c r="B63">
        <v>62</v>
      </c>
      <c r="C63">
        <v>0.2424</v>
      </c>
      <c r="D63">
        <v>0.3</v>
      </c>
      <c r="E63">
        <v>0.25369999999999998</v>
      </c>
      <c r="F63">
        <v>9</v>
      </c>
      <c r="G63">
        <v>67</v>
      </c>
      <c r="H63">
        <v>76</v>
      </c>
    </row>
    <row r="64" spans="1:8">
      <c r="A64">
        <v>62</v>
      </c>
      <c r="B64">
        <v>63</v>
      </c>
      <c r="C64">
        <v>0.2273</v>
      </c>
      <c r="D64">
        <v>0.3</v>
      </c>
      <c r="E64">
        <v>0.22389999999999999</v>
      </c>
      <c r="F64">
        <v>11</v>
      </c>
      <c r="G64">
        <v>146</v>
      </c>
      <c r="H64">
        <v>157</v>
      </c>
    </row>
    <row r="65" spans="1:8">
      <c r="A65">
        <v>63</v>
      </c>
      <c r="B65">
        <v>64</v>
      </c>
      <c r="C65">
        <v>0.2576</v>
      </c>
      <c r="D65">
        <v>0.32</v>
      </c>
      <c r="E65">
        <v>0.1045</v>
      </c>
      <c r="F65">
        <v>9</v>
      </c>
      <c r="G65">
        <v>148</v>
      </c>
      <c r="H65">
        <v>157</v>
      </c>
    </row>
    <row r="66" spans="1:8">
      <c r="A66">
        <v>64</v>
      </c>
      <c r="B66">
        <v>65</v>
      </c>
      <c r="C66">
        <v>0.2576</v>
      </c>
      <c r="D66">
        <v>0.47</v>
      </c>
      <c r="E66">
        <v>0</v>
      </c>
      <c r="F66">
        <v>8</v>
      </c>
      <c r="G66">
        <v>102</v>
      </c>
      <c r="H66">
        <v>110</v>
      </c>
    </row>
    <row r="67" spans="1:8">
      <c r="A67">
        <v>65</v>
      </c>
      <c r="B67">
        <v>66</v>
      </c>
      <c r="D67">
        <v>0.47</v>
      </c>
      <c r="E67">
        <v>0.1045</v>
      </c>
      <c r="F67">
        <v>3</v>
      </c>
      <c r="G67">
        <v>49</v>
      </c>
      <c r="H67">
        <v>52</v>
      </c>
    </row>
    <row r="68" spans="1:8">
      <c r="A68">
        <v>66</v>
      </c>
      <c r="B68">
        <v>67</v>
      </c>
      <c r="C68">
        <v>0.19700000000000001</v>
      </c>
      <c r="D68">
        <v>0.64</v>
      </c>
      <c r="E68">
        <v>0.1343</v>
      </c>
      <c r="F68">
        <v>3</v>
      </c>
      <c r="G68">
        <v>49</v>
      </c>
      <c r="H68">
        <v>52</v>
      </c>
    </row>
    <row r="69" spans="1:8">
      <c r="A69">
        <v>67</v>
      </c>
      <c r="B69">
        <v>68</v>
      </c>
      <c r="C69">
        <v>0.1515</v>
      </c>
      <c r="D69">
        <v>0.69</v>
      </c>
      <c r="E69">
        <v>0.1343</v>
      </c>
      <c r="F69">
        <v>0</v>
      </c>
      <c r="G69">
        <v>20</v>
      </c>
      <c r="H69">
        <v>20</v>
      </c>
    </row>
    <row r="70" spans="1:8">
      <c r="A70">
        <v>68</v>
      </c>
      <c r="B70">
        <v>69</v>
      </c>
      <c r="C70">
        <v>0.21210000000000001</v>
      </c>
      <c r="D70">
        <v>0.55000000000000004</v>
      </c>
      <c r="E70">
        <v>0.1045</v>
      </c>
      <c r="F70">
        <v>1</v>
      </c>
      <c r="G70">
        <v>11</v>
      </c>
      <c r="H70">
        <v>12</v>
      </c>
    </row>
    <row r="71" spans="1:8">
      <c r="A71">
        <v>69</v>
      </c>
      <c r="B71">
        <v>70</v>
      </c>
      <c r="D71">
        <v>0.55000000000000004</v>
      </c>
      <c r="E71">
        <v>0.1045</v>
      </c>
      <c r="F71">
        <v>0</v>
      </c>
      <c r="G71">
        <v>5</v>
      </c>
      <c r="H71">
        <v>5</v>
      </c>
    </row>
    <row r="72" spans="1:8">
      <c r="A72">
        <v>70</v>
      </c>
      <c r="B72">
        <v>71</v>
      </c>
      <c r="C72">
        <v>0.18179999999999999</v>
      </c>
      <c r="D72">
        <v>0.59</v>
      </c>
      <c r="E72">
        <v>0.1045</v>
      </c>
      <c r="F72">
        <v>0</v>
      </c>
      <c r="G72">
        <v>2</v>
      </c>
      <c r="H72">
        <v>2</v>
      </c>
    </row>
    <row r="73" spans="1:8">
      <c r="A73">
        <v>71</v>
      </c>
      <c r="B73">
        <v>72</v>
      </c>
      <c r="C73">
        <v>0.1515</v>
      </c>
      <c r="D73">
        <v>0.63</v>
      </c>
      <c r="E73">
        <v>0.1343</v>
      </c>
      <c r="F73">
        <v>0</v>
      </c>
      <c r="G73">
        <v>1</v>
      </c>
      <c r="H73">
        <v>1</v>
      </c>
    </row>
    <row r="74" spans="1:8">
      <c r="A74">
        <v>72</v>
      </c>
      <c r="B74">
        <v>73</v>
      </c>
      <c r="C74">
        <v>0.18179999999999999</v>
      </c>
      <c r="D74">
        <v>0.63</v>
      </c>
      <c r="E74">
        <v>8.9599999999999999E-2</v>
      </c>
      <c r="F74">
        <v>0</v>
      </c>
      <c r="G74">
        <v>2</v>
      </c>
      <c r="H74">
        <v>2</v>
      </c>
    </row>
    <row r="75" spans="1:8">
      <c r="A75">
        <v>73</v>
      </c>
      <c r="B75">
        <v>74</v>
      </c>
      <c r="C75">
        <v>0.1515</v>
      </c>
      <c r="D75">
        <v>0.68</v>
      </c>
      <c r="E75">
        <v>0.1045</v>
      </c>
      <c r="F75">
        <v>0</v>
      </c>
      <c r="G75">
        <v>4</v>
      </c>
      <c r="H75">
        <v>4</v>
      </c>
    </row>
    <row r="76" spans="1:8">
      <c r="A76">
        <v>74</v>
      </c>
      <c r="B76">
        <v>75</v>
      </c>
      <c r="C76">
        <v>0.1515</v>
      </c>
      <c r="D76">
        <v>0.74</v>
      </c>
      <c r="E76">
        <v>0.1045</v>
      </c>
      <c r="F76">
        <v>0</v>
      </c>
      <c r="G76">
        <v>36</v>
      </c>
      <c r="H76">
        <v>36</v>
      </c>
    </row>
    <row r="77" spans="1:8">
      <c r="A77">
        <v>75</v>
      </c>
      <c r="B77">
        <v>76</v>
      </c>
      <c r="C77">
        <v>0.1515</v>
      </c>
      <c r="D77">
        <v>0.74</v>
      </c>
      <c r="E77">
        <v>0.1343</v>
      </c>
      <c r="F77">
        <v>2</v>
      </c>
      <c r="G77">
        <v>92</v>
      </c>
      <c r="H77">
        <v>94</v>
      </c>
    </row>
    <row r="78" spans="1:8">
      <c r="A78">
        <v>76</v>
      </c>
      <c r="B78">
        <v>77</v>
      </c>
      <c r="C78">
        <v>0.1515</v>
      </c>
      <c r="D78">
        <v>0.69</v>
      </c>
      <c r="E78">
        <v>0.16420000000000001</v>
      </c>
      <c r="F78">
        <v>2</v>
      </c>
      <c r="G78">
        <v>177</v>
      </c>
      <c r="H78">
        <v>179</v>
      </c>
    </row>
    <row r="79" spans="1:8">
      <c r="A79">
        <v>77</v>
      </c>
      <c r="B79">
        <v>78</v>
      </c>
      <c r="C79">
        <v>0.1515</v>
      </c>
      <c r="D79">
        <v>0.64</v>
      </c>
      <c r="E79">
        <v>0.22389999999999999</v>
      </c>
      <c r="F79">
        <v>2</v>
      </c>
      <c r="G79">
        <v>98</v>
      </c>
      <c r="H79">
        <v>100</v>
      </c>
    </row>
    <row r="80" spans="1:8">
      <c r="A80">
        <v>78</v>
      </c>
      <c r="B80">
        <v>79</v>
      </c>
      <c r="C80">
        <v>0.13639999999999999</v>
      </c>
      <c r="D80">
        <v>0.69</v>
      </c>
      <c r="E80">
        <v>0.32840000000000003</v>
      </c>
      <c r="F80">
        <v>5</v>
      </c>
      <c r="G80">
        <v>37</v>
      </c>
      <c r="H80">
        <v>42</v>
      </c>
    </row>
    <row r="81" spans="1:8">
      <c r="A81">
        <v>79</v>
      </c>
      <c r="B81">
        <v>80</v>
      </c>
      <c r="C81">
        <v>0.21210000000000001</v>
      </c>
      <c r="D81">
        <v>0.51</v>
      </c>
      <c r="E81">
        <v>0.29849999999999999</v>
      </c>
      <c r="F81">
        <v>7</v>
      </c>
      <c r="G81">
        <v>50</v>
      </c>
      <c r="H81">
        <v>57</v>
      </c>
    </row>
    <row r="82" spans="1:8">
      <c r="A82">
        <v>80</v>
      </c>
      <c r="B82">
        <v>81</v>
      </c>
      <c r="C82">
        <v>0.2273</v>
      </c>
      <c r="D82">
        <v>0.51</v>
      </c>
      <c r="E82">
        <v>0.16420000000000001</v>
      </c>
      <c r="F82">
        <v>12</v>
      </c>
      <c r="G82">
        <v>66</v>
      </c>
      <c r="H82">
        <v>78</v>
      </c>
    </row>
    <row r="83" spans="1:8">
      <c r="A83">
        <v>81</v>
      </c>
      <c r="B83">
        <v>82</v>
      </c>
      <c r="C83">
        <v>0.2273</v>
      </c>
      <c r="D83">
        <v>0.56000000000000005</v>
      </c>
      <c r="E83">
        <v>0.19400000000000001</v>
      </c>
      <c r="F83">
        <v>18</v>
      </c>
      <c r="G83">
        <v>79</v>
      </c>
      <c r="H83">
        <v>97</v>
      </c>
    </row>
    <row r="84" spans="1:8">
      <c r="A84">
        <v>82</v>
      </c>
      <c r="B84">
        <v>83</v>
      </c>
      <c r="C84">
        <v>0.2576</v>
      </c>
      <c r="D84">
        <v>0.52</v>
      </c>
      <c r="E84">
        <v>0.22389999999999999</v>
      </c>
      <c r="F84">
        <v>9</v>
      </c>
      <c r="G84">
        <v>54</v>
      </c>
      <c r="H84">
        <v>63</v>
      </c>
    </row>
    <row r="85" spans="1:8">
      <c r="A85">
        <v>83</v>
      </c>
      <c r="B85">
        <v>84</v>
      </c>
      <c r="C85">
        <v>0.2727</v>
      </c>
      <c r="D85">
        <v>0.52</v>
      </c>
      <c r="E85">
        <v>0.25369999999999998</v>
      </c>
      <c r="F85">
        <v>17</v>
      </c>
      <c r="G85">
        <v>48</v>
      </c>
      <c r="H85">
        <v>65</v>
      </c>
    </row>
    <row r="86" spans="1:8">
      <c r="A86">
        <v>84</v>
      </c>
      <c r="B86">
        <v>85</v>
      </c>
      <c r="C86">
        <v>0.28789999999999999</v>
      </c>
      <c r="D86">
        <v>0.49</v>
      </c>
      <c r="E86">
        <v>0.25369999999999998</v>
      </c>
      <c r="F86">
        <v>15</v>
      </c>
      <c r="G86">
        <v>68</v>
      </c>
      <c r="H86">
        <v>83</v>
      </c>
    </row>
    <row r="87" spans="1:8">
      <c r="A87">
        <v>85</v>
      </c>
      <c r="B87">
        <v>86</v>
      </c>
      <c r="C87">
        <v>0.2727</v>
      </c>
      <c r="D87">
        <v>0.48</v>
      </c>
      <c r="E87">
        <v>0.22389999999999999</v>
      </c>
      <c r="F87">
        <v>10</v>
      </c>
      <c r="G87">
        <v>202</v>
      </c>
      <c r="H87">
        <v>212</v>
      </c>
    </row>
    <row r="88" spans="1:8">
      <c r="A88">
        <v>86</v>
      </c>
      <c r="B88">
        <v>87</v>
      </c>
      <c r="C88">
        <v>0.2576</v>
      </c>
      <c r="D88">
        <v>0.48</v>
      </c>
      <c r="E88">
        <v>0.19400000000000001</v>
      </c>
      <c r="F88">
        <v>3</v>
      </c>
      <c r="G88">
        <v>179</v>
      </c>
      <c r="H88">
        <v>182</v>
      </c>
    </row>
    <row r="89" spans="1:8">
      <c r="A89">
        <v>87</v>
      </c>
      <c r="B89">
        <v>88</v>
      </c>
      <c r="C89">
        <v>0.2576</v>
      </c>
      <c r="D89">
        <v>0.48</v>
      </c>
      <c r="E89">
        <v>0.1045</v>
      </c>
      <c r="F89">
        <v>2</v>
      </c>
      <c r="G89">
        <v>110</v>
      </c>
      <c r="H89">
        <v>112</v>
      </c>
    </row>
    <row r="90" spans="1:8">
      <c r="A90">
        <v>88</v>
      </c>
      <c r="B90">
        <v>89</v>
      </c>
      <c r="C90">
        <v>0.2576</v>
      </c>
      <c r="D90">
        <v>0.48</v>
      </c>
      <c r="E90">
        <v>0.1045</v>
      </c>
      <c r="F90">
        <v>1</v>
      </c>
      <c r="G90">
        <v>53</v>
      </c>
      <c r="H90">
        <v>54</v>
      </c>
    </row>
    <row r="91" spans="1:8">
      <c r="A91">
        <v>89</v>
      </c>
      <c r="B91">
        <v>90</v>
      </c>
      <c r="C91">
        <v>0.2727</v>
      </c>
      <c r="D91">
        <v>0.64</v>
      </c>
      <c r="E91">
        <v>0</v>
      </c>
      <c r="F91">
        <v>0</v>
      </c>
      <c r="G91">
        <v>48</v>
      </c>
      <c r="H91">
        <v>48</v>
      </c>
    </row>
    <row r="92" spans="1:8">
      <c r="A92">
        <v>90</v>
      </c>
      <c r="B92">
        <v>91</v>
      </c>
      <c r="C92">
        <v>0.2576</v>
      </c>
      <c r="D92">
        <v>0.64</v>
      </c>
      <c r="E92">
        <v>8.9599999999999999E-2</v>
      </c>
      <c r="F92">
        <v>1</v>
      </c>
      <c r="G92">
        <v>34</v>
      </c>
      <c r="H92">
        <v>35</v>
      </c>
    </row>
    <row r="93" spans="1:8">
      <c r="A93">
        <v>91</v>
      </c>
      <c r="B93">
        <v>92</v>
      </c>
      <c r="C93">
        <v>0.2273</v>
      </c>
      <c r="D93">
        <v>0.69</v>
      </c>
      <c r="E93">
        <v>8.9599999999999999E-2</v>
      </c>
      <c r="F93">
        <v>2</v>
      </c>
      <c r="G93">
        <v>9</v>
      </c>
      <c r="H93">
        <v>11</v>
      </c>
    </row>
    <row r="94" spans="1:8">
      <c r="A94">
        <v>92</v>
      </c>
      <c r="B94">
        <v>93</v>
      </c>
      <c r="C94">
        <v>0.2576</v>
      </c>
      <c r="D94">
        <v>0.64</v>
      </c>
      <c r="E94">
        <v>0</v>
      </c>
      <c r="F94">
        <v>0</v>
      </c>
      <c r="G94">
        <v>6</v>
      </c>
      <c r="H94">
        <v>6</v>
      </c>
    </row>
    <row r="95" spans="1:8">
      <c r="A95">
        <v>93</v>
      </c>
      <c r="B95">
        <v>94</v>
      </c>
      <c r="C95">
        <v>0.19700000000000001</v>
      </c>
      <c r="D95">
        <v>0.74</v>
      </c>
      <c r="E95">
        <v>8.9599999999999999E-2</v>
      </c>
      <c r="F95">
        <v>0</v>
      </c>
      <c r="G95">
        <v>6</v>
      </c>
      <c r="H95">
        <v>6</v>
      </c>
    </row>
    <row r="96" spans="1:8">
      <c r="A96">
        <v>94</v>
      </c>
      <c r="B96">
        <v>95</v>
      </c>
      <c r="C96">
        <v>0.19700000000000001</v>
      </c>
      <c r="D96">
        <v>0.74</v>
      </c>
      <c r="E96">
        <v>8.9599999999999999E-2</v>
      </c>
      <c r="F96">
        <v>0</v>
      </c>
      <c r="G96">
        <v>2</v>
      </c>
      <c r="H96">
        <v>2</v>
      </c>
    </row>
    <row r="97" spans="1:8">
      <c r="A97">
        <v>95</v>
      </c>
      <c r="B97">
        <v>96</v>
      </c>
      <c r="C97">
        <v>0.2273</v>
      </c>
      <c r="D97">
        <v>0.48</v>
      </c>
      <c r="E97">
        <v>0.22389999999999999</v>
      </c>
      <c r="F97">
        <v>0</v>
      </c>
      <c r="G97">
        <v>2</v>
      </c>
      <c r="H97">
        <v>2</v>
      </c>
    </row>
    <row r="98" spans="1:8">
      <c r="A98">
        <v>96</v>
      </c>
      <c r="B98">
        <v>97</v>
      </c>
      <c r="C98">
        <v>0.2273</v>
      </c>
      <c r="D98">
        <v>0.47</v>
      </c>
      <c r="E98">
        <v>0.16420000000000001</v>
      </c>
      <c r="F98">
        <v>0</v>
      </c>
      <c r="G98">
        <v>3</v>
      </c>
      <c r="H98">
        <v>3</v>
      </c>
    </row>
    <row r="99" spans="1:8">
      <c r="A99">
        <v>97</v>
      </c>
      <c r="B99">
        <v>98</v>
      </c>
      <c r="C99">
        <v>0.19700000000000001</v>
      </c>
      <c r="D99">
        <v>0.47</v>
      </c>
      <c r="E99">
        <v>0.22389999999999999</v>
      </c>
      <c r="F99">
        <v>0</v>
      </c>
      <c r="G99">
        <v>33</v>
      </c>
      <c r="H99">
        <v>33</v>
      </c>
    </row>
    <row r="100" spans="1:8">
      <c r="A100">
        <v>98</v>
      </c>
      <c r="B100">
        <v>99</v>
      </c>
      <c r="C100">
        <v>0.18179999999999999</v>
      </c>
      <c r="D100">
        <v>0.43</v>
      </c>
      <c r="E100">
        <v>0.19400000000000001</v>
      </c>
      <c r="F100">
        <v>1</v>
      </c>
      <c r="G100">
        <v>87</v>
      </c>
      <c r="H100">
        <v>88</v>
      </c>
    </row>
    <row r="101" spans="1:8">
      <c r="A101">
        <v>99</v>
      </c>
      <c r="B101">
        <v>100</v>
      </c>
      <c r="C101">
        <v>0.18179999999999999</v>
      </c>
      <c r="D101">
        <v>0.4</v>
      </c>
      <c r="E101">
        <v>0.29849999999999999</v>
      </c>
      <c r="F101">
        <v>3</v>
      </c>
      <c r="G101">
        <v>192</v>
      </c>
      <c r="H101">
        <v>195</v>
      </c>
    </row>
    <row r="102" spans="1:8">
      <c r="A102">
        <v>100</v>
      </c>
      <c r="B102">
        <v>101</v>
      </c>
      <c r="C102">
        <v>0.19700000000000001</v>
      </c>
      <c r="D102">
        <v>0.37</v>
      </c>
      <c r="E102">
        <v>0.32840000000000003</v>
      </c>
      <c r="F102">
        <v>6</v>
      </c>
      <c r="G102">
        <v>109</v>
      </c>
      <c r="H102">
        <v>115</v>
      </c>
    </row>
    <row r="103" spans="1:8">
      <c r="A103">
        <v>101</v>
      </c>
      <c r="B103">
        <v>102</v>
      </c>
      <c r="C103">
        <v>0.19700000000000001</v>
      </c>
      <c r="D103">
        <v>0.37</v>
      </c>
      <c r="E103">
        <v>0.32840000000000003</v>
      </c>
      <c r="F103">
        <v>4</v>
      </c>
      <c r="G103">
        <v>53</v>
      </c>
      <c r="H103">
        <v>57</v>
      </c>
    </row>
    <row r="104" spans="1:8">
      <c r="A104">
        <v>102</v>
      </c>
      <c r="B104">
        <v>103</v>
      </c>
      <c r="C104">
        <v>0.2273</v>
      </c>
      <c r="D104">
        <v>0.33</v>
      </c>
      <c r="E104">
        <v>0.32840000000000003</v>
      </c>
      <c r="F104">
        <v>12</v>
      </c>
      <c r="G104">
        <v>34</v>
      </c>
      <c r="H104">
        <v>46</v>
      </c>
    </row>
    <row r="105" spans="1:8">
      <c r="A105">
        <v>103</v>
      </c>
      <c r="B105">
        <v>104</v>
      </c>
      <c r="C105">
        <v>0.2273</v>
      </c>
      <c r="D105">
        <v>0.33</v>
      </c>
      <c r="E105">
        <v>0.32840000000000003</v>
      </c>
      <c r="F105">
        <v>5</v>
      </c>
      <c r="G105">
        <v>74</v>
      </c>
      <c r="H105">
        <v>79</v>
      </c>
    </row>
    <row r="106" spans="1:8">
      <c r="A106">
        <v>104</v>
      </c>
      <c r="B106">
        <v>105</v>
      </c>
      <c r="C106">
        <v>0.2576</v>
      </c>
      <c r="D106">
        <v>0.3</v>
      </c>
      <c r="E106">
        <v>0.29849999999999999</v>
      </c>
      <c r="F106">
        <v>6</v>
      </c>
      <c r="G106">
        <v>65</v>
      </c>
      <c r="H106">
        <v>71</v>
      </c>
    </row>
    <row r="107" spans="1:8">
      <c r="A107">
        <v>105</v>
      </c>
      <c r="B107">
        <v>106</v>
      </c>
      <c r="C107">
        <v>0.28789999999999999</v>
      </c>
      <c r="D107">
        <v>0.28000000000000003</v>
      </c>
      <c r="E107">
        <v>0.19400000000000001</v>
      </c>
      <c r="F107">
        <v>10</v>
      </c>
      <c r="G107">
        <v>52</v>
      </c>
      <c r="H107">
        <v>62</v>
      </c>
    </row>
    <row r="108" spans="1:8">
      <c r="A108">
        <v>106</v>
      </c>
      <c r="B108">
        <v>107</v>
      </c>
      <c r="C108">
        <v>0.28789999999999999</v>
      </c>
      <c r="D108">
        <v>0.28000000000000003</v>
      </c>
      <c r="E108">
        <v>0.19400000000000001</v>
      </c>
      <c r="F108">
        <v>7</v>
      </c>
      <c r="G108">
        <v>55</v>
      </c>
      <c r="H108">
        <v>62</v>
      </c>
    </row>
    <row r="109" spans="1:8">
      <c r="A109">
        <v>107</v>
      </c>
      <c r="B109">
        <v>108</v>
      </c>
      <c r="C109">
        <v>0.31819999999999998</v>
      </c>
      <c r="D109">
        <v>0.28000000000000003</v>
      </c>
      <c r="E109">
        <v>8.9599999999999999E-2</v>
      </c>
      <c r="F109">
        <v>4</v>
      </c>
      <c r="G109">
        <v>85</v>
      </c>
      <c r="H109">
        <v>89</v>
      </c>
    </row>
    <row r="110" spans="1:8">
      <c r="A110">
        <v>108</v>
      </c>
      <c r="B110">
        <v>109</v>
      </c>
      <c r="C110">
        <v>0.2273</v>
      </c>
      <c r="D110">
        <v>0.38</v>
      </c>
      <c r="E110">
        <v>0.19400000000000001</v>
      </c>
      <c r="F110">
        <v>4</v>
      </c>
      <c r="G110">
        <v>186</v>
      </c>
      <c r="H110">
        <v>190</v>
      </c>
    </row>
    <row r="111" spans="1:8">
      <c r="A111">
        <v>109</v>
      </c>
      <c r="B111">
        <v>110</v>
      </c>
      <c r="C111">
        <v>0.2424</v>
      </c>
      <c r="D111">
        <v>0.38</v>
      </c>
      <c r="E111">
        <v>0.1343</v>
      </c>
      <c r="F111">
        <v>3</v>
      </c>
      <c r="G111">
        <v>166</v>
      </c>
      <c r="H111">
        <v>169</v>
      </c>
    </row>
    <row r="112" spans="1:8">
      <c r="A112">
        <v>110</v>
      </c>
      <c r="B112">
        <v>111</v>
      </c>
      <c r="C112">
        <v>0.2576</v>
      </c>
      <c r="D112">
        <v>0.38</v>
      </c>
      <c r="E112">
        <v>0.1045</v>
      </c>
      <c r="F112">
        <v>5</v>
      </c>
      <c r="G112">
        <v>127</v>
      </c>
      <c r="H112">
        <v>132</v>
      </c>
    </row>
    <row r="113" spans="1:8">
      <c r="A113">
        <v>111</v>
      </c>
      <c r="B113">
        <v>112</v>
      </c>
      <c r="C113">
        <v>0.2273</v>
      </c>
      <c r="D113">
        <v>0.47</v>
      </c>
      <c r="E113">
        <v>0.16420000000000001</v>
      </c>
      <c r="F113">
        <v>7</v>
      </c>
      <c r="G113">
        <v>82</v>
      </c>
      <c r="H113">
        <v>89</v>
      </c>
    </row>
    <row r="114" spans="1:8">
      <c r="A114">
        <v>112</v>
      </c>
      <c r="B114">
        <v>113</v>
      </c>
      <c r="C114">
        <v>0.19700000000000001</v>
      </c>
      <c r="D114">
        <v>0.51</v>
      </c>
      <c r="E114">
        <v>0.19400000000000001</v>
      </c>
      <c r="F114">
        <v>3</v>
      </c>
      <c r="G114">
        <v>40</v>
      </c>
      <c r="H114">
        <v>43</v>
      </c>
    </row>
    <row r="115" spans="1:8">
      <c r="A115">
        <v>113</v>
      </c>
      <c r="B115">
        <v>114</v>
      </c>
      <c r="C115">
        <v>0.19700000000000001</v>
      </c>
      <c r="D115">
        <v>0.55000000000000004</v>
      </c>
      <c r="E115">
        <v>0.1343</v>
      </c>
      <c r="F115">
        <v>1</v>
      </c>
      <c r="G115">
        <v>41</v>
      </c>
      <c r="H115">
        <v>42</v>
      </c>
    </row>
    <row r="116" spans="1:8">
      <c r="A116">
        <v>114</v>
      </c>
      <c r="B116">
        <v>115</v>
      </c>
      <c r="C116">
        <v>0.2576</v>
      </c>
      <c r="D116">
        <v>0.47</v>
      </c>
      <c r="E116">
        <v>0</v>
      </c>
      <c r="F116">
        <v>1</v>
      </c>
      <c r="G116">
        <v>18</v>
      </c>
      <c r="H116">
        <v>19</v>
      </c>
    </row>
    <row r="117" spans="1:8">
      <c r="A117">
        <v>115</v>
      </c>
      <c r="B117">
        <v>116</v>
      </c>
      <c r="C117">
        <v>0.2424</v>
      </c>
      <c r="D117">
        <v>0.55000000000000004</v>
      </c>
      <c r="E117">
        <v>0</v>
      </c>
      <c r="F117">
        <v>0</v>
      </c>
      <c r="G117">
        <v>11</v>
      </c>
      <c r="H117">
        <v>11</v>
      </c>
    </row>
    <row r="118" spans="1:8">
      <c r="A118">
        <v>116</v>
      </c>
      <c r="B118">
        <v>117</v>
      </c>
      <c r="C118">
        <v>0.2273</v>
      </c>
      <c r="D118">
        <v>0.64</v>
      </c>
      <c r="E118">
        <v>0</v>
      </c>
      <c r="F118">
        <v>0</v>
      </c>
      <c r="G118">
        <v>4</v>
      </c>
      <c r="H118">
        <v>4</v>
      </c>
    </row>
    <row r="119" spans="1:8">
      <c r="A119">
        <v>117</v>
      </c>
      <c r="B119">
        <v>118</v>
      </c>
      <c r="C119">
        <v>0.2273</v>
      </c>
      <c r="D119">
        <v>0.64</v>
      </c>
      <c r="E119">
        <v>0</v>
      </c>
      <c r="F119">
        <v>0</v>
      </c>
      <c r="G119">
        <v>2</v>
      </c>
      <c r="H119">
        <v>2</v>
      </c>
    </row>
    <row r="120" spans="1:8">
      <c r="A120">
        <v>118</v>
      </c>
      <c r="B120">
        <v>119</v>
      </c>
      <c r="C120">
        <v>0.19700000000000001</v>
      </c>
      <c r="D120">
        <v>0.64</v>
      </c>
      <c r="E120">
        <v>8.9599999999999999E-2</v>
      </c>
      <c r="F120">
        <v>0</v>
      </c>
      <c r="G120">
        <v>1</v>
      </c>
      <c r="H120">
        <v>1</v>
      </c>
    </row>
    <row r="121" spans="1:8">
      <c r="A121">
        <v>119</v>
      </c>
      <c r="B121">
        <v>120</v>
      </c>
      <c r="C121">
        <v>0.18179999999999999</v>
      </c>
      <c r="D121">
        <v>0.69</v>
      </c>
      <c r="E121">
        <v>8.9599999999999999E-2</v>
      </c>
      <c r="F121">
        <v>0</v>
      </c>
      <c r="G121">
        <v>4</v>
      </c>
      <c r="H121">
        <v>4</v>
      </c>
    </row>
    <row r="122" spans="1:8">
      <c r="A122">
        <v>120</v>
      </c>
      <c r="B122">
        <v>121</v>
      </c>
      <c r="C122">
        <v>0.16669999999999999</v>
      </c>
      <c r="D122">
        <v>0.63</v>
      </c>
      <c r="E122">
        <v>0.1045</v>
      </c>
      <c r="F122">
        <v>0</v>
      </c>
      <c r="G122">
        <v>36</v>
      </c>
      <c r="H122">
        <v>36</v>
      </c>
    </row>
    <row r="123" spans="1:8">
      <c r="A123">
        <v>121</v>
      </c>
      <c r="B123">
        <v>122</v>
      </c>
      <c r="C123">
        <v>0.2273</v>
      </c>
      <c r="D123">
        <v>0.59</v>
      </c>
      <c r="E123">
        <v>0</v>
      </c>
      <c r="F123">
        <v>0</v>
      </c>
      <c r="G123">
        <v>95</v>
      </c>
      <c r="H123">
        <v>95</v>
      </c>
    </row>
    <row r="124" spans="1:8">
      <c r="A124">
        <v>122</v>
      </c>
      <c r="B124">
        <v>123</v>
      </c>
      <c r="C124">
        <v>0.2273</v>
      </c>
      <c r="D124">
        <v>0.59</v>
      </c>
      <c r="E124">
        <v>0</v>
      </c>
      <c r="F124">
        <v>3</v>
      </c>
      <c r="G124">
        <v>216</v>
      </c>
      <c r="H124">
        <v>219</v>
      </c>
    </row>
    <row r="125" spans="1:8">
      <c r="A125">
        <v>123</v>
      </c>
      <c r="B125">
        <v>124</v>
      </c>
      <c r="C125">
        <v>0.2424</v>
      </c>
      <c r="D125">
        <v>0.51</v>
      </c>
      <c r="E125">
        <v>0</v>
      </c>
      <c r="F125">
        <v>6</v>
      </c>
      <c r="G125">
        <v>116</v>
      </c>
      <c r="H125">
        <v>122</v>
      </c>
    </row>
    <row r="126" spans="1:8">
      <c r="A126">
        <v>124</v>
      </c>
      <c r="B126">
        <v>125</v>
      </c>
      <c r="C126">
        <v>0.2576</v>
      </c>
      <c r="D126">
        <v>0.47</v>
      </c>
      <c r="E126">
        <v>0</v>
      </c>
      <c r="F126">
        <v>3</v>
      </c>
      <c r="G126">
        <v>42</v>
      </c>
      <c r="H126">
        <v>45</v>
      </c>
    </row>
    <row r="127" spans="1:8">
      <c r="A127">
        <v>125</v>
      </c>
      <c r="B127">
        <v>126</v>
      </c>
      <c r="C127">
        <v>0.2576</v>
      </c>
      <c r="D127">
        <v>0.44</v>
      </c>
      <c r="E127">
        <v>8.9599999999999999E-2</v>
      </c>
      <c r="F127">
        <v>2</v>
      </c>
      <c r="G127">
        <v>57</v>
      </c>
      <c r="H127">
        <v>59</v>
      </c>
    </row>
    <row r="128" spans="1:8">
      <c r="A128">
        <v>126</v>
      </c>
      <c r="B128">
        <v>127</v>
      </c>
      <c r="C128">
        <v>0.28789999999999999</v>
      </c>
      <c r="D128">
        <v>0.35</v>
      </c>
      <c r="E128">
        <v>0</v>
      </c>
      <c r="F128">
        <v>6</v>
      </c>
      <c r="G128">
        <v>78</v>
      </c>
      <c r="H128">
        <v>84</v>
      </c>
    </row>
    <row r="129" spans="1:8">
      <c r="A129">
        <v>127</v>
      </c>
      <c r="B129">
        <v>128</v>
      </c>
      <c r="C129">
        <v>0.2727</v>
      </c>
      <c r="D129">
        <v>0.35</v>
      </c>
      <c r="E129">
        <v>0.1045</v>
      </c>
      <c r="F129">
        <v>12</v>
      </c>
      <c r="G129">
        <v>55</v>
      </c>
      <c r="H129">
        <v>67</v>
      </c>
    </row>
    <row r="130" spans="1:8">
      <c r="A130">
        <v>128</v>
      </c>
      <c r="B130">
        <v>129</v>
      </c>
      <c r="C130">
        <v>0.2727</v>
      </c>
      <c r="D130">
        <v>0.36</v>
      </c>
      <c r="E130">
        <v>0.16420000000000001</v>
      </c>
      <c r="F130">
        <v>11</v>
      </c>
      <c r="G130">
        <v>59</v>
      </c>
      <c r="H130">
        <v>70</v>
      </c>
    </row>
    <row r="131" spans="1:8">
      <c r="A131">
        <v>129</v>
      </c>
      <c r="B131">
        <v>130</v>
      </c>
      <c r="C131">
        <v>0.2727</v>
      </c>
      <c r="D131">
        <v>0.36</v>
      </c>
      <c r="E131">
        <v>0</v>
      </c>
      <c r="F131">
        <v>8</v>
      </c>
      <c r="G131">
        <v>54</v>
      </c>
      <c r="H131">
        <v>62</v>
      </c>
    </row>
    <row r="132" spans="1:8">
      <c r="A132">
        <v>130</v>
      </c>
      <c r="B132">
        <v>131</v>
      </c>
      <c r="C132">
        <v>0.2576</v>
      </c>
      <c r="D132">
        <v>0.38</v>
      </c>
      <c r="E132">
        <v>0.16420000000000001</v>
      </c>
      <c r="F132">
        <v>12</v>
      </c>
      <c r="G132">
        <v>74</v>
      </c>
      <c r="H132">
        <v>86</v>
      </c>
    </row>
    <row r="133" spans="1:8">
      <c r="A133">
        <v>131</v>
      </c>
      <c r="B133">
        <v>132</v>
      </c>
      <c r="C133">
        <v>0.2273</v>
      </c>
      <c r="D133">
        <v>0.51</v>
      </c>
      <c r="E133">
        <v>0.16420000000000001</v>
      </c>
      <c r="F133">
        <v>9</v>
      </c>
      <c r="G133">
        <v>163</v>
      </c>
      <c r="H133">
        <v>172</v>
      </c>
    </row>
    <row r="134" spans="1:8">
      <c r="A134">
        <v>132</v>
      </c>
      <c r="B134">
        <v>133</v>
      </c>
      <c r="C134">
        <v>0.2273</v>
      </c>
      <c r="D134">
        <v>0.51</v>
      </c>
      <c r="E134">
        <v>0.1343</v>
      </c>
      <c r="F134">
        <v>5</v>
      </c>
      <c r="G134">
        <v>158</v>
      </c>
      <c r="H134">
        <v>163</v>
      </c>
    </row>
    <row r="135" spans="1:8">
      <c r="A135">
        <v>133</v>
      </c>
      <c r="B135">
        <v>134</v>
      </c>
      <c r="C135">
        <v>0.2576</v>
      </c>
      <c r="D135">
        <v>0.55000000000000004</v>
      </c>
      <c r="E135">
        <v>8.9599999999999999E-2</v>
      </c>
      <c r="F135">
        <v>3</v>
      </c>
      <c r="G135">
        <v>109</v>
      </c>
      <c r="H135">
        <v>112</v>
      </c>
    </row>
    <row r="136" spans="1:8">
      <c r="A136">
        <v>134</v>
      </c>
      <c r="B136">
        <v>135</v>
      </c>
      <c r="C136">
        <v>0.21210000000000001</v>
      </c>
      <c r="D136">
        <v>0.51</v>
      </c>
      <c r="E136">
        <v>0.16420000000000001</v>
      </c>
      <c r="F136">
        <v>3</v>
      </c>
      <c r="G136">
        <v>66</v>
      </c>
      <c r="H136">
        <v>69</v>
      </c>
    </row>
    <row r="137" spans="1:8">
      <c r="A137">
        <v>135</v>
      </c>
      <c r="B137">
        <v>136</v>
      </c>
      <c r="C137">
        <v>0.21210000000000001</v>
      </c>
      <c r="D137">
        <v>0.55000000000000004</v>
      </c>
      <c r="E137">
        <v>0.22389999999999999</v>
      </c>
      <c r="F137">
        <v>0</v>
      </c>
      <c r="G137">
        <v>48</v>
      </c>
      <c r="H137">
        <v>48</v>
      </c>
    </row>
    <row r="138" spans="1:8">
      <c r="A138">
        <v>136</v>
      </c>
      <c r="B138">
        <v>137</v>
      </c>
      <c r="C138">
        <v>0.21210000000000001</v>
      </c>
      <c r="D138">
        <v>0.51</v>
      </c>
      <c r="E138">
        <v>0.28360000000000002</v>
      </c>
      <c r="F138">
        <v>1</v>
      </c>
      <c r="G138">
        <v>51</v>
      </c>
      <c r="H138">
        <v>52</v>
      </c>
    </row>
    <row r="139" spans="1:8">
      <c r="A139">
        <v>137</v>
      </c>
      <c r="B139">
        <v>138</v>
      </c>
      <c r="C139">
        <v>0.19700000000000001</v>
      </c>
      <c r="D139">
        <v>0.59</v>
      </c>
      <c r="E139">
        <v>0.19400000000000001</v>
      </c>
      <c r="F139">
        <v>4</v>
      </c>
      <c r="G139">
        <v>19</v>
      </c>
      <c r="H139">
        <v>23</v>
      </c>
    </row>
    <row r="140" spans="1:8">
      <c r="A140">
        <v>138</v>
      </c>
      <c r="B140">
        <v>139</v>
      </c>
      <c r="C140">
        <v>0.19700000000000001</v>
      </c>
      <c r="D140">
        <v>0.64</v>
      </c>
      <c r="E140">
        <v>0.19400000000000001</v>
      </c>
      <c r="F140">
        <v>4</v>
      </c>
      <c r="G140">
        <v>13</v>
      </c>
      <c r="H140">
        <v>17</v>
      </c>
    </row>
    <row r="141" spans="1:8">
      <c r="A141">
        <v>139</v>
      </c>
      <c r="B141">
        <v>140</v>
      </c>
      <c r="C141">
        <v>0.19700000000000001</v>
      </c>
      <c r="D141">
        <v>0.69</v>
      </c>
      <c r="E141">
        <v>0.22389999999999999</v>
      </c>
      <c r="F141">
        <v>2</v>
      </c>
      <c r="G141">
        <v>5</v>
      </c>
      <c r="H141">
        <v>7</v>
      </c>
    </row>
    <row r="142" spans="1:8">
      <c r="A142">
        <v>140</v>
      </c>
      <c r="B142">
        <v>141</v>
      </c>
      <c r="C142">
        <v>0.19700000000000001</v>
      </c>
      <c r="D142">
        <v>0.69</v>
      </c>
      <c r="E142">
        <v>0.22389999999999999</v>
      </c>
      <c r="F142">
        <v>0</v>
      </c>
      <c r="G142">
        <v>1</v>
      </c>
      <c r="H142">
        <v>1</v>
      </c>
    </row>
    <row r="143" spans="1:8">
      <c r="A143">
        <v>141</v>
      </c>
      <c r="B143">
        <v>142</v>
      </c>
      <c r="C143">
        <v>0.21210000000000001</v>
      </c>
      <c r="D143">
        <v>0.69</v>
      </c>
      <c r="E143">
        <v>0.1343</v>
      </c>
      <c r="F143">
        <v>0</v>
      </c>
      <c r="G143">
        <v>1</v>
      </c>
      <c r="H143">
        <v>1</v>
      </c>
    </row>
    <row r="144" spans="1:8">
      <c r="A144">
        <v>142</v>
      </c>
      <c r="B144">
        <v>143</v>
      </c>
      <c r="C144">
        <v>0.2727</v>
      </c>
      <c r="D144">
        <v>0.55000000000000004</v>
      </c>
      <c r="E144">
        <v>0</v>
      </c>
      <c r="F144">
        <v>0</v>
      </c>
      <c r="G144">
        <v>5</v>
      </c>
      <c r="H144">
        <v>5</v>
      </c>
    </row>
    <row r="145" spans="1:8">
      <c r="A145">
        <v>143</v>
      </c>
      <c r="B145">
        <v>144</v>
      </c>
      <c r="C145">
        <v>0.2576</v>
      </c>
      <c r="D145">
        <v>0.69</v>
      </c>
      <c r="E145">
        <v>0</v>
      </c>
      <c r="F145">
        <v>8</v>
      </c>
      <c r="G145">
        <v>26</v>
      </c>
      <c r="H145">
        <v>34</v>
      </c>
    </row>
    <row r="146" spans="1:8">
      <c r="A146">
        <v>144</v>
      </c>
      <c r="B146">
        <v>145</v>
      </c>
      <c r="C146">
        <v>0.21210000000000001</v>
      </c>
      <c r="D146">
        <v>0.69</v>
      </c>
      <c r="E146">
        <v>0.1343</v>
      </c>
      <c r="F146">
        <v>8</v>
      </c>
      <c r="G146">
        <v>76</v>
      </c>
      <c r="H146">
        <v>84</v>
      </c>
    </row>
    <row r="147" spans="1:8">
      <c r="A147">
        <v>145</v>
      </c>
      <c r="B147">
        <v>146</v>
      </c>
      <c r="C147">
        <v>0.19700000000000001</v>
      </c>
      <c r="D147">
        <v>0.51</v>
      </c>
      <c r="E147">
        <v>0.25369999999999998</v>
      </c>
      <c r="F147">
        <v>20</v>
      </c>
      <c r="G147">
        <v>190</v>
      </c>
      <c r="H147">
        <v>210</v>
      </c>
    </row>
    <row r="148" spans="1:8">
      <c r="A148">
        <v>146</v>
      </c>
      <c r="B148">
        <v>147</v>
      </c>
      <c r="C148">
        <v>0.18179999999999999</v>
      </c>
      <c r="D148">
        <v>0.47</v>
      </c>
      <c r="E148">
        <v>0.29849999999999999</v>
      </c>
      <c r="F148">
        <v>9</v>
      </c>
      <c r="G148">
        <v>125</v>
      </c>
      <c r="H148">
        <v>134</v>
      </c>
    </row>
    <row r="149" spans="1:8">
      <c r="A149">
        <v>147</v>
      </c>
      <c r="B149">
        <v>148</v>
      </c>
      <c r="C149">
        <v>0.19700000000000001</v>
      </c>
      <c r="D149">
        <v>0.37</v>
      </c>
      <c r="E149">
        <v>0.32840000000000003</v>
      </c>
      <c r="F149">
        <v>16</v>
      </c>
      <c r="G149">
        <v>47</v>
      </c>
      <c r="H149">
        <v>63</v>
      </c>
    </row>
    <row r="150" spans="1:8">
      <c r="A150">
        <v>148</v>
      </c>
      <c r="B150">
        <v>149</v>
      </c>
      <c r="C150">
        <v>0.19700000000000001</v>
      </c>
      <c r="D150">
        <v>0.4</v>
      </c>
      <c r="E150">
        <v>0.22389999999999999</v>
      </c>
      <c r="F150">
        <v>19</v>
      </c>
      <c r="G150">
        <v>48</v>
      </c>
      <c r="H150">
        <v>67</v>
      </c>
    </row>
    <row r="151" spans="1:8">
      <c r="A151">
        <v>149</v>
      </c>
      <c r="B151">
        <v>150</v>
      </c>
      <c r="C151">
        <v>0.19700000000000001</v>
      </c>
      <c r="D151">
        <v>0.37</v>
      </c>
      <c r="E151">
        <v>0.25369999999999998</v>
      </c>
      <c r="F151">
        <v>9</v>
      </c>
      <c r="G151">
        <v>50</v>
      </c>
      <c r="H151">
        <v>59</v>
      </c>
    </row>
    <row r="152" spans="1:8">
      <c r="A152">
        <v>150</v>
      </c>
      <c r="B152">
        <v>151</v>
      </c>
      <c r="C152">
        <v>0.18179999999999999</v>
      </c>
      <c r="D152">
        <v>0.37</v>
      </c>
      <c r="E152">
        <v>0.28360000000000002</v>
      </c>
      <c r="F152">
        <v>9</v>
      </c>
      <c r="G152">
        <v>64</v>
      </c>
      <c r="H152">
        <v>73</v>
      </c>
    </row>
    <row r="153" spans="1:8">
      <c r="A153">
        <v>151</v>
      </c>
      <c r="B153">
        <v>152</v>
      </c>
      <c r="C153">
        <v>0.19700000000000001</v>
      </c>
      <c r="D153">
        <v>0.4</v>
      </c>
      <c r="E153">
        <v>0.25369999999999998</v>
      </c>
      <c r="F153">
        <v>7</v>
      </c>
      <c r="G153">
        <v>43</v>
      </c>
      <c r="H153">
        <v>50</v>
      </c>
    </row>
    <row r="154" spans="1:8">
      <c r="A154">
        <v>152</v>
      </c>
      <c r="B154">
        <v>153</v>
      </c>
      <c r="C154">
        <v>0.21210000000000001</v>
      </c>
      <c r="D154">
        <v>0.37</v>
      </c>
      <c r="E154">
        <v>0.16420000000000001</v>
      </c>
      <c r="F154">
        <v>9</v>
      </c>
      <c r="G154">
        <v>63</v>
      </c>
      <c r="H154">
        <v>72</v>
      </c>
    </row>
    <row r="155" spans="1:8">
      <c r="A155">
        <v>153</v>
      </c>
      <c r="B155">
        <v>154</v>
      </c>
      <c r="C155">
        <v>0.21210000000000001</v>
      </c>
      <c r="D155">
        <v>0.37</v>
      </c>
      <c r="E155">
        <v>0.16420000000000001</v>
      </c>
      <c r="F155">
        <v>5</v>
      </c>
      <c r="G155">
        <v>82</v>
      </c>
      <c r="H155">
        <v>87</v>
      </c>
    </row>
    <row r="156" spans="1:8">
      <c r="A156">
        <v>154</v>
      </c>
      <c r="B156">
        <v>155</v>
      </c>
      <c r="C156">
        <v>0.2576</v>
      </c>
      <c r="D156">
        <v>0.37</v>
      </c>
      <c r="E156">
        <v>0</v>
      </c>
      <c r="F156">
        <v>9</v>
      </c>
      <c r="G156">
        <v>178</v>
      </c>
      <c r="H156">
        <v>187</v>
      </c>
    </row>
    <row r="157" spans="1:8">
      <c r="A157">
        <v>155</v>
      </c>
      <c r="B157">
        <v>156</v>
      </c>
      <c r="C157">
        <v>0.2273</v>
      </c>
      <c r="D157">
        <v>0.4</v>
      </c>
      <c r="E157">
        <v>8.9599999999999999E-2</v>
      </c>
      <c r="F157">
        <v>7</v>
      </c>
      <c r="G157">
        <v>116</v>
      </c>
      <c r="H157">
        <v>123</v>
      </c>
    </row>
    <row r="158" spans="1:8">
      <c r="A158">
        <v>156</v>
      </c>
      <c r="B158">
        <v>157</v>
      </c>
      <c r="C158">
        <v>0.19700000000000001</v>
      </c>
      <c r="D158">
        <v>0.55000000000000004</v>
      </c>
      <c r="E158">
        <v>8.9599999999999999E-2</v>
      </c>
      <c r="F158">
        <v>3</v>
      </c>
      <c r="G158">
        <v>92</v>
      </c>
      <c r="H158">
        <v>95</v>
      </c>
    </row>
    <row r="159" spans="1:8">
      <c r="A159">
        <v>157</v>
      </c>
      <c r="B159">
        <v>158</v>
      </c>
      <c r="C159">
        <v>0.21210000000000001</v>
      </c>
      <c r="D159">
        <v>0.47</v>
      </c>
      <c r="E159">
        <v>0.1045</v>
      </c>
      <c r="F159">
        <v>1</v>
      </c>
      <c r="G159">
        <v>50</v>
      </c>
      <c r="H159">
        <v>51</v>
      </c>
    </row>
    <row r="160" spans="1:8">
      <c r="A160">
        <v>158</v>
      </c>
      <c r="B160">
        <v>159</v>
      </c>
      <c r="C160">
        <v>0.19700000000000001</v>
      </c>
      <c r="D160">
        <v>0.47</v>
      </c>
      <c r="E160">
        <v>0.1343</v>
      </c>
      <c r="F160">
        <v>0</v>
      </c>
      <c r="G160">
        <v>39</v>
      </c>
      <c r="H160">
        <v>39</v>
      </c>
    </row>
    <row r="161" spans="1:8">
      <c r="A161">
        <v>159</v>
      </c>
      <c r="B161">
        <v>160</v>
      </c>
      <c r="C161">
        <v>0.19700000000000001</v>
      </c>
      <c r="D161">
        <v>0.43</v>
      </c>
      <c r="E161">
        <v>0.16420000000000001</v>
      </c>
      <c r="F161">
        <v>2</v>
      </c>
      <c r="G161">
        <v>34</v>
      </c>
      <c r="H161">
        <v>36</v>
      </c>
    </row>
    <row r="162" spans="1:8">
      <c r="A162">
        <v>160</v>
      </c>
      <c r="B162">
        <v>161</v>
      </c>
      <c r="C162">
        <v>0.19700000000000001</v>
      </c>
      <c r="D162">
        <v>0.51</v>
      </c>
      <c r="E162">
        <v>0.16420000000000001</v>
      </c>
      <c r="F162">
        <v>1</v>
      </c>
      <c r="G162">
        <v>14</v>
      </c>
      <c r="H162">
        <v>15</v>
      </c>
    </row>
    <row r="163" spans="1:8">
      <c r="A163">
        <v>161</v>
      </c>
      <c r="B163">
        <v>162</v>
      </c>
      <c r="C163">
        <v>0.19700000000000001</v>
      </c>
      <c r="D163">
        <v>0.51</v>
      </c>
      <c r="E163">
        <v>0.16420000000000001</v>
      </c>
      <c r="F163">
        <v>1</v>
      </c>
      <c r="G163">
        <v>24</v>
      </c>
      <c r="H163">
        <v>25</v>
      </c>
    </row>
    <row r="164" spans="1:8">
      <c r="A164">
        <v>162</v>
      </c>
      <c r="B164">
        <v>163</v>
      </c>
      <c r="C164">
        <v>0.21210000000000001</v>
      </c>
      <c r="D164">
        <v>0.55000000000000004</v>
      </c>
      <c r="E164">
        <v>8.9599999999999999E-2</v>
      </c>
      <c r="F164">
        <v>1</v>
      </c>
      <c r="G164">
        <v>15</v>
      </c>
      <c r="H164">
        <v>16</v>
      </c>
    </row>
    <row r="165" spans="1:8">
      <c r="A165">
        <v>163</v>
      </c>
      <c r="B165">
        <v>164</v>
      </c>
      <c r="C165">
        <v>0.2424</v>
      </c>
      <c r="D165">
        <v>0.55000000000000004</v>
      </c>
      <c r="E165">
        <v>0</v>
      </c>
      <c r="F165">
        <v>3</v>
      </c>
      <c r="G165">
        <v>13</v>
      </c>
      <c r="H165">
        <v>16</v>
      </c>
    </row>
    <row r="166" spans="1:8">
      <c r="A166">
        <v>164</v>
      </c>
      <c r="B166">
        <v>165</v>
      </c>
      <c r="C166">
        <v>0.19700000000000001</v>
      </c>
      <c r="D166">
        <v>0.55000000000000004</v>
      </c>
      <c r="E166">
        <v>0.16420000000000001</v>
      </c>
      <c r="F166">
        <v>0</v>
      </c>
      <c r="G166">
        <v>7</v>
      </c>
      <c r="H166">
        <v>7</v>
      </c>
    </row>
    <row r="167" spans="1:8">
      <c r="A167">
        <v>165</v>
      </c>
      <c r="B167">
        <v>166</v>
      </c>
      <c r="C167">
        <v>0.19700000000000001</v>
      </c>
      <c r="D167">
        <v>0.55000000000000004</v>
      </c>
      <c r="E167">
        <v>0.16420000000000001</v>
      </c>
      <c r="F167">
        <v>0</v>
      </c>
      <c r="G167">
        <v>1</v>
      </c>
      <c r="H167">
        <v>1</v>
      </c>
    </row>
    <row r="168" spans="1:8">
      <c r="A168">
        <v>166</v>
      </c>
      <c r="B168">
        <v>167</v>
      </c>
      <c r="C168">
        <v>0.16669999999999999</v>
      </c>
      <c r="D168">
        <v>0.74</v>
      </c>
      <c r="E168">
        <v>0.16420000000000001</v>
      </c>
      <c r="F168">
        <v>0</v>
      </c>
      <c r="G168">
        <v>5</v>
      </c>
      <c r="H168">
        <v>5</v>
      </c>
    </row>
    <row r="169" spans="1:8">
      <c r="A169">
        <v>167</v>
      </c>
      <c r="B169">
        <v>168</v>
      </c>
      <c r="C169">
        <v>0.16669999999999999</v>
      </c>
      <c r="D169">
        <v>0.74</v>
      </c>
      <c r="E169">
        <v>0.16420000000000001</v>
      </c>
      <c r="F169">
        <v>0</v>
      </c>
      <c r="G169">
        <v>2</v>
      </c>
      <c r="H169">
        <v>2</v>
      </c>
    </row>
    <row r="170" spans="1:8">
      <c r="A170">
        <v>168</v>
      </c>
      <c r="B170">
        <v>169</v>
      </c>
      <c r="C170">
        <v>0.18179999999999999</v>
      </c>
      <c r="D170">
        <v>0.74</v>
      </c>
      <c r="E170">
        <v>0.1045</v>
      </c>
      <c r="F170">
        <v>1</v>
      </c>
      <c r="G170">
        <v>8</v>
      </c>
      <c r="H170">
        <v>9</v>
      </c>
    </row>
    <row r="171" spans="1:8">
      <c r="A171">
        <v>169</v>
      </c>
      <c r="B171">
        <v>170</v>
      </c>
      <c r="C171">
        <v>0.18179999999999999</v>
      </c>
      <c r="D171">
        <v>0.93</v>
      </c>
      <c r="E171">
        <v>0.1045</v>
      </c>
      <c r="F171">
        <v>0</v>
      </c>
      <c r="G171">
        <v>15</v>
      </c>
      <c r="H171">
        <v>15</v>
      </c>
    </row>
    <row r="172" spans="1:8">
      <c r="A172">
        <v>170</v>
      </c>
      <c r="B172">
        <v>171</v>
      </c>
      <c r="C172">
        <v>0.18179999999999999</v>
      </c>
      <c r="D172">
        <v>0.93</v>
      </c>
      <c r="E172">
        <v>0.1045</v>
      </c>
      <c r="F172">
        <v>0</v>
      </c>
      <c r="G172">
        <v>20</v>
      </c>
      <c r="H172">
        <v>20</v>
      </c>
    </row>
    <row r="173" spans="1:8">
      <c r="A173">
        <v>171</v>
      </c>
      <c r="B173">
        <v>172</v>
      </c>
      <c r="C173">
        <v>0.19700000000000001</v>
      </c>
      <c r="D173">
        <v>0.8</v>
      </c>
      <c r="E173">
        <v>0.16420000000000001</v>
      </c>
      <c r="F173">
        <v>5</v>
      </c>
      <c r="G173">
        <v>56</v>
      </c>
      <c r="H173">
        <v>61</v>
      </c>
    </row>
    <row r="174" spans="1:8">
      <c r="A174">
        <v>172</v>
      </c>
      <c r="B174">
        <v>173</v>
      </c>
      <c r="C174">
        <v>0.18179999999999999</v>
      </c>
      <c r="D174">
        <v>0.69</v>
      </c>
      <c r="E174">
        <v>0.3881</v>
      </c>
      <c r="F174">
        <v>2</v>
      </c>
      <c r="G174">
        <v>60</v>
      </c>
      <c r="H174">
        <v>62</v>
      </c>
    </row>
    <row r="175" spans="1:8">
      <c r="A175">
        <v>173</v>
      </c>
      <c r="B175">
        <v>174</v>
      </c>
      <c r="C175">
        <v>0.18179999999999999</v>
      </c>
      <c r="D175">
        <v>0.59</v>
      </c>
      <c r="E175">
        <v>0.35820000000000002</v>
      </c>
      <c r="F175">
        <v>8</v>
      </c>
      <c r="G175">
        <v>90</v>
      </c>
      <c r="H175">
        <v>98</v>
      </c>
    </row>
    <row r="176" spans="1:8">
      <c r="A176">
        <v>174</v>
      </c>
      <c r="B176">
        <v>175</v>
      </c>
      <c r="C176">
        <v>0.18179999999999999</v>
      </c>
      <c r="D176">
        <v>0.44</v>
      </c>
      <c r="E176">
        <v>0.32840000000000003</v>
      </c>
      <c r="F176">
        <v>7</v>
      </c>
      <c r="G176">
        <v>95</v>
      </c>
      <c r="H176">
        <v>102</v>
      </c>
    </row>
    <row r="177" spans="1:8">
      <c r="A177">
        <v>175</v>
      </c>
      <c r="B177">
        <v>176</v>
      </c>
      <c r="C177">
        <v>0.16669999999999999</v>
      </c>
      <c r="D177">
        <v>0.32</v>
      </c>
      <c r="E177">
        <v>0.49249999999999999</v>
      </c>
      <c r="F177">
        <v>12</v>
      </c>
      <c r="G177">
        <v>83</v>
      </c>
      <c r="H177">
        <v>95</v>
      </c>
    </row>
    <row r="178" spans="1:8">
      <c r="A178">
        <v>176</v>
      </c>
      <c r="B178">
        <v>177</v>
      </c>
      <c r="C178">
        <v>0.16669999999999999</v>
      </c>
      <c r="D178">
        <v>0.32</v>
      </c>
      <c r="E178">
        <v>0.44779999999999998</v>
      </c>
      <c r="F178">
        <v>5</v>
      </c>
      <c r="G178">
        <v>69</v>
      </c>
      <c r="H178">
        <v>74</v>
      </c>
    </row>
    <row r="179" spans="1:8">
      <c r="A179">
        <v>177</v>
      </c>
      <c r="B179">
        <v>178</v>
      </c>
      <c r="C179">
        <v>0.13639999999999999</v>
      </c>
      <c r="D179">
        <v>0.28999999999999998</v>
      </c>
      <c r="E179">
        <v>0.44779999999999998</v>
      </c>
      <c r="F179">
        <v>8</v>
      </c>
      <c r="G179">
        <v>68</v>
      </c>
      <c r="H179">
        <v>76</v>
      </c>
    </row>
    <row r="180" spans="1:8">
      <c r="A180">
        <v>178</v>
      </c>
      <c r="B180">
        <v>179</v>
      </c>
      <c r="C180">
        <v>0.1212</v>
      </c>
      <c r="D180">
        <v>0.37</v>
      </c>
      <c r="E180">
        <v>0.55220000000000002</v>
      </c>
      <c r="F180">
        <v>5</v>
      </c>
      <c r="G180">
        <v>64</v>
      </c>
      <c r="H180">
        <v>69</v>
      </c>
    </row>
    <row r="181" spans="1:8">
      <c r="A181">
        <v>179</v>
      </c>
      <c r="B181">
        <v>180</v>
      </c>
      <c r="C181">
        <v>0.1212</v>
      </c>
      <c r="D181">
        <v>0.39</v>
      </c>
      <c r="E181">
        <v>0.29849999999999999</v>
      </c>
      <c r="F181">
        <v>3</v>
      </c>
      <c r="G181">
        <v>52</v>
      </c>
      <c r="H181">
        <v>55</v>
      </c>
    </row>
    <row r="182" spans="1:8">
      <c r="A182">
        <v>180</v>
      </c>
      <c r="B182">
        <v>181</v>
      </c>
      <c r="C182">
        <v>0.1212</v>
      </c>
      <c r="D182">
        <v>0.36</v>
      </c>
      <c r="E182">
        <v>0.25369999999999998</v>
      </c>
      <c r="F182">
        <v>4</v>
      </c>
      <c r="G182">
        <v>26</v>
      </c>
      <c r="H182">
        <v>30</v>
      </c>
    </row>
    <row r="183" spans="1:8">
      <c r="A183">
        <v>181</v>
      </c>
      <c r="B183">
        <v>182</v>
      </c>
      <c r="C183">
        <v>0.1212</v>
      </c>
      <c r="D183">
        <v>0.36</v>
      </c>
      <c r="E183">
        <v>0.25369999999999998</v>
      </c>
      <c r="F183">
        <v>0</v>
      </c>
      <c r="G183">
        <v>28</v>
      </c>
      <c r="H183">
        <v>28</v>
      </c>
    </row>
    <row r="184" spans="1:8">
      <c r="A184">
        <v>182</v>
      </c>
      <c r="B184">
        <v>183</v>
      </c>
      <c r="C184">
        <v>0.1061</v>
      </c>
      <c r="D184">
        <v>0.39</v>
      </c>
      <c r="E184">
        <v>0.35820000000000002</v>
      </c>
      <c r="F184">
        <v>2</v>
      </c>
      <c r="G184">
        <v>35</v>
      </c>
      <c r="H184">
        <v>37</v>
      </c>
    </row>
    <row r="185" spans="1:8">
      <c r="A185">
        <v>183</v>
      </c>
      <c r="B185">
        <v>184</v>
      </c>
      <c r="C185">
        <v>0.1061</v>
      </c>
      <c r="D185">
        <v>0.36</v>
      </c>
      <c r="E185">
        <v>0.3881</v>
      </c>
      <c r="F185">
        <v>1</v>
      </c>
      <c r="G185">
        <v>33</v>
      </c>
      <c r="H185">
        <v>34</v>
      </c>
    </row>
    <row r="186" spans="1:8">
      <c r="A186">
        <v>184</v>
      </c>
      <c r="B186">
        <v>185</v>
      </c>
      <c r="C186">
        <v>6.0600000000000001E-2</v>
      </c>
      <c r="D186">
        <v>0.39</v>
      </c>
      <c r="E186">
        <v>0.44779999999999998</v>
      </c>
      <c r="F186">
        <v>0</v>
      </c>
      <c r="G186">
        <v>22</v>
      </c>
      <c r="H186">
        <v>22</v>
      </c>
    </row>
    <row r="187" spans="1:8">
      <c r="A187">
        <v>185</v>
      </c>
      <c r="B187">
        <v>186</v>
      </c>
      <c r="C187">
        <v>7.5800000000000006E-2</v>
      </c>
      <c r="D187">
        <v>0.42</v>
      </c>
      <c r="E187">
        <v>0.3881</v>
      </c>
      <c r="F187">
        <v>1</v>
      </c>
      <c r="G187">
        <v>24</v>
      </c>
      <c r="H187">
        <v>25</v>
      </c>
    </row>
    <row r="188" spans="1:8">
      <c r="A188">
        <v>186</v>
      </c>
      <c r="B188">
        <v>187</v>
      </c>
      <c r="C188">
        <v>6.0600000000000001E-2</v>
      </c>
      <c r="D188">
        <v>0.42</v>
      </c>
      <c r="E188">
        <v>0.4627</v>
      </c>
      <c r="F188">
        <v>0</v>
      </c>
      <c r="G188">
        <v>12</v>
      </c>
      <c r="H188">
        <v>12</v>
      </c>
    </row>
    <row r="189" spans="1:8">
      <c r="A189">
        <v>187</v>
      </c>
      <c r="B189">
        <v>188</v>
      </c>
      <c r="C189">
        <v>6.0600000000000001E-2</v>
      </c>
      <c r="D189">
        <v>0.46</v>
      </c>
      <c r="E189">
        <v>0.4627</v>
      </c>
      <c r="F189">
        <v>0</v>
      </c>
      <c r="G189">
        <v>11</v>
      </c>
      <c r="H189">
        <v>11</v>
      </c>
    </row>
    <row r="190" spans="1:8">
      <c r="A190">
        <v>188</v>
      </c>
      <c r="B190">
        <v>189</v>
      </c>
      <c r="C190">
        <v>7.5800000000000006E-2</v>
      </c>
      <c r="D190">
        <v>0.46</v>
      </c>
      <c r="E190">
        <v>0.41789999999999999</v>
      </c>
      <c r="F190">
        <v>0</v>
      </c>
      <c r="G190">
        <v>4</v>
      </c>
      <c r="H190">
        <v>4</v>
      </c>
    </row>
    <row r="191" spans="1:8">
      <c r="A191">
        <v>189</v>
      </c>
      <c r="B191">
        <v>190</v>
      </c>
      <c r="C191">
        <v>9.0899999999999995E-2</v>
      </c>
      <c r="D191">
        <v>0.53</v>
      </c>
      <c r="E191">
        <v>0.19400000000000001</v>
      </c>
      <c r="F191">
        <v>0</v>
      </c>
      <c r="G191">
        <v>1</v>
      </c>
      <c r="H191">
        <v>1</v>
      </c>
    </row>
    <row r="192" spans="1:8">
      <c r="A192">
        <v>190</v>
      </c>
      <c r="B192">
        <v>191</v>
      </c>
      <c r="C192">
        <v>9.0899999999999995E-2</v>
      </c>
      <c r="D192">
        <v>0.53</v>
      </c>
      <c r="E192">
        <v>0.19400000000000001</v>
      </c>
      <c r="F192">
        <v>0</v>
      </c>
      <c r="G192">
        <v>1</v>
      </c>
      <c r="H192">
        <v>1</v>
      </c>
    </row>
    <row r="193" spans="1:8">
      <c r="A193">
        <v>191</v>
      </c>
      <c r="B193">
        <v>192</v>
      </c>
      <c r="C193">
        <v>9.0899999999999995E-2</v>
      </c>
      <c r="D193">
        <v>0.49</v>
      </c>
      <c r="E193">
        <v>0.28360000000000002</v>
      </c>
      <c r="F193">
        <v>0</v>
      </c>
      <c r="G193">
        <v>1</v>
      </c>
      <c r="H193">
        <v>1</v>
      </c>
    </row>
    <row r="194" spans="1:8">
      <c r="A194">
        <v>192</v>
      </c>
      <c r="B194">
        <v>193</v>
      </c>
      <c r="C194">
        <v>9.0899999999999995E-2</v>
      </c>
      <c r="D194">
        <v>0.53</v>
      </c>
      <c r="E194">
        <v>0.19400000000000001</v>
      </c>
      <c r="F194">
        <v>1</v>
      </c>
      <c r="G194">
        <v>5</v>
      </c>
      <c r="H194">
        <v>6</v>
      </c>
    </row>
    <row r="195" spans="1:8">
      <c r="A195">
        <v>193</v>
      </c>
      <c r="B195">
        <v>194</v>
      </c>
      <c r="C195">
        <v>9.0899999999999995E-2</v>
      </c>
      <c r="D195">
        <v>0.49</v>
      </c>
      <c r="E195">
        <v>0.28360000000000002</v>
      </c>
      <c r="F195">
        <v>0</v>
      </c>
      <c r="G195">
        <v>10</v>
      </c>
      <c r="H195">
        <v>10</v>
      </c>
    </row>
    <row r="196" spans="1:8">
      <c r="A196">
        <v>194</v>
      </c>
      <c r="B196">
        <v>195</v>
      </c>
      <c r="C196">
        <v>7.5800000000000006E-2</v>
      </c>
      <c r="D196">
        <v>0.46</v>
      </c>
      <c r="E196">
        <v>0.52239999999999998</v>
      </c>
      <c r="F196">
        <v>0</v>
      </c>
      <c r="G196">
        <v>19</v>
      </c>
      <c r="H196">
        <v>19</v>
      </c>
    </row>
    <row r="197" spans="1:8">
      <c r="A197">
        <v>195</v>
      </c>
      <c r="B197">
        <v>196</v>
      </c>
      <c r="C197">
        <v>0.1061</v>
      </c>
      <c r="D197">
        <v>0.43</v>
      </c>
      <c r="E197">
        <v>0.3881</v>
      </c>
      <c r="F197">
        <v>0</v>
      </c>
      <c r="G197">
        <v>49</v>
      </c>
      <c r="H197">
        <v>49</v>
      </c>
    </row>
    <row r="198" spans="1:8">
      <c r="A198">
        <v>196</v>
      </c>
      <c r="B198">
        <v>197</v>
      </c>
      <c r="C198">
        <v>0.1212</v>
      </c>
      <c r="D198">
        <v>0.4</v>
      </c>
      <c r="E198">
        <v>0.52239999999999998</v>
      </c>
      <c r="F198">
        <v>2</v>
      </c>
      <c r="G198">
        <v>47</v>
      </c>
      <c r="H198">
        <v>49</v>
      </c>
    </row>
    <row r="199" spans="1:8">
      <c r="A199">
        <v>197</v>
      </c>
      <c r="B199">
        <v>198</v>
      </c>
      <c r="C199">
        <v>0.13639999999999999</v>
      </c>
      <c r="D199">
        <v>0.37</v>
      </c>
      <c r="E199">
        <v>0.44779999999999998</v>
      </c>
      <c r="F199">
        <v>4</v>
      </c>
      <c r="G199">
        <v>79</v>
      </c>
      <c r="H199">
        <v>83</v>
      </c>
    </row>
    <row r="200" spans="1:8">
      <c r="A200">
        <v>198</v>
      </c>
      <c r="B200">
        <v>199</v>
      </c>
      <c r="C200">
        <v>0.16669999999999999</v>
      </c>
      <c r="D200">
        <v>0.34</v>
      </c>
      <c r="E200">
        <v>0.44779999999999998</v>
      </c>
      <c r="F200">
        <v>6</v>
      </c>
      <c r="G200">
        <v>69</v>
      </c>
      <c r="H200">
        <v>75</v>
      </c>
    </row>
    <row r="201" spans="1:8">
      <c r="A201">
        <v>199</v>
      </c>
      <c r="B201">
        <v>200</v>
      </c>
      <c r="C201">
        <v>0.18179999999999999</v>
      </c>
      <c r="D201">
        <v>0.32</v>
      </c>
      <c r="E201">
        <v>0.4627</v>
      </c>
      <c r="F201">
        <v>8</v>
      </c>
      <c r="G201">
        <v>64</v>
      </c>
      <c r="H201">
        <v>72</v>
      </c>
    </row>
    <row r="202" spans="1:8">
      <c r="A202">
        <v>200</v>
      </c>
      <c r="B202">
        <v>201</v>
      </c>
      <c r="C202">
        <v>0.19700000000000001</v>
      </c>
      <c r="D202">
        <v>0.35</v>
      </c>
      <c r="E202">
        <v>0.35820000000000002</v>
      </c>
      <c r="F202">
        <v>5</v>
      </c>
      <c r="G202">
        <v>77</v>
      </c>
      <c r="H202">
        <v>82</v>
      </c>
    </row>
    <row r="203" spans="1:8">
      <c r="A203">
        <v>201</v>
      </c>
      <c r="B203">
        <v>202</v>
      </c>
      <c r="C203">
        <v>0.16669999999999999</v>
      </c>
      <c r="D203">
        <v>0.34</v>
      </c>
      <c r="E203">
        <v>0.44779999999999998</v>
      </c>
      <c r="F203">
        <v>13</v>
      </c>
      <c r="G203">
        <v>79</v>
      </c>
      <c r="H203">
        <v>92</v>
      </c>
    </row>
    <row r="204" spans="1:8">
      <c r="A204">
        <v>202</v>
      </c>
      <c r="B204">
        <v>203</v>
      </c>
      <c r="C204">
        <v>0.1515</v>
      </c>
      <c r="D204">
        <v>0.37</v>
      </c>
      <c r="E204">
        <v>0.3881</v>
      </c>
      <c r="F204">
        <v>3</v>
      </c>
      <c r="G204">
        <v>59</v>
      </c>
      <c r="H204">
        <v>62</v>
      </c>
    </row>
    <row r="205" spans="1:8">
      <c r="A205">
        <v>203</v>
      </c>
      <c r="B205">
        <v>204</v>
      </c>
      <c r="C205">
        <v>0.13639999999999999</v>
      </c>
      <c r="D205">
        <v>0.4</v>
      </c>
      <c r="E205">
        <v>0.32840000000000003</v>
      </c>
      <c r="F205">
        <v>4</v>
      </c>
      <c r="G205">
        <v>44</v>
      </c>
      <c r="H205">
        <v>48</v>
      </c>
    </row>
    <row r="206" spans="1:8">
      <c r="A206">
        <v>204</v>
      </c>
      <c r="B206">
        <v>205</v>
      </c>
      <c r="C206">
        <v>0.13639999999999999</v>
      </c>
      <c r="D206">
        <v>0.43</v>
      </c>
      <c r="E206">
        <v>0.32840000000000003</v>
      </c>
      <c r="F206">
        <v>1</v>
      </c>
      <c r="G206">
        <v>40</v>
      </c>
      <c r="H206">
        <v>41</v>
      </c>
    </row>
    <row r="207" spans="1:8">
      <c r="A207">
        <v>205</v>
      </c>
      <c r="B207">
        <v>206</v>
      </c>
      <c r="C207">
        <v>0.1212</v>
      </c>
      <c r="D207">
        <v>0.46</v>
      </c>
      <c r="E207">
        <v>0.25369999999999998</v>
      </c>
      <c r="F207">
        <v>0</v>
      </c>
      <c r="G207">
        <v>38</v>
      </c>
      <c r="H207">
        <v>38</v>
      </c>
    </row>
    <row r="208" spans="1:8">
      <c r="A208">
        <v>206</v>
      </c>
      <c r="B208">
        <v>207</v>
      </c>
      <c r="C208">
        <v>0.1061</v>
      </c>
      <c r="D208">
        <v>0.46</v>
      </c>
      <c r="E208">
        <v>0.41789999999999999</v>
      </c>
      <c r="F208">
        <v>1</v>
      </c>
      <c r="G208">
        <v>19</v>
      </c>
      <c r="H208">
        <v>20</v>
      </c>
    </row>
    <row r="209" spans="1:8">
      <c r="A209">
        <v>207</v>
      </c>
      <c r="B209">
        <v>208</v>
      </c>
      <c r="C209">
        <v>0.1212</v>
      </c>
      <c r="D209">
        <v>0.46</v>
      </c>
      <c r="E209">
        <v>0.29849999999999999</v>
      </c>
      <c r="F209">
        <v>5</v>
      </c>
      <c r="G209">
        <v>10</v>
      </c>
      <c r="H209">
        <v>15</v>
      </c>
    </row>
    <row r="210" spans="1:8">
      <c r="A210">
        <v>208</v>
      </c>
      <c r="B210">
        <v>209</v>
      </c>
      <c r="C210">
        <v>0.13639999999999999</v>
      </c>
      <c r="D210">
        <v>0.5</v>
      </c>
      <c r="E210">
        <v>0.19400000000000001</v>
      </c>
      <c r="F210">
        <v>0</v>
      </c>
      <c r="G210">
        <v>6</v>
      </c>
      <c r="H210">
        <v>6</v>
      </c>
    </row>
    <row r="211" spans="1:8">
      <c r="A211">
        <v>209</v>
      </c>
      <c r="B211">
        <v>210</v>
      </c>
      <c r="C211">
        <v>0.1212</v>
      </c>
      <c r="D211">
        <v>0.5</v>
      </c>
      <c r="E211">
        <v>0.28360000000000002</v>
      </c>
      <c r="F211">
        <v>2</v>
      </c>
      <c r="G211">
        <v>3</v>
      </c>
      <c r="H211">
        <v>5</v>
      </c>
    </row>
    <row r="212" spans="1:8">
      <c r="A212">
        <v>210</v>
      </c>
      <c r="B212">
        <v>211</v>
      </c>
      <c r="C212">
        <v>0.1212</v>
      </c>
      <c r="D212">
        <v>0.5</v>
      </c>
      <c r="E212">
        <v>0.28360000000000002</v>
      </c>
      <c r="F212">
        <v>1</v>
      </c>
      <c r="G212">
        <v>0</v>
      </c>
      <c r="H212">
        <v>1</v>
      </c>
    </row>
    <row r="213" spans="1:8">
      <c r="A213">
        <v>211</v>
      </c>
      <c r="B213">
        <v>212</v>
      </c>
      <c r="C213">
        <v>0.1212</v>
      </c>
      <c r="D213">
        <v>0.5</v>
      </c>
      <c r="E213">
        <v>0.22389999999999999</v>
      </c>
      <c r="F213">
        <v>0</v>
      </c>
      <c r="G213">
        <v>3</v>
      </c>
      <c r="H213">
        <v>3</v>
      </c>
    </row>
    <row r="214" spans="1:8">
      <c r="A214">
        <v>212</v>
      </c>
      <c r="B214">
        <v>213</v>
      </c>
      <c r="C214">
        <v>0.1212</v>
      </c>
      <c r="D214">
        <v>0.5</v>
      </c>
      <c r="E214">
        <v>0.22389999999999999</v>
      </c>
      <c r="F214">
        <v>0</v>
      </c>
      <c r="G214">
        <v>1</v>
      </c>
      <c r="H214">
        <v>1</v>
      </c>
    </row>
    <row r="215" spans="1:8">
      <c r="A215">
        <v>213</v>
      </c>
      <c r="B215">
        <v>214</v>
      </c>
      <c r="C215">
        <v>0.1212</v>
      </c>
      <c r="D215">
        <v>0.54</v>
      </c>
      <c r="E215">
        <v>0.1343</v>
      </c>
      <c r="F215">
        <v>1</v>
      </c>
      <c r="G215">
        <v>2</v>
      </c>
      <c r="H215">
        <v>3</v>
      </c>
    </row>
    <row r="216" spans="1:8">
      <c r="A216">
        <v>214</v>
      </c>
      <c r="B216">
        <v>215</v>
      </c>
      <c r="C216">
        <v>0.1061</v>
      </c>
      <c r="D216">
        <v>0.54</v>
      </c>
      <c r="E216">
        <v>0.25369999999999998</v>
      </c>
      <c r="F216">
        <v>0</v>
      </c>
      <c r="G216">
        <v>3</v>
      </c>
      <c r="H216">
        <v>3</v>
      </c>
    </row>
    <row r="217" spans="1:8">
      <c r="A217">
        <v>215</v>
      </c>
      <c r="B217">
        <v>216</v>
      </c>
      <c r="C217">
        <v>0.1212</v>
      </c>
      <c r="D217">
        <v>0.5</v>
      </c>
      <c r="E217">
        <v>0.28360000000000002</v>
      </c>
      <c r="F217">
        <v>0</v>
      </c>
      <c r="G217">
        <v>31</v>
      </c>
      <c r="H217">
        <v>31</v>
      </c>
    </row>
    <row r="218" spans="1:8">
      <c r="A218">
        <v>216</v>
      </c>
      <c r="B218">
        <v>217</v>
      </c>
      <c r="C218">
        <v>0.1212</v>
      </c>
      <c r="D218">
        <v>0.5</v>
      </c>
      <c r="E218">
        <v>0.22389999999999999</v>
      </c>
      <c r="F218">
        <v>2</v>
      </c>
      <c r="G218">
        <v>75</v>
      </c>
      <c r="H218">
        <v>77</v>
      </c>
    </row>
    <row r="219" spans="1:8">
      <c r="A219">
        <v>217</v>
      </c>
      <c r="B219">
        <v>218</v>
      </c>
      <c r="C219">
        <v>0.1212</v>
      </c>
      <c r="D219">
        <v>0.5</v>
      </c>
      <c r="E219">
        <v>0.28360000000000002</v>
      </c>
      <c r="F219">
        <v>4</v>
      </c>
      <c r="G219">
        <v>184</v>
      </c>
      <c r="H219">
        <v>188</v>
      </c>
    </row>
    <row r="220" spans="1:8">
      <c r="A220">
        <v>218</v>
      </c>
      <c r="B220">
        <v>219</v>
      </c>
      <c r="C220">
        <v>0.1212</v>
      </c>
      <c r="D220">
        <v>0.5</v>
      </c>
      <c r="E220">
        <v>0.25369999999999998</v>
      </c>
      <c r="F220">
        <v>2</v>
      </c>
      <c r="G220">
        <v>92</v>
      </c>
      <c r="H220">
        <v>94</v>
      </c>
    </row>
    <row r="221" spans="1:8">
      <c r="A221">
        <v>219</v>
      </c>
      <c r="B221">
        <v>220</v>
      </c>
      <c r="C221">
        <v>0.1212</v>
      </c>
      <c r="D221">
        <v>0.5</v>
      </c>
      <c r="E221">
        <v>0.29849999999999999</v>
      </c>
      <c r="F221">
        <v>0</v>
      </c>
      <c r="G221">
        <v>31</v>
      </c>
      <c r="H221">
        <v>31</v>
      </c>
    </row>
    <row r="222" spans="1:8">
      <c r="A222">
        <v>220</v>
      </c>
      <c r="B222">
        <v>221</v>
      </c>
      <c r="C222">
        <v>0.13639999999999999</v>
      </c>
      <c r="D222">
        <v>0.47</v>
      </c>
      <c r="E222">
        <v>0.28360000000000002</v>
      </c>
      <c r="F222">
        <v>2</v>
      </c>
      <c r="G222">
        <v>28</v>
      </c>
      <c r="H222">
        <v>30</v>
      </c>
    </row>
    <row r="223" spans="1:8">
      <c r="A223">
        <v>221</v>
      </c>
      <c r="B223">
        <v>222</v>
      </c>
      <c r="C223">
        <v>0.18179999999999999</v>
      </c>
      <c r="D223">
        <v>0.4</v>
      </c>
      <c r="E223">
        <v>0.28360000000000002</v>
      </c>
      <c r="F223">
        <v>5</v>
      </c>
      <c r="G223">
        <v>47</v>
      </c>
      <c r="H223">
        <v>52</v>
      </c>
    </row>
    <row r="224" spans="1:8">
      <c r="A224">
        <v>222</v>
      </c>
      <c r="B224">
        <v>223</v>
      </c>
      <c r="C224">
        <v>0.18179999999999999</v>
      </c>
      <c r="D224">
        <v>0.4</v>
      </c>
      <c r="E224">
        <v>0.28360000000000002</v>
      </c>
      <c r="F224">
        <v>4</v>
      </c>
      <c r="G224">
        <v>50</v>
      </c>
      <c r="H224">
        <v>54</v>
      </c>
    </row>
    <row r="225" spans="1:8">
      <c r="A225">
        <v>223</v>
      </c>
      <c r="B225">
        <v>224</v>
      </c>
      <c r="C225">
        <v>0.19700000000000001</v>
      </c>
      <c r="D225">
        <v>0.4</v>
      </c>
      <c r="E225">
        <v>0.22389999999999999</v>
      </c>
      <c r="F225">
        <v>0</v>
      </c>
      <c r="G225">
        <v>47</v>
      </c>
      <c r="H225">
        <v>47</v>
      </c>
    </row>
    <row r="226" spans="1:8">
      <c r="A226">
        <v>224</v>
      </c>
      <c r="B226">
        <v>225</v>
      </c>
      <c r="C226">
        <v>0.19700000000000001</v>
      </c>
      <c r="D226">
        <v>0.4</v>
      </c>
      <c r="E226">
        <v>0.22389999999999999</v>
      </c>
      <c r="F226">
        <v>2</v>
      </c>
      <c r="G226">
        <v>43</v>
      </c>
      <c r="H226">
        <v>45</v>
      </c>
    </row>
    <row r="227" spans="1:8">
      <c r="A227">
        <v>225</v>
      </c>
      <c r="B227">
        <v>226</v>
      </c>
      <c r="C227">
        <v>0.21210000000000001</v>
      </c>
      <c r="D227">
        <v>0.4</v>
      </c>
      <c r="E227">
        <v>0.1343</v>
      </c>
      <c r="F227">
        <v>4</v>
      </c>
      <c r="G227">
        <v>70</v>
      </c>
      <c r="H227">
        <v>74</v>
      </c>
    </row>
    <row r="228" spans="1:8">
      <c r="A228">
        <v>226</v>
      </c>
      <c r="B228">
        <v>227</v>
      </c>
      <c r="C228">
        <v>0.2273</v>
      </c>
      <c r="D228">
        <v>0.4</v>
      </c>
      <c r="E228">
        <v>0.1045</v>
      </c>
      <c r="F228">
        <v>4</v>
      </c>
      <c r="G228">
        <v>174</v>
      </c>
      <c r="H228">
        <v>178</v>
      </c>
    </row>
    <row r="229" spans="1:8">
      <c r="A229">
        <v>227</v>
      </c>
      <c r="B229">
        <v>228</v>
      </c>
      <c r="C229">
        <v>0.19700000000000001</v>
      </c>
      <c r="D229">
        <v>0.4</v>
      </c>
      <c r="E229">
        <v>0.22389999999999999</v>
      </c>
      <c r="F229">
        <v>1</v>
      </c>
      <c r="G229">
        <v>154</v>
      </c>
      <c r="H229">
        <v>155</v>
      </c>
    </row>
    <row r="230" spans="1:8">
      <c r="A230">
        <v>228</v>
      </c>
      <c r="B230">
        <v>229</v>
      </c>
      <c r="C230">
        <v>0.16669999999999999</v>
      </c>
      <c r="D230">
        <v>0.47</v>
      </c>
      <c r="E230">
        <v>0.16420000000000001</v>
      </c>
      <c r="F230">
        <v>3</v>
      </c>
      <c r="G230">
        <v>92</v>
      </c>
      <c r="H230">
        <v>95</v>
      </c>
    </row>
    <row r="231" spans="1:8">
      <c r="A231">
        <v>229</v>
      </c>
      <c r="B231">
        <v>230</v>
      </c>
      <c r="C231">
        <v>0.16669999999999999</v>
      </c>
      <c r="D231">
        <v>0.5</v>
      </c>
      <c r="E231">
        <v>0.16420000000000001</v>
      </c>
      <c r="F231">
        <v>1</v>
      </c>
      <c r="G231">
        <v>73</v>
      </c>
      <c r="H231">
        <v>74</v>
      </c>
    </row>
    <row r="232" spans="1:8">
      <c r="A232">
        <v>230</v>
      </c>
      <c r="B232">
        <v>231</v>
      </c>
      <c r="C232">
        <v>0.13639999999999999</v>
      </c>
      <c r="D232">
        <v>0.59</v>
      </c>
      <c r="E232">
        <v>0.19400000000000001</v>
      </c>
      <c r="F232">
        <v>1</v>
      </c>
      <c r="G232">
        <v>37</v>
      </c>
      <c r="H232">
        <v>38</v>
      </c>
    </row>
    <row r="233" spans="1:8">
      <c r="A233">
        <v>231</v>
      </c>
      <c r="B233">
        <v>232</v>
      </c>
      <c r="C233">
        <v>0.1515</v>
      </c>
      <c r="D233">
        <v>0.59</v>
      </c>
      <c r="E233">
        <v>0.16420000000000001</v>
      </c>
      <c r="F233">
        <v>2</v>
      </c>
      <c r="G233">
        <v>22</v>
      </c>
      <c r="H233">
        <v>24</v>
      </c>
    </row>
    <row r="234" spans="1:8">
      <c r="A234">
        <v>232</v>
      </c>
      <c r="B234">
        <v>233</v>
      </c>
      <c r="C234">
        <v>0.1515</v>
      </c>
      <c r="D234">
        <v>0.59</v>
      </c>
      <c r="E234">
        <v>0.16420000000000001</v>
      </c>
      <c r="F234">
        <v>0</v>
      </c>
      <c r="G234">
        <v>18</v>
      </c>
      <c r="H234">
        <v>18</v>
      </c>
    </row>
    <row r="235" spans="1:8">
      <c r="A235">
        <v>233</v>
      </c>
      <c r="B235">
        <v>234</v>
      </c>
      <c r="C235">
        <v>0.16669999999999999</v>
      </c>
      <c r="D235">
        <v>0.59</v>
      </c>
      <c r="E235">
        <v>0.1045</v>
      </c>
      <c r="F235">
        <v>2</v>
      </c>
      <c r="G235">
        <v>10</v>
      </c>
      <c r="H235">
        <v>12</v>
      </c>
    </row>
    <row r="236" spans="1:8">
      <c r="A236">
        <v>234</v>
      </c>
      <c r="B236">
        <v>235</v>
      </c>
      <c r="C236">
        <v>0.1515</v>
      </c>
      <c r="D236">
        <v>0.59</v>
      </c>
      <c r="E236">
        <v>0.16420000000000001</v>
      </c>
      <c r="F236">
        <v>0</v>
      </c>
      <c r="G236">
        <v>3</v>
      </c>
      <c r="H236">
        <v>3</v>
      </c>
    </row>
    <row r="237" spans="1:8">
      <c r="A237">
        <v>235</v>
      </c>
      <c r="B237">
        <v>236</v>
      </c>
      <c r="C237">
        <v>0.1515</v>
      </c>
      <c r="D237">
        <v>0.55000000000000004</v>
      </c>
      <c r="E237">
        <v>0.19400000000000001</v>
      </c>
      <c r="F237">
        <v>0</v>
      </c>
      <c r="G237">
        <v>3</v>
      </c>
      <c r="H237">
        <v>3</v>
      </c>
    </row>
    <row r="238" spans="1:8">
      <c r="A238">
        <v>236</v>
      </c>
      <c r="B238">
        <v>237</v>
      </c>
      <c r="C238">
        <v>0.18179999999999999</v>
      </c>
      <c r="D238">
        <v>0.55000000000000004</v>
      </c>
      <c r="E238">
        <v>0.1343</v>
      </c>
      <c r="F238">
        <v>0</v>
      </c>
      <c r="G238">
        <v>6</v>
      </c>
      <c r="H238">
        <v>6</v>
      </c>
    </row>
    <row r="239" spans="1:8">
      <c r="A239">
        <v>237</v>
      </c>
      <c r="B239">
        <v>238</v>
      </c>
      <c r="C239">
        <v>0.18179999999999999</v>
      </c>
      <c r="D239">
        <v>0.55000000000000004</v>
      </c>
      <c r="E239">
        <v>0.1343</v>
      </c>
      <c r="F239">
        <v>0</v>
      </c>
      <c r="G239">
        <v>27</v>
      </c>
      <c r="H239">
        <v>27</v>
      </c>
    </row>
    <row r="240" spans="1:8">
      <c r="A240">
        <v>238</v>
      </c>
      <c r="B240">
        <v>239</v>
      </c>
      <c r="C240">
        <v>0.2273</v>
      </c>
      <c r="D240">
        <v>0.55000000000000004</v>
      </c>
      <c r="E240">
        <v>0</v>
      </c>
      <c r="F240">
        <v>2</v>
      </c>
      <c r="G240">
        <v>97</v>
      </c>
      <c r="H240">
        <v>99</v>
      </c>
    </row>
    <row r="241" spans="1:8">
      <c r="A241">
        <v>239</v>
      </c>
      <c r="B241">
        <v>240</v>
      </c>
      <c r="C241">
        <v>0.21210000000000001</v>
      </c>
      <c r="D241">
        <v>0.51</v>
      </c>
      <c r="E241">
        <v>8.9599999999999999E-2</v>
      </c>
      <c r="F241">
        <v>3</v>
      </c>
      <c r="G241">
        <v>214</v>
      </c>
      <c r="H241">
        <v>217</v>
      </c>
    </row>
    <row r="242" spans="1:8">
      <c r="A242">
        <v>240</v>
      </c>
      <c r="B242">
        <v>241</v>
      </c>
      <c r="C242">
        <v>0.19700000000000001</v>
      </c>
      <c r="D242">
        <v>0.51</v>
      </c>
      <c r="E242">
        <v>0.16420000000000001</v>
      </c>
      <c r="F242">
        <v>3</v>
      </c>
      <c r="G242">
        <v>127</v>
      </c>
      <c r="H242">
        <v>130</v>
      </c>
    </row>
    <row r="243" spans="1:8">
      <c r="A243">
        <v>241</v>
      </c>
      <c r="B243">
        <v>242</v>
      </c>
      <c r="C243">
        <v>0.21210000000000001</v>
      </c>
      <c r="D243">
        <v>0.51</v>
      </c>
      <c r="E243">
        <v>0.16420000000000001</v>
      </c>
      <c r="F243">
        <v>3</v>
      </c>
      <c r="G243">
        <v>51</v>
      </c>
      <c r="H243">
        <v>54</v>
      </c>
    </row>
    <row r="244" spans="1:8">
      <c r="A244">
        <v>242</v>
      </c>
      <c r="B244">
        <v>243</v>
      </c>
      <c r="C244">
        <v>0.21210000000000001</v>
      </c>
      <c r="D244">
        <v>0.47</v>
      </c>
      <c r="E244">
        <v>0.1343</v>
      </c>
      <c r="F244">
        <v>4</v>
      </c>
      <c r="G244">
        <v>31</v>
      </c>
      <c r="H244">
        <v>35</v>
      </c>
    </row>
    <row r="245" spans="1:8">
      <c r="A245">
        <v>243</v>
      </c>
      <c r="B245">
        <v>244</v>
      </c>
      <c r="C245">
        <v>0.2273</v>
      </c>
      <c r="D245">
        <v>0.51</v>
      </c>
      <c r="E245">
        <v>0.1045</v>
      </c>
      <c r="F245">
        <v>2</v>
      </c>
      <c r="G245">
        <v>55</v>
      </c>
      <c r="H245">
        <v>57</v>
      </c>
    </row>
    <row r="246" spans="1:8">
      <c r="A246">
        <v>244</v>
      </c>
      <c r="B246">
        <v>245</v>
      </c>
      <c r="C246">
        <v>0.2273</v>
      </c>
      <c r="D246">
        <v>0.59</v>
      </c>
      <c r="E246">
        <v>8.9599999999999999E-2</v>
      </c>
      <c r="F246">
        <v>6</v>
      </c>
      <c r="G246">
        <v>46</v>
      </c>
      <c r="H246">
        <v>52</v>
      </c>
    </row>
    <row r="247" spans="1:8">
      <c r="A247">
        <v>245</v>
      </c>
      <c r="B247">
        <v>246</v>
      </c>
      <c r="C247">
        <v>0.2273</v>
      </c>
      <c r="D247">
        <v>0.59</v>
      </c>
      <c r="E247">
        <v>8.9599999999999999E-2</v>
      </c>
      <c r="F247">
        <v>3</v>
      </c>
      <c r="G247">
        <v>60</v>
      </c>
      <c r="H247">
        <v>63</v>
      </c>
    </row>
    <row r="248" spans="1:8">
      <c r="A248">
        <v>246</v>
      </c>
      <c r="B248">
        <v>247</v>
      </c>
      <c r="C248">
        <v>0.19700000000000001</v>
      </c>
      <c r="D248">
        <v>0.8</v>
      </c>
      <c r="E248">
        <v>8.9599999999999999E-2</v>
      </c>
      <c r="F248">
        <v>2</v>
      </c>
      <c r="G248">
        <v>45</v>
      </c>
      <c r="H248">
        <v>47</v>
      </c>
    </row>
    <row r="249" spans="1:8">
      <c r="A249">
        <v>247</v>
      </c>
      <c r="B249">
        <v>248</v>
      </c>
      <c r="C249">
        <v>0.1515</v>
      </c>
      <c r="D249">
        <v>0.86</v>
      </c>
      <c r="E249">
        <v>0.22389999999999999</v>
      </c>
      <c r="F249">
        <v>4</v>
      </c>
      <c r="G249">
        <v>72</v>
      </c>
      <c r="H249">
        <v>76</v>
      </c>
    </row>
    <row r="250" spans="1:8">
      <c r="A250">
        <v>248</v>
      </c>
      <c r="B250">
        <v>249</v>
      </c>
      <c r="C250">
        <v>0.1515</v>
      </c>
      <c r="D250">
        <v>0.86</v>
      </c>
      <c r="E250">
        <v>0.22389999999999999</v>
      </c>
      <c r="F250">
        <v>6</v>
      </c>
      <c r="G250">
        <v>130</v>
      </c>
      <c r="H250">
        <v>136</v>
      </c>
    </row>
    <row r="251" spans="1:8">
      <c r="A251">
        <v>249</v>
      </c>
      <c r="B251">
        <v>250</v>
      </c>
      <c r="C251">
        <v>0.18179999999999999</v>
      </c>
      <c r="D251">
        <v>0.93</v>
      </c>
      <c r="E251">
        <v>0.1045</v>
      </c>
      <c r="F251">
        <v>1</v>
      </c>
      <c r="G251">
        <v>94</v>
      </c>
      <c r="H251">
        <v>95</v>
      </c>
    </row>
    <row r="252" spans="1:8">
      <c r="A252">
        <v>250</v>
      </c>
      <c r="B252">
        <v>251</v>
      </c>
      <c r="C252">
        <v>0.2273</v>
      </c>
      <c r="D252">
        <v>0.93</v>
      </c>
      <c r="E252">
        <v>0</v>
      </c>
      <c r="F252">
        <v>0</v>
      </c>
      <c r="G252">
        <v>51</v>
      </c>
      <c r="H252">
        <v>51</v>
      </c>
    </row>
    <row r="253" spans="1:8">
      <c r="A253">
        <v>251</v>
      </c>
      <c r="B253">
        <v>252</v>
      </c>
      <c r="C253">
        <v>0.1515</v>
      </c>
      <c r="D253">
        <v>0.93</v>
      </c>
      <c r="E253">
        <v>0.19400000000000001</v>
      </c>
      <c r="F253">
        <v>0</v>
      </c>
      <c r="G253">
        <v>32</v>
      </c>
      <c r="H253">
        <v>32</v>
      </c>
    </row>
    <row r="254" spans="1:8">
      <c r="A254">
        <v>252</v>
      </c>
      <c r="B254">
        <v>253</v>
      </c>
      <c r="C254">
        <v>0.19700000000000001</v>
      </c>
      <c r="D254">
        <v>0.86</v>
      </c>
      <c r="E254">
        <v>8.9599999999999999E-2</v>
      </c>
      <c r="F254">
        <v>0</v>
      </c>
      <c r="G254">
        <v>20</v>
      </c>
      <c r="H254">
        <v>20</v>
      </c>
    </row>
    <row r="255" spans="1:8">
      <c r="A255">
        <v>253</v>
      </c>
      <c r="B255">
        <v>254</v>
      </c>
      <c r="C255">
        <v>0.18179999999999999</v>
      </c>
      <c r="D255">
        <v>0.93</v>
      </c>
      <c r="E255">
        <v>0.1045</v>
      </c>
      <c r="F255">
        <v>1</v>
      </c>
      <c r="G255">
        <v>28</v>
      </c>
      <c r="H255">
        <v>29</v>
      </c>
    </row>
    <row r="256" spans="1:8">
      <c r="A256">
        <v>254</v>
      </c>
      <c r="B256">
        <v>255</v>
      </c>
      <c r="C256">
        <v>0.19700000000000001</v>
      </c>
      <c r="D256">
        <v>0.93</v>
      </c>
      <c r="E256">
        <v>8.9599999999999999E-2</v>
      </c>
      <c r="F256">
        <v>1</v>
      </c>
      <c r="G256">
        <v>18</v>
      </c>
      <c r="H256">
        <v>19</v>
      </c>
    </row>
    <row r="257" spans="1:8">
      <c r="A257">
        <v>255</v>
      </c>
      <c r="B257">
        <v>256</v>
      </c>
      <c r="C257">
        <v>0.19700000000000001</v>
      </c>
      <c r="D257">
        <v>0.86</v>
      </c>
      <c r="E257">
        <v>8.9599999999999999E-2</v>
      </c>
      <c r="F257">
        <v>0</v>
      </c>
      <c r="G257">
        <v>7</v>
      </c>
      <c r="H257">
        <v>7</v>
      </c>
    </row>
    <row r="258" spans="1:8">
      <c r="A258">
        <v>256</v>
      </c>
      <c r="B258">
        <v>257</v>
      </c>
      <c r="C258">
        <v>0.18179999999999999</v>
      </c>
      <c r="D258">
        <v>0.86</v>
      </c>
      <c r="E258">
        <v>0.1045</v>
      </c>
      <c r="F258">
        <v>0</v>
      </c>
      <c r="G258">
        <v>6</v>
      </c>
      <c r="H258">
        <v>6</v>
      </c>
    </row>
    <row r="259" spans="1:8">
      <c r="A259">
        <v>257</v>
      </c>
      <c r="B259">
        <v>258</v>
      </c>
      <c r="C259">
        <v>0.1515</v>
      </c>
      <c r="D259">
        <v>0.86</v>
      </c>
      <c r="E259">
        <v>0.1343</v>
      </c>
      <c r="F259">
        <v>0</v>
      </c>
      <c r="G259">
        <v>1</v>
      </c>
      <c r="H259">
        <v>1</v>
      </c>
    </row>
    <row r="260" spans="1:8">
      <c r="A260">
        <v>258</v>
      </c>
      <c r="B260">
        <v>259</v>
      </c>
      <c r="C260">
        <v>0.1515</v>
      </c>
      <c r="D260">
        <v>0.86</v>
      </c>
      <c r="E260">
        <v>0.16420000000000001</v>
      </c>
      <c r="F260">
        <v>0</v>
      </c>
      <c r="G260">
        <v>5</v>
      </c>
      <c r="H260">
        <v>5</v>
      </c>
    </row>
    <row r="261" spans="1:8">
      <c r="A261">
        <v>259</v>
      </c>
      <c r="B261">
        <v>260</v>
      </c>
      <c r="C261">
        <v>0.1515</v>
      </c>
      <c r="D261">
        <v>0.93</v>
      </c>
      <c r="E261">
        <v>0.1343</v>
      </c>
      <c r="F261">
        <v>0</v>
      </c>
      <c r="G261">
        <v>16</v>
      </c>
      <c r="H261">
        <v>16</v>
      </c>
    </row>
    <row r="262" spans="1:8">
      <c r="A262">
        <v>260</v>
      </c>
      <c r="B262">
        <v>261</v>
      </c>
      <c r="C262">
        <v>0.1515</v>
      </c>
      <c r="D262">
        <v>0.69</v>
      </c>
      <c r="E262">
        <v>0.1343</v>
      </c>
      <c r="F262">
        <v>0</v>
      </c>
      <c r="G262">
        <v>54</v>
      </c>
      <c r="H262">
        <v>54</v>
      </c>
    </row>
    <row r="263" spans="1:8">
      <c r="A263">
        <v>261</v>
      </c>
      <c r="B263">
        <v>262</v>
      </c>
      <c r="C263">
        <v>0.16669999999999999</v>
      </c>
      <c r="D263">
        <v>0.59</v>
      </c>
      <c r="E263">
        <v>0.16420000000000001</v>
      </c>
      <c r="F263">
        <v>3</v>
      </c>
      <c r="G263">
        <v>125</v>
      </c>
      <c r="H263">
        <v>128</v>
      </c>
    </row>
    <row r="264" spans="1:8">
      <c r="A264">
        <v>262</v>
      </c>
      <c r="B264">
        <v>263</v>
      </c>
      <c r="C264">
        <v>0.13639999999999999</v>
      </c>
      <c r="D264">
        <v>0.59</v>
      </c>
      <c r="E264">
        <v>0.32840000000000003</v>
      </c>
      <c r="F264">
        <v>3</v>
      </c>
      <c r="G264">
        <v>78</v>
      </c>
      <c r="H264">
        <v>81</v>
      </c>
    </row>
    <row r="265" spans="1:8">
      <c r="A265">
        <v>263</v>
      </c>
      <c r="B265">
        <v>264</v>
      </c>
      <c r="C265">
        <v>0.18179999999999999</v>
      </c>
      <c r="D265">
        <v>0.55000000000000004</v>
      </c>
      <c r="E265">
        <v>0.22389999999999999</v>
      </c>
      <c r="F265">
        <v>0</v>
      </c>
      <c r="G265">
        <v>39</v>
      </c>
      <c r="H265">
        <v>39</v>
      </c>
    </row>
    <row r="266" spans="1:8">
      <c r="A266">
        <v>264</v>
      </c>
      <c r="B266">
        <v>265</v>
      </c>
      <c r="C266">
        <v>0.18179999999999999</v>
      </c>
      <c r="D266">
        <v>0.51</v>
      </c>
      <c r="E266">
        <v>0.3881</v>
      </c>
      <c r="F266">
        <v>3</v>
      </c>
      <c r="G266">
        <v>32</v>
      </c>
      <c r="H266">
        <v>35</v>
      </c>
    </row>
    <row r="267" spans="1:8">
      <c r="A267">
        <v>265</v>
      </c>
      <c r="B267">
        <v>266</v>
      </c>
      <c r="C267">
        <v>0.1515</v>
      </c>
      <c r="D267">
        <v>0.47</v>
      </c>
      <c r="E267">
        <v>0.58209999999999995</v>
      </c>
      <c r="F267">
        <v>3</v>
      </c>
      <c r="G267">
        <v>52</v>
      </c>
      <c r="H267">
        <v>55</v>
      </c>
    </row>
    <row r="268" spans="1:8">
      <c r="A268">
        <v>266</v>
      </c>
      <c r="B268">
        <v>267</v>
      </c>
      <c r="C268">
        <v>0.19700000000000001</v>
      </c>
      <c r="D268">
        <v>0.44</v>
      </c>
      <c r="E268">
        <v>0.35820000000000002</v>
      </c>
      <c r="F268">
        <v>0</v>
      </c>
      <c r="G268">
        <v>49</v>
      </c>
      <c r="H268">
        <v>49</v>
      </c>
    </row>
    <row r="269" spans="1:8">
      <c r="A269">
        <v>267</v>
      </c>
      <c r="B269">
        <v>268</v>
      </c>
      <c r="C269">
        <v>0.18179999999999999</v>
      </c>
      <c r="D269">
        <v>0.47</v>
      </c>
      <c r="E269">
        <v>0.32840000000000003</v>
      </c>
      <c r="F269">
        <v>0</v>
      </c>
      <c r="G269">
        <v>44</v>
      </c>
      <c r="H269">
        <v>44</v>
      </c>
    </row>
    <row r="270" spans="1:8">
      <c r="A270">
        <v>268</v>
      </c>
      <c r="B270">
        <v>269</v>
      </c>
      <c r="C270">
        <v>0.16669999999999999</v>
      </c>
      <c r="D270">
        <v>0.47</v>
      </c>
      <c r="E270">
        <v>0.41789999999999999</v>
      </c>
      <c r="F270">
        <v>1</v>
      </c>
      <c r="G270">
        <v>48</v>
      </c>
      <c r="H270">
        <v>49</v>
      </c>
    </row>
    <row r="271" spans="1:8">
      <c r="A271">
        <v>269</v>
      </c>
      <c r="B271">
        <v>270</v>
      </c>
      <c r="C271">
        <v>0.19700000000000001</v>
      </c>
      <c r="D271">
        <v>0.44</v>
      </c>
      <c r="E271">
        <v>0.32840000000000003</v>
      </c>
      <c r="F271">
        <v>5</v>
      </c>
      <c r="G271">
        <v>63</v>
      </c>
      <c r="H271">
        <v>68</v>
      </c>
    </row>
    <row r="272" spans="1:8">
      <c r="A272">
        <v>270</v>
      </c>
      <c r="B272">
        <v>271</v>
      </c>
      <c r="C272">
        <v>0.18179999999999999</v>
      </c>
      <c r="D272">
        <v>0.47</v>
      </c>
      <c r="E272">
        <v>0.35820000000000002</v>
      </c>
      <c r="F272">
        <v>0</v>
      </c>
      <c r="G272">
        <v>139</v>
      </c>
      <c r="H272">
        <v>139</v>
      </c>
    </row>
    <row r="273" spans="1:8">
      <c r="A273">
        <v>271</v>
      </c>
      <c r="B273">
        <v>272</v>
      </c>
      <c r="C273">
        <v>0.1515</v>
      </c>
      <c r="D273">
        <v>0.47</v>
      </c>
      <c r="E273">
        <v>0.52239999999999998</v>
      </c>
      <c r="F273">
        <v>2</v>
      </c>
      <c r="G273">
        <v>135</v>
      </c>
      <c r="H273">
        <v>137</v>
      </c>
    </row>
    <row r="274" spans="1:8">
      <c r="A274">
        <v>272</v>
      </c>
      <c r="B274">
        <v>273</v>
      </c>
      <c r="C274">
        <v>0.1515</v>
      </c>
      <c r="D274">
        <v>0.47</v>
      </c>
      <c r="E274">
        <v>0.41789999999999999</v>
      </c>
      <c r="F274">
        <v>1</v>
      </c>
      <c r="G274">
        <v>82</v>
      </c>
      <c r="H274">
        <v>83</v>
      </c>
    </row>
    <row r="275" spans="1:8">
      <c r="A275">
        <v>273</v>
      </c>
      <c r="B275">
        <v>274</v>
      </c>
      <c r="C275">
        <v>0.13639999999999999</v>
      </c>
      <c r="D275">
        <v>0.5</v>
      </c>
      <c r="E275">
        <v>0.32840000000000003</v>
      </c>
      <c r="F275">
        <v>2</v>
      </c>
      <c r="G275">
        <v>54</v>
      </c>
      <c r="H275">
        <v>56</v>
      </c>
    </row>
    <row r="276" spans="1:8">
      <c r="A276">
        <v>274</v>
      </c>
      <c r="B276">
        <v>275</v>
      </c>
      <c r="C276">
        <v>0.13639999999999999</v>
      </c>
      <c r="D276">
        <v>0.55000000000000004</v>
      </c>
      <c r="E276">
        <v>0.32840000000000003</v>
      </c>
      <c r="F276">
        <v>0</v>
      </c>
      <c r="G276">
        <v>57</v>
      </c>
      <c r="H276">
        <v>57</v>
      </c>
    </row>
    <row r="277" spans="1:8">
      <c r="A277">
        <v>275</v>
      </c>
      <c r="B277">
        <v>276</v>
      </c>
      <c r="C277">
        <v>0.1212</v>
      </c>
      <c r="D277">
        <v>0.55000000000000004</v>
      </c>
      <c r="E277">
        <v>0.44779999999999998</v>
      </c>
      <c r="F277">
        <v>1</v>
      </c>
      <c r="G277">
        <v>32</v>
      </c>
      <c r="H277">
        <v>33</v>
      </c>
    </row>
    <row r="278" spans="1:8">
      <c r="A278">
        <v>276</v>
      </c>
      <c r="B278">
        <v>277</v>
      </c>
      <c r="C278">
        <v>0.1061</v>
      </c>
      <c r="D278">
        <v>0.59</v>
      </c>
      <c r="E278">
        <v>0.41789999999999999</v>
      </c>
      <c r="F278">
        <v>1</v>
      </c>
      <c r="G278">
        <v>19</v>
      </c>
      <c r="H278">
        <v>20</v>
      </c>
    </row>
    <row r="279" spans="1:8">
      <c r="A279">
        <v>277</v>
      </c>
      <c r="B279">
        <v>278</v>
      </c>
      <c r="C279">
        <v>0.1212</v>
      </c>
      <c r="D279">
        <v>0.59</v>
      </c>
      <c r="E279">
        <v>0.28360000000000002</v>
      </c>
      <c r="F279">
        <v>1</v>
      </c>
      <c r="G279">
        <v>6</v>
      </c>
      <c r="H279">
        <v>7</v>
      </c>
    </row>
    <row r="280" spans="1:8">
      <c r="A280">
        <v>278</v>
      </c>
      <c r="B280">
        <v>279</v>
      </c>
      <c r="C280">
        <v>0.1212</v>
      </c>
      <c r="D280">
        <v>0.5</v>
      </c>
      <c r="E280">
        <v>0.28360000000000002</v>
      </c>
      <c r="F280">
        <v>0</v>
      </c>
      <c r="G280">
        <v>2</v>
      </c>
      <c r="H280">
        <v>2</v>
      </c>
    </row>
    <row r="281" spans="1:8">
      <c r="A281">
        <v>279</v>
      </c>
      <c r="B281">
        <v>280</v>
      </c>
      <c r="C281">
        <v>0.1212</v>
      </c>
      <c r="D281">
        <v>0.5</v>
      </c>
      <c r="E281">
        <v>0.35820000000000002</v>
      </c>
      <c r="F281">
        <v>0</v>
      </c>
      <c r="G281">
        <v>2</v>
      </c>
      <c r="H281">
        <v>2</v>
      </c>
    </row>
    <row r="282" spans="1:8">
      <c r="A282">
        <v>280</v>
      </c>
      <c r="B282">
        <v>281</v>
      </c>
      <c r="C282">
        <v>0.1212</v>
      </c>
      <c r="D282">
        <v>0.5</v>
      </c>
      <c r="E282">
        <v>0.32840000000000003</v>
      </c>
      <c r="F282">
        <v>0</v>
      </c>
      <c r="G282">
        <v>3</v>
      </c>
      <c r="H282">
        <v>3</v>
      </c>
    </row>
    <row r="283" spans="1:8">
      <c r="A283">
        <v>281</v>
      </c>
      <c r="B283">
        <v>282</v>
      </c>
      <c r="C283">
        <v>0.1212</v>
      </c>
      <c r="D283">
        <v>0.5</v>
      </c>
      <c r="E283">
        <v>0.25369999999999998</v>
      </c>
      <c r="F283">
        <v>0</v>
      </c>
      <c r="G283">
        <v>4</v>
      </c>
      <c r="H283">
        <v>4</v>
      </c>
    </row>
    <row r="284" spans="1:8">
      <c r="A284">
        <v>282</v>
      </c>
      <c r="B284">
        <v>283</v>
      </c>
      <c r="C284">
        <v>0.1212</v>
      </c>
      <c r="D284">
        <v>0.5</v>
      </c>
      <c r="E284">
        <v>0.29849999999999999</v>
      </c>
      <c r="F284">
        <v>0</v>
      </c>
      <c r="G284">
        <v>3</v>
      </c>
      <c r="H284">
        <v>3</v>
      </c>
    </row>
    <row r="285" spans="1:8">
      <c r="A285">
        <v>283</v>
      </c>
      <c r="B285">
        <v>284</v>
      </c>
      <c r="C285">
        <v>0.1515</v>
      </c>
      <c r="D285">
        <v>0.54</v>
      </c>
      <c r="E285">
        <v>0.1343</v>
      </c>
      <c r="F285">
        <v>0</v>
      </c>
      <c r="G285">
        <v>28</v>
      </c>
      <c r="H285">
        <v>28</v>
      </c>
    </row>
    <row r="286" spans="1:8">
      <c r="A286">
        <v>284</v>
      </c>
      <c r="B286">
        <v>285</v>
      </c>
      <c r="C286">
        <v>0.1515</v>
      </c>
      <c r="D286">
        <v>0.54</v>
      </c>
      <c r="E286">
        <v>0.1343</v>
      </c>
      <c r="F286">
        <v>0</v>
      </c>
      <c r="G286">
        <v>72</v>
      </c>
      <c r="H286">
        <v>72</v>
      </c>
    </row>
    <row r="287" spans="1:8">
      <c r="A287">
        <v>285</v>
      </c>
      <c r="B287">
        <v>286</v>
      </c>
      <c r="C287">
        <v>0.13639999999999999</v>
      </c>
      <c r="D287">
        <v>0.5</v>
      </c>
      <c r="E287">
        <v>0.19400000000000001</v>
      </c>
      <c r="F287">
        <v>5</v>
      </c>
      <c r="G287">
        <v>197</v>
      </c>
      <c r="H287">
        <v>202</v>
      </c>
    </row>
    <row r="288" spans="1:8">
      <c r="A288">
        <v>286</v>
      </c>
      <c r="B288">
        <v>287</v>
      </c>
      <c r="C288">
        <v>0.1212</v>
      </c>
      <c r="D288">
        <v>0.5</v>
      </c>
      <c r="E288">
        <v>0.32840000000000003</v>
      </c>
      <c r="F288">
        <v>2</v>
      </c>
      <c r="G288">
        <v>137</v>
      </c>
      <c r="H288">
        <v>139</v>
      </c>
    </row>
    <row r="289" spans="1:8">
      <c r="A289">
        <v>287</v>
      </c>
      <c r="B289">
        <v>288</v>
      </c>
      <c r="C289">
        <v>0.13639999999999999</v>
      </c>
      <c r="D289">
        <v>0.5</v>
      </c>
      <c r="E289">
        <v>0.35820000000000002</v>
      </c>
      <c r="F289">
        <v>2</v>
      </c>
      <c r="G289">
        <v>36</v>
      </c>
      <c r="H289">
        <v>38</v>
      </c>
    </row>
    <row r="290" spans="1:8">
      <c r="A290">
        <v>288</v>
      </c>
      <c r="B290">
        <v>289</v>
      </c>
      <c r="C290">
        <v>0.16669999999999999</v>
      </c>
      <c r="D290">
        <v>0.44</v>
      </c>
      <c r="E290">
        <v>0.44779999999999998</v>
      </c>
      <c r="F290">
        <v>4</v>
      </c>
      <c r="G290">
        <v>33</v>
      </c>
      <c r="H290">
        <v>37</v>
      </c>
    </row>
    <row r="291" spans="1:8">
      <c r="A291">
        <v>289</v>
      </c>
      <c r="B291">
        <v>290</v>
      </c>
      <c r="C291">
        <v>0.16669999999999999</v>
      </c>
      <c r="D291">
        <v>0.44</v>
      </c>
      <c r="E291">
        <v>0.41789999999999999</v>
      </c>
      <c r="F291">
        <v>3</v>
      </c>
      <c r="G291">
        <v>49</v>
      </c>
      <c r="H291">
        <v>52</v>
      </c>
    </row>
    <row r="292" spans="1:8">
      <c r="A292">
        <v>290</v>
      </c>
      <c r="B292">
        <v>291</v>
      </c>
      <c r="C292">
        <v>0.19700000000000001</v>
      </c>
      <c r="D292">
        <v>0.41</v>
      </c>
      <c r="E292">
        <v>0.44779999999999998</v>
      </c>
      <c r="F292">
        <v>2</v>
      </c>
      <c r="G292">
        <v>81</v>
      </c>
      <c r="H292">
        <v>83</v>
      </c>
    </row>
    <row r="293" spans="1:8">
      <c r="A293">
        <v>291</v>
      </c>
      <c r="B293">
        <v>292</v>
      </c>
      <c r="C293">
        <v>0.19700000000000001</v>
      </c>
      <c r="D293">
        <v>0.41</v>
      </c>
      <c r="E293">
        <v>0.3881</v>
      </c>
      <c r="F293">
        <v>3</v>
      </c>
      <c r="G293">
        <v>39</v>
      </c>
      <c r="H293">
        <v>42</v>
      </c>
    </row>
    <row r="294" spans="1:8">
      <c r="A294">
        <v>292</v>
      </c>
      <c r="B294">
        <v>293</v>
      </c>
      <c r="C294">
        <v>0.21210000000000001</v>
      </c>
      <c r="D294">
        <v>0.38</v>
      </c>
      <c r="E294">
        <v>0.29849999999999999</v>
      </c>
      <c r="F294">
        <v>5</v>
      </c>
      <c r="G294">
        <v>55</v>
      </c>
      <c r="H294">
        <v>60</v>
      </c>
    </row>
    <row r="295" spans="1:8">
      <c r="A295">
        <v>293</v>
      </c>
      <c r="B295">
        <v>294</v>
      </c>
      <c r="C295">
        <v>0.21210000000000001</v>
      </c>
      <c r="D295">
        <v>0.38</v>
      </c>
      <c r="E295">
        <v>0.35820000000000002</v>
      </c>
      <c r="F295">
        <v>2</v>
      </c>
      <c r="G295">
        <v>76</v>
      </c>
      <c r="H295">
        <v>78</v>
      </c>
    </row>
    <row r="296" spans="1:8">
      <c r="A296">
        <v>294</v>
      </c>
      <c r="B296">
        <v>295</v>
      </c>
      <c r="C296">
        <v>0.18179999999999999</v>
      </c>
      <c r="D296">
        <v>0.4</v>
      </c>
      <c r="E296">
        <v>0.28360000000000002</v>
      </c>
      <c r="F296">
        <v>4</v>
      </c>
      <c r="G296">
        <v>158</v>
      </c>
      <c r="H296">
        <v>162</v>
      </c>
    </row>
    <row r="297" spans="1:8">
      <c r="A297">
        <v>295</v>
      </c>
      <c r="B297">
        <v>296</v>
      </c>
      <c r="C297">
        <v>0.18179999999999999</v>
      </c>
      <c r="D297">
        <v>0.4</v>
      </c>
      <c r="E297">
        <v>0.32840000000000003</v>
      </c>
      <c r="F297">
        <v>3</v>
      </c>
      <c r="G297">
        <v>141</v>
      </c>
      <c r="H297">
        <v>144</v>
      </c>
    </row>
    <row r="298" spans="1:8">
      <c r="A298">
        <v>296</v>
      </c>
      <c r="B298">
        <v>297</v>
      </c>
      <c r="C298">
        <v>0.1515</v>
      </c>
      <c r="D298">
        <v>0.47</v>
      </c>
      <c r="E298">
        <v>0.25369999999999998</v>
      </c>
      <c r="F298">
        <v>1</v>
      </c>
      <c r="G298">
        <v>98</v>
      </c>
      <c r="H298">
        <v>99</v>
      </c>
    </row>
    <row r="299" spans="1:8">
      <c r="A299">
        <v>297</v>
      </c>
      <c r="B299">
        <v>298</v>
      </c>
      <c r="C299">
        <v>0.1515</v>
      </c>
      <c r="D299">
        <v>0.47</v>
      </c>
      <c r="E299">
        <v>0.22389999999999999</v>
      </c>
      <c r="F299">
        <v>0</v>
      </c>
      <c r="G299">
        <v>64</v>
      </c>
      <c r="H299">
        <v>64</v>
      </c>
    </row>
    <row r="300" spans="1:8">
      <c r="A300">
        <v>298</v>
      </c>
      <c r="B300">
        <v>299</v>
      </c>
      <c r="C300">
        <v>0.1212</v>
      </c>
      <c r="D300">
        <v>0.46</v>
      </c>
      <c r="E300">
        <v>0.29849999999999999</v>
      </c>
      <c r="F300">
        <v>0</v>
      </c>
      <c r="G300">
        <v>40</v>
      </c>
      <c r="H300">
        <v>40</v>
      </c>
    </row>
    <row r="301" spans="1:8">
      <c r="A301">
        <v>299</v>
      </c>
      <c r="B301">
        <v>300</v>
      </c>
      <c r="C301">
        <v>0.1212</v>
      </c>
      <c r="D301">
        <v>0.46</v>
      </c>
      <c r="E301">
        <v>0.32840000000000003</v>
      </c>
      <c r="F301">
        <v>0</v>
      </c>
      <c r="G301">
        <v>30</v>
      </c>
      <c r="H301">
        <v>30</v>
      </c>
    </row>
    <row r="302" spans="1:8">
      <c r="A302">
        <v>300</v>
      </c>
      <c r="B302">
        <v>301</v>
      </c>
      <c r="C302">
        <v>0.13639999999999999</v>
      </c>
      <c r="D302">
        <v>0.5</v>
      </c>
      <c r="E302">
        <v>0.19400000000000001</v>
      </c>
      <c r="F302">
        <v>1</v>
      </c>
      <c r="G302">
        <v>14</v>
      </c>
      <c r="H302">
        <v>15</v>
      </c>
    </row>
    <row r="303" spans="1:8">
      <c r="A303">
        <v>301</v>
      </c>
      <c r="B303">
        <v>302</v>
      </c>
      <c r="C303">
        <v>0.13639999999999999</v>
      </c>
      <c r="D303">
        <v>0.5</v>
      </c>
      <c r="E303">
        <v>0.19400000000000001</v>
      </c>
      <c r="F303">
        <v>0</v>
      </c>
      <c r="G303">
        <v>14</v>
      </c>
      <c r="H303">
        <v>14</v>
      </c>
    </row>
    <row r="304" spans="1:8">
      <c r="A304">
        <v>302</v>
      </c>
      <c r="B304">
        <v>303</v>
      </c>
      <c r="C304">
        <v>0.1212</v>
      </c>
      <c r="D304">
        <v>0.54</v>
      </c>
      <c r="E304">
        <v>0.16420000000000001</v>
      </c>
      <c r="F304">
        <v>0</v>
      </c>
      <c r="G304">
        <v>5</v>
      </c>
      <c r="H304">
        <v>5</v>
      </c>
    </row>
    <row r="305" spans="1:8">
      <c r="A305">
        <v>303</v>
      </c>
      <c r="B305">
        <v>304</v>
      </c>
      <c r="C305">
        <v>0.1212</v>
      </c>
      <c r="D305">
        <v>0.54</v>
      </c>
      <c r="E305">
        <v>0.1343</v>
      </c>
      <c r="F305">
        <v>0</v>
      </c>
      <c r="G305">
        <v>1</v>
      </c>
      <c r="H305">
        <v>1</v>
      </c>
    </row>
    <row r="306" spans="1:8">
      <c r="A306">
        <v>304</v>
      </c>
      <c r="B306">
        <v>305</v>
      </c>
      <c r="C306">
        <v>0.13639999999999999</v>
      </c>
      <c r="D306">
        <v>0.54</v>
      </c>
      <c r="E306">
        <v>0.1045</v>
      </c>
      <c r="F306">
        <v>0</v>
      </c>
      <c r="G306">
        <v>1</v>
      </c>
      <c r="H306">
        <v>1</v>
      </c>
    </row>
    <row r="307" spans="1:8">
      <c r="A307">
        <v>305</v>
      </c>
      <c r="B307">
        <v>306</v>
      </c>
      <c r="C307">
        <v>0.13639999999999999</v>
      </c>
      <c r="D307">
        <v>0.54</v>
      </c>
      <c r="E307">
        <v>8.9599999999999999E-2</v>
      </c>
      <c r="F307">
        <v>0</v>
      </c>
      <c r="G307">
        <v>8</v>
      </c>
      <c r="H307">
        <v>8</v>
      </c>
    </row>
    <row r="308" spans="1:8">
      <c r="A308">
        <v>306</v>
      </c>
      <c r="B308">
        <v>307</v>
      </c>
      <c r="C308">
        <v>0.18179999999999999</v>
      </c>
      <c r="D308">
        <v>0.54</v>
      </c>
      <c r="E308">
        <v>0</v>
      </c>
      <c r="F308">
        <v>0</v>
      </c>
      <c r="G308">
        <v>17</v>
      </c>
      <c r="H308">
        <v>17</v>
      </c>
    </row>
    <row r="309" spans="1:8">
      <c r="A309">
        <v>307</v>
      </c>
      <c r="B309">
        <v>308</v>
      </c>
      <c r="C309">
        <v>0.1212</v>
      </c>
      <c r="D309">
        <v>0.74</v>
      </c>
      <c r="E309">
        <v>0.16420000000000001</v>
      </c>
      <c r="F309">
        <v>0</v>
      </c>
      <c r="G309">
        <v>70</v>
      </c>
      <c r="H309">
        <v>70</v>
      </c>
    </row>
    <row r="310" spans="1:8">
      <c r="A310">
        <v>308</v>
      </c>
      <c r="B310">
        <v>309</v>
      </c>
      <c r="C310">
        <v>0.16669999999999999</v>
      </c>
      <c r="D310">
        <v>0.68</v>
      </c>
      <c r="E310">
        <v>0</v>
      </c>
      <c r="F310">
        <v>2</v>
      </c>
      <c r="G310">
        <v>156</v>
      </c>
      <c r="H310">
        <v>158</v>
      </c>
    </row>
    <row r="311" spans="1:8">
      <c r="A311">
        <v>309</v>
      </c>
      <c r="B311">
        <v>310</v>
      </c>
      <c r="C311">
        <v>0.1515</v>
      </c>
      <c r="D311">
        <v>0.69</v>
      </c>
      <c r="E311">
        <v>0.1343</v>
      </c>
      <c r="F311">
        <v>0</v>
      </c>
      <c r="G311">
        <v>117</v>
      </c>
      <c r="H311">
        <v>117</v>
      </c>
    </row>
    <row r="312" spans="1:8">
      <c r="A312">
        <v>310</v>
      </c>
      <c r="B312">
        <v>311</v>
      </c>
      <c r="C312">
        <v>0.18179999999999999</v>
      </c>
      <c r="D312">
        <v>0.55000000000000004</v>
      </c>
      <c r="E312">
        <v>0.19400000000000001</v>
      </c>
      <c r="F312">
        <v>4</v>
      </c>
      <c r="G312">
        <v>40</v>
      </c>
      <c r="H312">
        <v>44</v>
      </c>
    </row>
    <row r="313" spans="1:8">
      <c r="A313">
        <v>311</v>
      </c>
      <c r="B313">
        <v>312</v>
      </c>
      <c r="C313">
        <v>0.16669999999999999</v>
      </c>
      <c r="D313">
        <v>0.51</v>
      </c>
      <c r="E313">
        <v>0.28360000000000002</v>
      </c>
      <c r="F313">
        <v>6</v>
      </c>
      <c r="G313">
        <v>47</v>
      </c>
      <c r="H313">
        <v>53</v>
      </c>
    </row>
    <row r="314" spans="1:8">
      <c r="A314">
        <v>312</v>
      </c>
      <c r="B314">
        <v>313</v>
      </c>
      <c r="C314">
        <v>0.19700000000000001</v>
      </c>
      <c r="D314">
        <v>0.44</v>
      </c>
      <c r="E314">
        <v>0.25369999999999998</v>
      </c>
      <c r="F314">
        <v>2</v>
      </c>
      <c r="G314">
        <v>59</v>
      </c>
      <c r="H314">
        <v>61</v>
      </c>
    </row>
    <row r="315" spans="1:8">
      <c r="A315">
        <v>313</v>
      </c>
      <c r="B315">
        <v>314</v>
      </c>
      <c r="C315">
        <v>0.19700000000000001</v>
      </c>
      <c r="D315">
        <v>0.37</v>
      </c>
      <c r="E315">
        <v>0.3881</v>
      </c>
      <c r="F315">
        <v>4</v>
      </c>
      <c r="G315">
        <v>73</v>
      </c>
      <c r="H315">
        <v>77</v>
      </c>
    </row>
    <row r="316" spans="1:8">
      <c r="A316">
        <v>314</v>
      </c>
      <c r="B316">
        <v>315</v>
      </c>
      <c r="C316">
        <v>0.21210000000000001</v>
      </c>
      <c r="D316">
        <v>0.41</v>
      </c>
      <c r="E316">
        <v>0.28360000000000002</v>
      </c>
      <c r="F316">
        <v>5</v>
      </c>
      <c r="G316">
        <v>59</v>
      </c>
      <c r="H316">
        <v>64</v>
      </c>
    </row>
    <row r="317" spans="1:8">
      <c r="A317">
        <v>315</v>
      </c>
      <c r="B317">
        <v>316</v>
      </c>
      <c r="C317">
        <v>0.2424</v>
      </c>
      <c r="D317">
        <v>0.38</v>
      </c>
      <c r="E317">
        <v>0.16420000000000001</v>
      </c>
      <c r="F317">
        <v>9</v>
      </c>
      <c r="G317">
        <v>59</v>
      </c>
      <c r="H317">
        <v>68</v>
      </c>
    </row>
    <row r="318" spans="1:8">
      <c r="A318">
        <v>316</v>
      </c>
      <c r="B318">
        <v>317</v>
      </c>
      <c r="C318">
        <v>0.2424</v>
      </c>
      <c r="D318">
        <v>0.41</v>
      </c>
      <c r="E318">
        <v>0.1045</v>
      </c>
      <c r="F318">
        <v>3</v>
      </c>
      <c r="G318">
        <v>87</v>
      </c>
      <c r="H318">
        <v>90</v>
      </c>
    </row>
    <row r="319" spans="1:8">
      <c r="A319">
        <v>317</v>
      </c>
      <c r="B319">
        <v>318</v>
      </c>
      <c r="C319">
        <v>0.2273</v>
      </c>
      <c r="D319">
        <v>0.41</v>
      </c>
      <c r="E319">
        <v>0.16420000000000001</v>
      </c>
      <c r="F319">
        <v>4</v>
      </c>
      <c r="G319">
        <v>155</v>
      </c>
      <c r="H319">
        <v>159</v>
      </c>
    </row>
    <row r="320" spans="1:8">
      <c r="A320">
        <v>318</v>
      </c>
      <c r="B320">
        <v>319</v>
      </c>
      <c r="C320">
        <v>0.2576</v>
      </c>
      <c r="D320">
        <v>0.47</v>
      </c>
      <c r="E320">
        <v>0</v>
      </c>
      <c r="F320">
        <v>5</v>
      </c>
      <c r="G320">
        <v>134</v>
      </c>
      <c r="H320">
        <v>139</v>
      </c>
    </row>
    <row r="321" spans="1:8">
      <c r="A321">
        <v>319</v>
      </c>
      <c r="B321">
        <v>320</v>
      </c>
      <c r="C321">
        <v>0.19700000000000001</v>
      </c>
      <c r="D321">
        <v>0.59</v>
      </c>
      <c r="E321">
        <v>8.9599999999999999E-2</v>
      </c>
      <c r="F321">
        <v>3</v>
      </c>
      <c r="G321">
        <v>89</v>
      </c>
      <c r="H321">
        <v>92</v>
      </c>
    </row>
    <row r="322" spans="1:8">
      <c r="A322">
        <v>320</v>
      </c>
      <c r="B322">
        <v>321</v>
      </c>
      <c r="C322">
        <v>0.2424</v>
      </c>
      <c r="D322">
        <v>0.59</v>
      </c>
      <c r="E322">
        <v>0</v>
      </c>
      <c r="F322">
        <v>0</v>
      </c>
      <c r="G322">
        <v>68</v>
      </c>
      <c r="H322">
        <v>68</v>
      </c>
    </row>
    <row r="323" spans="1:8">
      <c r="A323">
        <v>321</v>
      </c>
      <c r="B323">
        <v>322</v>
      </c>
      <c r="C323">
        <v>0.2273</v>
      </c>
      <c r="D323">
        <v>0.69</v>
      </c>
      <c r="E323">
        <v>0</v>
      </c>
      <c r="F323">
        <v>4</v>
      </c>
      <c r="G323">
        <v>48</v>
      </c>
      <c r="H323">
        <v>52</v>
      </c>
    </row>
    <row r="324" spans="1:8">
      <c r="A324">
        <v>322</v>
      </c>
      <c r="B324">
        <v>323</v>
      </c>
      <c r="C324">
        <v>0.2273</v>
      </c>
      <c r="D324">
        <v>0.69</v>
      </c>
      <c r="E324">
        <v>0</v>
      </c>
      <c r="F324">
        <v>2</v>
      </c>
      <c r="G324">
        <v>34</v>
      </c>
      <c r="H324">
        <v>36</v>
      </c>
    </row>
    <row r="325" spans="1:8">
      <c r="A325">
        <v>323</v>
      </c>
      <c r="B325">
        <v>324</v>
      </c>
      <c r="C325">
        <v>0.2424</v>
      </c>
      <c r="D325">
        <v>0.55000000000000004</v>
      </c>
      <c r="E325">
        <v>0</v>
      </c>
      <c r="F325">
        <v>1</v>
      </c>
      <c r="G325">
        <v>26</v>
      </c>
      <c r="H325">
        <v>27</v>
      </c>
    </row>
    <row r="326" spans="1:8">
      <c r="A326">
        <v>324</v>
      </c>
      <c r="B326">
        <v>325</v>
      </c>
      <c r="C326">
        <v>0.2424</v>
      </c>
      <c r="D326">
        <v>0.55000000000000004</v>
      </c>
      <c r="E326">
        <v>0</v>
      </c>
      <c r="F326">
        <v>3</v>
      </c>
      <c r="G326">
        <v>25</v>
      </c>
      <c r="H326">
        <v>28</v>
      </c>
    </row>
    <row r="327" spans="1:8">
      <c r="A327">
        <v>325</v>
      </c>
      <c r="B327">
        <v>326</v>
      </c>
      <c r="C327">
        <v>0.19700000000000001</v>
      </c>
      <c r="D327">
        <v>0.59</v>
      </c>
      <c r="E327">
        <v>8.9599999999999999E-2</v>
      </c>
      <c r="F327">
        <v>2</v>
      </c>
      <c r="G327">
        <v>18</v>
      </c>
      <c r="H327">
        <v>20</v>
      </c>
    </row>
    <row r="328" spans="1:8">
      <c r="A328">
        <v>326</v>
      </c>
      <c r="B328">
        <v>327</v>
      </c>
      <c r="C328">
        <v>0.19700000000000001</v>
      </c>
      <c r="D328">
        <v>0.59</v>
      </c>
      <c r="E328">
        <v>8.9599999999999999E-2</v>
      </c>
      <c r="F328">
        <v>0</v>
      </c>
      <c r="G328">
        <v>12</v>
      </c>
      <c r="H328">
        <v>12</v>
      </c>
    </row>
    <row r="329" spans="1:8">
      <c r="A329">
        <v>327</v>
      </c>
      <c r="B329">
        <v>328</v>
      </c>
      <c r="C329">
        <v>0.2273</v>
      </c>
      <c r="D329">
        <v>0.59</v>
      </c>
      <c r="E329">
        <v>0</v>
      </c>
      <c r="F329">
        <v>1</v>
      </c>
      <c r="G329">
        <v>7</v>
      </c>
      <c r="H329">
        <v>8</v>
      </c>
    </row>
    <row r="330" spans="1:8">
      <c r="A330">
        <v>328</v>
      </c>
      <c r="B330">
        <v>329</v>
      </c>
      <c r="C330">
        <v>0.2273</v>
      </c>
      <c r="D330">
        <v>0.59</v>
      </c>
      <c r="E330">
        <v>0</v>
      </c>
      <c r="F330">
        <v>0</v>
      </c>
      <c r="G330">
        <v>5</v>
      </c>
      <c r="H330">
        <v>5</v>
      </c>
    </row>
    <row r="331" spans="1:8">
      <c r="A331">
        <v>329</v>
      </c>
      <c r="B331">
        <v>330</v>
      </c>
      <c r="C331">
        <v>0.2273</v>
      </c>
      <c r="D331">
        <v>0.59</v>
      </c>
      <c r="E331">
        <v>0</v>
      </c>
      <c r="F331">
        <v>0</v>
      </c>
      <c r="G331">
        <v>1</v>
      </c>
      <c r="H331">
        <v>1</v>
      </c>
    </row>
    <row r="332" spans="1:8">
      <c r="A332">
        <v>330</v>
      </c>
      <c r="B332">
        <v>331</v>
      </c>
      <c r="C332">
        <v>0.16669999999999999</v>
      </c>
      <c r="D332">
        <v>0.63</v>
      </c>
      <c r="E332">
        <v>0.1045</v>
      </c>
      <c r="F332">
        <v>1</v>
      </c>
      <c r="G332">
        <v>2</v>
      </c>
      <c r="H332">
        <v>3</v>
      </c>
    </row>
    <row r="333" spans="1:8">
      <c r="A333">
        <v>331</v>
      </c>
      <c r="B333">
        <v>332</v>
      </c>
      <c r="C333">
        <v>0.21210000000000001</v>
      </c>
      <c r="D333">
        <v>0.63</v>
      </c>
      <c r="E333">
        <v>0</v>
      </c>
      <c r="F333">
        <v>1</v>
      </c>
      <c r="G333">
        <v>9</v>
      </c>
      <c r="H333">
        <v>10</v>
      </c>
    </row>
    <row r="334" spans="1:8">
      <c r="A334">
        <v>332</v>
      </c>
      <c r="B334">
        <v>333</v>
      </c>
      <c r="C334">
        <v>0.1515</v>
      </c>
      <c r="D334">
        <v>0.63</v>
      </c>
      <c r="E334">
        <v>0.1343</v>
      </c>
      <c r="F334">
        <v>1</v>
      </c>
      <c r="G334">
        <v>22</v>
      </c>
      <c r="H334">
        <v>23</v>
      </c>
    </row>
    <row r="335" spans="1:8">
      <c r="A335">
        <v>333</v>
      </c>
      <c r="B335">
        <v>334</v>
      </c>
      <c r="C335">
        <v>0.18179999999999999</v>
      </c>
      <c r="D335">
        <v>0.64</v>
      </c>
      <c r="E335">
        <v>0.1343</v>
      </c>
      <c r="F335">
        <v>2</v>
      </c>
      <c r="G335">
        <v>31</v>
      </c>
      <c r="H335">
        <v>33</v>
      </c>
    </row>
    <row r="336" spans="1:8">
      <c r="A336">
        <v>334</v>
      </c>
      <c r="B336">
        <v>335</v>
      </c>
      <c r="C336">
        <v>0.19700000000000001</v>
      </c>
      <c r="D336">
        <v>0.59</v>
      </c>
      <c r="E336">
        <v>0.16420000000000001</v>
      </c>
      <c r="F336">
        <v>2</v>
      </c>
      <c r="G336">
        <v>57</v>
      </c>
      <c r="H336">
        <v>59</v>
      </c>
    </row>
    <row r="337" spans="1:8">
      <c r="A337">
        <v>335</v>
      </c>
      <c r="B337">
        <v>336</v>
      </c>
      <c r="C337">
        <v>0.19700000000000001</v>
      </c>
      <c r="D337">
        <v>0.55000000000000004</v>
      </c>
      <c r="E337">
        <v>0.22389999999999999</v>
      </c>
      <c r="F337">
        <v>18</v>
      </c>
      <c r="G337">
        <v>54</v>
      </c>
      <c r="H337">
        <v>72</v>
      </c>
    </row>
    <row r="338" spans="1:8">
      <c r="A338">
        <v>336</v>
      </c>
      <c r="B338">
        <v>337</v>
      </c>
      <c r="C338">
        <v>0.2273</v>
      </c>
      <c r="D338">
        <v>0.48</v>
      </c>
      <c r="E338">
        <v>0.22389999999999999</v>
      </c>
      <c r="F338">
        <v>15</v>
      </c>
      <c r="G338">
        <v>74</v>
      </c>
      <c r="H338">
        <v>89</v>
      </c>
    </row>
    <row r="339" spans="1:8">
      <c r="A339">
        <v>337</v>
      </c>
      <c r="B339">
        <v>338</v>
      </c>
      <c r="C339">
        <v>0.2576</v>
      </c>
      <c r="D339">
        <v>0.38</v>
      </c>
      <c r="E339">
        <v>0.29849999999999999</v>
      </c>
      <c r="F339">
        <v>21</v>
      </c>
      <c r="G339">
        <v>80</v>
      </c>
      <c r="H339">
        <v>101</v>
      </c>
    </row>
    <row r="340" spans="1:8">
      <c r="A340">
        <v>338</v>
      </c>
      <c r="B340">
        <v>339</v>
      </c>
      <c r="C340">
        <v>0.28789999999999999</v>
      </c>
      <c r="D340">
        <v>0.39</v>
      </c>
      <c r="E340">
        <v>0.28360000000000002</v>
      </c>
      <c r="F340">
        <v>26</v>
      </c>
      <c r="G340">
        <v>92</v>
      </c>
      <c r="H340">
        <v>118</v>
      </c>
    </row>
    <row r="341" spans="1:8">
      <c r="A341">
        <v>339</v>
      </c>
      <c r="B341">
        <v>340</v>
      </c>
      <c r="C341">
        <v>0.31819999999999998</v>
      </c>
      <c r="D341">
        <v>0.36</v>
      </c>
      <c r="E341">
        <v>0.19400000000000001</v>
      </c>
      <c r="F341">
        <v>21</v>
      </c>
      <c r="G341">
        <v>108</v>
      </c>
      <c r="H341">
        <v>129</v>
      </c>
    </row>
    <row r="342" spans="1:8">
      <c r="A342">
        <v>340</v>
      </c>
      <c r="B342">
        <v>341</v>
      </c>
      <c r="C342">
        <v>0.33329999999999999</v>
      </c>
      <c r="D342">
        <v>0.34</v>
      </c>
      <c r="E342">
        <v>0.19400000000000001</v>
      </c>
      <c r="F342">
        <v>33</v>
      </c>
      <c r="G342">
        <v>95</v>
      </c>
      <c r="H342">
        <v>128</v>
      </c>
    </row>
    <row r="343" spans="1:8">
      <c r="A343">
        <v>341</v>
      </c>
      <c r="B343">
        <v>342</v>
      </c>
      <c r="C343">
        <v>0.30299999999999999</v>
      </c>
      <c r="D343">
        <v>0.36</v>
      </c>
      <c r="E343">
        <v>0.28360000000000002</v>
      </c>
      <c r="F343">
        <v>29</v>
      </c>
      <c r="G343">
        <v>54</v>
      </c>
      <c r="H343">
        <v>83</v>
      </c>
    </row>
    <row r="344" spans="1:8">
      <c r="A344">
        <v>342</v>
      </c>
      <c r="B344">
        <v>343</v>
      </c>
      <c r="C344">
        <v>0.28789999999999999</v>
      </c>
      <c r="D344">
        <v>0.45</v>
      </c>
      <c r="E344">
        <v>0.25369999999999998</v>
      </c>
      <c r="F344">
        <v>15</v>
      </c>
      <c r="G344">
        <v>69</v>
      </c>
      <c r="H344">
        <v>84</v>
      </c>
    </row>
    <row r="345" spans="1:8">
      <c r="A345">
        <v>343</v>
      </c>
      <c r="B345">
        <v>344</v>
      </c>
      <c r="C345">
        <v>0.30299999999999999</v>
      </c>
      <c r="D345">
        <v>0.39</v>
      </c>
      <c r="E345">
        <v>0.25369999999999998</v>
      </c>
      <c r="F345">
        <v>14</v>
      </c>
      <c r="G345">
        <v>60</v>
      </c>
      <c r="H345">
        <v>74</v>
      </c>
    </row>
    <row r="346" spans="1:8">
      <c r="A346">
        <v>344</v>
      </c>
      <c r="B346">
        <v>345</v>
      </c>
      <c r="C346">
        <v>0.30299999999999999</v>
      </c>
      <c r="D346">
        <v>0.39</v>
      </c>
      <c r="E346">
        <v>0.25369999999999998</v>
      </c>
      <c r="F346">
        <v>6</v>
      </c>
      <c r="G346">
        <v>35</v>
      </c>
      <c r="H346">
        <v>41</v>
      </c>
    </row>
    <row r="347" spans="1:8">
      <c r="A347">
        <v>345</v>
      </c>
      <c r="B347">
        <v>346</v>
      </c>
      <c r="C347">
        <v>0.30299999999999999</v>
      </c>
      <c r="D347">
        <v>0.39</v>
      </c>
      <c r="E347">
        <v>0.22389999999999999</v>
      </c>
      <c r="F347">
        <v>6</v>
      </c>
      <c r="G347">
        <v>51</v>
      </c>
      <c r="H347">
        <v>57</v>
      </c>
    </row>
    <row r="348" spans="1:8">
      <c r="A348">
        <v>346</v>
      </c>
      <c r="B348">
        <v>347</v>
      </c>
      <c r="C348">
        <v>0.31819999999999998</v>
      </c>
      <c r="D348">
        <v>0.42</v>
      </c>
      <c r="E348">
        <v>0.1045</v>
      </c>
      <c r="F348">
        <v>0</v>
      </c>
      <c r="G348">
        <v>26</v>
      </c>
      <c r="H348">
        <v>26</v>
      </c>
    </row>
    <row r="349" spans="1:8">
      <c r="A349">
        <v>347</v>
      </c>
      <c r="B349">
        <v>348</v>
      </c>
      <c r="C349">
        <v>0.28789999999999999</v>
      </c>
      <c r="D349">
        <v>0.45</v>
      </c>
      <c r="E349">
        <v>0.28360000000000002</v>
      </c>
      <c r="F349">
        <v>5</v>
      </c>
      <c r="G349">
        <v>39</v>
      </c>
      <c r="H349">
        <v>44</v>
      </c>
    </row>
    <row r="350" spans="1:8">
      <c r="A350">
        <v>348</v>
      </c>
      <c r="B350">
        <v>349</v>
      </c>
      <c r="C350">
        <v>0.30299999999999999</v>
      </c>
      <c r="D350">
        <v>0.56000000000000005</v>
      </c>
      <c r="E350">
        <v>0</v>
      </c>
      <c r="F350">
        <v>6</v>
      </c>
      <c r="G350">
        <v>33</v>
      </c>
      <c r="H350">
        <v>39</v>
      </c>
    </row>
    <row r="351" spans="1:8">
      <c r="A351">
        <v>349</v>
      </c>
      <c r="B351">
        <v>350</v>
      </c>
      <c r="C351">
        <v>0.2727</v>
      </c>
      <c r="D351">
        <v>0.56000000000000005</v>
      </c>
      <c r="E351">
        <v>0.1343</v>
      </c>
      <c r="F351">
        <v>4</v>
      </c>
      <c r="G351">
        <v>19</v>
      </c>
      <c r="H351">
        <v>23</v>
      </c>
    </row>
    <row r="352" spans="1:8">
      <c r="A352">
        <v>350</v>
      </c>
      <c r="B352">
        <v>351</v>
      </c>
      <c r="C352">
        <v>0.28789999999999999</v>
      </c>
      <c r="D352">
        <v>0.56000000000000005</v>
      </c>
      <c r="E352">
        <v>8.9599999999999999E-2</v>
      </c>
      <c r="F352">
        <v>3</v>
      </c>
      <c r="G352">
        <v>13</v>
      </c>
      <c r="H352">
        <v>16</v>
      </c>
    </row>
    <row r="353" spans="1:8">
      <c r="A353">
        <v>351</v>
      </c>
      <c r="B353">
        <v>352</v>
      </c>
      <c r="C353">
        <v>0.2727</v>
      </c>
      <c r="D353">
        <v>0.69</v>
      </c>
      <c r="E353">
        <v>0</v>
      </c>
      <c r="F353">
        <v>9</v>
      </c>
      <c r="G353">
        <v>6</v>
      </c>
      <c r="H353">
        <v>15</v>
      </c>
    </row>
    <row r="354" spans="1:8">
      <c r="A354">
        <v>352</v>
      </c>
      <c r="B354">
        <v>353</v>
      </c>
      <c r="C354">
        <v>0.2576</v>
      </c>
      <c r="D354">
        <v>0.56000000000000005</v>
      </c>
      <c r="E354">
        <v>0.16420000000000001</v>
      </c>
      <c r="F354">
        <v>0</v>
      </c>
      <c r="G354">
        <v>1</v>
      </c>
      <c r="H354">
        <v>1</v>
      </c>
    </row>
    <row r="355" spans="1:8">
      <c r="A355">
        <v>353</v>
      </c>
      <c r="B355">
        <v>354</v>
      </c>
      <c r="C355">
        <v>0.2576</v>
      </c>
      <c r="D355">
        <v>0.56000000000000005</v>
      </c>
      <c r="E355">
        <v>0.16420000000000001</v>
      </c>
      <c r="F355">
        <v>1</v>
      </c>
      <c r="G355">
        <v>1</v>
      </c>
      <c r="H355">
        <v>2</v>
      </c>
    </row>
    <row r="356" spans="1:8">
      <c r="A356">
        <v>354</v>
      </c>
      <c r="B356">
        <v>355</v>
      </c>
      <c r="C356">
        <v>0.2576</v>
      </c>
      <c r="D356">
        <v>0.56000000000000005</v>
      </c>
      <c r="E356">
        <v>0.16420000000000001</v>
      </c>
      <c r="F356">
        <v>0</v>
      </c>
      <c r="G356">
        <v>1</v>
      </c>
      <c r="H356">
        <v>1</v>
      </c>
    </row>
    <row r="357" spans="1:8">
      <c r="A357">
        <v>355</v>
      </c>
      <c r="B357">
        <v>356</v>
      </c>
      <c r="C357">
        <v>0.21210000000000001</v>
      </c>
      <c r="D357">
        <v>0.56000000000000005</v>
      </c>
      <c r="E357">
        <v>0.29849999999999999</v>
      </c>
      <c r="F357">
        <v>0</v>
      </c>
      <c r="G357">
        <v>3</v>
      </c>
      <c r="H357">
        <v>3</v>
      </c>
    </row>
    <row r="358" spans="1:8">
      <c r="A358">
        <v>356</v>
      </c>
      <c r="B358">
        <v>357</v>
      </c>
      <c r="C358">
        <v>0.21210000000000001</v>
      </c>
      <c r="D358">
        <v>0.55000000000000004</v>
      </c>
      <c r="E358">
        <v>0.28360000000000002</v>
      </c>
      <c r="F358">
        <v>0</v>
      </c>
      <c r="G358">
        <v>18</v>
      </c>
      <c r="H358">
        <v>18</v>
      </c>
    </row>
    <row r="359" spans="1:8">
      <c r="A359">
        <v>357</v>
      </c>
      <c r="B359">
        <v>358</v>
      </c>
      <c r="C359">
        <v>0.21210000000000001</v>
      </c>
      <c r="D359">
        <v>0.51</v>
      </c>
      <c r="E359">
        <v>0.25369999999999998</v>
      </c>
      <c r="F359">
        <v>3</v>
      </c>
      <c r="G359">
        <v>29</v>
      </c>
      <c r="H359">
        <v>32</v>
      </c>
    </row>
    <row r="360" spans="1:8">
      <c r="A360">
        <v>358</v>
      </c>
      <c r="B360">
        <v>359</v>
      </c>
      <c r="C360">
        <v>0.21210000000000001</v>
      </c>
      <c r="D360">
        <v>0.51</v>
      </c>
      <c r="E360">
        <v>0.28360000000000002</v>
      </c>
      <c r="F360">
        <v>8</v>
      </c>
      <c r="G360">
        <v>71</v>
      </c>
      <c r="H360">
        <v>79</v>
      </c>
    </row>
    <row r="361" spans="1:8">
      <c r="A361">
        <v>359</v>
      </c>
      <c r="B361">
        <v>360</v>
      </c>
      <c r="C361">
        <v>0.2273</v>
      </c>
      <c r="D361">
        <v>0.44</v>
      </c>
      <c r="E361">
        <v>0.25369999999999998</v>
      </c>
      <c r="F361">
        <v>23</v>
      </c>
      <c r="G361">
        <v>70</v>
      </c>
      <c r="H361">
        <v>93</v>
      </c>
    </row>
    <row r="362" spans="1:8">
      <c r="A362">
        <v>360</v>
      </c>
      <c r="B362">
        <v>361</v>
      </c>
      <c r="C362">
        <v>0.21210000000000001</v>
      </c>
      <c r="D362">
        <v>0.41</v>
      </c>
      <c r="E362">
        <v>0.28360000000000002</v>
      </c>
      <c r="F362">
        <v>29</v>
      </c>
      <c r="G362">
        <v>75</v>
      </c>
      <c r="H362">
        <v>104</v>
      </c>
    </row>
    <row r="363" spans="1:8">
      <c r="A363">
        <v>361</v>
      </c>
      <c r="B363">
        <v>362</v>
      </c>
      <c r="C363">
        <v>0.2273</v>
      </c>
      <c r="D363">
        <v>0.35</v>
      </c>
      <c r="E363">
        <v>0.29849999999999999</v>
      </c>
      <c r="F363">
        <v>23</v>
      </c>
      <c r="G363">
        <v>95</v>
      </c>
      <c r="H363">
        <v>118</v>
      </c>
    </row>
    <row r="364" spans="1:8">
      <c r="A364">
        <v>362</v>
      </c>
      <c r="B364">
        <v>363</v>
      </c>
      <c r="C364">
        <v>0.2727</v>
      </c>
      <c r="D364">
        <v>0.36</v>
      </c>
      <c r="E364">
        <v>0.25369999999999998</v>
      </c>
      <c r="F364">
        <v>22</v>
      </c>
      <c r="G364">
        <v>69</v>
      </c>
      <c r="H364">
        <v>91</v>
      </c>
    </row>
    <row r="365" spans="1:8">
      <c r="A365">
        <v>363</v>
      </c>
      <c r="B365">
        <v>364</v>
      </c>
      <c r="C365">
        <v>0.2424</v>
      </c>
      <c r="D365">
        <v>0.38</v>
      </c>
      <c r="E365">
        <v>0.25369999999999998</v>
      </c>
      <c r="F365">
        <v>35</v>
      </c>
      <c r="G365">
        <v>78</v>
      </c>
      <c r="H365">
        <v>113</v>
      </c>
    </row>
    <row r="366" spans="1:8">
      <c r="A366">
        <v>364</v>
      </c>
      <c r="B366">
        <v>365</v>
      </c>
      <c r="C366">
        <v>0.2273</v>
      </c>
      <c r="D366">
        <v>0.38</v>
      </c>
      <c r="E366">
        <v>0.22389999999999999</v>
      </c>
      <c r="F366">
        <v>22</v>
      </c>
      <c r="G366">
        <v>77</v>
      </c>
      <c r="H366">
        <v>99</v>
      </c>
    </row>
    <row r="367" spans="1:8">
      <c r="A367">
        <v>365</v>
      </c>
      <c r="B367">
        <v>366</v>
      </c>
      <c r="C367">
        <v>0.21210000000000001</v>
      </c>
      <c r="D367">
        <v>0.37</v>
      </c>
      <c r="E367">
        <v>0.25369999999999998</v>
      </c>
      <c r="F367">
        <v>23</v>
      </c>
      <c r="G367">
        <v>82</v>
      </c>
      <c r="H367">
        <v>105</v>
      </c>
    </row>
    <row r="368" spans="1:8">
      <c r="A368">
        <v>366</v>
      </c>
      <c r="B368">
        <v>367</v>
      </c>
      <c r="C368">
        <v>0.21210000000000001</v>
      </c>
      <c r="D368">
        <v>0.4</v>
      </c>
      <c r="E368">
        <v>0.16420000000000001</v>
      </c>
      <c r="F368">
        <v>11</v>
      </c>
      <c r="G368">
        <v>56</v>
      </c>
      <c r="H368">
        <v>67</v>
      </c>
    </row>
    <row r="369" spans="1:8">
      <c r="A369">
        <v>367</v>
      </c>
      <c r="B369">
        <v>368</v>
      </c>
      <c r="C369">
        <v>0.19700000000000001</v>
      </c>
      <c r="D369">
        <v>0.47</v>
      </c>
      <c r="E369">
        <v>0.1343</v>
      </c>
      <c r="F369">
        <v>14</v>
      </c>
      <c r="G369">
        <v>47</v>
      </c>
      <c r="H369">
        <v>61</v>
      </c>
    </row>
    <row r="370" spans="1:8">
      <c r="A370">
        <v>368</v>
      </c>
      <c r="B370">
        <v>369</v>
      </c>
      <c r="C370">
        <v>0.19700000000000001</v>
      </c>
      <c r="D370">
        <v>0.47</v>
      </c>
      <c r="E370">
        <v>0.16420000000000001</v>
      </c>
      <c r="F370">
        <v>7</v>
      </c>
      <c r="G370">
        <v>50</v>
      </c>
      <c r="H370">
        <v>57</v>
      </c>
    </row>
    <row r="371" spans="1:8">
      <c r="A371">
        <v>369</v>
      </c>
      <c r="B371">
        <v>370</v>
      </c>
      <c r="C371">
        <v>0.19700000000000001</v>
      </c>
      <c r="D371">
        <v>0.51</v>
      </c>
      <c r="E371">
        <v>0.16420000000000001</v>
      </c>
      <c r="F371">
        <v>6</v>
      </c>
      <c r="G371">
        <v>22</v>
      </c>
      <c r="H371">
        <v>28</v>
      </c>
    </row>
    <row r="372" spans="1:8">
      <c r="A372">
        <v>370</v>
      </c>
      <c r="B372">
        <v>371</v>
      </c>
      <c r="C372">
        <v>0.21210000000000001</v>
      </c>
      <c r="D372">
        <v>0.49</v>
      </c>
      <c r="E372">
        <v>0.1343</v>
      </c>
      <c r="F372">
        <v>2</v>
      </c>
      <c r="G372">
        <v>19</v>
      </c>
      <c r="H372">
        <v>21</v>
      </c>
    </row>
    <row r="373" spans="1:8">
      <c r="A373">
        <v>371</v>
      </c>
      <c r="B373">
        <v>372</v>
      </c>
      <c r="C373">
        <v>0.2273</v>
      </c>
      <c r="D373">
        <v>0.4</v>
      </c>
      <c r="E373">
        <v>0.1045</v>
      </c>
      <c r="F373">
        <v>0</v>
      </c>
      <c r="G373">
        <v>18</v>
      </c>
      <c r="H373">
        <v>18</v>
      </c>
    </row>
    <row r="374" spans="1:8">
      <c r="A374">
        <v>372</v>
      </c>
      <c r="B374">
        <v>373</v>
      </c>
      <c r="C374">
        <v>0.19700000000000001</v>
      </c>
      <c r="D374">
        <v>0.47</v>
      </c>
      <c r="E374">
        <v>0.22389999999999999</v>
      </c>
      <c r="F374">
        <v>1</v>
      </c>
      <c r="G374">
        <v>16</v>
      </c>
      <c r="H374">
        <v>17</v>
      </c>
    </row>
    <row r="375" spans="1:8">
      <c r="A375">
        <v>373</v>
      </c>
      <c r="B375">
        <v>374</v>
      </c>
      <c r="C375">
        <v>0.19700000000000001</v>
      </c>
      <c r="D375">
        <v>0.44</v>
      </c>
      <c r="E375">
        <v>0.19400000000000001</v>
      </c>
      <c r="F375">
        <v>1</v>
      </c>
      <c r="G375">
        <v>15</v>
      </c>
      <c r="H375">
        <v>16</v>
      </c>
    </row>
    <row r="376" spans="1:8">
      <c r="A376">
        <v>374</v>
      </c>
      <c r="B376">
        <v>375</v>
      </c>
      <c r="C376">
        <v>0.16669999999999999</v>
      </c>
      <c r="D376">
        <v>0.43</v>
      </c>
      <c r="E376">
        <v>0.25369999999999998</v>
      </c>
      <c r="F376">
        <v>0</v>
      </c>
      <c r="G376">
        <v>8</v>
      </c>
      <c r="H376">
        <v>8</v>
      </c>
    </row>
    <row r="377" spans="1:8">
      <c r="A377">
        <v>375</v>
      </c>
      <c r="B377">
        <v>376</v>
      </c>
      <c r="C377">
        <v>0.18179999999999999</v>
      </c>
      <c r="D377">
        <v>0.43</v>
      </c>
      <c r="E377">
        <v>0.19400000000000001</v>
      </c>
      <c r="F377">
        <v>0</v>
      </c>
      <c r="G377">
        <v>2</v>
      </c>
      <c r="H377">
        <v>2</v>
      </c>
    </row>
    <row r="378" spans="1:8">
      <c r="A378">
        <v>376</v>
      </c>
      <c r="B378">
        <v>377</v>
      </c>
      <c r="C378">
        <v>0.19700000000000001</v>
      </c>
      <c r="D378">
        <v>0.43</v>
      </c>
      <c r="E378">
        <v>0.1343</v>
      </c>
      <c r="F378">
        <v>1</v>
      </c>
      <c r="G378">
        <v>2</v>
      </c>
      <c r="H378">
        <v>3</v>
      </c>
    </row>
    <row r="379" spans="1:8">
      <c r="A379">
        <v>377</v>
      </c>
      <c r="B379">
        <v>378</v>
      </c>
      <c r="C379">
        <v>0.19700000000000001</v>
      </c>
      <c r="D379">
        <v>0.43</v>
      </c>
      <c r="E379">
        <v>0.16420000000000001</v>
      </c>
      <c r="F379">
        <v>0</v>
      </c>
      <c r="G379">
        <v>1</v>
      </c>
      <c r="H379">
        <v>1</v>
      </c>
    </row>
    <row r="380" spans="1:8">
      <c r="A380">
        <v>378</v>
      </c>
      <c r="B380">
        <v>379</v>
      </c>
      <c r="C380">
        <v>0.18179999999999999</v>
      </c>
      <c r="D380">
        <v>0.43</v>
      </c>
      <c r="E380">
        <v>0.19400000000000001</v>
      </c>
      <c r="F380">
        <v>0</v>
      </c>
      <c r="G380">
        <v>5</v>
      </c>
      <c r="H380">
        <v>5</v>
      </c>
    </row>
    <row r="381" spans="1:8">
      <c r="A381">
        <v>379</v>
      </c>
      <c r="B381">
        <v>380</v>
      </c>
      <c r="C381">
        <v>0.18179999999999999</v>
      </c>
      <c r="D381">
        <v>0.5</v>
      </c>
      <c r="E381">
        <v>0.1343</v>
      </c>
      <c r="F381">
        <v>4</v>
      </c>
      <c r="G381">
        <v>9</v>
      </c>
      <c r="H381">
        <v>13</v>
      </c>
    </row>
    <row r="382" spans="1:8">
      <c r="A382">
        <v>380</v>
      </c>
      <c r="B382">
        <v>381</v>
      </c>
      <c r="C382">
        <v>0.1515</v>
      </c>
      <c r="D382">
        <v>0.47</v>
      </c>
      <c r="E382">
        <v>0.22389999999999999</v>
      </c>
      <c r="F382">
        <v>3</v>
      </c>
      <c r="G382">
        <v>30</v>
      </c>
      <c r="H382">
        <v>33</v>
      </c>
    </row>
    <row r="383" spans="1:8">
      <c r="A383">
        <v>381</v>
      </c>
      <c r="B383">
        <v>382</v>
      </c>
      <c r="C383">
        <v>0.1515</v>
      </c>
      <c r="D383">
        <v>0.47</v>
      </c>
      <c r="E383">
        <v>0.22389999999999999</v>
      </c>
      <c r="F383">
        <v>8</v>
      </c>
      <c r="G383">
        <v>39</v>
      </c>
      <c r="H383">
        <v>47</v>
      </c>
    </row>
    <row r="384" spans="1:8">
      <c r="A384">
        <v>382</v>
      </c>
      <c r="B384">
        <v>383</v>
      </c>
      <c r="C384">
        <v>0.1515</v>
      </c>
      <c r="D384">
        <v>0.5</v>
      </c>
      <c r="E384">
        <v>0.25369999999999998</v>
      </c>
      <c r="F384">
        <v>7</v>
      </c>
      <c r="G384">
        <v>50</v>
      </c>
      <c r="H384">
        <v>57</v>
      </c>
    </row>
    <row r="385" spans="1:8">
      <c r="A385">
        <v>383</v>
      </c>
      <c r="B385">
        <v>384</v>
      </c>
      <c r="C385">
        <v>0.1515</v>
      </c>
      <c r="D385">
        <v>0.55000000000000004</v>
      </c>
      <c r="E385">
        <v>0.19400000000000001</v>
      </c>
      <c r="F385">
        <v>9</v>
      </c>
      <c r="G385">
        <v>55</v>
      </c>
      <c r="H385">
        <v>64</v>
      </c>
    </row>
    <row r="386" spans="1:8">
      <c r="A386">
        <v>384</v>
      </c>
      <c r="B386">
        <v>385</v>
      </c>
      <c r="C386">
        <v>0.19700000000000001</v>
      </c>
      <c r="D386">
        <v>0.47</v>
      </c>
      <c r="E386">
        <v>0.1343</v>
      </c>
      <c r="F386">
        <v>10</v>
      </c>
      <c r="G386">
        <v>70</v>
      </c>
      <c r="H386">
        <v>80</v>
      </c>
    </row>
    <row r="387" spans="1:8">
      <c r="A387">
        <v>385</v>
      </c>
      <c r="B387">
        <v>386</v>
      </c>
      <c r="C387">
        <v>0.19700000000000001</v>
      </c>
      <c r="D387">
        <v>0.47</v>
      </c>
      <c r="E387">
        <v>0.1343</v>
      </c>
      <c r="F387">
        <v>13</v>
      </c>
      <c r="G387">
        <v>80</v>
      </c>
      <c r="H387">
        <v>93</v>
      </c>
    </row>
    <row r="388" spans="1:8">
      <c r="A388">
        <v>386</v>
      </c>
      <c r="B388">
        <v>387</v>
      </c>
      <c r="C388">
        <v>0.21210000000000001</v>
      </c>
      <c r="D388">
        <v>0.43</v>
      </c>
      <c r="E388">
        <v>0.1045</v>
      </c>
      <c r="F388">
        <v>12</v>
      </c>
      <c r="G388">
        <v>74</v>
      </c>
      <c r="H388">
        <v>86</v>
      </c>
    </row>
    <row r="389" spans="1:8">
      <c r="A389">
        <v>387</v>
      </c>
      <c r="B389">
        <v>388</v>
      </c>
      <c r="C389">
        <v>0.21210000000000001</v>
      </c>
      <c r="D389">
        <v>0.47</v>
      </c>
      <c r="E389">
        <v>0.16420000000000001</v>
      </c>
      <c r="F389">
        <v>21</v>
      </c>
      <c r="G389">
        <v>72</v>
      </c>
      <c r="H389">
        <v>93</v>
      </c>
    </row>
    <row r="390" spans="1:8">
      <c r="A390">
        <v>388</v>
      </c>
      <c r="B390">
        <v>389</v>
      </c>
      <c r="C390">
        <v>0.21210000000000001</v>
      </c>
      <c r="D390">
        <v>0.47</v>
      </c>
      <c r="E390">
        <v>0.16420000000000001</v>
      </c>
      <c r="F390">
        <v>6</v>
      </c>
      <c r="G390">
        <v>76</v>
      </c>
      <c r="H390">
        <v>82</v>
      </c>
    </row>
    <row r="391" spans="1:8">
      <c r="A391">
        <v>389</v>
      </c>
      <c r="B391">
        <v>390</v>
      </c>
      <c r="C391">
        <v>0.19700000000000001</v>
      </c>
      <c r="D391">
        <v>0.51</v>
      </c>
      <c r="E391">
        <v>0.19400000000000001</v>
      </c>
      <c r="F391">
        <v>4</v>
      </c>
      <c r="G391">
        <v>67</v>
      </c>
      <c r="H391">
        <v>71</v>
      </c>
    </row>
    <row r="392" spans="1:8">
      <c r="A392">
        <v>390</v>
      </c>
      <c r="B392">
        <v>391</v>
      </c>
      <c r="C392">
        <v>0.16669999999999999</v>
      </c>
      <c r="D392">
        <v>0.55000000000000004</v>
      </c>
      <c r="E392">
        <v>0.25369999999999998</v>
      </c>
      <c r="F392">
        <v>7</v>
      </c>
      <c r="G392">
        <v>85</v>
      </c>
      <c r="H392">
        <v>92</v>
      </c>
    </row>
    <row r="393" spans="1:8">
      <c r="A393">
        <v>391</v>
      </c>
      <c r="B393">
        <v>392</v>
      </c>
      <c r="C393">
        <v>0.18179999999999999</v>
      </c>
      <c r="D393">
        <v>0.59</v>
      </c>
      <c r="E393">
        <v>0.19400000000000001</v>
      </c>
      <c r="F393">
        <v>2</v>
      </c>
      <c r="G393">
        <v>58</v>
      </c>
      <c r="H393">
        <v>60</v>
      </c>
    </row>
    <row r="394" spans="1:8">
      <c r="A394">
        <v>392</v>
      </c>
      <c r="B394">
        <v>393</v>
      </c>
      <c r="C394">
        <v>0.1515</v>
      </c>
      <c r="D394">
        <v>0.8</v>
      </c>
      <c r="E394">
        <v>0.19400000000000001</v>
      </c>
      <c r="F394">
        <v>4</v>
      </c>
      <c r="G394">
        <v>29</v>
      </c>
      <c r="H394">
        <v>33</v>
      </c>
    </row>
    <row r="395" spans="1:8">
      <c r="A395">
        <v>393</v>
      </c>
      <c r="B395">
        <v>394</v>
      </c>
      <c r="C395">
        <v>0.1515</v>
      </c>
      <c r="D395">
        <v>0.8</v>
      </c>
      <c r="E395">
        <v>0.19400000000000001</v>
      </c>
      <c r="F395">
        <v>3</v>
      </c>
      <c r="G395">
        <v>24</v>
      </c>
      <c r="H395">
        <v>27</v>
      </c>
    </row>
    <row r="396" spans="1:8">
      <c r="A396">
        <v>394</v>
      </c>
      <c r="B396">
        <v>395</v>
      </c>
      <c r="C396">
        <v>0.1212</v>
      </c>
      <c r="D396">
        <v>0.93</v>
      </c>
      <c r="E396">
        <v>0.25369999999999998</v>
      </c>
      <c r="F396">
        <v>0</v>
      </c>
      <c r="G396">
        <v>13</v>
      </c>
      <c r="H396">
        <v>13</v>
      </c>
    </row>
    <row r="397" spans="1:8">
      <c r="A397">
        <v>395</v>
      </c>
      <c r="B397">
        <v>396</v>
      </c>
      <c r="C397">
        <v>0.13639999999999999</v>
      </c>
      <c r="D397">
        <v>0.86</v>
      </c>
      <c r="E397">
        <v>0.28360000000000002</v>
      </c>
      <c r="F397">
        <v>1</v>
      </c>
      <c r="G397">
        <v>3</v>
      </c>
      <c r="H397">
        <v>4</v>
      </c>
    </row>
    <row r="398" spans="1:8">
      <c r="A398">
        <v>396</v>
      </c>
      <c r="B398">
        <v>397</v>
      </c>
      <c r="C398">
        <v>0.18179999999999999</v>
      </c>
      <c r="D398">
        <v>0.86</v>
      </c>
      <c r="E398">
        <v>0.32840000000000003</v>
      </c>
      <c r="F398">
        <v>0</v>
      </c>
      <c r="G398">
        <v>3</v>
      </c>
      <c r="H398">
        <v>3</v>
      </c>
    </row>
    <row r="399" spans="1:8">
      <c r="A399">
        <v>397</v>
      </c>
      <c r="B399">
        <v>398</v>
      </c>
      <c r="C399">
        <v>0.19700000000000001</v>
      </c>
      <c r="D399">
        <v>0.86</v>
      </c>
      <c r="E399">
        <v>0.22389999999999999</v>
      </c>
      <c r="F399">
        <v>0</v>
      </c>
      <c r="G399">
        <v>22</v>
      </c>
      <c r="H399">
        <v>22</v>
      </c>
    </row>
    <row r="400" spans="1:8">
      <c r="A400">
        <v>398</v>
      </c>
      <c r="B400">
        <v>399</v>
      </c>
      <c r="C400">
        <v>0.2273</v>
      </c>
      <c r="D400">
        <v>0.8</v>
      </c>
      <c r="E400">
        <v>0.16420000000000001</v>
      </c>
      <c r="F400">
        <v>2</v>
      </c>
      <c r="G400">
        <v>26</v>
      </c>
      <c r="H400">
        <v>28</v>
      </c>
    </row>
    <row r="401" spans="1:8">
      <c r="A401">
        <v>399</v>
      </c>
      <c r="B401">
        <v>400</v>
      </c>
      <c r="C401">
        <v>0.2273</v>
      </c>
      <c r="D401">
        <v>0.87</v>
      </c>
      <c r="E401">
        <v>0.16420000000000001</v>
      </c>
      <c r="F401">
        <v>3</v>
      </c>
      <c r="G401">
        <v>32</v>
      </c>
      <c r="H401">
        <v>35</v>
      </c>
    </row>
    <row r="402" spans="1:8">
      <c r="A402">
        <v>400</v>
      </c>
      <c r="B402">
        <v>401</v>
      </c>
      <c r="C402">
        <v>0.2273</v>
      </c>
      <c r="D402">
        <v>0.87</v>
      </c>
      <c r="E402">
        <v>0.19400000000000001</v>
      </c>
      <c r="F402">
        <v>0</v>
      </c>
      <c r="G402">
        <v>61</v>
      </c>
      <c r="H402">
        <v>61</v>
      </c>
    </row>
    <row r="403" spans="1:8">
      <c r="A403">
        <v>401</v>
      </c>
      <c r="B403">
        <v>402</v>
      </c>
      <c r="C403">
        <v>0.2273</v>
      </c>
      <c r="D403">
        <v>0.82</v>
      </c>
      <c r="E403">
        <v>0.19400000000000001</v>
      </c>
      <c r="F403">
        <v>1</v>
      </c>
      <c r="G403">
        <v>124</v>
      </c>
      <c r="H403">
        <v>125</v>
      </c>
    </row>
    <row r="404" spans="1:8">
      <c r="A404">
        <v>402</v>
      </c>
      <c r="B404">
        <v>403</v>
      </c>
      <c r="C404">
        <v>0.2273</v>
      </c>
      <c r="D404">
        <v>0.8</v>
      </c>
      <c r="E404">
        <v>0.16420000000000001</v>
      </c>
      <c r="F404">
        <v>1</v>
      </c>
      <c r="G404">
        <v>132</v>
      </c>
      <c r="H404">
        <v>133</v>
      </c>
    </row>
    <row r="405" spans="1:8">
      <c r="A405">
        <v>403</v>
      </c>
      <c r="B405">
        <v>404</v>
      </c>
      <c r="C405">
        <v>0.2273</v>
      </c>
      <c r="D405">
        <v>0.8</v>
      </c>
      <c r="E405">
        <v>0.1343</v>
      </c>
      <c r="F405">
        <v>1</v>
      </c>
      <c r="G405">
        <v>98</v>
      </c>
      <c r="H405">
        <v>99</v>
      </c>
    </row>
    <row r="406" spans="1:8">
      <c r="A406">
        <v>404</v>
      </c>
      <c r="B406">
        <v>405</v>
      </c>
      <c r="C406">
        <v>0.2727</v>
      </c>
      <c r="D406">
        <v>0.87</v>
      </c>
      <c r="E406">
        <v>0</v>
      </c>
      <c r="F406">
        <v>0</v>
      </c>
      <c r="G406">
        <v>83</v>
      </c>
      <c r="H406">
        <v>83</v>
      </c>
    </row>
    <row r="407" spans="1:8">
      <c r="A407">
        <v>405</v>
      </c>
      <c r="B407">
        <v>406</v>
      </c>
      <c r="C407">
        <v>0.2424</v>
      </c>
      <c r="D407">
        <v>0.93</v>
      </c>
      <c r="E407">
        <v>0.1045</v>
      </c>
      <c r="F407">
        <v>0</v>
      </c>
      <c r="G407">
        <v>41</v>
      </c>
      <c r="H407">
        <v>41</v>
      </c>
    </row>
    <row r="408" spans="1:8">
      <c r="A408">
        <v>406</v>
      </c>
      <c r="B408">
        <v>407</v>
      </c>
      <c r="C408">
        <v>0.2576</v>
      </c>
      <c r="D408">
        <v>0.93</v>
      </c>
      <c r="E408">
        <v>8.9599999999999999E-2</v>
      </c>
      <c r="F408">
        <v>0</v>
      </c>
      <c r="G408">
        <v>33</v>
      </c>
      <c r="H408">
        <v>33</v>
      </c>
    </row>
    <row r="409" spans="1:8">
      <c r="A409">
        <v>407</v>
      </c>
      <c r="B409">
        <v>408</v>
      </c>
      <c r="C409">
        <v>0.2727</v>
      </c>
      <c r="D409">
        <v>0.93</v>
      </c>
      <c r="E409">
        <v>0</v>
      </c>
      <c r="F409">
        <v>1</v>
      </c>
      <c r="G409">
        <v>19</v>
      </c>
      <c r="H409">
        <v>20</v>
      </c>
    </row>
    <row r="410" spans="1:8">
      <c r="A410">
        <v>408</v>
      </c>
      <c r="B410">
        <v>409</v>
      </c>
      <c r="C410">
        <v>0.2727</v>
      </c>
      <c r="D410">
        <v>0.93</v>
      </c>
      <c r="E410">
        <v>0</v>
      </c>
      <c r="F410">
        <v>0</v>
      </c>
      <c r="G410">
        <v>3</v>
      </c>
      <c r="H410">
        <v>3</v>
      </c>
    </row>
    <row r="411" spans="1:8">
      <c r="A411">
        <v>409</v>
      </c>
      <c r="B411">
        <v>410</v>
      </c>
      <c r="C411">
        <v>0.2273</v>
      </c>
      <c r="D411">
        <v>0.93</v>
      </c>
      <c r="E411">
        <v>0.1343</v>
      </c>
      <c r="F411">
        <v>1</v>
      </c>
      <c r="G411">
        <v>6</v>
      </c>
      <c r="H411">
        <v>7</v>
      </c>
    </row>
    <row r="412" spans="1:8">
      <c r="A412">
        <v>410</v>
      </c>
      <c r="B412">
        <v>411</v>
      </c>
      <c r="C412">
        <v>0.2273</v>
      </c>
      <c r="D412">
        <v>0.93</v>
      </c>
      <c r="E412">
        <v>0.1343</v>
      </c>
      <c r="F412">
        <v>0</v>
      </c>
      <c r="G412">
        <v>3</v>
      </c>
      <c r="H412">
        <v>3</v>
      </c>
    </row>
    <row r="413" spans="1:8">
      <c r="A413">
        <v>411</v>
      </c>
      <c r="B413">
        <v>412</v>
      </c>
      <c r="C413">
        <v>0.2273</v>
      </c>
      <c r="D413">
        <v>0.93</v>
      </c>
      <c r="E413">
        <v>0.1343</v>
      </c>
      <c r="F413">
        <v>1</v>
      </c>
      <c r="G413">
        <v>1</v>
      </c>
      <c r="H413">
        <v>2</v>
      </c>
    </row>
    <row r="414" spans="1:8">
      <c r="A414">
        <v>412</v>
      </c>
      <c r="B414">
        <v>413</v>
      </c>
      <c r="C414">
        <v>0.2576</v>
      </c>
      <c r="D414">
        <v>0.93</v>
      </c>
      <c r="E414">
        <v>8.9599999999999999E-2</v>
      </c>
      <c r="F414">
        <v>0</v>
      </c>
      <c r="G414">
        <v>7</v>
      </c>
      <c r="H414">
        <v>7</v>
      </c>
    </row>
    <row r="415" spans="1:8">
      <c r="A415">
        <v>413</v>
      </c>
      <c r="B415">
        <v>414</v>
      </c>
      <c r="C415">
        <v>0.2576</v>
      </c>
      <c r="D415">
        <v>0.93</v>
      </c>
      <c r="E415">
        <v>8.9599999999999999E-2</v>
      </c>
      <c r="F415">
        <v>0</v>
      </c>
      <c r="G415">
        <v>32</v>
      </c>
      <c r="H415">
        <v>32</v>
      </c>
    </row>
    <row r="416" spans="1:8">
      <c r="A416">
        <v>414</v>
      </c>
      <c r="B416">
        <v>415</v>
      </c>
      <c r="C416">
        <v>0.2576</v>
      </c>
      <c r="D416">
        <v>0.92</v>
      </c>
      <c r="E416">
        <v>0.1045</v>
      </c>
      <c r="F416">
        <v>1</v>
      </c>
      <c r="G416">
        <v>89</v>
      </c>
      <c r="H416">
        <v>90</v>
      </c>
    </row>
    <row r="417" spans="1:8">
      <c r="A417">
        <v>415</v>
      </c>
      <c r="B417">
        <v>416</v>
      </c>
      <c r="C417">
        <v>0.2576</v>
      </c>
      <c r="D417">
        <v>0.93</v>
      </c>
      <c r="E417">
        <v>0.1045</v>
      </c>
      <c r="F417">
        <v>1</v>
      </c>
      <c r="G417">
        <v>196</v>
      </c>
      <c r="H417">
        <v>197</v>
      </c>
    </row>
    <row r="418" spans="1:8">
      <c r="A418">
        <v>416</v>
      </c>
      <c r="B418">
        <v>417</v>
      </c>
      <c r="C418">
        <v>0.2576</v>
      </c>
      <c r="D418">
        <v>0.93</v>
      </c>
      <c r="E418">
        <v>0.1045</v>
      </c>
      <c r="F418">
        <v>2</v>
      </c>
      <c r="G418">
        <v>107</v>
      </c>
      <c r="H418">
        <v>109</v>
      </c>
    </row>
    <row r="419" spans="1:8">
      <c r="A419">
        <v>417</v>
      </c>
      <c r="B419">
        <v>418</v>
      </c>
      <c r="C419">
        <v>0.2727</v>
      </c>
      <c r="D419">
        <v>0.93</v>
      </c>
      <c r="E419">
        <v>0.1343</v>
      </c>
      <c r="F419">
        <v>1</v>
      </c>
      <c r="G419">
        <v>46</v>
      </c>
      <c r="H419">
        <v>47</v>
      </c>
    </row>
    <row r="420" spans="1:8">
      <c r="A420">
        <v>418</v>
      </c>
      <c r="B420">
        <v>419</v>
      </c>
      <c r="C420">
        <v>0.30299999999999999</v>
      </c>
      <c r="D420">
        <v>0.87</v>
      </c>
      <c r="E420">
        <v>8.9599999999999999E-2</v>
      </c>
      <c r="F420">
        <v>5</v>
      </c>
      <c r="G420">
        <v>47</v>
      </c>
      <c r="H420">
        <v>52</v>
      </c>
    </row>
    <row r="421" spans="1:8">
      <c r="A421">
        <v>419</v>
      </c>
      <c r="B421">
        <v>420</v>
      </c>
      <c r="C421">
        <v>0.31819999999999998</v>
      </c>
      <c r="D421">
        <v>0.81</v>
      </c>
      <c r="E421">
        <v>8.9599999999999999E-2</v>
      </c>
      <c r="F421">
        <v>5</v>
      </c>
      <c r="G421">
        <v>65</v>
      </c>
      <c r="H421">
        <v>70</v>
      </c>
    </row>
    <row r="422" spans="1:8">
      <c r="A422">
        <v>420</v>
      </c>
      <c r="B422">
        <v>421</v>
      </c>
      <c r="C422">
        <v>0.40910000000000002</v>
      </c>
      <c r="D422">
        <v>0.62</v>
      </c>
      <c r="E422">
        <v>0.28360000000000002</v>
      </c>
      <c r="F422">
        <v>11</v>
      </c>
      <c r="G422">
        <v>67</v>
      </c>
      <c r="H422">
        <v>78</v>
      </c>
    </row>
    <row r="423" spans="1:8">
      <c r="A423">
        <v>421</v>
      </c>
      <c r="B423">
        <v>422</v>
      </c>
      <c r="C423">
        <v>0.40910000000000002</v>
      </c>
      <c r="D423">
        <v>0.57999999999999996</v>
      </c>
      <c r="E423">
        <v>0.25369999999999998</v>
      </c>
      <c r="F423">
        <v>7</v>
      </c>
      <c r="G423">
        <v>68</v>
      </c>
      <c r="H423">
        <v>75</v>
      </c>
    </row>
    <row r="424" spans="1:8">
      <c r="A424">
        <v>422</v>
      </c>
      <c r="B424">
        <v>423</v>
      </c>
      <c r="C424">
        <v>0.40910000000000002</v>
      </c>
      <c r="D424">
        <v>0.54</v>
      </c>
      <c r="E424">
        <v>0.28360000000000002</v>
      </c>
      <c r="F424">
        <v>4</v>
      </c>
      <c r="G424">
        <v>78</v>
      </c>
      <c r="H424">
        <v>82</v>
      </c>
    </row>
    <row r="425" spans="1:8">
      <c r="A425">
        <v>423</v>
      </c>
      <c r="B425">
        <v>424</v>
      </c>
      <c r="C425">
        <v>0.39389999999999997</v>
      </c>
      <c r="D425">
        <v>0.57999999999999996</v>
      </c>
      <c r="E425">
        <v>0.3881</v>
      </c>
      <c r="F425">
        <v>10</v>
      </c>
      <c r="G425">
        <v>94</v>
      </c>
      <c r="H425">
        <v>104</v>
      </c>
    </row>
    <row r="426" spans="1:8">
      <c r="A426">
        <v>424</v>
      </c>
      <c r="B426">
        <v>425</v>
      </c>
      <c r="C426">
        <v>0.33329999999999999</v>
      </c>
      <c r="D426">
        <v>0.56999999999999995</v>
      </c>
      <c r="E426">
        <v>0.32840000000000003</v>
      </c>
      <c r="F426">
        <v>7</v>
      </c>
      <c r="G426">
        <v>190</v>
      </c>
      <c r="H426">
        <v>197</v>
      </c>
    </row>
    <row r="427" spans="1:8">
      <c r="A427">
        <v>425</v>
      </c>
      <c r="B427">
        <v>426</v>
      </c>
      <c r="C427">
        <v>0.31819999999999998</v>
      </c>
      <c r="D427">
        <v>0.61</v>
      </c>
      <c r="E427">
        <v>0.28360000000000002</v>
      </c>
      <c r="F427">
        <v>5</v>
      </c>
      <c r="G427">
        <v>156</v>
      </c>
      <c r="H427">
        <v>161</v>
      </c>
    </row>
    <row r="428" spans="1:8">
      <c r="A428">
        <v>426</v>
      </c>
      <c r="B428">
        <v>427</v>
      </c>
      <c r="C428">
        <v>0.28789999999999999</v>
      </c>
      <c r="D428">
        <v>0.56999999999999995</v>
      </c>
      <c r="E428">
        <v>0.41789999999999999</v>
      </c>
      <c r="F428">
        <v>4</v>
      </c>
      <c r="G428">
        <v>108</v>
      </c>
      <c r="H428">
        <v>112</v>
      </c>
    </row>
    <row r="429" spans="1:8">
      <c r="A429">
        <v>427</v>
      </c>
      <c r="B429">
        <v>428</v>
      </c>
      <c r="C429">
        <v>0.30299999999999999</v>
      </c>
      <c r="D429">
        <v>0.49</v>
      </c>
      <c r="E429">
        <v>0.29849999999999999</v>
      </c>
      <c r="F429">
        <v>2</v>
      </c>
      <c r="G429">
        <v>74</v>
      </c>
      <c r="H429">
        <v>76</v>
      </c>
    </row>
    <row r="430" spans="1:8">
      <c r="A430">
        <v>428</v>
      </c>
      <c r="B430">
        <v>429</v>
      </c>
      <c r="C430">
        <v>0.28789999999999999</v>
      </c>
      <c r="D430">
        <v>0.49</v>
      </c>
      <c r="E430">
        <v>0.41789999999999999</v>
      </c>
      <c r="F430">
        <v>4</v>
      </c>
      <c r="G430">
        <v>55</v>
      </c>
      <c r="H430">
        <v>59</v>
      </c>
    </row>
    <row r="431" spans="1:8">
      <c r="A431">
        <v>429</v>
      </c>
      <c r="B431">
        <v>430</v>
      </c>
      <c r="C431">
        <v>0.30299999999999999</v>
      </c>
      <c r="D431">
        <v>0.52</v>
      </c>
      <c r="E431">
        <v>0.16420000000000001</v>
      </c>
      <c r="F431">
        <v>6</v>
      </c>
      <c r="G431">
        <v>53</v>
      </c>
      <c r="H431">
        <v>59</v>
      </c>
    </row>
    <row r="432" spans="1:8">
      <c r="A432">
        <v>430</v>
      </c>
      <c r="B432">
        <v>431</v>
      </c>
      <c r="C432">
        <v>0.2727</v>
      </c>
      <c r="D432">
        <v>0.52</v>
      </c>
      <c r="E432">
        <v>0.4627</v>
      </c>
      <c r="F432">
        <v>1</v>
      </c>
      <c r="G432">
        <v>27</v>
      </c>
      <c r="H432">
        <v>28</v>
      </c>
    </row>
    <row r="433" spans="1:8">
      <c r="A433">
        <v>431</v>
      </c>
      <c r="B433">
        <v>432</v>
      </c>
      <c r="C433">
        <v>0.2273</v>
      </c>
      <c r="D433">
        <v>0.56000000000000005</v>
      </c>
      <c r="E433">
        <v>0.3881</v>
      </c>
      <c r="F433">
        <v>5</v>
      </c>
      <c r="G433">
        <v>8</v>
      </c>
      <c r="H433">
        <v>13</v>
      </c>
    </row>
    <row r="434" spans="1:8">
      <c r="A434">
        <v>432</v>
      </c>
      <c r="B434">
        <v>433</v>
      </c>
      <c r="C434">
        <v>0.2727</v>
      </c>
      <c r="D434">
        <v>0.56000000000000005</v>
      </c>
      <c r="E434">
        <v>0</v>
      </c>
      <c r="F434">
        <v>2</v>
      </c>
      <c r="G434">
        <v>3</v>
      </c>
      <c r="H434">
        <v>5</v>
      </c>
    </row>
    <row r="435" spans="1:8">
      <c r="A435">
        <v>433</v>
      </c>
      <c r="B435">
        <v>434</v>
      </c>
      <c r="C435">
        <v>0.2727</v>
      </c>
      <c r="D435">
        <v>0.56000000000000005</v>
      </c>
      <c r="E435">
        <v>0</v>
      </c>
      <c r="F435">
        <v>0</v>
      </c>
      <c r="G435">
        <v>2</v>
      </c>
      <c r="H435">
        <v>2</v>
      </c>
    </row>
    <row r="436" spans="1:8">
      <c r="A436">
        <v>434</v>
      </c>
      <c r="B436">
        <v>435</v>
      </c>
      <c r="C436">
        <v>0.2576</v>
      </c>
      <c r="D436">
        <v>0.56000000000000005</v>
      </c>
      <c r="E436">
        <v>0.16420000000000001</v>
      </c>
      <c r="F436">
        <v>0</v>
      </c>
      <c r="G436">
        <v>1</v>
      </c>
      <c r="H436">
        <v>1</v>
      </c>
    </row>
    <row r="437" spans="1:8">
      <c r="A437">
        <v>435</v>
      </c>
      <c r="B437">
        <v>436</v>
      </c>
      <c r="C437">
        <v>0.2576</v>
      </c>
      <c r="D437">
        <v>0.56000000000000005</v>
      </c>
      <c r="E437">
        <v>0.16420000000000001</v>
      </c>
      <c r="F437">
        <v>0</v>
      </c>
      <c r="G437">
        <v>1</v>
      </c>
      <c r="H437">
        <v>1</v>
      </c>
    </row>
    <row r="438" spans="1:8">
      <c r="A438">
        <v>436</v>
      </c>
      <c r="B438">
        <v>437</v>
      </c>
      <c r="C438">
        <v>0.2273</v>
      </c>
      <c r="D438">
        <v>0.6</v>
      </c>
      <c r="E438">
        <v>0.22389999999999999</v>
      </c>
      <c r="F438">
        <v>0</v>
      </c>
      <c r="G438">
        <v>6</v>
      </c>
      <c r="H438">
        <v>6</v>
      </c>
    </row>
    <row r="439" spans="1:8">
      <c r="A439">
        <v>437</v>
      </c>
      <c r="B439">
        <v>438</v>
      </c>
      <c r="C439">
        <v>0.21210000000000001</v>
      </c>
      <c r="D439">
        <v>0.6</v>
      </c>
      <c r="E439">
        <v>0.22389999999999999</v>
      </c>
      <c r="F439">
        <v>0</v>
      </c>
      <c r="G439">
        <v>35</v>
      </c>
      <c r="H439">
        <v>35</v>
      </c>
    </row>
    <row r="440" spans="1:8">
      <c r="A440">
        <v>438</v>
      </c>
      <c r="B440">
        <v>439</v>
      </c>
      <c r="C440">
        <v>0.21210000000000001</v>
      </c>
      <c r="D440">
        <v>0.55000000000000004</v>
      </c>
      <c r="E440">
        <v>0.22389999999999999</v>
      </c>
      <c r="F440">
        <v>1</v>
      </c>
      <c r="G440">
        <v>100</v>
      </c>
      <c r="H440">
        <v>101</v>
      </c>
    </row>
    <row r="441" spans="1:8">
      <c r="A441">
        <v>439</v>
      </c>
      <c r="B441">
        <v>440</v>
      </c>
      <c r="C441">
        <v>0.21210000000000001</v>
      </c>
      <c r="D441">
        <v>0.55000000000000004</v>
      </c>
      <c r="E441">
        <v>0.28360000000000002</v>
      </c>
      <c r="F441">
        <v>2</v>
      </c>
      <c r="G441">
        <v>247</v>
      </c>
      <c r="H441">
        <v>249</v>
      </c>
    </row>
    <row r="442" spans="1:8">
      <c r="A442">
        <v>440</v>
      </c>
      <c r="B442">
        <v>441</v>
      </c>
      <c r="C442">
        <v>0.2273</v>
      </c>
      <c r="D442">
        <v>0.52</v>
      </c>
      <c r="E442">
        <v>0.22389999999999999</v>
      </c>
      <c r="F442">
        <v>3</v>
      </c>
      <c r="G442">
        <v>140</v>
      </c>
      <c r="H442">
        <v>143</v>
      </c>
    </row>
    <row r="443" spans="1:8">
      <c r="A443">
        <v>441</v>
      </c>
      <c r="B443">
        <v>442</v>
      </c>
      <c r="C443">
        <v>0.2273</v>
      </c>
      <c r="D443">
        <v>0.48</v>
      </c>
      <c r="E443">
        <v>0.29849999999999999</v>
      </c>
      <c r="F443">
        <v>1</v>
      </c>
      <c r="G443">
        <v>56</v>
      </c>
      <c r="H443">
        <v>57</v>
      </c>
    </row>
    <row r="444" spans="1:8">
      <c r="A444">
        <v>442</v>
      </c>
      <c r="B444">
        <v>443</v>
      </c>
      <c r="C444">
        <v>0.2727</v>
      </c>
      <c r="D444">
        <v>0.45</v>
      </c>
      <c r="E444">
        <v>0.16420000000000001</v>
      </c>
      <c r="F444">
        <v>5</v>
      </c>
      <c r="G444">
        <v>63</v>
      </c>
      <c r="H444">
        <v>68</v>
      </c>
    </row>
    <row r="445" spans="1:8">
      <c r="A445">
        <v>443</v>
      </c>
      <c r="B445">
        <v>444</v>
      </c>
      <c r="C445">
        <v>0.33329999999999999</v>
      </c>
      <c r="D445">
        <v>0.42</v>
      </c>
      <c r="E445">
        <v>0</v>
      </c>
      <c r="F445">
        <v>7</v>
      </c>
      <c r="G445">
        <v>77</v>
      </c>
      <c r="H445">
        <v>84</v>
      </c>
    </row>
    <row r="446" spans="1:8">
      <c r="A446">
        <v>444</v>
      </c>
      <c r="B446">
        <v>445</v>
      </c>
      <c r="C446">
        <v>0.28789999999999999</v>
      </c>
      <c r="D446">
        <v>0.45</v>
      </c>
      <c r="E446">
        <v>0.1045</v>
      </c>
      <c r="F446">
        <v>12</v>
      </c>
      <c r="G446">
        <v>86</v>
      </c>
      <c r="H446">
        <v>98</v>
      </c>
    </row>
    <row r="447" spans="1:8">
      <c r="A447">
        <v>445</v>
      </c>
      <c r="B447">
        <v>446</v>
      </c>
      <c r="C447">
        <v>0.30299999999999999</v>
      </c>
      <c r="D447">
        <v>0.45</v>
      </c>
      <c r="E447">
        <v>0.1343</v>
      </c>
      <c r="F447">
        <v>6</v>
      </c>
      <c r="G447">
        <v>75</v>
      </c>
      <c r="H447">
        <v>81</v>
      </c>
    </row>
    <row r="448" spans="1:8">
      <c r="A448">
        <v>446</v>
      </c>
      <c r="B448">
        <v>447</v>
      </c>
      <c r="C448">
        <v>0.31819999999999998</v>
      </c>
      <c r="D448">
        <v>0.45</v>
      </c>
      <c r="E448">
        <v>0.19400000000000001</v>
      </c>
      <c r="F448">
        <v>8</v>
      </c>
      <c r="G448">
        <v>62</v>
      </c>
      <c r="H448">
        <v>70</v>
      </c>
    </row>
    <row r="449" spans="1:8">
      <c r="A449">
        <v>447</v>
      </c>
      <c r="B449">
        <v>448</v>
      </c>
      <c r="C449">
        <v>0.30299999999999999</v>
      </c>
      <c r="D449">
        <v>0.49</v>
      </c>
      <c r="E449">
        <v>0.1343</v>
      </c>
      <c r="F449">
        <v>8</v>
      </c>
      <c r="G449">
        <v>83</v>
      </c>
      <c r="H449">
        <v>91</v>
      </c>
    </row>
    <row r="450" spans="1:8">
      <c r="A450">
        <v>448</v>
      </c>
      <c r="B450">
        <v>449</v>
      </c>
      <c r="C450">
        <v>0.31819999999999998</v>
      </c>
      <c r="D450">
        <v>0.49</v>
      </c>
      <c r="E450">
        <v>0.1045</v>
      </c>
      <c r="F450">
        <v>8</v>
      </c>
      <c r="G450">
        <v>207</v>
      </c>
      <c r="H450">
        <v>215</v>
      </c>
    </row>
    <row r="451" spans="1:8">
      <c r="A451">
        <v>449</v>
      </c>
      <c r="B451">
        <v>450</v>
      </c>
      <c r="C451">
        <v>0.2576</v>
      </c>
      <c r="D451">
        <v>0.56000000000000005</v>
      </c>
      <c r="E451">
        <v>0.19400000000000001</v>
      </c>
      <c r="F451">
        <v>1</v>
      </c>
      <c r="G451">
        <v>184</v>
      </c>
      <c r="H451">
        <v>185</v>
      </c>
    </row>
    <row r="452" spans="1:8">
      <c r="A452">
        <v>450</v>
      </c>
      <c r="B452">
        <v>451</v>
      </c>
      <c r="C452">
        <v>0.2273</v>
      </c>
      <c r="D452">
        <v>0.56000000000000005</v>
      </c>
      <c r="E452">
        <v>0.32840000000000003</v>
      </c>
      <c r="F452">
        <v>6</v>
      </c>
      <c r="G452">
        <v>146</v>
      </c>
      <c r="H452">
        <v>152</v>
      </c>
    </row>
    <row r="453" spans="1:8">
      <c r="A453">
        <v>451</v>
      </c>
      <c r="B453">
        <v>452</v>
      </c>
      <c r="C453">
        <v>0.2424</v>
      </c>
      <c r="D453">
        <v>0.6</v>
      </c>
      <c r="E453">
        <v>0.28360000000000002</v>
      </c>
      <c r="F453">
        <v>2</v>
      </c>
      <c r="G453">
        <v>124</v>
      </c>
      <c r="H453">
        <v>126</v>
      </c>
    </row>
    <row r="454" spans="1:8">
      <c r="A454">
        <v>452</v>
      </c>
      <c r="B454">
        <v>453</v>
      </c>
      <c r="C454">
        <v>0.2273</v>
      </c>
      <c r="D454">
        <v>0.6</v>
      </c>
      <c r="E454">
        <v>0.25369999999999998</v>
      </c>
      <c r="F454">
        <v>3</v>
      </c>
      <c r="G454">
        <v>54</v>
      </c>
      <c r="H454">
        <v>57</v>
      </c>
    </row>
    <row r="455" spans="1:8">
      <c r="A455">
        <v>453</v>
      </c>
      <c r="B455">
        <v>454</v>
      </c>
      <c r="C455">
        <v>0.21210000000000001</v>
      </c>
      <c r="D455">
        <v>0.65</v>
      </c>
      <c r="E455">
        <v>0.28360000000000002</v>
      </c>
      <c r="F455">
        <v>0</v>
      </c>
      <c r="G455">
        <v>56</v>
      </c>
      <c r="H455">
        <v>56</v>
      </c>
    </row>
    <row r="456" spans="1:8">
      <c r="A456">
        <v>454</v>
      </c>
      <c r="B456">
        <v>455</v>
      </c>
      <c r="C456">
        <v>0.21210000000000001</v>
      </c>
      <c r="D456">
        <v>0.65</v>
      </c>
      <c r="E456">
        <v>0.32840000000000003</v>
      </c>
      <c r="F456">
        <v>3</v>
      </c>
      <c r="G456">
        <v>28</v>
      </c>
      <c r="H456">
        <v>31</v>
      </c>
    </row>
    <row r="457" spans="1:8">
      <c r="A457">
        <v>455</v>
      </c>
      <c r="B457">
        <v>456</v>
      </c>
      <c r="C457">
        <v>0.2273</v>
      </c>
      <c r="D457">
        <v>0.7</v>
      </c>
      <c r="E457">
        <v>0.25369999999999998</v>
      </c>
      <c r="F457">
        <v>1</v>
      </c>
      <c r="G457">
        <v>20</v>
      </c>
      <c r="H457">
        <v>21</v>
      </c>
    </row>
    <row r="458" spans="1:8">
      <c r="A458">
        <v>456</v>
      </c>
      <c r="B458">
        <v>457</v>
      </c>
      <c r="C458">
        <v>0.2273</v>
      </c>
      <c r="D458">
        <v>0.7</v>
      </c>
      <c r="E458">
        <v>0.25369999999999998</v>
      </c>
      <c r="F458">
        <v>0</v>
      </c>
      <c r="G458">
        <v>6</v>
      </c>
      <c r="H458">
        <v>6</v>
      </c>
    </row>
    <row r="459" spans="1:8">
      <c r="A459">
        <v>457</v>
      </c>
      <c r="B459">
        <v>458</v>
      </c>
      <c r="C459">
        <v>0.2424</v>
      </c>
      <c r="D459">
        <v>0.75</v>
      </c>
      <c r="E459">
        <v>0.16420000000000001</v>
      </c>
      <c r="F459">
        <v>0</v>
      </c>
      <c r="G459">
        <v>2</v>
      </c>
      <c r="H459">
        <v>2</v>
      </c>
    </row>
    <row r="460" spans="1:8">
      <c r="A460">
        <v>458</v>
      </c>
      <c r="B460">
        <v>459</v>
      </c>
      <c r="C460">
        <v>0.21210000000000001</v>
      </c>
      <c r="D460">
        <v>0.8</v>
      </c>
      <c r="E460">
        <v>0.29849999999999999</v>
      </c>
      <c r="F460">
        <v>0</v>
      </c>
      <c r="G460">
        <v>1</v>
      </c>
      <c r="H460">
        <v>1</v>
      </c>
    </row>
    <row r="461" spans="1:8">
      <c r="A461">
        <v>459</v>
      </c>
      <c r="B461">
        <v>460</v>
      </c>
      <c r="C461">
        <v>0.2576</v>
      </c>
      <c r="D461">
        <v>0.87</v>
      </c>
      <c r="E461">
        <v>8.9599999999999999E-2</v>
      </c>
      <c r="F461">
        <v>0</v>
      </c>
      <c r="G461">
        <v>1</v>
      </c>
      <c r="H461">
        <v>1</v>
      </c>
    </row>
    <row r="462" spans="1:8">
      <c r="A462">
        <v>460</v>
      </c>
      <c r="B462">
        <v>461</v>
      </c>
      <c r="C462">
        <v>0.19700000000000001</v>
      </c>
      <c r="D462">
        <v>0.6</v>
      </c>
      <c r="E462">
        <v>0.41789999999999999</v>
      </c>
      <c r="F462">
        <v>1</v>
      </c>
      <c r="G462">
        <v>4</v>
      </c>
      <c r="H462">
        <v>5</v>
      </c>
    </row>
    <row r="463" spans="1:8">
      <c r="A463">
        <v>461</v>
      </c>
      <c r="B463">
        <v>462</v>
      </c>
      <c r="C463">
        <v>0.21210000000000001</v>
      </c>
      <c r="D463">
        <v>0.55000000000000004</v>
      </c>
      <c r="E463">
        <v>0.25369999999999998</v>
      </c>
      <c r="F463">
        <v>0</v>
      </c>
      <c r="G463">
        <v>27</v>
      </c>
      <c r="H463">
        <v>27</v>
      </c>
    </row>
    <row r="464" spans="1:8">
      <c r="A464">
        <v>462</v>
      </c>
      <c r="B464">
        <v>463</v>
      </c>
      <c r="C464">
        <v>0.18179999999999999</v>
      </c>
      <c r="D464">
        <v>0.51</v>
      </c>
      <c r="E464">
        <v>0.28360000000000002</v>
      </c>
      <c r="F464">
        <v>2</v>
      </c>
      <c r="G464">
        <v>66</v>
      </c>
      <c r="H464">
        <v>68</v>
      </c>
    </row>
    <row r="465" spans="1:8">
      <c r="A465">
        <v>463</v>
      </c>
      <c r="B465">
        <v>464</v>
      </c>
      <c r="C465">
        <v>0.18179999999999999</v>
      </c>
      <c r="D465">
        <v>0.47</v>
      </c>
      <c r="E465">
        <v>0.32840000000000003</v>
      </c>
      <c r="F465">
        <v>7</v>
      </c>
      <c r="G465">
        <v>210</v>
      </c>
      <c r="H465">
        <v>217</v>
      </c>
    </row>
    <row r="466" spans="1:8">
      <c r="A466">
        <v>464</v>
      </c>
      <c r="B466">
        <v>465</v>
      </c>
      <c r="C466">
        <v>0.18179999999999999</v>
      </c>
      <c r="D466">
        <v>0.51</v>
      </c>
      <c r="E466">
        <v>0.35820000000000002</v>
      </c>
      <c r="F466">
        <v>7</v>
      </c>
      <c r="G466">
        <v>159</v>
      </c>
      <c r="H466">
        <v>166</v>
      </c>
    </row>
    <row r="467" spans="1:8">
      <c r="A467">
        <v>465</v>
      </c>
      <c r="B467">
        <v>466</v>
      </c>
      <c r="C467">
        <v>0.16669999999999999</v>
      </c>
      <c r="D467">
        <v>0.47</v>
      </c>
      <c r="E467">
        <v>0.4627</v>
      </c>
      <c r="F467">
        <v>6</v>
      </c>
      <c r="G467">
        <v>57</v>
      </c>
      <c r="H467">
        <v>63</v>
      </c>
    </row>
    <row r="468" spans="1:8">
      <c r="A468">
        <v>466</v>
      </c>
      <c r="B468">
        <v>467</v>
      </c>
      <c r="C468">
        <v>0.18179999999999999</v>
      </c>
      <c r="D468">
        <v>0.41</v>
      </c>
      <c r="E468">
        <v>0.4627</v>
      </c>
      <c r="F468">
        <v>6</v>
      </c>
      <c r="G468">
        <v>53</v>
      </c>
      <c r="H468">
        <v>59</v>
      </c>
    </row>
    <row r="469" spans="1:8">
      <c r="A469">
        <v>467</v>
      </c>
      <c r="B469">
        <v>468</v>
      </c>
      <c r="C469">
        <v>0.18179999999999999</v>
      </c>
      <c r="D469">
        <v>0.27</v>
      </c>
      <c r="E469">
        <v>0.58209999999999995</v>
      </c>
      <c r="F469">
        <v>11</v>
      </c>
      <c r="G469">
        <v>67</v>
      </c>
      <c r="H469">
        <v>78</v>
      </c>
    </row>
    <row r="470" spans="1:8">
      <c r="A470">
        <v>468</v>
      </c>
      <c r="B470">
        <v>469</v>
      </c>
      <c r="C470">
        <v>0.1515</v>
      </c>
      <c r="D470">
        <v>0.21</v>
      </c>
      <c r="E470">
        <v>0.58209999999999995</v>
      </c>
      <c r="F470">
        <v>8</v>
      </c>
      <c r="G470">
        <v>65</v>
      </c>
      <c r="H470">
        <v>73</v>
      </c>
    </row>
    <row r="471" spans="1:8">
      <c r="A471">
        <v>469</v>
      </c>
      <c r="B471">
        <v>470</v>
      </c>
      <c r="C471">
        <v>0.1515</v>
      </c>
      <c r="D471">
        <v>0.25</v>
      </c>
      <c r="E471">
        <v>0.52239999999999998</v>
      </c>
      <c r="F471">
        <v>6</v>
      </c>
      <c r="G471">
        <v>56</v>
      </c>
      <c r="H471">
        <v>62</v>
      </c>
    </row>
    <row r="472" spans="1:8">
      <c r="A472">
        <v>470</v>
      </c>
      <c r="B472">
        <v>471</v>
      </c>
      <c r="C472">
        <v>0.1212</v>
      </c>
      <c r="D472">
        <v>0.26</v>
      </c>
      <c r="E472">
        <v>0.44779999999999998</v>
      </c>
      <c r="F472">
        <v>4</v>
      </c>
      <c r="G472">
        <v>61</v>
      </c>
      <c r="H472">
        <v>65</v>
      </c>
    </row>
    <row r="473" spans="1:8">
      <c r="A473">
        <v>471</v>
      </c>
      <c r="B473">
        <v>472</v>
      </c>
      <c r="C473">
        <v>0.13639999999999999</v>
      </c>
      <c r="D473">
        <v>0.26</v>
      </c>
      <c r="E473">
        <v>0.35820000000000002</v>
      </c>
      <c r="F473">
        <v>0</v>
      </c>
      <c r="G473">
        <v>97</v>
      </c>
      <c r="H473">
        <v>97</v>
      </c>
    </row>
    <row r="474" spans="1:8">
      <c r="A474">
        <v>472</v>
      </c>
      <c r="B474">
        <v>473</v>
      </c>
      <c r="C474">
        <v>0.1212</v>
      </c>
      <c r="D474">
        <v>0.28000000000000003</v>
      </c>
      <c r="E474">
        <v>0.35820000000000002</v>
      </c>
      <c r="F474">
        <v>10</v>
      </c>
      <c r="G474">
        <v>151</v>
      </c>
      <c r="H474">
        <v>161</v>
      </c>
    </row>
    <row r="475" spans="1:8">
      <c r="A475">
        <v>473</v>
      </c>
      <c r="B475">
        <v>474</v>
      </c>
      <c r="C475">
        <v>0.1212</v>
      </c>
      <c r="D475">
        <v>0.3</v>
      </c>
      <c r="E475">
        <v>0.25369999999999998</v>
      </c>
      <c r="F475">
        <v>1</v>
      </c>
      <c r="G475">
        <v>119</v>
      </c>
      <c r="H475">
        <v>120</v>
      </c>
    </row>
    <row r="476" spans="1:8">
      <c r="A476">
        <v>474</v>
      </c>
      <c r="B476">
        <v>475</v>
      </c>
      <c r="C476">
        <v>0.1061</v>
      </c>
      <c r="D476">
        <v>0.3</v>
      </c>
      <c r="E476">
        <v>0.32840000000000003</v>
      </c>
      <c r="F476">
        <v>3</v>
      </c>
      <c r="G476">
        <v>93</v>
      </c>
      <c r="H476">
        <v>96</v>
      </c>
    </row>
    <row r="477" spans="1:8">
      <c r="A477">
        <v>475</v>
      </c>
      <c r="B477">
        <v>476</v>
      </c>
      <c r="C477">
        <v>7.5800000000000006E-2</v>
      </c>
      <c r="D477">
        <v>0.33</v>
      </c>
      <c r="E477">
        <v>0.41789999999999999</v>
      </c>
      <c r="F477">
        <v>1</v>
      </c>
      <c r="G477">
        <v>52</v>
      </c>
      <c r="H477">
        <v>53</v>
      </c>
    </row>
    <row r="478" spans="1:8">
      <c r="A478">
        <v>476</v>
      </c>
      <c r="B478">
        <v>477</v>
      </c>
      <c r="C478">
        <v>7.5800000000000006E-2</v>
      </c>
      <c r="D478">
        <v>0.38</v>
      </c>
      <c r="E478">
        <v>0.28360000000000002</v>
      </c>
      <c r="F478">
        <v>0</v>
      </c>
      <c r="G478">
        <v>41</v>
      </c>
      <c r="H478">
        <v>41</v>
      </c>
    </row>
    <row r="479" spans="1:8">
      <c r="A479">
        <v>477</v>
      </c>
      <c r="B479">
        <v>478</v>
      </c>
      <c r="C479">
        <v>3.0300000000000001E-2</v>
      </c>
      <c r="D479">
        <v>0.41</v>
      </c>
      <c r="E479">
        <v>0.3881</v>
      </c>
      <c r="F479">
        <v>1</v>
      </c>
      <c r="G479">
        <v>33</v>
      </c>
      <c r="H479">
        <v>34</v>
      </c>
    </row>
    <row r="480" spans="1:8">
      <c r="A480">
        <v>478</v>
      </c>
      <c r="B480">
        <v>479</v>
      </c>
      <c r="C480">
        <v>4.5499999999999999E-2</v>
      </c>
      <c r="D480">
        <v>0.38</v>
      </c>
      <c r="E480">
        <v>0.32840000000000003</v>
      </c>
      <c r="F480">
        <v>0</v>
      </c>
      <c r="G480">
        <v>27</v>
      </c>
      <c r="H480">
        <v>27</v>
      </c>
    </row>
    <row r="481" spans="1:8">
      <c r="A481">
        <v>479</v>
      </c>
      <c r="B481">
        <v>480</v>
      </c>
      <c r="C481">
        <v>3.0300000000000001E-2</v>
      </c>
      <c r="D481">
        <v>0.45</v>
      </c>
      <c r="E481">
        <v>0.25369999999999998</v>
      </c>
      <c r="F481">
        <v>0</v>
      </c>
      <c r="G481">
        <v>13</v>
      </c>
      <c r="H481">
        <v>13</v>
      </c>
    </row>
    <row r="482" spans="1:8">
      <c r="A482">
        <v>480</v>
      </c>
      <c r="B482">
        <v>481</v>
      </c>
      <c r="C482">
        <v>0</v>
      </c>
      <c r="D482">
        <v>0.41</v>
      </c>
      <c r="E482">
        <v>0.3881</v>
      </c>
      <c r="F482">
        <v>3</v>
      </c>
      <c r="G482">
        <v>9</v>
      </c>
      <c r="H482">
        <v>12</v>
      </c>
    </row>
    <row r="483" spans="1:8">
      <c r="A483">
        <v>481</v>
      </c>
      <c r="B483">
        <v>482</v>
      </c>
      <c r="C483">
        <v>3.0300000000000001E-2</v>
      </c>
      <c r="D483">
        <v>0.41</v>
      </c>
      <c r="E483">
        <v>0.25369999999999998</v>
      </c>
      <c r="F483">
        <v>0</v>
      </c>
      <c r="G483">
        <v>11</v>
      </c>
      <c r="H483">
        <v>11</v>
      </c>
    </row>
    <row r="484" spans="1:8">
      <c r="A484">
        <v>482</v>
      </c>
      <c r="B484">
        <v>483</v>
      </c>
      <c r="C484">
        <v>3.0300000000000001E-2</v>
      </c>
      <c r="D484">
        <v>0.41</v>
      </c>
      <c r="E484">
        <v>0.28360000000000002</v>
      </c>
      <c r="F484">
        <v>1</v>
      </c>
      <c r="G484">
        <v>6</v>
      </c>
      <c r="H484">
        <v>7</v>
      </c>
    </row>
    <row r="485" spans="1:8">
      <c r="A485">
        <v>483</v>
      </c>
      <c r="B485">
        <v>484</v>
      </c>
      <c r="C485">
        <v>1.52E-2</v>
      </c>
      <c r="D485">
        <v>0.48</v>
      </c>
      <c r="E485">
        <v>0.29849999999999999</v>
      </c>
      <c r="F485">
        <v>0</v>
      </c>
      <c r="G485">
        <v>3</v>
      </c>
      <c r="H485">
        <v>3</v>
      </c>
    </row>
    <row r="486" spans="1:8">
      <c r="A486">
        <v>484</v>
      </c>
      <c r="B486">
        <v>485</v>
      </c>
      <c r="C486">
        <v>3.0300000000000001E-2</v>
      </c>
      <c r="D486">
        <v>0.44</v>
      </c>
      <c r="E486">
        <v>0.22389999999999999</v>
      </c>
      <c r="F486">
        <v>0</v>
      </c>
      <c r="G486">
        <v>2</v>
      </c>
      <c r="H486">
        <v>2</v>
      </c>
    </row>
    <row r="487" spans="1:8">
      <c r="A487">
        <v>485</v>
      </c>
      <c r="B487">
        <v>486</v>
      </c>
      <c r="C487">
        <v>1.52E-2</v>
      </c>
      <c r="D487">
        <v>0.44</v>
      </c>
      <c r="E487">
        <v>0.28360000000000002</v>
      </c>
      <c r="F487">
        <v>0</v>
      </c>
      <c r="G487">
        <v>8</v>
      </c>
      <c r="H487">
        <v>8</v>
      </c>
    </row>
    <row r="488" spans="1:8">
      <c r="A488">
        <v>486</v>
      </c>
      <c r="B488">
        <v>487</v>
      </c>
      <c r="C488">
        <v>0</v>
      </c>
      <c r="D488">
        <v>0.44</v>
      </c>
      <c r="E488">
        <v>0.32840000000000003</v>
      </c>
      <c r="F488">
        <v>1</v>
      </c>
      <c r="G488">
        <v>26</v>
      </c>
      <c r="H488">
        <v>27</v>
      </c>
    </row>
    <row r="489" spans="1:8">
      <c r="A489">
        <v>487</v>
      </c>
      <c r="B489">
        <v>488</v>
      </c>
      <c r="C489">
        <v>3.0300000000000001E-2</v>
      </c>
      <c r="D489">
        <v>0.41</v>
      </c>
      <c r="E489">
        <v>0.25369999999999998</v>
      </c>
      <c r="F489">
        <v>3</v>
      </c>
      <c r="G489">
        <v>37</v>
      </c>
      <c r="H489">
        <v>40</v>
      </c>
    </row>
    <row r="490" spans="1:8">
      <c r="A490">
        <v>488</v>
      </c>
      <c r="B490">
        <v>489</v>
      </c>
      <c r="C490">
        <v>6.0600000000000001E-2</v>
      </c>
      <c r="D490">
        <v>0.41</v>
      </c>
      <c r="E490">
        <v>0.16420000000000001</v>
      </c>
      <c r="F490">
        <v>3</v>
      </c>
      <c r="G490">
        <v>50</v>
      </c>
      <c r="H490">
        <v>53</v>
      </c>
    </row>
    <row r="491" spans="1:8">
      <c r="A491">
        <v>489</v>
      </c>
      <c r="B491">
        <v>490</v>
      </c>
      <c r="C491">
        <v>7.5800000000000006E-2</v>
      </c>
      <c r="D491">
        <v>0.38</v>
      </c>
      <c r="E491">
        <v>0.1343</v>
      </c>
      <c r="F491">
        <v>4</v>
      </c>
      <c r="G491">
        <v>59</v>
      </c>
      <c r="H491">
        <v>63</v>
      </c>
    </row>
    <row r="492" spans="1:8">
      <c r="A492">
        <v>490</v>
      </c>
      <c r="B492">
        <v>491</v>
      </c>
      <c r="C492">
        <v>0.1061</v>
      </c>
      <c r="D492">
        <v>0.38</v>
      </c>
      <c r="E492">
        <v>0.1045</v>
      </c>
      <c r="F492">
        <v>10</v>
      </c>
      <c r="G492">
        <v>60</v>
      </c>
      <c r="H492">
        <v>70</v>
      </c>
    </row>
    <row r="493" spans="1:8">
      <c r="A493">
        <v>491</v>
      </c>
      <c r="B493">
        <v>492</v>
      </c>
      <c r="C493">
        <v>0.16669999999999999</v>
      </c>
      <c r="D493">
        <v>0.35</v>
      </c>
      <c r="E493">
        <v>0</v>
      </c>
      <c r="F493">
        <v>12</v>
      </c>
      <c r="G493">
        <v>72</v>
      </c>
      <c r="H493">
        <v>84</v>
      </c>
    </row>
    <row r="494" spans="1:8">
      <c r="A494">
        <v>492</v>
      </c>
      <c r="B494">
        <v>493</v>
      </c>
      <c r="C494">
        <v>0.13639999999999999</v>
      </c>
      <c r="D494">
        <v>0.33</v>
      </c>
      <c r="E494">
        <v>0.1045</v>
      </c>
      <c r="F494">
        <v>11</v>
      </c>
      <c r="G494">
        <v>64</v>
      </c>
      <c r="H494">
        <v>75</v>
      </c>
    </row>
    <row r="495" spans="1:8">
      <c r="A495">
        <v>493</v>
      </c>
      <c r="B495">
        <v>494</v>
      </c>
      <c r="C495">
        <v>0.1515</v>
      </c>
      <c r="D495">
        <v>0.28000000000000003</v>
      </c>
      <c r="E495">
        <v>0</v>
      </c>
      <c r="F495">
        <v>10</v>
      </c>
      <c r="G495">
        <v>93</v>
      </c>
      <c r="H495">
        <v>103</v>
      </c>
    </row>
    <row r="496" spans="1:8">
      <c r="A496">
        <v>494</v>
      </c>
      <c r="B496">
        <v>495</v>
      </c>
      <c r="C496">
        <v>0.13639999999999999</v>
      </c>
      <c r="D496">
        <v>0.28000000000000003</v>
      </c>
      <c r="E496">
        <v>0.19400000000000001</v>
      </c>
      <c r="F496">
        <v>11</v>
      </c>
      <c r="G496">
        <v>72</v>
      </c>
      <c r="H496">
        <v>83</v>
      </c>
    </row>
    <row r="497" spans="1:8">
      <c r="A497">
        <v>495</v>
      </c>
      <c r="B497">
        <v>496</v>
      </c>
      <c r="C497">
        <v>0.19700000000000001</v>
      </c>
      <c r="D497">
        <v>0.28000000000000003</v>
      </c>
      <c r="E497">
        <v>0</v>
      </c>
      <c r="F497">
        <v>8</v>
      </c>
      <c r="G497">
        <v>59</v>
      </c>
      <c r="H497">
        <v>67</v>
      </c>
    </row>
    <row r="498" spans="1:8">
      <c r="A498">
        <v>496</v>
      </c>
      <c r="B498">
        <v>497</v>
      </c>
      <c r="C498">
        <v>9.0899999999999995E-2</v>
      </c>
      <c r="D498">
        <v>0.35</v>
      </c>
      <c r="E498">
        <v>0.19400000000000001</v>
      </c>
      <c r="F498">
        <v>0</v>
      </c>
      <c r="G498">
        <v>54</v>
      </c>
      <c r="H498">
        <v>54</v>
      </c>
    </row>
    <row r="499" spans="1:8">
      <c r="A499">
        <v>497</v>
      </c>
      <c r="B499">
        <v>498</v>
      </c>
      <c r="C499">
        <v>0.1061</v>
      </c>
      <c r="D499">
        <v>0.35</v>
      </c>
      <c r="E499">
        <v>0.1343</v>
      </c>
      <c r="F499">
        <v>6</v>
      </c>
      <c r="G499">
        <v>53</v>
      </c>
      <c r="H499">
        <v>59</v>
      </c>
    </row>
    <row r="500" spans="1:8">
      <c r="A500">
        <v>498</v>
      </c>
      <c r="B500">
        <v>499</v>
      </c>
      <c r="C500">
        <v>7.5800000000000006E-2</v>
      </c>
      <c r="D500">
        <v>0.45</v>
      </c>
      <c r="E500">
        <v>0.16420000000000001</v>
      </c>
      <c r="F500">
        <v>1</v>
      </c>
      <c r="G500">
        <v>44</v>
      </c>
      <c r="H500">
        <v>45</v>
      </c>
    </row>
    <row r="501" spans="1:8">
      <c r="A501">
        <v>499</v>
      </c>
      <c r="B501">
        <v>500</v>
      </c>
      <c r="C501">
        <v>0.1061</v>
      </c>
      <c r="D501">
        <v>0.41</v>
      </c>
      <c r="E501">
        <v>8.9599999999999999E-2</v>
      </c>
      <c r="F501">
        <v>0</v>
      </c>
      <c r="G501">
        <v>39</v>
      </c>
      <c r="H501">
        <v>39</v>
      </c>
    </row>
    <row r="502" spans="1:8">
      <c r="A502">
        <v>500</v>
      </c>
      <c r="B502">
        <v>501</v>
      </c>
      <c r="C502">
        <v>0.1515</v>
      </c>
      <c r="D502">
        <v>0.49</v>
      </c>
      <c r="E502">
        <v>0</v>
      </c>
      <c r="F502">
        <v>7</v>
      </c>
      <c r="G502">
        <v>23</v>
      </c>
      <c r="H502">
        <v>30</v>
      </c>
    </row>
    <row r="503" spans="1:8">
      <c r="A503">
        <v>501</v>
      </c>
      <c r="B503">
        <v>502</v>
      </c>
      <c r="C503">
        <v>7.5800000000000006E-2</v>
      </c>
      <c r="D503">
        <v>0.56999999999999995</v>
      </c>
      <c r="E503">
        <v>0.1045</v>
      </c>
      <c r="F503">
        <v>2</v>
      </c>
      <c r="G503">
        <v>31</v>
      </c>
      <c r="H503">
        <v>33</v>
      </c>
    </row>
    <row r="504" spans="1:8">
      <c r="A504">
        <v>502</v>
      </c>
      <c r="B504">
        <v>503</v>
      </c>
      <c r="C504">
        <v>7.5800000000000006E-2</v>
      </c>
      <c r="D504">
        <v>0.56999999999999995</v>
      </c>
      <c r="E504">
        <v>0.1045</v>
      </c>
      <c r="F504">
        <v>2</v>
      </c>
      <c r="G504">
        <v>20</v>
      </c>
      <c r="H504">
        <v>22</v>
      </c>
    </row>
    <row r="505" spans="1:8">
      <c r="A505">
        <v>503</v>
      </c>
      <c r="B505">
        <v>504</v>
      </c>
      <c r="C505">
        <v>7.5800000000000006E-2</v>
      </c>
      <c r="D505">
        <v>0.56999999999999995</v>
      </c>
      <c r="E505">
        <v>0.1045</v>
      </c>
      <c r="F505">
        <v>1</v>
      </c>
      <c r="G505">
        <v>12</v>
      </c>
      <c r="H505">
        <v>13</v>
      </c>
    </row>
    <row r="506" spans="1:8">
      <c r="A506">
        <v>504</v>
      </c>
      <c r="B506">
        <v>505</v>
      </c>
      <c r="C506">
        <v>6.0600000000000001E-2</v>
      </c>
      <c r="D506">
        <v>0.62</v>
      </c>
      <c r="E506">
        <v>0.1343</v>
      </c>
      <c r="F506">
        <v>3</v>
      </c>
      <c r="G506">
        <v>15</v>
      </c>
      <c r="H506">
        <v>18</v>
      </c>
    </row>
    <row r="507" spans="1:8">
      <c r="A507">
        <v>505</v>
      </c>
      <c r="B507">
        <v>506</v>
      </c>
      <c r="C507">
        <v>6.0600000000000001E-2</v>
      </c>
      <c r="D507">
        <v>0.62</v>
      </c>
      <c r="E507">
        <v>0.1343</v>
      </c>
      <c r="F507">
        <v>1</v>
      </c>
      <c r="G507">
        <v>4</v>
      </c>
      <c r="H507">
        <v>5</v>
      </c>
    </row>
    <row r="508" spans="1:8">
      <c r="A508">
        <v>506</v>
      </c>
      <c r="B508">
        <v>507</v>
      </c>
      <c r="C508">
        <v>7.5800000000000006E-2</v>
      </c>
      <c r="D508">
        <v>0.56999999999999995</v>
      </c>
      <c r="E508">
        <v>0.1045</v>
      </c>
      <c r="F508">
        <v>0</v>
      </c>
      <c r="G508">
        <v>3</v>
      </c>
      <c r="H508">
        <v>3</v>
      </c>
    </row>
    <row r="509" spans="1:8">
      <c r="A509">
        <v>507</v>
      </c>
      <c r="B509">
        <v>508</v>
      </c>
      <c r="C509">
        <v>7.5800000000000006E-2</v>
      </c>
      <c r="D509">
        <v>0.56999999999999995</v>
      </c>
      <c r="E509">
        <v>0.1045</v>
      </c>
      <c r="F509">
        <v>0</v>
      </c>
      <c r="G509">
        <v>1</v>
      </c>
      <c r="H509">
        <v>1</v>
      </c>
    </row>
    <row r="510" spans="1:8">
      <c r="A510">
        <v>508</v>
      </c>
      <c r="B510">
        <v>509</v>
      </c>
      <c r="C510">
        <v>0.1061</v>
      </c>
      <c r="D510">
        <v>0.57999999999999996</v>
      </c>
      <c r="E510">
        <v>0.16420000000000001</v>
      </c>
      <c r="F510">
        <v>1</v>
      </c>
      <c r="G510">
        <v>1</v>
      </c>
      <c r="H510">
        <v>2</v>
      </c>
    </row>
    <row r="511" spans="1:8">
      <c r="A511">
        <v>509</v>
      </c>
      <c r="B511">
        <v>510</v>
      </c>
      <c r="C511">
        <v>7.5800000000000006E-2</v>
      </c>
      <c r="D511">
        <v>0.62</v>
      </c>
      <c r="E511">
        <v>0.16420000000000001</v>
      </c>
      <c r="F511">
        <v>2</v>
      </c>
      <c r="G511">
        <v>17</v>
      </c>
      <c r="H511">
        <v>19</v>
      </c>
    </row>
    <row r="512" spans="1:8">
      <c r="A512">
        <v>510</v>
      </c>
      <c r="B512">
        <v>511</v>
      </c>
      <c r="C512">
        <v>7.5800000000000006E-2</v>
      </c>
      <c r="D512">
        <v>0.54</v>
      </c>
      <c r="E512">
        <v>0.35820000000000002</v>
      </c>
      <c r="F512">
        <v>3</v>
      </c>
      <c r="G512">
        <v>25</v>
      </c>
      <c r="H512">
        <v>28</v>
      </c>
    </row>
    <row r="513" spans="1:8">
      <c r="A513">
        <v>511</v>
      </c>
      <c r="B513">
        <v>512</v>
      </c>
      <c r="C513">
        <v>0.1061</v>
      </c>
      <c r="D513">
        <v>0.46</v>
      </c>
      <c r="E513">
        <v>0.3881</v>
      </c>
      <c r="F513">
        <v>7</v>
      </c>
      <c r="G513">
        <v>51</v>
      </c>
      <c r="H513">
        <v>58</v>
      </c>
    </row>
    <row r="514" spans="1:8">
      <c r="A514">
        <v>512</v>
      </c>
      <c r="B514">
        <v>513</v>
      </c>
      <c r="C514">
        <v>0.13639999999999999</v>
      </c>
      <c r="D514">
        <v>0.43</v>
      </c>
      <c r="E514">
        <v>0.22389999999999999</v>
      </c>
      <c r="F514">
        <v>22</v>
      </c>
      <c r="G514">
        <v>77</v>
      </c>
      <c r="H514">
        <v>99</v>
      </c>
    </row>
    <row r="515" spans="1:8">
      <c r="A515">
        <v>513</v>
      </c>
      <c r="B515">
        <v>514</v>
      </c>
      <c r="C515">
        <v>0.1212</v>
      </c>
      <c r="D515">
        <v>0.37</v>
      </c>
      <c r="E515">
        <v>0.4627</v>
      </c>
      <c r="F515">
        <v>24</v>
      </c>
      <c r="G515">
        <v>92</v>
      </c>
      <c r="H515">
        <v>116</v>
      </c>
    </row>
    <row r="516" spans="1:8">
      <c r="A516">
        <v>514</v>
      </c>
      <c r="B516">
        <v>515</v>
      </c>
      <c r="C516">
        <v>0.1061</v>
      </c>
      <c r="D516">
        <v>0.33</v>
      </c>
      <c r="E516">
        <v>0.3881</v>
      </c>
      <c r="F516">
        <v>12</v>
      </c>
      <c r="G516">
        <v>75</v>
      </c>
      <c r="H516">
        <v>87</v>
      </c>
    </row>
    <row r="517" spans="1:8">
      <c r="A517">
        <v>515</v>
      </c>
      <c r="B517">
        <v>516</v>
      </c>
      <c r="C517">
        <v>0.13639999999999999</v>
      </c>
      <c r="D517">
        <v>0.28000000000000003</v>
      </c>
      <c r="E517">
        <v>0.35820000000000002</v>
      </c>
      <c r="F517">
        <v>17</v>
      </c>
      <c r="G517">
        <v>93</v>
      </c>
      <c r="H517">
        <v>110</v>
      </c>
    </row>
    <row r="518" spans="1:8">
      <c r="A518">
        <v>516</v>
      </c>
      <c r="B518">
        <v>517</v>
      </c>
      <c r="C518">
        <v>0.13639999999999999</v>
      </c>
      <c r="D518">
        <v>0.28000000000000003</v>
      </c>
      <c r="E518">
        <v>0.35820000000000002</v>
      </c>
      <c r="F518">
        <v>13</v>
      </c>
      <c r="G518">
        <v>64</v>
      </c>
      <c r="H518">
        <v>77</v>
      </c>
    </row>
    <row r="519" spans="1:8">
      <c r="A519">
        <v>517</v>
      </c>
      <c r="B519">
        <v>518</v>
      </c>
      <c r="C519">
        <v>0.13639999999999999</v>
      </c>
      <c r="D519">
        <v>0.26</v>
      </c>
      <c r="E519">
        <v>0.32840000000000003</v>
      </c>
      <c r="F519">
        <v>9</v>
      </c>
      <c r="G519">
        <v>56</v>
      </c>
      <c r="H519">
        <v>65</v>
      </c>
    </row>
    <row r="520" spans="1:8">
      <c r="A520">
        <v>518</v>
      </c>
      <c r="B520">
        <v>519</v>
      </c>
      <c r="C520">
        <v>0.1061</v>
      </c>
      <c r="D520">
        <v>0.26</v>
      </c>
      <c r="E520">
        <v>0.3881</v>
      </c>
      <c r="F520">
        <v>5</v>
      </c>
      <c r="G520">
        <v>50</v>
      </c>
      <c r="H520">
        <v>55</v>
      </c>
    </row>
    <row r="521" spans="1:8">
      <c r="A521">
        <v>519</v>
      </c>
      <c r="B521">
        <v>520</v>
      </c>
      <c r="C521">
        <v>0.1212</v>
      </c>
      <c r="D521">
        <v>0.3</v>
      </c>
      <c r="E521">
        <v>0.25369999999999998</v>
      </c>
      <c r="F521">
        <v>5</v>
      </c>
      <c r="G521">
        <v>44</v>
      </c>
      <c r="H521">
        <v>49</v>
      </c>
    </row>
    <row r="522" spans="1:8">
      <c r="A522">
        <v>520</v>
      </c>
      <c r="B522">
        <v>521</v>
      </c>
      <c r="C522">
        <v>0.1212</v>
      </c>
      <c r="D522">
        <v>0.3</v>
      </c>
      <c r="E522">
        <v>0.28360000000000002</v>
      </c>
      <c r="F522">
        <v>5</v>
      </c>
      <c r="G522">
        <v>45</v>
      </c>
      <c r="H522">
        <v>50</v>
      </c>
    </row>
    <row r="523" spans="1:8">
      <c r="A523">
        <v>521</v>
      </c>
      <c r="B523">
        <v>522</v>
      </c>
      <c r="C523">
        <v>0.1061</v>
      </c>
      <c r="D523">
        <v>0.36</v>
      </c>
      <c r="E523">
        <v>0.25369999999999998</v>
      </c>
      <c r="F523">
        <v>4</v>
      </c>
      <c r="G523">
        <v>31</v>
      </c>
      <c r="H523">
        <v>35</v>
      </c>
    </row>
    <row r="524" spans="1:8">
      <c r="A524">
        <v>522</v>
      </c>
      <c r="B524">
        <v>523</v>
      </c>
      <c r="C524">
        <v>0.1061</v>
      </c>
      <c r="D524">
        <v>0.36</v>
      </c>
      <c r="E524">
        <v>0.19400000000000001</v>
      </c>
      <c r="F524">
        <v>5</v>
      </c>
      <c r="G524">
        <v>20</v>
      </c>
      <c r="H524">
        <v>25</v>
      </c>
    </row>
    <row r="525" spans="1:8">
      <c r="A525">
        <v>523</v>
      </c>
      <c r="B525">
        <v>524</v>
      </c>
      <c r="C525">
        <v>9.0899999999999995E-2</v>
      </c>
      <c r="D525">
        <v>0.38</v>
      </c>
      <c r="E525">
        <v>0.19400000000000001</v>
      </c>
      <c r="F525">
        <v>5</v>
      </c>
      <c r="G525">
        <v>23</v>
      </c>
      <c r="H525">
        <v>28</v>
      </c>
    </row>
    <row r="526" spans="1:8">
      <c r="A526">
        <v>524</v>
      </c>
      <c r="B526">
        <v>525</v>
      </c>
      <c r="C526">
        <v>6.0600000000000001E-2</v>
      </c>
      <c r="D526">
        <v>0.41</v>
      </c>
      <c r="E526">
        <v>0.22389999999999999</v>
      </c>
      <c r="F526">
        <v>4</v>
      </c>
      <c r="G526">
        <v>17</v>
      </c>
      <c r="H526">
        <v>21</v>
      </c>
    </row>
    <row r="527" spans="1:8">
      <c r="A527">
        <v>525</v>
      </c>
      <c r="B527">
        <v>526</v>
      </c>
      <c r="C527">
        <v>6.0600000000000001E-2</v>
      </c>
      <c r="D527">
        <v>0.41</v>
      </c>
      <c r="E527">
        <v>0.19400000000000001</v>
      </c>
      <c r="F527">
        <v>0</v>
      </c>
      <c r="G527">
        <v>7</v>
      </c>
      <c r="H527">
        <v>7</v>
      </c>
    </row>
    <row r="528" spans="1:8">
      <c r="A528">
        <v>526</v>
      </c>
      <c r="B528">
        <v>527</v>
      </c>
      <c r="C528">
        <v>4.5499999999999999E-2</v>
      </c>
      <c r="D528">
        <v>0.45</v>
      </c>
      <c r="E528">
        <v>0.19400000000000001</v>
      </c>
      <c r="F528">
        <v>0</v>
      </c>
      <c r="G528">
        <v>1</v>
      </c>
      <c r="H528">
        <v>1</v>
      </c>
    </row>
    <row r="529" spans="1:8">
      <c r="A529">
        <v>527</v>
      </c>
      <c r="B529">
        <v>528</v>
      </c>
      <c r="C529">
        <v>3.0300000000000001E-2</v>
      </c>
      <c r="D529">
        <v>0.45</v>
      </c>
      <c r="E529">
        <v>0.25369999999999998</v>
      </c>
      <c r="F529">
        <v>0</v>
      </c>
      <c r="G529">
        <v>1</v>
      </c>
      <c r="H529">
        <v>1</v>
      </c>
    </row>
    <row r="530" spans="1:8">
      <c r="A530">
        <v>528</v>
      </c>
      <c r="B530">
        <v>529</v>
      </c>
      <c r="C530">
        <v>6.0600000000000001E-2</v>
      </c>
      <c r="D530">
        <v>0.48</v>
      </c>
      <c r="E530">
        <v>0.1343</v>
      </c>
      <c r="F530">
        <v>0</v>
      </c>
      <c r="G530">
        <v>1</v>
      </c>
      <c r="H530">
        <v>1</v>
      </c>
    </row>
    <row r="531" spans="1:8">
      <c r="A531">
        <v>529</v>
      </c>
      <c r="B531">
        <v>530</v>
      </c>
      <c r="C531">
        <v>6.0600000000000001E-2</v>
      </c>
      <c r="D531">
        <v>0.48</v>
      </c>
      <c r="E531">
        <v>0.1343</v>
      </c>
      <c r="F531">
        <v>0</v>
      </c>
      <c r="G531">
        <v>5</v>
      </c>
      <c r="H531">
        <v>5</v>
      </c>
    </row>
    <row r="532" spans="1:8">
      <c r="A532">
        <v>530</v>
      </c>
      <c r="B532">
        <v>531</v>
      </c>
      <c r="C532">
        <v>7.5800000000000006E-2</v>
      </c>
      <c r="D532">
        <v>0.48</v>
      </c>
      <c r="E532">
        <v>8.9599999999999999E-2</v>
      </c>
      <c r="F532">
        <v>0</v>
      </c>
      <c r="G532">
        <v>15</v>
      </c>
      <c r="H532">
        <v>15</v>
      </c>
    </row>
    <row r="533" spans="1:8">
      <c r="A533">
        <v>531</v>
      </c>
      <c r="B533">
        <v>532</v>
      </c>
      <c r="C533">
        <v>0.1212</v>
      </c>
      <c r="D533">
        <v>0.48</v>
      </c>
      <c r="E533">
        <v>0</v>
      </c>
      <c r="F533">
        <v>5</v>
      </c>
      <c r="G533">
        <v>79</v>
      </c>
      <c r="H533">
        <v>84</v>
      </c>
    </row>
    <row r="534" spans="1:8">
      <c r="A534">
        <v>532</v>
      </c>
      <c r="B534">
        <v>533</v>
      </c>
      <c r="C534">
        <v>0.13639999999999999</v>
      </c>
      <c r="D534">
        <v>0.49</v>
      </c>
      <c r="E534">
        <v>0</v>
      </c>
      <c r="F534">
        <v>6</v>
      </c>
      <c r="G534">
        <v>171</v>
      </c>
      <c r="H534">
        <v>177</v>
      </c>
    </row>
    <row r="535" spans="1:8">
      <c r="A535">
        <v>533</v>
      </c>
      <c r="B535">
        <v>534</v>
      </c>
      <c r="C535">
        <v>0.1515</v>
      </c>
      <c r="D535">
        <v>0.41</v>
      </c>
      <c r="E535">
        <v>0</v>
      </c>
      <c r="F535">
        <v>4</v>
      </c>
      <c r="G535">
        <v>98</v>
      </c>
      <c r="H535">
        <v>102</v>
      </c>
    </row>
    <row r="536" spans="1:8">
      <c r="A536">
        <v>534</v>
      </c>
      <c r="B536">
        <v>535</v>
      </c>
      <c r="C536">
        <v>0.13639999999999999</v>
      </c>
      <c r="D536">
        <v>0.42</v>
      </c>
      <c r="E536">
        <v>0</v>
      </c>
      <c r="F536">
        <v>6</v>
      </c>
      <c r="G536">
        <v>34</v>
      </c>
      <c r="H536">
        <v>40</v>
      </c>
    </row>
    <row r="537" spans="1:8">
      <c r="A537">
        <v>535</v>
      </c>
      <c r="B537">
        <v>536</v>
      </c>
      <c r="C537">
        <v>0.1212</v>
      </c>
      <c r="D537">
        <v>0.46</v>
      </c>
      <c r="E537">
        <v>0.1343</v>
      </c>
      <c r="F537">
        <v>3</v>
      </c>
      <c r="G537">
        <v>43</v>
      </c>
      <c r="H537">
        <v>46</v>
      </c>
    </row>
    <row r="538" spans="1:8">
      <c r="A538">
        <v>536</v>
      </c>
      <c r="B538">
        <v>537</v>
      </c>
      <c r="C538">
        <v>0.13639999999999999</v>
      </c>
      <c r="D538">
        <v>0.42</v>
      </c>
      <c r="E538">
        <v>0.19400000000000001</v>
      </c>
      <c r="F538">
        <v>11</v>
      </c>
      <c r="G538">
        <v>52</v>
      </c>
      <c r="H538">
        <v>63</v>
      </c>
    </row>
    <row r="539" spans="1:8">
      <c r="A539">
        <v>537</v>
      </c>
      <c r="B539">
        <v>538</v>
      </c>
      <c r="C539">
        <v>0.13639999999999999</v>
      </c>
      <c r="D539">
        <v>0.43</v>
      </c>
      <c r="E539">
        <v>0.22389999999999999</v>
      </c>
      <c r="F539">
        <v>6</v>
      </c>
      <c r="G539">
        <v>54</v>
      </c>
      <c r="H539">
        <v>60</v>
      </c>
    </row>
    <row r="540" spans="1:8">
      <c r="A540">
        <v>538</v>
      </c>
      <c r="B540">
        <v>539</v>
      </c>
      <c r="C540">
        <v>0.13639999999999999</v>
      </c>
      <c r="D540">
        <v>0.46</v>
      </c>
      <c r="E540">
        <v>0.22389999999999999</v>
      </c>
      <c r="F540">
        <v>2</v>
      </c>
      <c r="G540">
        <v>43</v>
      </c>
      <c r="H540">
        <v>45</v>
      </c>
    </row>
    <row r="541" spans="1:8">
      <c r="A541">
        <v>539</v>
      </c>
      <c r="B541">
        <v>540</v>
      </c>
      <c r="C541">
        <v>0.16669999999999999</v>
      </c>
      <c r="D541">
        <v>0.4</v>
      </c>
      <c r="E541">
        <v>0.16420000000000001</v>
      </c>
      <c r="F541">
        <v>7</v>
      </c>
      <c r="G541">
        <v>50</v>
      </c>
      <c r="H541">
        <v>57</v>
      </c>
    </row>
    <row r="542" spans="1:8">
      <c r="A542">
        <v>540</v>
      </c>
      <c r="B542">
        <v>541</v>
      </c>
      <c r="C542">
        <v>0.1515</v>
      </c>
      <c r="D542">
        <v>0.47</v>
      </c>
      <c r="E542">
        <v>0.25369999999999998</v>
      </c>
      <c r="F542">
        <v>4</v>
      </c>
      <c r="G542">
        <v>66</v>
      </c>
      <c r="H542">
        <v>70</v>
      </c>
    </row>
    <row r="543" spans="1:8">
      <c r="A543">
        <v>541</v>
      </c>
      <c r="B543">
        <v>542</v>
      </c>
      <c r="C543">
        <v>0.1212</v>
      </c>
      <c r="D543">
        <v>0.5</v>
      </c>
      <c r="E543">
        <v>0.25369999999999998</v>
      </c>
      <c r="F543">
        <v>6</v>
      </c>
      <c r="G543">
        <v>178</v>
      </c>
      <c r="H543">
        <v>184</v>
      </c>
    </row>
    <row r="544" spans="1:8">
      <c r="A544">
        <v>542</v>
      </c>
      <c r="B544">
        <v>543</v>
      </c>
      <c r="C544">
        <v>0.13639999999999999</v>
      </c>
      <c r="D544">
        <v>0.59</v>
      </c>
      <c r="E544">
        <v>0.19400000000000001</v>
      </c>
      <c r="F544">
        <v>8</v>
      </c>
      <c r="G544">
        <v>145</v>
      </c>
      <c r="H544">
        <v>153</v>
      </c>
    </row>
    <row r="545" spans="1:8">
      <c r="A545">
        <v>543</v>
      </c>
      <c r="B545">
        <v>544</v>
      </c>
      <c r="C545">
        <v>0.1515</v>
      </c>
      <c r="D545">
        <v>0.54</v>
      </c>
      <c r="E545">
        <v>0.16420000000000001</v>
      </c>
      <c r="F545">
        <v>5</v>
      </c>
      <c r="G545">
        <v>101</v>
      </c>
      <c r="H545">
        <v>106</v>
      </c>
    </row>
    <row r="546" spans="1:8">
      <c r="A546">
        <v>544</v>
      </c>
      <c r="B546">
        <v>545</v>
      </c>
      <c r="C546">
        <v>0.13639999999999999</v>
      </c>
      <c r="D546">
        <v>0.59</v>
      </c>
      <c r="E546">
        <v>0.19400000000000001</v>
      </c>
      <c r="F546">
        <v>1</v>
      </c>
      <c r="G546">
        <v>80</v>
      </c>
      <c r="H546">
        <v>81</v>
      </c>
    </row>
    <row r="547" spans="1:8">
      <c r="A547">
        <v>545</v>
      </c>
      <c r="B547">
        <v>546</v>
      </c>
      <c r="C547">
        <v>0.1515</v>
      </c>
      <c r="D547">
        <v>0.63</v>
      </c>
      <c r="E547">
        <v>0.16420000000000001</v>
      </c>
      <c r="F547">
        <v>6</v>
      </c>
      <c r="G547">
        <v>53</v>
      </c>
      <c r="H547">
        <v>59</v>
      </c>
    </row>
    <row r="548" spans="1:8">
      <c r="A548">
        <v>546</v>
      </c>
      <c r="B548">
        <v>547</v>
      </c>
      <c r="C548">
        <v>0.13639999999999999</v>
      </c>
      <c r="D548">
        <v>0.63</v>
      </c>
      <c r="E548">
        <v>0.22389999999999999</v>
      </c>
      <c r="F548">
        <v>3</v>
      </c>
      <c r="G548">
        <v>32</v>
      </c>
      <c r="H548">
        <v>35</v>
      </c>
    </row>
    <row r="549" spans="1:8">
      <c r="A549">
        <v>547</v>
      </c>
      <c r="B549">
        <v>548</v>
      </c>
      <c r="C549">
        <v>0.1515</v>
      </c>
      <c r="D549">
        <v>0.64</v>
      </c>
      <c r="E549">
        <v>0.25369999999999998</v>
      </c>
      <c r="F549">
        <v>3</v>
      </c>
      <c r="G549">
        <v>21</v>
      </c>
      <c r="H549">
        <v>24</v>
      </c>
    </row>
    <row r="550" spans="1:8">
      <c r="A550">
        <v>548</v>
      </c>
      <c r="B550">
        <v>549</v>
      </c>
      <c r="C550">
        <v>0.13639999999999999</v>
      </c>
      <c r="D550">
        <v>0.69</v>
      </c>
      <c r="E550">
        <v>0.28360000000000002</v>
      </c>
      <c r="F550">
        <v>3</v>
      </c>
      <c r="G550">
        <v>6</v>
      </c>
      <c r="H550">
        <v>9</v>
      </c>
    </row>
    <row r="551" spans="1:8">
      <c r="A551">
        <v>549</v>
      </c>
      <c r="B551">
        <v>550</v>
      </c>
      <c r="C551">
        <v>0.16669999999999999</v>
      </c>
      <c r="D551">
        <v>0.69</v>
      </c>
      <c r="E551">
        <v>0.16420000000000001</v>
      </c>
      <c r="F551">
        <v>0</v>
      </c>
      <c r="G551">
        <v>5</v>
      </c>
      <c r="H551">
        <v>5</v>
      </c>
    </row>
    <row r="552" spans="1:8">
      <c r="A552">
        <v>550</v>
      </c>
      <c r="B552">
        <v>551</v>
      </c>
      <c r="C552">
        <v>0.1515</v>
      </c>
      <c r="D552">
        <v>0.69</v>
      </c>
      <c r="E552">
        <v>0.22389999999999999</v>
      </c>
      <c r="F552">
        <v>0</v>
      </c>
      <c r="G552">
        <v>2</v>
      </c>
      <c r="H552">
        <v>2</v>
      </c>
    </row>
    <row r="553" spans="1:8">
      <c r="A553">
        <v>551</v>
      </c>
      <c r="B553">
        <v>552</v>
      </c>
      <c r="C553">
        <v>0.16669999999999999</v>
      </c>
      <c r="D553">
        <v>0.74</v>
      </c>
      <c r="E553">
        <v>0.1045</v>
      </c>
      <c r="F553">
        <v>0</v>
      </c>
      <c r="G553">
        <v>1</v>
      </c>
      <c r="H553">
        <v>1</v>
      </c>
    </row>
    <row r="554" spans="1:8">
      <c r="A554">
        <v>552</v>
      </c>
      <c r="B554">
        <v>553</v>
      </c>
      <c r="C554">
        <v>0.13639999999999999</v>
      </c>
      <c r="D554">
        <v>0.74</v>
      </c>
      <c r="E554">
        <v>0.22389999999999999</v>
      </c>
      <c r="F554">
        <v>0</v>
      </c>
      <c r="G554">
        <v>9</v>
      </c>
      <c r="H554">
        <v>9</v>
      </c>
    </row>
    <row r="555" spans="1:8">
      <c r="A555">
        <v>553</v>
      </c>
      <c r="B555">
        <v>554</v>
      </c>
      <c r="C555">
        <v>0.18179999999999999</v>
      </c>
      <c r="D555">
        <v>0.74</v>
      </c>
      <c r="E555">
        <v>0.1045</v>
      </c>
      <c r="F555">
        <v>1</v>
      </c>
      <c r="G555">
        <v>35</v>
      </c>
      <c r="H555">
        <v>36</v>
      </c>
    </row>
    <row r="556" spans="1:8">
      <c r="A556">
        <v>554</v>
      </c>
      <c r="B556">
        <v>555</v>
      </c>
      <c r="C556">
        <v>0.1515</v>
      </c>
      <c r="D556">
        <v>0.74</v>
      </c>
      <c r="E556">
        <v>0.22389999999999999</v>
      </c>
      <c r="F556">
        <v>5</v>
      </c>
      <c r="G556">
        <v>103</v>
      </c>
      <c r="H556">
        <v>108</v>
      </c>
    </row>
    <row r="557" spans="1:8">
      <c r="A557">
        <v>555</v>
      </c>
      <c r="B557">
        <v>556</v>
      </c>
      <c r="C557">
        <v>0.18179999999999999</v>
      </c>
      <c r="D557">
        <v>0.74</v>
      </c>
      <c r="E557">
        <v>0.1343</v>
      </c>
      <c r="F557">
        <v>5</v>
      </c>
      <c r="G557">
        <v>233</v>
      </c>
      <c r="H557">
        <v>238</v>
      </c>
    </row>
    <row r="558" spans="1:8">
      <c r="A558">
        <v>556</v>
      </c>
      <c r="B558">
        <v>557</v>
      </c>
      <c r="C558">
        <v>0.2273</v>
      </c>
      <c r="D558">
        <v>0.64</v>
      </c>
      <c r="E558">
        <v>8.9599999999999999E-2</v>
      </c>
      <c r="F558">
        <v>10</v>
      </c>
      <c r="G558">
        <v>134</v>
      </c>
      <c r="H558">
        <v>144</v>
      </c>
    </row>
    <row r="559" spans="1:8">
      <c r="A559">
        <v>557</v>
      </c>
      <c r="B559">
        <v>558</v>
      </c>
      <c r="C559">
        <v>0.2424</v>
      </c>
      <c r="D559">
        <v>0.6</v>
      </c>
      <c r="E559">
        <v>0.1045</v>
      </c>
      <c r="F559">
        <v>6</v>
      </c>
      <c r="G559">
        <v>49</v>
      </c>
      <c r="H559">
        <v>55</v>
      </c>
    </row>
    <row r="560" spans="1:8">
      <c r="A560">
        <v>558</v>
      </c>
      <c r="B560">
        <v>559</v>
      </c>
      <c r="C560">
        <v>0.2424</v>
      </c>
      <c r="D560">
        <v>0.6</v>
      </c>
      <c r="E560">
        <v>0.1343</v>
      </c>
      <c r="F560">
        <v>6</v>
      </c>
      <c r="G560">
        <v>55</v>
      </c>
      <c r="H560">
        <v>61</v>
      </c>
    </row>
    <row r="561" spans="1:8">
      <c r="A561">
        <v>559</v>
      </c>
      <c r="B561">
        <v>560</v>
      </c>
      <c r="C561">
        <v>0.28789999999999999</v>
      </c>
      <c r="D561">
        <v>0.56000000000000005</v>
      </c>
      <c r="E561">
        <v>8.9599999999999999E-2</v>
      </c>
      <c r="F561">
        <v>21</v>
      </c>
      <c r="G561">
        <v>85</v>
      </c>
      <c r="H561">
        <v>106</v>
      </c>
    </row>
    <row r="562" spans="1:8">
      <c r="A562">
        <v>560</v>
      </c>
      <c r="B562">
        <v>561</v>
      </c>
      <c r="C562">
        <v>0.2727</v>
      </c>
      <c r="D562">
        <v>0.56000000000000005</v>
      </c>
      <c r="E562">
        <v>0.1343</v>
      </c>
      <c r="F562">
        <v>21</v>
      </c>
      <c r="G562">
        <v>72</v>
      </c>
      <c r="H562">
        <v>93</v>
      </c>
    </row>
    <row r="563" spans="1:8">
      <c r="A563">
        <v>561</v>
      </c>
      <c r="B563">
        <v>562</v>
      </c>
      <c r="C563">
        <v>0.33329999999999999</v>
      </c>
      <c r="D563">
        <v>0.45</v>
      </c>
      <c r="E563">
        <v>0</v>
      </c>
      <c r="F563">
        <v>11</v>
      </c>
      <c r="G563">
        <v>57</v>
      </c>
      <c r="H563">
        <v>68</v>
      </c>
    </row>
    <row r="564" spans="1:8">
      <c r="A564">
        <v>562</v>
      </c>
      <c r="B564">
        <v>563</v>
      </c>
      <c r="C564">
        <v>0.34849999999999998</v>
      </c>
      <c r="D564">
        <v>0.42</v>
      </c>
      <c r="E564">
        <v>0</v>
      </c>
      <c r="F564">
        <v>21</v>
      </c>
      <c r="G564">
        <v>63</v>
      </c>
      <c r="H564">
        <v>84</v>
      </c>
    </row>
    <row r="565" spans="1:8">
      <c r="A565">
        <v>563</v>
      </c>
      <c r="B565">
        <v>564</v>
      </c>
      <c r="C565">
        <v>0.34849999999999998</v>
      </c>
      <c r="D565">
        <v>0.42</v>
      </c>
      <c r="E565">
        <v>0</v>
      </c>
      <c r="F565">
        <v>14</v>
      </c>
      <c r="G565">
        <v>102</v>
      </c>
      <c r="H565">
        <v>116</v>
      </c>
    </row>
    <row r="566" spans="1:8">
      <c r="A566">
        <v>564</v>
      </c>
      <c r="B566">
        <v>565</v>
      </c>
      <c r="C566">
        <v>0.33329999999999999</v>
      </c>
      <c r="D566">
        <v>0.45</v>
      </c>
      <c r="E566">
        <v>0</v>
      </c>
      <c r="F566">
        <v>14</v>
      </c>
      <c r="G566">
        <v>208</v>
      </c>
      <c r="H566">
        <v>222</v>
      </c>
    </row>
    <row r="567" spans="1:8">
      <c r="A567">
        <v>565</v>
      </c>
      <c r="B567">
        <v>566</v>
      </c>
      <c r="C567">
        <v>0.31819999999999998</v>
      </c>
      <c r="D567">
        <v>0.49</v>
      </c>
      <c r="E567">
        <v>8.9599999999999999E-2</v>
      </c>
      <c r="F567">
        <v>7</v>
      </c>
      <c r="G567">
        <v>218</v>
      </c>
      <c r="H567">
        <v>225</v>
      </c>
    </row>
    <row r="568" spans="1:8">
      <c r="A568">
        <v>566</v>
      </c>
      <c r="B568">
        <v>567</v>
      </c>
      <c r="C568">
        <v>0.2576</v>
      </c>
      <c r="D568">
        <v>0.65</v>
      </c>
      <c r="E568">
        <v>0.16420000000000001</v>
      </c>
      <c r="F568">
        <v>13</v>
      </c>
      <c r="G568">
        <v>133</v>
      </c>
      <c r="H568">
        <v>146</v>
      </c>
    </row>
    <row r="569" spans="1:8">
      <c r="A569">
        <v>567</v>
      </c>
      <c r="B569">
        <v>568</v>
      </c>
      <c r="C569">
        <v>0.2273</v>
      </c>
      <c r="D569">
        <v>0.65</v>
      </c>
      <c r="E569">
        <v>0.19400000000000001</v>
      </c>
      <c r="F569">
        <v>16</v>
      </c>
      <c r="G569">
        <v>103</v>
      </c>
      <c r="H569">
        <v>119</v>
      </c>
    </row>
    <row r="570" spans="1:8">
      <c r="A570">
        <v>568</v>
      </c>
      <c r="B570">
        <v>569</v>
      </c>
      <c r="C570">
        <v>0.2273</v>
      </c>
      <c r="D570">
        <v>0.65</v>
      </c>
      <c r="E570">
        <v>0.19400000000000001</v>
      </c>
      <c r="F570">
        <v>5</v>
      </c>
      <c r="G570">
        <v>40</v>
      </c>
      <c r="H570">
        <v>45</v>
      </c>
    </row>
    <row r="571" spans="1:8">
      <c r="A571">
        <v>569</v>
      </c>
      <c r="B571">
        <v>570</v>
      </c>
      <c r="C571">
        <v>0.2273</v>
      </c>
      <c r="D571">
        <v>0.64</v>
      </c>
      <c r="E571">
        <v>0.16420000000000001</v>
      </c>
      <c r="F571">
        <v>4</v>
      </c>
      <c r="G571">
        <v>49</v>
      </c>
      <c r="H571">
        <v>53</v>
      </c>
    </row>
    <row r="572" spans="1:8">
      <c r="A572">
        <v>570</v>
      </c>
      <c r="B572">
        <v>571</v>
      </c>
      <c r="C572">
        <v>0.2273</v>
      </c>
      <c r="D572">
        <v>0.64</v>
      </c>
      <c r="E572">
        <v>0.16420000000000001</v>
      </c>
      <c r="F572">
        <v>3</v>
      </c>
      <c r="G572">
        <v>37</v>
      </c>
      <c r="H572">
        <v>40</v>
      </c>
    </row>
    <row r="573" spans="1:8">
      <c r="A573">
        <v>571</v>
      </c>
      <c r="B573">
        <v>572</v>
      </c>
      <c r="C573">
        <v>0.2273</v>
      </c>
      <c r="D573">
        <v>0.69</v>
      </c>
      <c r="E573">
        <v>0.1343</v>
      </c>
      <c r="F573">
        <v>3</v>
      </c>
      <c r="G573">
        <v>14</v>
      </c>
      <c r="H573">
        <v>17</v>
      </c>
    </row>
    <row r="574" spans="1:8">
      <c r="A574">
        <v>572</v>
      </c>
      <c r="B574">
        <v>573</v>
      </c>
      <c r="C574">
        <v>0.2424</v>
      </c>
      <c r="D574">
        <v>0.65</v>
      </c>
      <c r="E574">
        <v>0.1343</v>
      </c>
      <c r="F574">
        <v>0</v>
      </c>
      <c r="G574">
        <v>5</v>
      </c>
      <c r="H574">
        <v>5</v>
      </c>
    </row>
    <row r="575" spans="1:8">
      <c r="A575">
        <v>573</v>
      </c>
      <c r="B575">
        <v>574</v>
      </c>
      <c r="C575">
        <v>0.2273</v>
      </c>
      <c r="D575">
        <v>0.69</v>
      </c>
      <c r="E575">
        <v>0.19400000000000001</v>
      </c>
      <c r="F575">
        <v>3</v>
      </c>
      <c r="G575">
        <v>7</v>
      </c>
      <c r="H575">
        <v>10</v>
      </c>
    </row>
    <row r="576" spans="1:8">
      <c r="A576">
        <v>574</v>
      </c>
      <c r="B576">
        <v>575</v>
      </c>
      <c r="C576">
        <v>0.18179999999999999</v>
      </c>
      <c r="D576">
        <v>0.86</v>
      </c>
      <c r="E576">
        <v>0.28360000000000002</v>
      </c>
      <c r="F576">
        <v>0</v>
      </c>
      <c r="G576">
        <v>1</v>
      </c>
      <c r="H576">
        <v>1</v>
      </c>
    </row>
    <row r="577" spans="1:8">
      <c r="A577">
        <v>575</v>
      </c>
      <c r="B577">
        <v>576</v>
      </c>
      <c r="C577">
        <v>0.18179999999999999</v>
      </c>
      <c r="D577">
        <v>0.86</v>
      </c>
      <c r="E577">
        <v>0.28360000000000002</v>
      </c>
      <c r="F577">
        <v>0</v>
      </c>
      <c r="G577">
        <v>8</v>
      </c>
      <c r="H577">
        <v>8</v>
      </c>
    </row>
    <row r="578" spans="1:8">
      <c r="A578">
        <v>576</v>
      </c>
      <c r="B578">
        <v>577</v>
      </c>
      <c r="C578">
        <v>0.21210000000000001</v>
      </c>
      <c r="D578">
        <v>0.87</v>
      </c>
      <c r="E578">
        <v>0.29849999999999999</v>
      </c>
      <c r="F578">
        <v>1</v>
      </c>
      <c r="G578">
        <v>29</v>
      </c>
      <c r="H578">
        <v>30</v>
      </c>
    </row>
    <row r="579" spans="1:8">
      <c r="A579">
        <v>577</v>
      </c>
      <c r="B579">
        <v>578</v>
      </c>
      <c r="C579">
        <v>0.21210000000000001</v>
      </c>
      <c r="D579">
        <v>0.87</v>
      </c>
      <c r="E579">
        <v>0.29849999999999999</v>
      </c>
      <c r="F579">
        <v>3</v>
      </c>
      <c r="G579">
        <v>69</v>
      </c>
      <c r="H579">
        <v>72</v>
      </c>
    </row>
    <row r="580" spans="1:8">
      <c r="A580">
        <v>578</v>
      </c>
      <c r="B580">
        <v>579</v>
      </c>
      <c r="C580">
        <v>0.21210000000000001</v>
      </c>
      <c r="D580">
        <v>0.87</v>
      </c>
      <c r="E580">
        <v>0.29849999999999999</v>
      </c>
      <c r="F580">
        <v>3</v>
      </c>
      <c r="G580">
        <v>55</v>
      </c>
      <c r="H580">
        <v>58</v>
      </c>
    </row>
    <row r="581" spans="1:8">
      <c r="A581">
        <v>579</v>
      </c>
      <c r="B581">
        <v>580</v>
      </c>
      <c r="C581">
        <v>0.21210000000000001</v>
      </c>
      <c r="D581">
        <v>0.93</v>
      </c>
      <c r="E581">
        <v>0.28360000000000002</v>
      </c>
      <c r="F581">
        <v>2</v>
      </c>
      <c r="G581">
        <v>26</v>
      </c>
      <c r="H581">
        <v>28</v>
      </c>
    </row>
    <row r="582" spans="1:8">
      <c r="A582">
        <v>580</v>
      </c>
      <c r="B582">
        <v>581</v>
      </c>
      <c r="C582">
        <v>0.19700000000000001</v>
      </c>
      <c r="D582">
        <v>0.93</v>
      </c>
      <c r="E582">
        <v>0.32840000000000003</v>
      </c>
      <c r="F582">
        <v>6</v>
      </c>
      <c r="G582">
        <v>35</v>
      </c>
      <c r="H582">
        <v>41</v>
      </c>
    </row>
    <row r="583" spans="1:8">
      <c r="A583">
        <v>581</v>
      </c>
      <c r="B583">
        <v>582</v>
      </c>
      <c r="C583">
        <v>0.19700000000000001</v>
      </c>
      <c r="D583">
        <v>0.93</v>
      </c>
      <c r="E583">
        <v>0.32840000000000003</v>
      </c>
      <c r="F583">
        <v>7</v>
      </c>
      <c r="G583">
        <v>41</v>
      </c>
      <c r="H583">
        <v>48</v>
      </c>
    </row>
    <row r="584" spans="1:8">
      <c r="A584">
        <v>582</v>
      </c>
      <c r="B584">
        <v>583</v>
      </c>
      <c r="C584">
        <v>0.19700000000000001</v>
      </c>
      <c r="D584">
        <v>0.93</v>
      </c>
      <c r="E584">
        <v>0.32840000000000003</v>
      </c>
      <c r="F584">
        <v>4</v>
      </c>
      <c r="G584">
        <v>43</v>
      </c>
      <c r="H584">
        <v>47</v>
      </c>
    </row>
    <row r="585" spans="1:8">
      <c r="A585">
        <v>583</v>
      </c>
      <c r="B585">
        <v>584</v>
      </c>
      <c r="C585">
        <v>0.19700000000000001</v>
      </c>
      <c r="D585">
        <v>0.93</v>
      </c>
      <c r="E585">
        <v>0.35820000000000002</v>
      </c>
      <c r="F585">
        <v>0</v>
      </c>
      <c r="G585">
        <v>36</v>
      </c>
      <c r="H585">
        <v>36</v>
      </c>
    </row>
    <row r="586" spans="1:8">
      <c r="A586">
        <v>584</v>
      </c>
      <c r="B586">
        <v>585</v>
      </c>
      <c r="C586">
        <v>0.18179999999999999</v>
      </c>
      <c r="D586">
        <v>0.93</v>
      </c>
      <c r="E586">
        <v>0.4627</v>
      </c>
      <c r="F586">
        <v>1</v>
      </c>
      <c r="G586">
        <v>42</v>
      </c>
      <c r="H586">
        <v>43</v>
      </c>
    </row>
    <row r="587" spans="1:8">
      <c r="A587">
        <v>585</v>
      </c>
      <c r="B587">
        <v>586</v>
      </c>
      <c r="C587">
        <v>0.19700000000000001</v>
      </c>
      <c r="D587">
        <v>0.93</v>
      </c>
      <c r="E587">
        <v>0.32840000000000003</v>
      </c>
      <c r="F587">
        <v>1</v>
      </c>
      <c r="G587">
        <v>35</v>
      </c>
      <c r="H587">
        <v>36</v>
      </c>
    </row>
    <row r="588" spans="1:8">
      <c r="A588">
        <v>586</v>
      </c>
      <c r="B588">
        <v>587</v>
      </c>
      <c r="C588">
        <v>0.18179999999999999</v>
      </c>
      <c r="D588">
        <v>0.93</v>
      </c>
      <c r="E588">
        <v>0.35820000000000002</v>
      </c>
      <c r="F588">
        <v>0</v>
      </c>
      <c r="G588">
        <v>26</v>
      </c>
      <c r="H588">
        <v>26</v>
      </c>
    </row>
    <row r="589" spans="1:8">
      <c r="A589">
        <v>587</v>
      </c>
      <c r="B589">
        <v>588</v>
      </c>
      <c r="C589">
        <v>0.2273</v>
      </c>
      <c r="D589">
        <v>0.55000000000000004</v>
      </c>
      <c r="E589">
        <v>0.19400000000000001</v>
      </c>
      <c r="F589">
        <v>1</v>
      </c>
      <c r="G589">
        <v>23</v>
      </c>
      <c r="H589">
        <v>24</v>
      </c>
    </row>
    <row r="590" spans="1:8">
      <c r="A590">
        <v>588</v>
      </c>
      <c r="B590">
        <v>589</v>
      </c>
      <c r="C590">
        <v>0.2424</v>
      </c>
      <c r="D590">
        <v>0.55000000000000004</v>
      </c>
      <c r="E590">
        <v>0.1045</v>
      </c>
      <c r="F590">
        <v>2</v>
      </c>
      <c r="G590">
        <v>82</v>
      </c>
      <c r="H590">
        <v>84</v>
      </c>
    </row>
    <row r="591" spans="1:8">
      <c r="A591">
        <v>589</v>
      </c>
      <c r="B591">
        <v>590</v>
      </c>
      <c r="C591">
        <v>0.2273</v>
      </c>
      <c r="D591">
        <v>0.69</v>
      </c>
      <c r="E591">
        <v>8.9599999999999999E-2</v>
      </c>
      <c r="F591">
        <v>3</v>
      </c>
      <c r="G591">
        <v>101</v>
      </c>
      <c r="H591">
        <v>104</v>
      </c>
    </row>
    <row r="592" spans="1:8">
      <c r="A592">
        <v>590</v>
      </c>
      <c r="B592">
        <v>591</v>
      </c>
      <c r="C592">
        <v>0.2273</v>
      </c>
      <c r="D592">
        <v>0.69</v>
      </c>
      <c r="E592">
        <v>8.9599999999999999E-2</v>
      </c>
      <c r="F592">
        <v>3</v>
      </c>
      <c r="G592">
        <v>76</v>
      </c>
      <c r="H592">
        <v>79</v>
      </c>
    </row>
    <row r="593" spans="1:8">
      <c r="A593">
        <v>591</v>
      </c>
      <c r="B593">
        <v>592</v>
      </c>
      <c r="C593">
        <v>0.21210000000000001</v>
      </c>
      <c r="D593">
        <v>0.74</v>
      </c>
      <c r="E593">
        <v>8.9599999999999999E-2</v>
      </c>
      <c r="F593">
        <v>4</v>
      </c>
      <c r="G593">
        <v>55</v>
      </c>
      <c r="H593">
        <v>59</v>
      </c>
    </row>
    <row r="594" spans="1:8">
      <c r="A594">
        <v>592</v>
      </c>
      <c r="B594">
        <v>593</v>
      </c>
      <c r="C594">
        <v>0.21210000000000001</v>
      </c>
      <c r="D594">
        <v>0.74</v>
      </c>
      <c r="E594">
        <v>8.9599999999999999E-2</v>
      </c>
      <c r="F594">
        <v>2</v>
      </c>
      <c r="G594">
        <v>36</v>
      </c>
      <c r="H594">
        <v>38</v>
      </c>
    </row>
    <row r="595" spans="1:8">
      <c r="A595">
        <v>593</v>
      </c>
      <c r="B595">
        <v>594</v>
      </c>
      <c r="C595">
        <v>0.21210000000000001</v>
      </c>
      <c r="D595">
        <v>0.74</v>
      </c>
      <c r="E595">
        <v>8.9599999999999999E-2</v>
      </c>
      <c r="F595">
        <v>0</v>
      </c>
      <c r="G595">
        <v>27</v>
      </c>
      <c r="H595">
        <v>27</v>
      </c>
    </row>
    <row r="596" spans="1:8">
      <c r="A596">
        <v>594</v>
      </c>
      <c r="B596">
        <v>595</v>
      </c>
      <c r="C596">
        <v>0.19700000000000001</v>
      </c>
      <c r="D596">
        <v>0.8</v>
      </c>
      <c r="E596">
        <v>0.16420000000000001</v>
      </c>
      <c r="F596">
        <v>0</v>
      </c>
      <c r="G596">
        <v>16</v>
      </c>
      <c r="H596">
        <v>16</v>
      </c>
    </row>
    <row r="597" spans="1:8">
      <c r="A597">
        <v>595</v>
      </c>
      <c r="B597">
        <v>596</v>
      </c>
      <c r="C597">
        <v>0.21210000000000001</v>
      </c>
      <c r="D597">
        <v>0.75</v>
      </c>
      <c r="E597">
        <v>0.1343</v>
      </c>
      <c r="F597">
        <v>0</v>
      </c>
      <c r="G597">
        <v>9</v>
      </c>
      <c r="H597">
        <v>9</v>
      </c>
    </row>
    <row r="598" spans="1:8">
      <c r="A598">
        <v>596</v>
      </c>
      <c r="B598">
        <v>597</v>
      </c>
      <c r="C598">
        <v>0.21210000000000001</v>
      </c>
      <c r="D598">
        <v>0.75</v>
      </c>
      <c r="E598">
        <v>0.1343</v>
      </c>
      <c r="F598">
        <v>1</v>
      </c>
      <c r="G598">
        <v>2</v>
      </c>
      <c r="H598">
        <v>3</v>
      </c>
    </row>
    <row r="599" spans="1:8">
      <c r="A599">
        <v>597</v>
      </c>
      <c r="B599">
        <v>598</v>
      </c>
      <c r="C599">
        <v>0.21210000000000001</v>
      </c>
      <c r="D599">
        <v>0.75</v>
      </c>
      <c r="E599">
        <v>0.16420000000000001</v>
      </c>
      <c r="F599">
        <v>0</v>
      </c>
      <c r="G599">
        <v>2</v>
      </c>
      <c r="H599">
        <v>2</v>
      </c>
    </row>
    <row r="600" spans="1:8">
      <c r="A600">
        <v>598</v>
      </c>
      <c r="B600">
        <v>599</v>
      </c>
      <c r="C600">
        <v>0.2273</v>
      </c>
      <c r="D600">
        <v>0.75</v>
      </c>
      <c r="E600">
        <v>0.1045</v>
      </c>
      <c r="F600">
        <v>1</v>
      </c>
      <c r="G600">
        <v>0</v>
      </c>
      <c r="H600">
        <v>1</v>
      </c>
    </row>
    <row r="601" spans="1:8">
      <c r="A601">
        <v>599</v>
      </c>
      <c r="B601">
        <v>600</v>
      </c>
      <c r="C601">
        <v>0.21210000000000001</v>
      </c>
      <c r="D601">
        <v>0.8</v>
      </c>
      <c r="E601">
        <v>0.1045</v>
      </c>
      <c r="F601">
        <v>0</v>
      </c>
      <c r="G601">
        <v>4</v>
      </c>
      <c r="H601">
        <v>4</v>
      </c>
    </row>
    <row r="602" spans="1:8">
      <c r="A602">
        <v>600</v>
      </c>
      <c r="B602">
        <v>601</v>
      </c>
      <c r="C602">
        <v>0.19700000000000001</v>
      </c>
      <c r="D602">
        <v>0.8</v>
      </c>
      <c r="E602">
        <v>0.1343</v>
      </c>
      <c r="F602">
        <v>0</v>
      </c>
      <c r="G602">
        <v>16</v>
      </c>
      <c r="H602">
        <v>16</v>
      </c>
    </row>
    <row r="603" spans="1:8">
      <c r="A603">
        <v>601</v>
      </c>
      <c r="B603">
        <v>602</v>
      </c>
      <c r="C603">
        <v>0.19700000000000001</v>
      </c>
      <c r="D603">
        <v>0.86</v>
      </c>
      <c r="E603">
        <v>8.9599999999999999E-2</v>
      </c>
      <c r="F603">
        <v>2</v>
      </c>
      <c r="G603">
        <v>58</v>
      </c>
      <c r="H603">
        <v>60</v>
      </c>
    </row>
    <row r="604" spans="1:8">
      <c r="A604">
        <v>602</v>
      </c>
      <c r="B604">
        <v>603</v>
      </c>
      <c r="C604">
        <v>0.19700000000000001</v>
      </c>
      <c r="D604">
        <v>0.86</v>
      </c>
      <c r="E604">
        <v>8.9599999999999999E-2</v>
      </c>
      <c r="F604">
        <v>2</v>
      </c>
      <c r="G604">
        <v>155</v>
      </c>
      <c r="H604">
        <v>157</v>
      </c>
    </row>
    <row r="605" spans="1:8">
      <c r="A605">
        <v>603</v>
      </c>
      <c r="B605">
        <v>604</v>
      </c>
      <c r="C605">
        <v>0.21210000000000001</v>
      </c>
      <c r="D605">
        <v>0.86</v>
      </c>
      <c r="E605">
        <v>8.9599999999999999E-2</v>
      </c>
      <c r="F605">
        <v>6</v>
      </c>
      <c r="G605">
        <v>95</v>
      </c>
      <c r="H605">
        <v>101</v>
      </c>
    </row>
    <row r="606" spans="1:8">
      <c r="A606">
        <v>604</v>
      </c>
      <c r="B606">
        <v>605</v>
      </c>
      <c r="C606">
        <v>0.21210000000000001</v>
      </c>
      <c r="D606">
        <v>0.86</v>
      </c>
      <c r="E606">
        <v>0.1045</v>
      </c>
      <c r="F606">
        <v>0</v>
      </c>
      <c r="G606">
        <v>49</v>
      </c>
      <c r="H606">
        <v>49</v>
      </c>
    </row>
    <row r="607" spans="1:8">
      <c r="A607">
        <v>605</v>
      </c>
      <c r="B607">
        <v>606</v>
      </c>
      <c r="C607">
        <v>0.21210000000000001</v>
      </c>
      <c r="D607">
        <v>0.93</v>
      </c>
      <c r="E607">
        <v>0.1045</v>
      </c>
      <c r="F607">
        <v>0</v>
      </c>
      <c r="G607">
        <v>30</v>
      </c>
      <c r="H607">
        <v>30</v>
      </c>
    </row>
    <row r="608" spans="1:8">
      <c r="A608">
        <v>606</v>
      </c>
      <c r="B608">
        <v>607</v>
      </c>
      <c r="C608">
        <v>0.21210000000000001</v>
      </c>
      <c r="D608">
        <v>0.93</v>
      </c>
      <c r="E608">
        <v>0.1045</v>
      </c>
      <c r="F608">
        <v>1</v>
      </c>
      <c r="G608">
        <v>28</v>
      </c>
      <c r="H608">
        <v>29</v>
      </c>
    </row>
    <row r="609" spans="1:8">
      <c r="A609">
        <v>607</v>
      </c>
      <c r="B609">
        <v>608</v>
      </c>
      <c r="C609">
        <v>0.21210000000000001</v>
      </c>
      <c r="D609">
        <v>0.93</v>
      </c>
      <c r="E609">
        <v>0.1045</v>
      </c>
      <c r="F609">
        <v>0</v>
      </c>
      <c r="G609">
        <v>31</v>
      </c>
      <c r="H609">
        <v>31</v>
      </c>
    </row>
    <row r="610" spans="1:8">
      <c r="A610">
        <v>608</v>
      </c>
      <c r="B610">
        <v>609</v>
      </c>
      <c r="C610">
        <v>0.2727</v>
      </c>
      <c r="D610">
        <v>0.8</v>
      </c>
      <c r="E610">
        <v>0</v>
      </c>
      <c r="F610">
        <v>2</v>
      </c>
      <c r="G610">
        <v>36</v>
      </c>
      <c r="H610">
        <v>38</v>
      </c>
    </row>
    <row r="611" spans="1:8">
      <c r="A611">
        <v>609</v>
      </c>
      <c r="B611">
        <v>610</v>
      </c>
      <c r="C611">
        <v>0.2576</v>
      </c>
      <c r="D611">
        <v>0.86</v>
      </c>
      <c r="E611">
        <v>0</v>
      </c>
      <c r="F611">
        <v>1</v>
      </c>
      <c r="G611">
        <v>40</v>
      </c>
      <c r="H611">
        <v>41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EBCF6-F63E-46D5-82DC-AAE7C7D459D9}">
  <sheetPr codeName="Sheet19"/>
  <dimension ref="A1:P391"/>
  <sheetViews>
    <sheetView workbookViewId="0">
      <selection sqref="A1:P391"/>
    </sheetView>
  </sheetViews>
  <sheetFormatPr defaultRowHeight="14.4"/>
  <sheetData>
    <row r="1" spans="1:16">
      <c r="A1" t="s">
        <v>34</v>
      </c>
      <c r="B1" t="s">
        <v>35</v>
      </c>
      <c r="C1" t="s">
        <v>36</v>
      </c>
      <c r="D1" t="s">
        <v>37</v>
      </c>
      <c r="E1" t="s">
        <v>38</v>
      </c>
      <c r="F1" t="s">
        <v>39</v>
      </c>
      <c r="G1" t="s">
        <v>40</v>
      </c>
      <c r="H1" t="s">
        <v>41</v>
      </c>
      <c r="I1" t="s">
        <v>42</v>
      </c>
      <c r="J1" t="s">
        <v>43</v>
      </c>
      <c r="K1" t="s">
        <v>45</v>
      </c>
      <c r="L1" t="s">
        <v>46</v>
      </c>
      <c r="M1" t="s">
        <v>47</v>
      </c>
      <c r="N1" t="s">
        <v>48</v>
      </c>
      <c r="O1" t="s">
        <v>49</v>
      </c>
      <c r="P1" t="s">
        <v>50</v>
      </c>
    </row>
    <row r="2" spans="1:16">
      <c r="A2">
        <v>620</v>
      </c>
      <c r="B2">
        <v>40572</v>
      </c>
      <c r="C2">
        <v>1</v>
      </c>
      <c r="D2">
        <v>0</v>
      </c>
      <c r="E2">
        <v>1</v>
      </c>
      <c r="F2">
        <v>1</v>
      </c>
      <c r="G2" t="b">
        <v>0</v>
      </c>
      <c r="H2">
        <v>6</v>
      </c>
      <c r="I2">
        <v>1</v>
      </c>
      <c r="J2">
        <v>0.22</v>
      </c>
      <c r="K2">
        <v>0.2273</v>
      </c>
      <c r="L2">
        <v>0.64</v>
      </c>
      <c r="M2">
        <v>0.19400000000000001</v>
      </c>
      <c r="N2">
        <v>0</v>
      </c>
      <c r="O2">
        <v>20</v>
      </c>
      <c r="P2">
        <v>20</v>
      </c>
    </row>
    <row r="3" spans="1:16">
      <c r="A3">
        <v>621</v>
      </c>
      <c r="B3">
        <v>40572</v>
      </c>
      <c r="C3">
        <v>1</v>
      </c>
      <c r="D3">
        <v>0</v>
      </c>
      <c r="E3">
        <v>1</v>
      </c>
      <c r="F3">
        <v>2</v>
      </c>
      <c r="G3" t="b">
        <v>0</v>
      </c>
      <c r="H3">
        <v>6</v>
      </c>
      <c r="I3">
        <v>1</v>
      </c>
      <c r="J3">
        <v>0.22</v>
      </c>
      <c r="K3">
        <v>0.2273</v>
      </c>
      <c r="L3">
        <v>0.64</v>
      </c>
      <c r="M3">
        <v>0.16420000000000001</v>
      </c>
      <c r="N3">
        <v>0</v>
      </c>
      <c r="O3">
        <v>15</v>
      </c>
      <c r="P3">
        <v>15</v>
      </c>
    </row>
    <row r="4" spans="1:16">
      <c r="A4">
        <v>622</v>
      </c>
      <c r="B4">
        <v>40572</v>
      </c>
      <c r="C4">
        <v>1</v>
      </c>
      <c r="D4">
        <v>0</v>
      </c>
      <c r="E4">
        <v>1</v>
      </c>
      <c r="F4">
        <v>3</v>
      </c>
      <c r="G4" t="b">
        <v>0</v>
      </c>
      <c r="H4">
        <v>6</v>
      </c>
      <c r="I4">
        <v>1</v>
      </c>
      <c r="J4">
        <v>0.2</v>
      </c>
      <c r="K4">
        <v>0.21210000000000001</v>
      </c>
      <c r="L4">
        <v>0.64</v>
      </c>
      <c r="M4">
        <v>0.1343</v>
      </c>
      <c r="N4">
        <v>3</v>
      </c>
      <c r="O4">
        <v>5</v>
      </c>
      <c r="P4">
        <v>8</v>
      </c>
    </row>
    <row r="5" spans="1:16">
      <c r="A5">
        <v>623</v>
      </c>
      <c r="B5">
        <v>40572</v>
      </c>
      <c r="C5">
        <v>1</v>
      </c>
      <c r="D5">
        <v>0</v>
      </c>
      <c r="E5">
        <v>1</v>
      </c>
      <c r="F5">
        <v>4</v>
      </c>
      <c r="G5" t="b">
        <v>0</v>
      </c>
      <c r="H5">
        <v>6</v>
      </c>
      <c r="I5">
        <v>1</v>
      </c>
      <c r="J5">
        <v>0.16</v>
      </c>
      <c r="K5">
        <v>0.18179999999999999</v>
      </c>
      <c r="L5">
        <v>0.69</v>
      </c>
      <c r="M5">
        <v>0.1045</v>
      </c>
      <c r="N5">
        <v>1</v>
      </c>
      <c r="O5">
        <v>2</v>
      </c>
      <c r="P5">
        <v>3</v>
      </c>
    </row>
    <row r="6" spans="1:16">
      <c r="A6">
        <v>624</v>
      </c>
      <c r="B6">
        <v>40572</v>
      </c>
      <c r="C6">
        <v>1</v>
      </c>
      <c r="D6">
        <v>0</v>
      </c>
      <c r="E6">
        <v>1</v>
      </c>
      <c r="F6">
        <v>6</v>
      </c>
      <c r="G6" t="b">
        <v>0</v>
      </c>
      <c r="H6">
        <v>6</v>
      </c>
      <c r="I6">
        <v>1</v>
      </c>
      <c r="J6">
        <v>0.16</v>
      </c>
      <c r="K6">
        <v>0.18179999999999999</v>
      </c>
      <c r="L6">
        <v>0.64</v>
      </c>
      <c r="M6">
        <v>0.1343</v>
      </c>
      <c r="N6">
        <v>0</v>
      </c>
      <c r="O6">
        <v>2</v>
      </c>
      <c r="P6">
        <v>2</v>
      </c>
    </row>
    <row r="7" spans="1:16">
      <c r="A7">
        <v>625</v>
      </c>
      <c r="B7">
        <v>40572</v>
      </c>
      <c r="C7">
        <v>1</v>
      </c>
      <c r="D7">
        <v>0</v>
      </c>
      <c r="E7">
        <v>1</v>
      </c>
      <c r="F7">
        <v>7</v>
      </c>
      <c r="G7" t="b">
        <v>0</v>
      </c>
      <c r="H7">
        <v>6</v>
      </c>
      <c r="I7">
        <v>1</v>
      </c>
      <c r="J7">
        <v>0.16</v>
      </c>
      <c r="K7">
        <v>0.18179999999999999</v>
      </c>
      <c r="L7">
        <v>0.59</v>
      </c>
      <c r="M7">
        <v>0.1045</v>
      </c>
      <c r="N7">
        <v>1</v>
      </c>
      <c r="O7">
        <v>4</v>
      </c>
      <c r="P7">
        <v>5</v>
      </c>
    </row>
    <row r="8" spans="1:16">
      <c r="A8">
        <v>626</v>
      </c>
      <c r="B8">
        <v>40572</v>
      </c>
      <c r="C8">
        <v>1</v>
      </c>
      <c r="D8">
        <v>0</v>
      </c>
      <c r="E8">
        <v>1</v>
      </c>
      <c r="F8">
        <v>8</v>
      </c>
      <c r="G8" t="b">
        <v>0</v>
      </c>
      <c r="H8">
        <v>6</v>
      </c>
      <c r="I8">
        <v>1</v>
      </c>
      <c r="J8">
        <v>0.18</v>
      </c>
      <c r="K8">
        <v>0.19700000000000001</v>
      </c>
      <c r="L8">
        <v>0.55000000000000004</v>
      </c>
      <c r="M8">
        <v>0.16420000000000001</v>
      </c>
      <c r="N8">
        <v>3</v>
      </c>
      <c r="O8">
        <v>31</v>
      </c>
      <c r="P8">
        <v>34</v>
      </c>
    </row>
    <row r="9" spans="1:16">
      <c r="A9">
        <v>627</v>
      </c>
      <c r="B9">
        <v>40572</v>
      </c>
      <c r="C9">
        <v>1</v>
      </c>
      <c r="D9">
        <v>0</v>
      </c>
      <c r="E9">
        <v>1</v>
      </c>
      <c r="F9">
        <v>9</v>
      </c>
      <c r="G9" t="b">
        <v>0</v>
      </c>
      <c r="H9">
        <v>6</v>
      </c>
      <c r="I9">
        <v>1</v>
      </c>
      <c r="J9">
        <v>0.18</v>
      </c>
      <c r="K9">
        <v>0.21210000000000001</v>
      </c>
      <c r="L9">
        <v>0.59</v>
      </c>
      <c r="M9">
        <v>8.9599999999999999E-2</v>
      </c>
      <c r="N9">
        <v>0</v>
      </c>
      <c r="O9">
        <v>34</v>
      </c>
      <c r="P9">
        <v>34</v>
      </c>
    </row>
    <row r="10" spans="1:16">
      <c r="A10">
        <v>628</v>
      </c>
      <c r="B10">
        <v>40572</v>
      </c>
      <c r="C10">
        <v>1</v>
      </c>
      <c r="D10">
        <v>0</v>
      </c>
      <c r="E10">
        <v>1</v>
      </c>
      <c r="F10">
        <v>10</v>
      </c>
      <c r="G10" t="b">
        <v>0</v>
      </c>
      <c r="H10">
        <v>6</v>
      </c>
      <c r="I10">
        <v>2</v>
      </c>
      <c r="J10">
        <v>0.18</v>
      </c>
      <c r="K10">
        <v>0.21210000000000001</v>
      </c>
      <c r="L10">
        <v>0.64</v>
      </c>
      <c r="M10">
        <v>0.1045</v>
      </c>
      <c r="N10">
        <v>4</v>
      </c>
      <c r="O10">
        <v>51</v>
      </c>
      <c r="P10">
        <v>55</v>
      </c>
    </row>
    <row r="11" spans="1:16">
      <c r="A11">
        <v>629</v>
      </c>
      <c r="B11">
        <v>40572</v>
      </c>
      <c r="C11">
        <v>1</v>
      </c>
      <c r="D11">
        <v>0</v>
      </c>
      <c r="E11">
        <v>1</v>
      </c>
      <c r="F11">
        <v>11</v>
      </c>
      <c r="G11" t="b">
        <v>0</v>
      </c>
      <c r="H11">
        <v>6</v>
      </c>
      <c r="I11">
        <v>2</v>
      </c>
      <c r="J11">
        <v>0.18</v>
      </c>
      <c r="K11">
        <v>0.19700000000000001</v>
      </c>
      <c r="L11">
        <v>0.64</v>
      </c>
      <c r="M11">
        <v>0.1343</v>
      </c>
      <c r="N11">
        <v>4</v>
      </c>
      <c r="O11">
        <v>60</v>
      </c>
      <c r="P11">
        <v>64</v>
      </c>
    </row>
    <row r="12" spans="1:16">
      <c r="A12">
        <v>630</v>
      </c>
      <c r="B12">
        <v>40572</v>
      </c>
      <c r="C12">
        <v>1</v>
      </c>
      <c r="D12">
        <v>0</v>
      </c>
      <c r="E12">
        <v>1</v>
      </c>
      <c r="F12">
        <v>12</v>
      </c>
      <c r="G12" t="b">
        <v>0</v>
      </c>
      <c r="H12">
        <v>6</v>
      </c>
      <c r="I12">
        <v>2</v>
      </c>
      <c r="J12">
        <v>0.2</v>
      </c>
      <c r="K12">
        <v>0.19700000000000001</v>
      </c>
      <c r="L12">
        <v>0.59</v>
      </c>
      <c r="M12">
        <v>0.19400000000000001</v>
      </c>
      <c r="N12">
        <v>12</v>
      </c>
      <c r="O12">
        <v>66</v>
      </c>
      <c r="P12">
        <v>78</v>
      </c>
    </row>
    <row r="13" spans="1:16">
      <c r="A13">
        <v>631</v>
      </c>
      <c r="B13">
        <v>40572</v>
      </c>
      <c r="C13">
        <v>1</v>
      </c>
      <c r="D13">
        <v>0</v>
      </c>
      <c r="E13">
        <v>1</v>
      </c>
      <c r="F13">
        <v>13</v>
      </c>
      <c r="G13" t="b">
        <v>0</v>
      </c>
      <c r="H13">
        <v>6</v>
      </c>
      <c r="I13">
        <v>2</v>
      </c>
      <c r="J13">
        <v>0.22</v>
      </c>
      <c r="K13">
        <v>0.2273</v>
      </c>
      <c r="L13">
        <v>0.55000000000000004</v>
      </c>
      <c r="M13">
        <v>0.16420000000000001</v>
      </c>
      <c r="N13">
        <v>9</v>
      </c>
      <c r="O13">
        <v>56</v>
      </c>
      <c r="P13">
        <v>65</v>
      </c>
    </row>
    <row r="14" spans="1:16">
      <c r="A14">
        <v>632</v>
      </c>
      <c r="B14">
        <v>40572</v>
      </c>
      <c r="C14">
        <v>1</v>
      </c>
      <c r="D14">
        <v>0</v>
      </c>
      <c r="E14">
        <v>1</v>
      </c>
      <c r="F14">
        <v>14</v>
      </c>
      <c r="G14" t="b">
        <v>0</v>
      </c>
      <c r="H14">
        <v>6</v>
      </c>
      <c r="I14">
        <v>2</v>
      </c>
      <c r="J14">
        <v>0.22</v>
      </c>
      <c r="K14">
        <v>0.2273</v>
      </c>
      <c r="L14">
        <v>0.6</v>
      </c>
      <c r="M14">
        <v>0.1343</v>
      </c>
      <c r="N14">
        <v>10</v>
      </c>
      <c r="O14">
        <v>89</v>
      </c>
      <c r="P14">
        <v>99</v>
      </c>
    </row>
    <row r="15" spans="1:16">
      <c r="A15">
        <v>633</v>
      </c>
      <c r="B15">
        <v>40572</v>
      </c>
      <c r="C15">
        <v>1</v>
      </c>
      <c r="D15">
        <v>0</v>
      </c>
      <c r="E15">
        <v>1</v>
      </c>
      <c r="F15">
        <v>15</v>
      </c>
      <c r="G15" t="b">
        <v>0</v>
      </c>
      <c r="H15">
        <v>6</v>
      </c>
      <c r="I15">
        <v>1</v>
      </c>
      <c r="J15">
        <v>0.22</v>
      </c>
      <c r="K15">
        <v>0.21210000000000001</v>
      </c>
      <c r="L15">
        <v>0.69</v>
      </c>
      <c r="M15">
        <v>0.25369999999999998</v>
      </c>
      <c r="N15">
        <v>22</v>
      </c>
      <c r="O15">
        <v>98</v>
      </c>
      <c r="P15">
        <v>120</v>
      </c>
    </row>
    <row r="16" spans="1:16">
      <c r="A16">
        <v>634</v>
      </c>
      <c r="B16">
        <v>40572</v>
      </c>
      <c r="C16">
        <v>1</v>
      </c>
      <c r="D16">
        <v>0</v>
      </c>
      <c r="E16">
        <v>1</v>
      </c>
      <c r="F16">
        <v>16</v>
      </c>
      <c r="G16" t="b">
        <v>0</v>
      </c>
      <c r="H16">
        <v>6</v>
      </c>
      <c r="I16">
        <v>1</v>
      </c>
      <c r="J16">
        <v>0.24</v>
      </c>
      <c r="K16">
        <v>0.2424</v>
      </c>
      <c r="L16">
        <v>0.6</v>
      </c>
      <c r="M16">
        <v>0.16420000000000001</v>
      </c>
      <c r="N16">
        <v>19</v>
      </c>
      <c r="O16">
        <v>88</v>
      </c>
      <c r="P16">
        <v>107</v>
      </c>
    </row>
    <row r="17" spans="1:16">
      <c r="A17">
        <v>635</v>
      </c>
      <c r="B17">
        <v>40572</v>
      </c>
      <c r="C17">
        <v>1</v>
      </c>
      <c r="D17">
        <v>0</v>
      </c>
      <c r="E17">
        <v>1</v>
      </c>
      <c r="F17">
        <v>17</v>
      </c>
      <c r="G17" t="b">
        <v>0</v>
      </c>
      <c r="H17">
        <v>6</v>
      </c>
      <c r="I17">
        <v>1</v>
      </c>
      <c r="J17">
        <v>0.24</v>
      </c>
      <c r="K17">
        <v>0.28789999999999999</v>
      </c>
      <c r="L17">
        <v>0.6</v>
      </c>
      <c r="M17">
        <v>0</v>
      </c>
      <c r="N17">
        <v>9</v>
      </c>
      <c r="O17">
        <v>82</v>
      </c>
      <c r="P17">
        <v>91</v>
      </c>
    </row>
    <row r="18" spans="1:16">
      <c r="A18">
        <v>636</v>
      </c>
      <c r="B18">
        <v>40572</v>
      </c>
      <c r="C18">
        <v>1</v>
      </c>
      <c r="D18">
        <v>0</v>
      </c>
      <c r="E18">
        <v>1</v>
      </c>
      <c r="F18">
        <v>18</v>
      </c>
      <c r="G18" t="b">
        <v>0</v>
      </c>
      <c r="H18">
        <v>6</v>
      </c>
      <c r="I18">
        <v>1</v>
      </c>
      <c r="J18">
        <v>0.22</v>
      </c>
      <c r="K18">
        <v>0.2273</v>
      </c>
      <c r="L18">
        <v>0.69</v>
      </c>
      <c r="M18">
        <v>0.1343</v>
      </c>
      <c r="N18">
        <v>9</v>
      </c>
      <c r="O18">
        <v>59</v>
      </c>
      <c r="P18">
        <v>68</v>
      </c>
    </row>
    <row r="19" spans="1:16">
      <c r="A19">
        <v>637</v>
      </c>
      <c r="B19">
        <v>40572</v>
      </c>
      <c r="C19">
        <v>1</v>
      </c>
      <c r="D19">
        <v>0</v>
      </c>
      <c r="E19">
        <v>1</v>
      </c>
      <c r="F19">
        <v>19</v>
      </c>
      <c r="G19" t="b">
        <v>0</v>
      </c>
      <c r="H19">
        <v>6</v>
      </c>
      <c r="I19">
        <v>2</v>
      </c>
      <c r="J19">
        <v>0.22</v>
      </c>
      <c r="K19">
        <v>0.21210000000000001</v>
      </c>
      <c r="L19">
        <v>0.69</v>
      </c>
      <c r="M19">
        <v>0.25369999999999998</v>
      </c>
      <c r="N19">
        <v>6</v>
      </c>
      <c r="O19">
        <v>52</v>
      </c>
      <c r="P19">
        <v>58</v>
      </c>
    </row>
    <row r="20" spans="1:16">
      <c r="A20">
        <v>638</v>
      </c>
      <c r="B20">
        <v>40572</v>
      </c>
      <c r="C20">
        <v>1</v>
      </c>
      <c r="D20">
        <v>0</v>
      </c>
      <c r="E20">
        <v>1</v>
      </c>
      <c r="F20">
        <v>20</v>
      </c>
      <c r="G20" t="b">
        <v>0</v>
      </c>
      <c r="H20">
        <v>6</v>
      </c>
      <c r="I20">
        <v>1</v>
      </c>
      <c r="J20">
        <v>0.18</v>
      </c>
      <c r="K20">
        <v>0.21210000000000001</v>
      </c>
      <c r="L20">
        <v>0.74</v>
      </c>
      <c r="M20">
        <v>8.9599999999999999E-2</v>
      </c>
      <c r="N20">
        <v>1</v>
      </c>
      <c r="O20">
        <v>42</v>
      </c>
      <c r="P20">
        <v>43</v>
      </c>
    </row>
    <row r="21" spans="1:16">
      <c r="A21">
        <v>639</v>
      </c>
      <c r="B21">
        <v>40572</v>
      </c>
      <c r="C21">
        <v>1</v>
      </c>
      <c r="D21">
        <v>0</v>
      </c>
      <c r="E21">
        <v>1</v>
      </c>
      <c r="F21">
        <v>21</v>
      </c>
      <c r="G21" t="b">
        <v>0</v>
      </c>
      <c r="H21">
        <v>6</v>
      </c>
      <c r="I21">
        <v>1</v>
      </c>
      <c r="J21">
        <v>0.18</v>
      </c>
      <c r="K21">
        <v>0.21210000000000001</v>
      </c>
      <c r="L21">
        <v>0.74</v>
      </c>
      <c r="M21">
        <v>8.9599999999999999E-2</v>
      </c>
      <c r="N21">
        <v>1</v>
      </c>
      <c r="O21">
        <v>35</v>
      </c>
      <c r="P21">
        <v>36</v>
      </c>
    </row>
    <row r="22" spans="1:16">
      <c r="A22">
        <v>640</v>
      </c>
      <c r="B22">
        <v>40572</v>
      </c>
      <c r="C22">
        <v>1</v>
      </c>
      <c r="D22">
        <v>0</v>
      </c>
      <c r="E22">
        <v>1</v>
      </c>
      <c r="F22">
        <v>22</v>
      </c>
      <c r="G22" t="b">
        <v>0</v>
      </c>
      <c r="H22">
        <v>6</v>
      </c>
      <c r="I22">
        <v>1</v>
      </c>
      <c r="J22">
        <v>0.16</v>
      </c>
      <c r="K22">
        <v>0.19700000000000001</v>
      </c>
      <c r="L22">
        <v>0.8</v>
      </c>
      <c r="M22">
        <v>8.9599999999999999E-2</v>
      </c>
      <c r="N22">
        <v>4</v>
      </c>
      <c r="O22">
        <v>28</v>
      </c>
      <c r="P22">
        <v>32</v>
      </c>
    </row>
    <row r="23" spans="1:16">
      <c r="A23">
        <v>641</v>
      </c>
      <c r="B23">
        <v>40572</v>
      </c>
      <c r="C23">
        <v>1</v>
      </c>
      <c r="D23">
        <v>0</v>
      </c>
      <c r="E23">
        <v>1</v>
      </c>
      <c r="F23">
        <v>23</v>
      </c>
      <c r="G23" t="b">
        <v>0</v>
      </c>
      <c r="H23">
        <v>6</v>
      </c>
      <c r="I23">
        <v>1</v>
      </c>
      <c r="J23">
        <v>0.16</v>
      </c>
      <c r="K23">
        <v>0.19700000000000001</v>
      </c>
      <c r="L23">
        <v>0.8</v>
      </c>
      <c r="M23">
        <v>8.9599999999999999E-2</v>
      </c>
      <c r="N23">
        <v>3</v>
      </c>
      <c r="O23">
        <v>30</v>
      </c>
      <c r="P23">
        <v>33</v>
      </c>
    </row>
    <row r="24" spans="1:16">
      <c r="A24">
        <v>642</v>
      </c>
      <c r="B24">
        <v>40573</v>
      </c>
      <c r="C24">
        <v>1</v>
      </c>
      <c r="D24">
        <v>0</v>
      </c>
      <c r="E24">
        <v>1</v>
      </c>
      <c r="F24">
        <v>0</v>
      </c>
      <c r="G24" t="b">
        <v>0</v>
      </c>
      <c r="H24">
        <v>0</v>
      </c>
      <c r="I24">
        <v>1</v>
      </c>
      <c r="J24">
        <v>0.16</v>
      </c>
      <c r="K24">
        <v>0.18179999999999999</v>
      </c>
      <c r="L24">
        <v>0.8</v>
      </c>
      <c r="M24">
        <v>0.1045</v>
      </c>
      <c r="N24">
        <v>0</v>
      </c>
      <c r="O24">
        <v>33</v>
      </c>
      <c r="P24">
        <v>33</v>
      </c>
    </row>
    <row r="25" spans="1:16">
      <c r="A25">
        <v>643</v>
      </c>
      <c r="B25">
        <v>40573</v>
      </c>
      <c r="C25">
        <v>1</v>
      </c>
      <c r="D25">
        <v>0</v>
      </c>
      <c r="E25">
        <v>1</v>
      </c>
      <c r="F25">
        <v>1</v>
      </c>
      <c r="G25" t="b">
        <v>0</v>
      </c>
      <c r="H25">
        <v>0</v>
      </c>
      <c r="I25">
        <v>1</v>
      </c>
      <c r="J25">
        <v>0.14000000000000001</v>
      </c>
      <c r="K25">
        <v>0.21210000000000001</v>
      </c>
      <c r="L25">
        <v>0.8</v>
      </c>
      <c r="M25">
        <v>0</v>
      </c>
      <c r="N25">
        <v>7</v>
      </c>
      <c r="O25">
        <v>22</v>
      </c>
      <c r="P25">
        <v>29</v>
      </c>
    </row>
    <row r="26" spans="1:16">
      <c r="A26">
        <v>644</v>
      </c>
      <c r="B26">
        <v>40573</v>
      </c>
      <c r="C26">
        <v>1</v>
      </c>
      <c r="D26">
        <v>0</v>
      </c>
      <c r="E26">
        <v>1</v>
      </c>
      <c r="F26">
        <v>2</v>
      </c>
      <c r="G26" t="b">
        <v>0</v>
      </c>
      <c r="H26">
        <v>0</v>
      </c>
      <c r="I26">
        <v>1</v>
      </c>
      <c r="J26">
        <v>0.16</v>
      </c>
      <c r="K26">
        <v>0.2273</v>
      </c>
      <c r="L26">
        <v>0.8</v>
      </c>
      <c r="M26">
        <v>0</v>
      </c>
      <c r="N26">
        <v>1</v>
      </c>
      <c r="O26">
        <v>10</v>
      </c>
      <c r="P26">
        <v>11</v>
      </c>
    </row>
    <row r="27" spans="1:16">
      <c r="A27">
        <v>645</v>
      </c>
      <c r="B27">
        <v>40573</v>
      </c>
      <c r="C27">
        <v>1</v>
      </c>
      <c r="D27">
        <v>0</v>
      </c>
      <c r="E27">
        <v>1</v>
      </c>
      <c r="F27">
        <v>3</v>
      </c>
      <c r="G27" t="b">
        <v>0</v>
      </c>
      <c r="H27">
        <v>0</v>
      </c>
      <c r="I27">
        <v>1</v>
      </c>
      <c r="J27">
        <v>0.14000000000000001</v>
      </c>
      <c r="K27">
        <v>0.21210000000000001</v>
      </c>
      <c r="L27">
        <v>0.93</v>
      </c>
      <c r="M27">
        <v>0</v>
      </c>
      <c r="N27">
        <v>1</v>
      </c>
      <c r="O27">
        <v>7</v>
      </c>
      <c r="P27">
        <v>8</v>
      </c>
    </row>
    <row r="28" spans="1:16">
      <c r="A28">
        <v>646</v>
      </c>
      <c r="B28">
        <v>40573</v>
      </c>
      <c r="C28">
        <v>1</v>
      </c>
      <c r="D28">
        <v>0</v>
      </c>
      <c r="E28">
        <v>1</v>
      </c>
      <c r="F28">
        <v>4</v>
      </c>
      <c r="G28" t="b">
        <v>0</v>
      </c>
      <c r="H28">
        <v>0</v>
      </c>
      <c r="I28">
        <v>1</v>
      </c>
      <c r="J28">
        <v>0.14000000000000001</v>
      </c>
      <c r="K28">
        <v>0.21210000000000001</v>
      </c>
      <c r="L28">
        <v>0.93</v>
      </c>
      <c r="M28">
        <v>0</v>
      </c>
      <c r="N28">
        <v>0</v>
      </c>
      <c r="O28">
        <v>1</v>
      </c>
      <c r="P28">
        <v>1</v>
      </c>
    </row>
    <row r="29" spans="1:16">
      <c r="A29">
        <v>647</v>
      </c>
      <c r="B29">
        <v>40573</v>
      </c>
      <c r="C29">
        <v>1</v>
      </c>
      <c r="D29">
        <v>0</v>
      </c>
      <c r="E29">
        <v>1</v>
      </c>
      <c r="F29">
        <v>5</v>
      </c>
      <c r="G29" t="b">
        <v>0</v>
      </c>
      <c r="H29">
        <v>0</v>
      </c>
      <c r="I29">
        <v>1</v>
      </c>
      <c r="J29">
        <v>0.14000000000000001</v>
      </c>
      <c r="K29">
        <v>0.21210000000000001</v>
      </c>
      <c r="L29">
        <v>0.86</v>
      </c>
      <c r="M29">
        <v>0</v>
      </c>
      <c r="N29">
        <v>0</v>
      </c>
      <c r="O29">
        <v>3</v>
      </c>
      <c r="P29">
        <v>3</v>
      </c>
    </row>
    <row r="30" spans="1:16">
      <c r="A30">
        <v>648</v>
      </c>
      <c r="B30">
        <v>40573</v>
      </c>
      <c r="C30">
        <v>1</v>
      </c>
      <c r="D30">
        <v>0</v>
      </c>
      <c r="E30">
        <v>1</v>
      </c>
      <c r="F30">
        <v>7</v>
      </c>
      <c r="G30" t="b">
        <v>0</v>
      </c>
      <c r="H30">
        <v>0</v>
      </c>
      <c r="I30">
        <v>1</v>
      </c>
      <c r="J30">
        <v>0.14000000000000001</v>
      </c>
      <c r="K30">
        <v>0.21210000000000001</v>
      </c>
      <c r="L30">
        <v>0.86</v>
      </c>
      <c r="M30">
        <v>0</v>
      </c>
      <c r="N30">
        <v>0</v>
      </c>
      <c r="O30">
        <v>3</v>
      </c>
      <c r="P30">
        <v>3</v>
      </c>
    </row>
    <row r="31" spans="1:16">
      <c r="A31">
        <v>649</v>
      </c>
      <c r="B31">
        <v>40573</v>
      </c>
      <c r="C31">
        <v>1</v>
      </c>
      <c r="D31">
        <v>0</v>
      </c>
      <c r="E31">
        <v>1</v>
      </c>
      <c r="F31">
        <v>8</v>
      </c>
      <c r="G31" t="b">
        <v>0</v>
      </c>
      <c r="H31">
        <v>0</v>
      </c>
      <c r="I31">
        <v>2</v>
      </c>
      <c r="J31">
        <v>0.14000000000000001</v>
      </c>
      <c r="K31">
        <v>0.21210000000000001</v>
      </c>
      <c r="L31">
        <v>0.86</v>
      </c>
      <c r="M31">
        <v>0</v>
      </c>
      <c r="N31">
        <v>1</v>
      </c>
      <c r="O31">
        <v>11</v>
      </c>
      <c r="P31">
        <v>12</v>
      </c>
    </row>
    <row r="32" spans="1:16">
      <c r="A32">
        <v>650</v>
      </c>
      <c r="B32">
        <v>40573</v>
      </c>
      <c r="C32">
        <v>1</v>
      </c>
      <c r="D32">
        <v>0</v>
      </c>
      <c r="E32">
        <v>1</v>
      </c>
      <c r="F32">
        <v>9</v>
      </c>
      <c r="G32" t="b">
        <v>0</v>
      </c>
      <c r="H32">
        <v>0</v>
      </c>
      <c r="I32">
        <v>2</v>
      </c>
      <c r="J32">
        <v>0.16</v>
      </c>
      <c r="K32">
        <v>0.2273</v>
      </c>
      <c r="L32">
        <v>0.8</v>
      </c>
      <c r="M32">
        <v>0</v>
      </c>
      <c r="N32">
        <v>4</v>
      </c>
      <c r="O32">
        <v>34</v>
      </c>
      <c r="P32">
        <v>38</v>
      </c>
    </row>
    <row r="33" spans="1:16">
      <c r="A33">
        <v>651</v>
      </c>
      <c r="B33">
        <v>40573</v>
      </c>
      <c r="C33">
        <v>1</v>
      </c>
      <c r="D33">
        <v>0</v>
      </c>
      <c r="E33">
        <v>1</v>
      </c>
      <c r="F33">
        <v>10</v>
      </c>
      <c r="G33" t="b">
        <v>0</v>
      </c>
      <c r="H33">
        <v>0</v>
      </c>
      <c r="I33">
        <v>2</v>
      </c>
      <c r="J33">
        <v>0.18</v>
      </c>
      <c r="K33">
        <v>0.2424</v>
      </c>
      <c r="L33">
        <v>0.8</v>
      </c>
      <c r="M33">
        <v>0</v>
      </c>
      <c r="N33">
        <v>7</v>
      </c>
      <c r="O33">
        <v>57</v>
      </c>
      <c r="P33">
        <v>64</v>
      </c>
    </row>
    <row r="34" spans="1:16">
      <c r="A34">
        <v>652</v>
      </c>
      <c r="B34">
        <v>40573</v>
      </c>
      <c r="C34">
        <v>1</v>
      </c>
      <c r="D34">
        <v>0</v>
      </c>
      <c r="E34">
        <v>1</v>
      </c>
      <c r="F34">
        <v>11</v>
      </c>
      <c r="G34" t="b">
        <v>0</v>
      </c>
      <c r="H34">
        <v>0</v>
      </c>
      <c r="I34">
        <v>1</v>
      </c>
      <c r="J34">
        <v>0.22</v>
      </c>
      <c r="K34">
        <v>0.2727</v>
      </c>
      <c r="L34">
        <v>0.75</v>
      </c>
      <c r="M34">
        <v>0</v>
      </c>
      <c r="N34">
        <v>9</v>
      </c>
      <c r="O34">
        <v>50</v>
      </c>
      <c r="P34">
        <v>59</v>
      </c>
    </row>
    <row r="35" spans="1:16">
      <c r="A35">
        <v>653</v>
      </c>
      <c r="B35">
        <v>40573</v>
      </c>
      <c r="C35">
        <v>1</v>
      </c>
      <c r="D35">
        <v>0</v>
      </c>
      <c r="E35">
        <v>1</v>
      </c>
      <c r="F35">
        <v>12</v>
      </c>
      <c r="G35" t="b">
        <v>0</v>
      </c>
      <c r="H35">
        <v>0</v>
      </c>
      <c r="I35">
        <v>1</v>
      </c>
      <c r="J35">
        <v>0.3</v>
      </c>
      <c r="K35">
        <v>0.31819999999999998</v>
      </c>
      <c r="L35">
        <v>0.52</v>
      </c>
      <c r="M35">
        <v>0.1045</v>
      </c>
      <c r="N35">
        <v>10</v>
      </c>
      <c r="O35">
        <v>87</v>
      </c>
      <c r="P35">
        <v>97</v>
      </c>
    </row>
    <row r="36" spans="1:16">
      <c r="A36">
        <v>654</v>
      </c>
      <c r="B36">
        <v>40573</v>
      </c>
      <c r="C36">
        <v>1</v>
      </c>
      <c r="D36">
        <v>0</v>
      </c>
      <c r="E36">
        <v>1</v>
      </c>
      <c r="F36">
        <v>13</v>
      </c>
      <c r="G36" t="b">
        <v>0</v>
      </c>
      <c r="H36">
        <v>0</v>
      </c>
      <c r="I36">
        <v>1</v>
      </c>
      <c r="J36">
        <v>0.28000000000000003</v>
      </c>
      <c r="K36">
        <v>0.28789999999999999</v>
      </c>
      <c r="L36">
        <v>0.61</v>
      </c>
      <c r="M36">
        <v>0.1045</v>
      </c>
      <c r="N36">
        <v>13</v>
      </c>
      <c r="O36">
        <v>71</v>
      </c>
      <c r="P36">
        <v>84</v>
      </c>
    </row>
    <row r="37" spans="1:16">
      <c r="A37">
        <v>655</v>
      </c>
      <c r="B37">
        <v>40573</v>
      </c>
      <c r="C37">
        <v>1</v>
      </c>
      <c r="D37">
        <v>0</v>
      </c>
      <c r="E37">
        <v>1</v>
      </c>
      <c r="F37">
        <v>14</v>
      </c>
      <c r="G37" t="b">
        <v>0</v>
      </c>
      <c r="H37">
        <v>0</v>
      </c>
      <c r="I37">
        <v>1</v>
      </c>
      <c r="J37">
        <v>0.28000000000000003</v>
      </c>
      <c r="K37">
        <v>0.30299999999999999</v>
      </c>
      <c r="L37">
        <v>0.61</v>
      </c>
      <c r="M37">
        <v>8.9599999999999999E-2</v>
      </c>
      <c r="N37">
        <v>18</v>
      </c>
      <c r="O37">
        <v>104</v>
      </c>
      <c r="P37">
        <v>122</v>
      </c>
    </row>
    <row r="38" spans="1:16">
      <c r="A38">
        <v>656</v>
      </c>
      <c r="B38">
        <v>40573</v>
      </c>
      <c r="C38">
        <v>1</v>
      </c>
      <c r="D38">
        <v>0</v>
      </c>
      <c r="E38">
        <v>1</v>
      </c>
      <c r="F38">
        <v>15</v>
      </c>
      <c r="G38" t="b">
        <v>0</v>
      </c>
      <c r="H38">
        <v>0</v>
      </c>
      <c r="I38">
        <v>1</v>
      </c>
      <c r="J38">
        <v>0.3</v>
      </c>
      <c r="K38">
        <v>0.33329999999999999</v>
      </c>
      <c r="L38">
        <v>0.56000000000000005</v>
      </c>
      <c r="M38">
        <v>0</v>
      </c>
      <c r="N38">
        <v>14</v>
      </c>
      <c r="O38">
        <v>95</v>
      </c>
      <c r="P38">
        <v>109</v>
      </c>
    </row>
    <row r="39" spans="1:16">
      <c r="A39">
        <v>657</v>
      </c>
      <c r="B39">
        <v>40573</v>
      </c>
      <c r="C39">
        <v>1</v>
      </c>
      <c r="D39">
        <v>0</v>
      </c>
      <c r="E39">
        <v>1</v>
      </c>
      <c r="F39">
        <v>16</v>
      </c>
      <c r="G39" t="b">
        <v>0</v>
      </c>
      <c r="H39">
        <v>0</v>
      </c>
      <c r="I39">
        <v>1</v>
      </c>
      <c r="J39">
        <v>0.3</v>
      </c>
      <c r="K39">
        <v>0.33329999999999999</v>
      </c>
      <c r="L39">
        <v>0.56000000000000005</v>
      </c>
      <c r="M39">
        <v>0</v>
      </c>
      <c r="N39">
        <v>19</v>
      </c>
      <c r="O39">
        <v>104</v>
      </c>
      <c r="P39">
        <v>123</v>
      </c>
    </row>
    <row r="40" spans="1:16">
      <c r="A40">
        <v>658</v>
      </c>
      <c r="B40">
        <v>40573</v>
      </c>
      <c r="C40">
        <v>1</v>
      </c>
      <c r="D40">
        <v>0</v>
      </c>
      <c r="E40">
        <v>1</v>
      </c>
      <c r="F40">
        <v>17</v>
      </c>
      <c r="G40" t="b">
        <v>0</v>
      </c>
      <c r="H40">
        <v>0</v>
      </c>
      <c r="I40">
        <v>1</v>
      </c>
      <c r="J40">
        <v>0.3</v>
      </c>
      <c r="K40">
        <v>0.28789999999999999</v>
      </c>
      <c r="L40">
        <v>0.56000000000000005</v>
      </c>
      <c r="M40">
        <v>0.19400000000000001</v>
      </c>
      <c r="N40">
        <v>6</v>
      </c>
      <c r="O40">
        <v>71</v>
      </c>
      <c r="P40">
        <v>77</v>
      </c>
    </row>
    <row r="41" spans="1:16">
      <c r="A41">
        <v>659</v>
      </c>
      <c r="B41">
        <v>40573</v>
      </c>
      <c r="C41">
        <v>1</v>
      </c>
      <c r="D41">
        <v>0</v>
      </c>
      <c r="E41">
        <v>1</v>
      </c>
      <c r="F41">
        <v>18</v>
      </c>
      <c r="G41" t="b">
        <v>0</v>
      </c>
      <c r="H41">
        <v>0</v>
      </c>
      <c r="I41">
        <v>1</v>
      </c>
      <c r="J41">
        <v>0.26</v>
      </c>
      <c r="K41">
        <v>0.2576</v>
      </c>
      <c r="L41">
        <v>0.65</v>
      </c>
      <c r="M41">
        <v>0.16420000000000001</v>
      </c>
      <c r="N41">
        <v>8</v>
      </c>
      <c r="O41">
        <v>57</v>
      </c>
      <c r="P41">
        <v>65</v>
      </c>
    </row>
    <row r="42" spans="1:16">
      <c r="A42">
        <v>660</v>
      </c>
      <c r="B42">
        <v>40573</v>
      </c>
      <c r="C42">
        <v>1</v>
      </c>
      <c r="D42">
        <v>0</v>
      </c>
      <c r="E42">
        <v>1</v>
      </c>
      <c r="F42">
        <v>19</v>
      </c>
      <c r="G42" t="b">
        <v>0</v>
      </c>
      <c r="H42">
        <v>0</v>
      </c>
      <c r="I42">
        <v>1</v>
      </c>
      <c r="J42">
        <v>0.26</v>
      </c>
      <c r="K42">
        <v>0.2576</v>
      </c>
      <c r="L42">
        <v>0.65</v>
      </c>
      <c r="M42">
        <v>0.19400000000000001</v>
      </c>
      <c r="N42">
        <v>9</v>
      </c>
      <c r="O42">
        <v>46</v>
      </c>
      <c r="P42">
        <v>55</v>
      </c>
    </row>
    <row r="43" spans="1:16">
      <c r="A43">
        <v>661</v>
      </c>
      <c r="B43">
        <v>40573</v>
      </c>
      <c r="C43">
        <v>1</v>
      </c>
      <c r="D43">
        <v>0</v>
      </c>
      <c r="E43">
        <v>1</v>
      </c>
      <c r="F43">
        <v>20</v>
      </c>
      <c r="G43" t="b">
        <v>0</v>
      </c>
      <c r="H43">
        <v>0</v>
      </c>
      <c r="I43">
        <v>2</v>
      </c>
      <c r="J43">
        <v>0.26</v>
      </c>
      <c r="K43">
        <v>0.2727</v>
      </c>
      <c r="L43">
        <v>0.65</v>
      </c>
      <c r="M43">
        <v>0.1045</v>
      </c>
      <c r="N43">
        <v>3</v>
      </c>
      <c r="O43">
        <v>30</v>
      </c>
      <c r="P43">
        <v>33</v>
      </c>
    </row>
    <row r="44" spans="1:16">
      <c r="A44">
        <v>662</v>
      </c>
      <c r="B44">
        <v>40573</v>
      </c>
      <c r="C44">
        <v>1</v>
      </c>
      <c r="D44">
        <v>0</v>
      </c>
      <c r="E44">
        <v>1</v>
      </c>
      <c r="F44">
        <v>21</v>
      </c>
      <c r="G44" t="b">
        <v>0</v>
      </c>
      <c r="H44">
        <v>0</v>
      </c>
      <c r="I44">
        <v>2</v>
      </c>
      <c r="J44">
        <v>0.24</v>
      </c>
      <c r="K44">
        <v>0.2424</v>
      </c>
      <c r="L44">
        <v>0.7</v>
      </c>
      <c r="M44">
        <v>0.16420000000000001</v>
      </c>
      <c r="N44">
        <v>3</v>
      </c>
      <c r="O44">
        <v>25</v>
      </c>
      <c r="P44">
        <v>28</v>
      </c>
    </row>
    <row r="45" spans="1:16">
      <c r="A45">
        <v>663</v>
      </c>
      <c r="B45">
        <v>40573</v>
      </c>
      <c r="C45">
        <v>1</v>
      </c>
      <c r="D45">
        <v>0</v>
      </c>
      <c r="E45">
        <v>1</v>
      </c>
      <c r="F45">
        <v>22</v>
      </c>
      <c r="G45" t="b">
        <v>0</v>
      </c>
      <c r="H45">
        <v>0</v>
      </c>
      <c r="I45">
        <v>2</v>
      </c>
      <c r="J45">
        <v>0.24</v>
      </c>
      <c r="K45">
        <v>0.2273</v>
      </c>
      <c r="L45">
        <v>0.7</v>
      </c>
      <c r="M45">
        <v>0.19400000000000001</v>
      </c>
      <c r="N45">
        <v>2</v>
      </c>
      <c r="O45">
        <v>19</v>
      </c>
      <c r="P45">
        <v>21</v>
      </c>
    </row>
    <row r="46" spans="1:16">
      <c r="A46">
        <v>664</v>
      </c>
      <c r="B46">
        <v>40573</v>
      </c>
      <c r="C46">
        <v>1</v>
      </c>
      <c r="D46">
        <v>0</v>
      </c>
      <c r="E46">
        <v>1</v>
      </c>
      <c r="F46">
        <v>23</v>
      </c>
      <c r="G46" t="b">
        <v>0</v>
      </c>
      <c r="H46">
        <v>0</v>
      </c>
      <c r="I46">
        <v>2</v>
      </c>
      <c r="J46">
        <v>0.24</v>
      </c>
      <c r="K46">
        <v>0.21210000000000001</v>
      </c>
      <c r="L46">
        <v>0.65</v>
      </c>
      <c r="M46">
        <v>0.28360000000000002</v>
      </c>
      <c r="N46">
        <v>5</v>
      </c>
      <c r="O46">
        <v>16</v>
      </c>
      <c r="P46">
        <v>21</v>
      </c>
    </row>
    <row r="47" spans="1:16">
      <c r="A47">
        <v>665</v>
      </c>
      <c r="B47">
        <v>40574</v>
      </c>
      <c r="C47">
        <v>1</v>
      </c>
      <c r="D47">
        <v>0</v>
      </c>
      <c r="E47">
        <v>1</v>
      </c>
      <c r="F47">
        <v>0</v>
      </c>
      <c r="G47" t="b">
        <v>0</v>
      </c>
      <c r="H47">
        <v>1</v>
      </c>
      <c r="I47">
        <v>2</v>
      </c>
      <c r="J47">
        <v>0.24</v>
      </c>
      <c r="K47">
        <v>0.2273</v>
      </c>
      <c r="L47">
        <v>0.65</v>
      </c>
      <c r="M47">
        <v>0.22389999999999999</v>
      </c>
      <c r="N47">
        <v>1</v>
      </c>
      <c r="O47">
        <v>6</v>
      </c>
      <c r="P47">
        <v>7</v>
      </c>
    </row>
    <row r="48" spans="1:16">
      <c r="A48">
        <v>666</v>
      </c>
      <c r="B48">
        <v>40574</v>
      </c>
      <c r="C48">
        <v>1</v>
      </c>
      <c r="D48">
        <v>0</v>
      </c>
      <c r="E48">
        <v>1</v>
      </c>
      <c r="F48">
        <v>1</v>
      </c>
      <c r="G48" t="b">
        <v>0</v>
      </c>
      <c r="H48">
        <v>1</v>
      </c>
      <c r="I48">
        <v>1</v>
      </c>
      <c r="J48">
        <v>0.22</v>
      </c>
      <c r="K48">
        <v>0.21210000000000001</v>
      </c>
      <c r="L48">
        <v>0.64</v>
      </c>
      <c r="M48">
        <v>0.25369999999999998</v>
      </c>
      <c r="N48">
        <v>2</v>
      </c>
      <c r="O48">
        <v>5</v>
      </c>
      <c r="P48">
        <v>7</v>
      </c>
    </row>
    <row r="49" spans="1:16">
      <c r="A49">
        <v>667</v>
      </c>
      <c r="B49">
        <v>40574</v>
      </c>
      <c r="C49">
        <v>1</v>
      </c>
      <c r="D49">
        <v>0</v>
      </c>
      <c r="E49">
        <v>1</v>
      </c>
      <c r="F49">
        <v>2</v>
      </c>
      <c r="G49" t="b">
        <v>0</v>
      </c>
      <c r="H49">
        <v>1</v>
      </c>
      <c r="I49">
        <v>1</v>
      </c>
      <c r="J49">
        <v>0.22</v>
      </c>
      <c r="K49">
        <v>0.2273</v>
      </c>
      <c r="L49">
        <v>0.64</v>
      </c>
      <c r="M49">
        <v>0.19400000000000001</v>
      </c>
      <c r="N49">
        <v>0</v>
      </c>
      <c r="O49">
        <v>1</v>
      </c>
      <c r="P49">
        <v>1</v>
      </c>
    </row>
    <row r="50" spans="1:16">
      <c r="A50">
        <v>668</v>
      </c>
      <c r="B50">
        <v>40574</v>
      </c>
      <c r="C50">
        <v>1</v>
      </c>
      <c r="D50">
        <v>0</v>
      </c>
      <c r="E50">
        <v>1</v>
      </c>
      <c r="F50">
        <v>3</v>
      </c>
      <c r="G50" t="b">
        <v>0</v>
      </c>
      <c r="H50">
        <v>1</v>
      </c>
      <c r="I50">
        <v>1</v>
      </c>
      <c r="J50">
        <v>0.22</v>
      </c>
      <c r="K50">
        <v>0.2273</v>
      </c>
      <c r="L50">
        <v>0.64</v>
      </c>
      <c r="M50">
        <v>0.19400000000000001</v>
      </c>
      <c r="N50">
        <v>0</v>
      </c>
      <c r="O50">
        <v>2</v>
      </c>
      <c r="P50">
        <v>2</v>
      </c>
    </row>
    <row r="51" spans="1:16">
      <c r="A51">
        <v>669</v>
      </c>
      <c r="B51">
        <v>40574</v>
      </c>
      <c r="C51">
        <v>1</v>
      </c>
      <c r="D51">
        <v>0</v>
      </c>
      <c r="E51">
        <v>1</v>
      </c>
      <c r="F51">
        <v>4</v>
      </c>
      <c r="G51" t="b">
        <v>0</v>
      </c>
      <c r="H51">
        <v>1</v>
      </c>
      <c r="I51">
        <v>1</v>
      </c>
      <c r="J51">
        <v>0.2</v>
      </c>
      <c r="K51">
        <v>0.19700000000000001</v>
      </c>
      <c r="L51">
        <v>0.59</v>
      </c>
      <c r="M51">
        <v>0.22389999999999999</v>
      </c>
      <c r="N51">
        <v>0</v>
      </c>
      <c r="O51">
        <v>2</v>
      </c>
      <c r="P51">
        <v>2</v>
      </c>
    </row>
    <row r="52" spans="1:16">
      <c r="A52">
        <v>670</v>
      </c>
      <c r="B52">
        <v>40574</v>
      </c>
      <c r="C52">
        <v>1</v>
      </c>
      <c r="D52">
        <v>0</v>
      </c>
      <c r="E52">
        <v>1</v>
      </c>
      <c r="F52">
        <v>5</v>
      </c>
      <c r="G52" t="b">
        <v>0</v>
      </c>
      <c r="H52">
        <v>1</v>
      </c>
      <c r="I52">
        <v>1</v>
      </c>
      <c r="J52">
        <v>0.18</v>
      </c>
      <c r="K52">
        <v>0.16669999999999999</v>
      </c>
      <c r="L52">
        <v>0.64</v>
      </c>
      <c r="M52">
        <v>0.28360000000000002</v>
      </c>
      <c r="N52">
        <v>0</v>
      </c>
      <c r="O52">
        <v>8</v>
      </c>
      <c r="P52">
        <v>8</v>
      </c>
    </row>
    <row r="53" spans="1:16">
      <c r="A53">
        <v>671</v>
      </c>
      <c r="B53">
        <v>40574</v>
      </c>
      <c r="C53">
        <v>1</v>
      </c>
      <c r="D53">
        <v>0</v>
      </c>
      <c r="E53">
        <v>1</v>
      </c>
      <c r="F53">
        <v>6</v>
      </c>
      <c r="G53" t="b">
        <v>0</v>
      </c>
      <c r="H53">
        <v>1</v>
      </c>
      <c r="I53">
        <v>1</v>
      </c>
      <c r="J53">
        <v>0.16</v>
      </c>
      <c r="K53">
        <v>0.13639999999999999</v>
      </c>
      <c r="L53">
        <v>0.69</v>
      </c>
      <c r="M53">
        <v>0.32840000000000003</v>
      </c>
      <c r="N53">
        <v>0</v>
      </c>
      <c r="O53">
        <v>37</v>
      </c>
      <c r="P53">
        <v>37</v>
      </c>
    </row>
    <row r="54" spans="1:16">
      <c r="A54">
        <v>672</v>
      </c>
      <c r="B54">
        <v>40574</v>
      </c>
      <c r="C54">
        <v>1</v>
      </c>
      <c r="D54">
        <v>0</v>
      </c>
      <c r="E54">
        <v>1</v>
      </c>
      <c r="F54">
        <v>7</v>
      </c>
      <c r="G54" t="b">
        <v>0</v>
      </c>
      <c r="H54">
        <v>1</v>
      </c>
      <c r="I54">
        <v>2</v>
      </c>
      <c r="J54">
        <v>0.16</v>
      </c>
      <c r="K54">
        <v>0.13639999999999999</v>
      </c>
      <c r="L54">
        <v>0.64</v>
      </c>
      <c r="M54">
        <v>0.28360000000000002</v>
      </c>
      <c r="N54">
        <v>1</v>
      </c>
      <c r="O54">
        <v>71</v>
      </c>
      <c r="P54">
        <v>72</v>
      </c>
    </row>
    <row r="55" spans="1:16">
      <c r="A55">
        <v>673</v>
      </c>
      <c r="B55">
        <v>40574</v>
      </c>
      <c r="C55">
        <v>1</v>
      </c>
      <c r="D55">
        <v>0</v>
      </c>
      <c r="E55">
        <v>1</v>
      </c>
      <c r="F55">
        <v>8</v>
      </c>
      <c r="G55" t="b">
        <v>0</v>
      </c>
      <c r="H55">
        <v>1</v>
      </c>
      <c r="I55">
        <v>2</v>
      </c>
      <c r="J55">
        <v>0.16</v>
      </c>
      <c r="K55">
        <v>0.13639999999999999</v>
      </c>
      <c r="L55">
        <v>0.59</v>
      </c>
      <c r="M55">
        <v>0.28360000000000002</v>
      </c>
      <c r="N55">
        <v>3</v>
      </c>
      <c r="O55">
        <v>182</v>
      </c>
      <c r="P55">
        <v>185</v>
      </c>
    </row>
    <row r="56" spans="1:16">
      <c r="A56">
        <v>674</v>
      </c>
      <c r="B56">
        <v>40574</v>
      </c>
      <c r="C56">
        <v>1</v>
      </c>
      <c r="D56">
        <v>0</v>
      </c>
      <c r="E56">
        <v>1</v>
      </c>
      <c r="F56">
        <v>9</v>
      </c>
      <c r="G56" t="b">
        <v>0</v>
      </c>
      <c r="H56">
        <v>1</v>
      </c>
      <c r="I56">
        <v>2</v>
      </c>
      <c r="J56">
        <v>0.16</v>
      </c>
      <c r="K56">
        <v>0.13639999999999999</v>
      </c>
      <c r="L56">
        <v>0.59</v>
      </c>
      <c r="M56">
        <v>0.29849999999999999</v>
      </c>
      <c r="N56">
        <v>0</v>
      </c>
      <c r="O56">
        <v>112</v>
      </c>
      <c r="P56">
        <v>112</v>
      </c>
    </row>
    <row r="57" spans="1:16">
      <c r="A57">
        <v>675</v>
      </c>
      <c r="B57">
        <v>40574</v>
      </c>
      <c r="C57">
        <v>1</v>
      </c>
      <c r="D57">
        <v>0</v>
      </c>
      <c r="E57">
        <v>1</v>
      </c>
      <c r="F57">
        <v>10</v>
      </c>
      <c r="G57" t="b">
        <v>0</v>
      </c>
      <c r="H57">
        <v>1</v>
      </c>
      <c r="I57">
        <v>2</v>
      </c>
      <c r="J57">
        <v>0.16</v>
      </c>
      <c r="K57">
        <v>0.1515</v>
      </c>
      <c r="L57">
        <v>0.59</v>
      </c>
      <c r="M57">
        <v>0.19400000000000001</v>
      </c>
      <c r="N57">
        <v>1</v>
      </c>
      <c r="O57">
        <v>68</v>
      </c>
      <c r="P57">
        <v>69</v>
      </c>
    </row>
    <row r="58" spans="1:16">
      <c r="A58">
        <v>676</v>
      </c>
      <c r="B58">
        <v>40574</v>
      </c>
      <c r="C58">
        <v>1</v>
      </c>
      <c r="D58">
        <v>0</v>
      </c>
      <c r="E58">
        <v>1</v>
      </c>
      <c r="F58">
        <v>11</v>
      </c>
      <c r="G58" t="b">
        <v>0</v>
      </c>
      <c r="H58">
        <v>1</v>
      </c>
      <c r="I58">
        <v>2</v>
      </c>
      <c r="J58">
        <v>0.16</v>
      </c>
      <c r="K58">
        <v>0.1515</v>
      </c>
      <c r="L58">
        <v>0.59</v>
      </c>
      <c r="M58">
        <v>0.19400000000000001</v>
      </c>
      <c r="N58">
        <v>2</v>
      </c>
      <c r="O58">
        <v>46</v>
      </c>
      <c r="P58">
        <v>48</v>
      </c>
    </row>
    <row r="59" spans="1:16">
      <c r="A59">
        <v>677</v>
      </c>
      <c r="B59">
        <v>40574</v>
      </c>
      <c r="C59">
        <v>1</v>
      </c>
      <c r="D59">
        <v>0</v>
      </c>
      <c r="E59">
        <v>1</v>
      </c>
      <c r="F59">
        <v>12</v>
      </c>
      <c r="G59" t="b">
        <v>0</v>
      </c>
      <c r="H59">
        <v>1</v>
      </c>
      <c r="I59">
        <v>2</v>
      </c>
      <c r="J59">
        <v>0.18</v>
      </c>
      <c r="K59">
        <v>0.21210000000000001</v>
      </c>
      <c r="L59">
        <v>0.55000000000000004</v>
      </c>
      <c r="M59">
        <v>0.1045</v>
      </c>
      <c r="N59">
        <v>6</v>
      </c>
      <c r="O59">
        <v>62</v>
      </c>
      <c r="P59">
        <v>68</v>
      </c>
    </row>
    <row r="60" spans="1:16">
      <c r="A60">
        <v>678</v>
      </c>
      <c r="B60">
        <v>40574</v>
      </c>
      <c r="C60">
        <v>1</v>
      </c>
      <c r="D60">
        <v>0</v>
      </c>
      <c r="E60">
        <v>1</v>
      </c>
      <c r="F60">
        <v>13</v>
      </c>
      <c r="G60" t="b">
        <v>0</v>
      </c>
      <c r="H60">
        <v>1</v>
      </c>
      <c r="I60">
        <v>2</v>
      </c>
      <c r="J60">
        <v>0.16</v>
      </c>
      <c r="K60">
        <v>0.2273</v>
      </c>
      <c r="L60">
        <v>0.59</v>
      </c>
      <c r="M60">
        <v>0</v>
      </c>
      <c r="N60">
        <v>2</v>
      </c>
      <c r="O60">
        <v>52</v>
      </c>
      <c r="P60">
        <v>54</v>
      </c>
    </row>
    <row r="61" spans="1:16">
      <c r="A61">
        <v>679</v>
      </c>
      <c r="B61">
        <v>40574</v>
      </c>
      <c r="C61">
        <v>1</v>
      </c>
      <c r="D61">
        <v>0</v>
      </c>
      <c r="E61">
        <v>1</v>
      </c>
      <c r="F61">
        <v>14</v>
      </c>
      <c r="G61" t="b">
        <v>0</v>
      </c>
      <c r="H61">
        <v>1</v>
      </c>
      <c r="I61">
        <v>2</v>
      </c>
      <c r="J61">
        <v>0.18</v>
      </c>
      <c r="K61">
        <v>0.19700000000000001</v>
      </c>
      <c r="L61">
        <v>0.55000000000000004</v>
      </c>
      <c r="M61">
        <v>0.1343</v>
      </c>
      <c r="N61">
        <v>1</v>
      </c>
      <c r="O61">
        <v>85</v>
      </c>
      <c r="P61">
        <v>86</v>
      </c>
    </row>
    <row r="62" spans="1:16">
      <c r="A62">
        <v>680</v>
      </c>
      <c r="B62">
        <v>40574</v>
      </c>
      <c r="C62">
        <v>1</v>
      </c>
      <c r="D62">
        <v>0</v>
      </c>
      <c r="E62">
        <v>1</v>
      </c>
      <c r="F62">
        <v>15</v>
      </c>
      <c r="G62" t="b">
        <v>0</v>
      </c>
      <c r="H62">
        <v>1</v>
      </c>
      <c r="I62">
        <v>2</v>
      </c>
      <c r="J62">
        <v>0.16</v>
      </c>
      <c r="K62">
        <v>0.18179999999999999</v>
      </c>
      <c r="L62">
        <v>0.59</v>
      </c>
      <c r="M62">
        <v>0.1343</v>
      </c>
      <c r="N62">
        <v>3</v>
      </c>
      <c r="O62">
        <v>41</v>
      </c>
      <c r="P62">
        <v>44</v>
      </c>
    </row>
    <row r="63" spans="1:16">
      <c r="A63">
        <v>681</v>
      </c>
      <c r="B63">
        <v>40574</v>
      </c>
      <c r="C63">
        <v>1</v>
      </c>
      <c r="D63">
        <v>0</v>
      </c>
      <c r="E63">
        <v>1</v>
      </c>
      <c r="F63">
        <v>16</v>
      </c>
      <c r="G63" t="b">
        <v>0</v>
      </c>
      <c r="H63">
        <v>1</v>
      </c>
      <c r="I63">
        <v>2</v>
      </c>
      <c r="J63">
        <v>0.16</v>
      </c>
      <c r="K63">
        <v>0.18179999999999999</v>
      </c>
      <c r="L63">
        <v>0.56000000000000005</v>
      </c>
      <c r="M63">
        <v>0.19400000000000001</v>
      </c>
      <c r="N63">
        <v>3</v>
      </c>
      <c r="O63">
        <v>83</v>
      </c>
      <c r="P63">
        <v>86</v>
      </c>
    </row>
    <row r="64" spans="1:16">
      <c r="A64">
        <v>682</v>
      </c>
      <c r="B64">
        <v>40574</v>
      </c>
      <c r="C64">
        <v>1</v>
      </c>
      <c r="D64">
        <v>0</v>
      </c>
      <c r="E64">
        <v>1</v>
      </c>
      <c r="F64">
        <v>17</v>
      </c>
      <c r="G64" t="b">
        <v>0</v>
      </c>
      <c r="H64">
        <v>1</v>
      </c>
      <c r="I64">
        <v>2</v>
      </c>
      <c r="J64">
        <v>0.16</v>
      </c>
      <c r="K64">
        <v>0.1515</v>
      </c>
      <c r="L64">
        <v>0.59</v>
      </c>
      <c r="M64">
        <v>0.19400000000000001</v>
      </c>
      <c r="N64">
        <v>6</v>
      </c>
      <c r="O64">
        <v>155</v>
      </c>
      <c r="P64">
        <v>161</v>
      </c>
    </row>
    <row r="65" spans="1:16">
      <c r="A65">
        <v>683</v>
      </c>
      <c r="B65">
        <v>40574</v>
      </c>
      <c r="C65">
        <v>1</v>
      </c>
      <c r="D65">
        <v>0</v>
      </c>
      <c r="E65">
        <v>1</v>
      </c>
      <c r="F65">
        <v>18</v>
      </c>
      <c r="G65" t="b">
        <v>0</v>
      </c>
      <c r="H65">
        <v>1</v>
      </c>
      <c r="I65">
        <v>2</v>
      </c>
      <c r="J65">
        <v>0.16</v>
      </c>
      <c r="K65">
        <v>0.1515</v>
      </c>
      <c r="L65">
        <v>0.55000000000000004</v>
      </c>
      <c r="M65">
        <v>0.22389999999999999</v>
      </c>
      <c r="N65">
        <v>3</v>
      </c>
      <c r="O65">
        <v>153</v>
      </c>
      <c r="P65">
        <v>156</v>
      </c>
    </row>
    <row r="66" spans="1:16">
      <c r="A66">
        <v>684</v>
      </c>
      <c r="B66">
        <v>40574</v>
      </c>
      <c r="C66">
        <v>1</v>
      </c>
      <c r="D66">
        <v>0</v>
      </c>
      <c r="E66">
        <v>1</v>
      </c>
      <c r="F66">
        <v>19</v>
      </c>
      <c r="G66" t="b">
        <v>0</v>
      </c>
      <c r="H66">
        <v>1</v>
      </c>
      <c r="I66">
        <v>1</v>
      </c>
      <c r="J66">
        <v>0.3</v>
      </c>
      <c r="K66">
        <v>0.31819999999999998</v>
      </c>
      <c r="L66">
        <v>0.61</v>
      </c>
      <c r="M66">
        <v>0.1045</v>
      </c>
      <c r="N66">
        <v>3</v>
      </c>
      <c r="O66">
        <v>108</v>
      </c>
      <c r="P66">
        <v>111</v>
      </c>
    </row>
    <row r="67" spans="1:16">
      <c r="A67">
        <v>685</v>
      </c>
      <c r="B67">
        <v>40574</v>
      </c>
      <c r="C67">
        <v>1</v>
      </c>
      <c r="D67">
        <v>0</v>
      </c>
      <c r="E67">
        <v>1</v>
      </c>
      <c r="F67">
        <v>20</v>
      </c>
      <c r="G67" t="b">
        <v>0</v>
      </c>
      <c r="H67">
        <v>1</v>
      </c>
      <c r="I67">
        <v>3</v>
      </c>
      <c r="J67">
        <v>0.16</v>
      </c>
      <c r="K67">
        <v>0.16669999999999999</v>
      </c>
      <c r="L67">
        <v>0.59</v>
      </c>
      <c r="M67">
        <v>0.16420000000000001</v>
      </c>
      <c r="N67">
        <v>0</v>
      </c>
      <c r="O67">
        <v>78</v>
      </c>
      <c r="P67">
        <v>78</v>
      </c>
    </row>
    <row r="68" spans="1:16">
      <c r="A68">
        <v>686</v>
      </c>
      <c r="B68">
        <v>40574</v>
      </c>
      <c r="C68">
        <v>1</v>
      </c>
      <c r="D68">
        <v>0</v>
      </c>
      <c r="E68">
        <v>1</v>
      </c>
      <c r="F68">
        <v>21</v>
      </c>
      <c r="G68" t="b">
        <v>0</v>
      </c>
      <c r="H68">
        <v>1</v>
      </c>
      <c r="I68">
        <v>3</v>
      </c>
      <c r="J68">
        <v>0.16</v>
      </c>
      <c r="K68">
        <v>0.19700000000000001</v>
      </c>
      <c r="L68">
        <v>0.59</v>
      </c>
      <c r="M68">
        <v>8.9599999999999999E-2</v>
      </c>
      <c r="N68">
        <v>3</v>
      </c>
      <c r="O68">
        <v>53</v>
      </c>
      <c r="P68">
        <v>56</v>
      </c>
    </row>
    <row r="69" spans="1:16">
      <c r="A69">
        <v>687</v>
      </c>
      <c r="B69">
        <v>40574</v>
      </c>
      <c r="C69">
        <v>1</v>
      </c>
      <c r="D69">
        <v>0</v>
      </c>
      <c r="E69">
        <v>1</v>
      </c>
      <c r="F69">
        <v>22</v>
      </c>
      <c r="G69" t="b">
        <v>0</v>
      </c>
      <c r="H69">
        <v>1</v>
      </c>
      <c r="I69">
        <v>2</v>
      </c>
      <c r="J69">
        <v>0.16</v>
      </c>
      <c r="K69">
        <v>0.18179999999999999</v>
      </c>
      <c r="L69">
        <v>0.59</v>
      </c>
      <c r="M69">
        <v>0.1045</v>
      </c>
      <c r="N69">
        <v>0</v>
      </c>
      <c r="O69">
        <v>34</v>
      </c>
      <c r="P69">
        <v>34</v>
      </c>
    </row>
    <row r="70" spans="1:16">
      <c r="A70">
        <v>688</v>
      </c>
      <c r="B70">
        <v>40574</v>
      </c>
      <c r="C70">
        <v>1</v>
      </c>
      <c r="D70">
        <v>0</v>
      </c>
      <c r="E70">
        <v>1</v>
      </c>
      <c r="F70">
        <v>23</v>
      </c>
      <c r="G70" t="b">
        <v>0</v>
      </c>
      <c r="H70">
        <v>1</v>
      </c>
      <c r="I70">
        <v>2</v>
      </c>
      <c r="J70">
        <v>0.16</v>
      </c>
      <c r="K70">
        <v>0.19700000000000001</v>
      </c>
      <c r="L70">
        <v>0.64</v>
      </c>
      <c r="M70">
        <v>8.9599999999999999E-2</v>
      </c>
      <c r="N70">
        <v>2</v>
      </c>
      <c r="O70">
        <v>15</v>
      </c>
      <c r="P70">
        <v>17</v>
      </c>
    </row>
    <row r="71" spans="1:16">
      <c r="A71">
        <v>689</v>
      </c>
      <c r="B71">
        <v>40575</v>
      </c>
      <c r="C71">
        <v>1</v>
      </c>
      <c r="D71">
        <v>0</v>
      </c>
      <c r="E71">
        <v>2</v>
      </c>
      <c r="F71">
        <v>0</v>
      </c>
      <c r="G71" t="b">
        <v>0</v>
      </c>
      <c r="H71">
        <v>2</v>
      </c>
      <c r="I71">
        <v>2</v>
      </c>
      <c r="J71">
        <v>0.16</v>
      </c>
      <c r="K71">
        <v>0.18179999999999999</v>
      </c>
      <c r="L71">
        <v>0.64</v>
      </c>
      <c r="M71">
        <v>0.1045</v>
      </c>
      <c r="N71">
        <v>2</v>
      </c>
      <c r="O71">
        <v>6</v>
      </c>
      <c r="P71">
        <v>8</v>
      </c>
    </row>
    <row r="72" spans="1:16">
      <c r="A72">
        <v>690</v>
      </c>
      <c r="B72">
        <v>40575</v>
      </c>
      <c r="C72">
        <v>1</v>
      </c>
      <c r="D72">
        <v>0</v>
      </c>
      <c r="E72">
        <v>2</v>
      </c>
      <c r="F72">
        <v>1</v>
      </c>
      <c r="G72" t="b">
        <v>0</v>
      </c>
      <c r="H72">
        <v>2</v>
      </c>
      <c r="I72">
        <v>2</v>
      </c>
      <c r="J72">
        <v>0.16</v>
      </c>
      <c r="K72">
        <v>0.18179999999999999</v>
      </c>
      <c r="L72">
        <v>0.69</v>
      </c>
      <c r="M72">
        <v>0.1045</v>
      </c>
      <c r="N72">
        <v>0</v>
      </c>
      <c r="O72">
        <v>3</v>
      </c>
      <c r="P72">
        <v>3</v>
      </c>
    </row>
    <row r="73" spans="1:16">
      <c r="A73">
        <v>691</v>
      </c>
      <c r="B73">
        <v>40575</v>
      </c>
      <c r="C73">
        <v>1</v>
      </c>
      <c r="D73">
        <v>0</v>
      </c>
      <c r="E73">
        <v>2</v>
      </c>
      <c r="F73">
        <v>2</v>
      </c>
      <c r="G73" t="b">
        <v>0</v>
      </c>
      <c r="H73">
        <v>2</v>
      </c>
      <c r="I73">
        <v>2</v>
      </c>
      <c r="J73">
        <v>0.16</v>
      </c>
      <c r="K73">
        <v>0.2273</v>
      </c>
      <c r="L73">
        <v>0.69</v>
      </c>
      <c r="M73">
        <v>0</v>
      </c>
      <c r="N73">
        <v>0</v>
      </c>
      <c r="O73">
        <v>2</v>
      </c>
      <c r="P73">
        <v>2</v>
      </c>
    </row>
    <row r="74" spans="1:16">
      <c r="A74">
        <v>692</v>
      </c>
      <c r="B74">
        <v>40575</v>
      </c>
      <c r="C74">
        <v>1</v>
      </c>
      <c r="D74">
        <v>0</v>
      </c>
      <c r="E74">
        <v>2</v>
      </c>
      <c r="F74">
        <v>3</v>
      </c>
      <c r="G74" t="b">
        <v>0</v>
      </c>
      <c r="H74">
        <v>2</v>
      </c>
      <c r="I74">
        <v>2</v>
      </c>
      <c r="J74">
        <v>0.16</v>
      </c>
      <c r="K74">
        <v>0.2273</v>
      </c>
      <c r="L74">
        <v>0.69</v>
      </c>
      <c r="M74">
        <v>0</v>
      </c>
      <c r="N74">
        <v>0</v>
      </c>
      <c r="O74">
        <v>2</v>
      </c>
      <c r="P74">
        <v>2</v>
      </c>
    </row>
    <row r="75" spans="1:16">
      <c r="A75">
        <v>693</v>
      </c>
      <c r="B75">
        <v>40575</v>
      </c>
      <c r="C75">
        <v>1</v>
      </c>
      <c r="D75">
        <v>0</v>
      </c>
      <c r="E75">
        <v>2</v>
      </c>
      <c r="F75">
        <v>5</v>
      </c>
      <c r="G75" t="b">
        <v>0</v>
      </c>
      <c r="H75">
        <v>2</v>
      </c>
      <c r="I75">
        <v>3</v>
      </c>
      <c r="J75">
        <v>0.14000000000000001</v>
      </c>
      <c r="K75">
        <v>0.21210000000000001</v>
      </c>
      <c r="L75">
        <v>0.93</v>
      </c>
      <c r="M75">
        <v>0</v>
      </c>
      <c r="N75">
        <v>0</v>
      </c>
      <c r="O75">
        <v>3</v>
      </c>
      <c r="P75">
        <v>3</v>
      </c>
    </row>
    <row r="76" spans="1:16">
      <c r="A76">
        <v>694</v>
      </c>
      <c r="B76">
        <v>40575</v>
      </c>
      <c r="C76">
        <v>1</v>
      </c>
      <c r="D76">
        <v>0</v>
      </c>
      <c r="E76">
        <v>2</v>
      </c>
      <c r="F76">
        <v>6</v>
      </c>
      <c r="G76" t="b">
        <v>0</v>
      </c>
      <c r="H76">
        <v>2</v>
      </c>
      <c r="I76">
        <v>3</v>
      </c>
      <c r="J76">
        <v>0.14000000000000001</v>
      </c>
      <c r="K76">
        <v>0.21210000000000001</v>
      </c>
      <c r="L76">
        <v>0.93</v>
      </c>
      <c r="M76">
        <v>0</v>
      </c>
      <c r="N76">
        <v>0</v>
      </c>
      <c r="O76">
        <v>22</v>
      </c>
      <c r="P76">
        <v>22</v>
      </c>
    </row>
    <row r="77" spans="1:16">
      <c r="A77">
        <v>695</v>
      </c>
      <c r="B77">
        <v>40575</v>
      </c>
      <c r="C77">
        <v>1</v>
      </c>
      <c r="D77">
        <v>0</v>
      </c>
      <c r="E77">
        <v>2</v>
      </c>
      <c r="F77">
        <v>7</v>
      </c>
      <c r="G77" t="b">
        <v>0</v>
      </c>
      <c r="H77">
        <v>2</v>
      </c>
      <c r="I77">
        <v>3</v>
      </c>
      <c r="J77">
        <v>0.16</v>
      </c>
      <c r="K77">
        <v>0.2273</v>
      </c>
      <c r="L77">
        <v>0.93</v>
      </c>
      <c r="M77">
        <v>0</v>
      </c>
      <c r="N77">
        <v>0</v>
      </c>
      <c r="O77">
        <v>52</v>
      </c>
      <c r="P77">
        <v>52</v>
      </c>
    </row>
    <row r="78" spans="1:16">
      <c r="A78">
        <v>696</v>
      </c>
      <c r="B78">
        <v>40575</v>
      </c>
      <c r="C78">
        <v>1</v>
      </c>
      <c r="D78">
        <v>0</v>
      </c>
      <c r="E78">
        <v>2</v>
      </c>
      <c r="F78">
        <v>8</v>
      </c>
      <c r="G78" t="b">
        <v>0</v>
      </c>
      <c r="H78">
        <v>2</v>
      </c>
      <c r="I78">
        <v>3</v>
      </c>
      <c r="J78">
        <v>0.16</v>
      </c>
      <c r="K78">
        <v>0.2273</v>
      </c>
      <c r="L78">
        <v>0.93</v>
      </c>
      <c r="M78">
        <v>0</v>
      </c>
      <c r="N78">
        <v>3</v>
      </c>
      <c r="O78">
        <v>132</v>
      </c>
      <c r="P78">
        <v>135</v>
      </c>
    </row>
    <row r="79" spans="1:16">
      <c r="A79">
        <v>697</v>
      </c>
      <c r="B79">
        <v>40575</v>
      </c>
      <c r="C79">
        <v>1</v>
      </c>
      <c r="D79">
        <v>0</v>
      </c>
      <c r="E79">
        <v>2</v>
      </c>
      <c r="F79">
        <v>9</v>
      </c>
      <c r="G79" t="b">
        <v>0</v>
      </c>
      <c r="H79">
        <v>2</v>
      </c>
      <c r="I79">
        <v>2</v>
      </c>
      <c r="J79">
        <v>0.16</v>
      </c>
      <c r="K79">
        <v>0.2273</v>
      </c>
      <c r="L79">
        <v>0.93</v>
      </c>
      <c r="M79">
        <v>0</v>
      </c>
      <c r="N79">
        <v>2</v>
      </c>
      <c r="O79">
        <v>114</v>
      </c>
      <c r="P79">
        <v>116</v>
      </c>
    </row>
    <row r="80" spans="1:16">
      <c r="A80">
        <v>698</v>
      </c>
      <c r="B80">
        <v>40575</v>
      </c>
      <c r="C80">
        <v>1</v>
      </c>
      <c r="D80">
        <v>0</v>
      </c>
      <c r="E80">
        <v>2</v>
      </c>
      <c r="F80">
        <v>10</v>
      </c>
      <c r="G80" t="b">
        <v>0</v>
      </c>
      <c r="H80">
        <v>2</v>
      </c>
      <c r="I80">
        <v>2</v>
      </c>
      <c r="J80">
        <v>0.16</v>
      </c>
      <c r="K80">
        <v>0.2273</v>
      </c>
      <c r="L80">
        <v>0.93</v>
      </c>
      <c r="M80">
        <v>0</v>
      </c>
      <c r="N80">
        <v>0</v>
      </c>
      <c r="O80">
        <v>47</v>
      </c>
      <c r="P80">
        <v>47</v>
      </c>
    </row>
    <row r="81" spans="1:16">
      <c r="A81">
        <v>699</v>
      </c>
      <c r="B81">
        <v>40575</v>
      </c>
      <c r="C81">
        <v>1</v>
      </c>
      <c r="D81">
        <v>0</v>
      </c>
      <c r="E81">
        <v>2</v>
      </c>
      <c r="F81">
        <v>11</v>
      </c>
      <c r="G81" t="b">
        <v>0</v>
      </c>
      <c r="H81">
        <v>2</v>
      </c>
      <c r="I81">
        <v>2</v>
      </c>
      <c r="J81">
        <v>0.18</v>
      </c>
      <c r="K81">
        <v>0.2424</v>
      </c>
      <c r="L81">
        <v>0.86</v>
      </c>
      <c r="M81">
        <v>0</v>
      </c>
      <c r="N81">
        <v>2</v>
      </c>
      <c r="O81">
        <v>49</v>
      </c>
      <c r="P81">
        <v>51</v>
      </c>
    </row>
    <row r="82" spans="1:16">
      <c r="A82">
        <v>700</v>
      </c>
      <c r="B82">
        <v>40575</v>
      </c>
      <c r="C82">
        <v>1</v>
      </c>
      <c r="D82">
        <v>0</v>
      </c>
      <c r="E82">
        <v>2</v>
      </c>
      <c r="F82">
        <v>12</v>
      </c>
      <c r="G82" t="b">
        <v>0</v>
      </c>
      <c r="H82">
        <v>2</v>
      </c>
      <c r="I82">
        <v>2</v>
      </c>
      <c r="J82">
        <v>0.2</v>
      </c>
      <c r="K82">
        <v>0.2576</v>
      </c>
      <c r="L82">
        <v>0.86</v>
      </c>
      <c r="M82">
        <v>0</v>
      </c>
      <c r="N82">
        <v>2</v>
      </c>
      <c r="O82">
        <v>53</v>
      </c>
      <c r="P82">
        <v>55</v>
      </c>
    </row>
    <row r="83" spans="1:16">
      <c r="A83">
        <v>701</v>
      </c>
      <c r="B83">
        <v>40575</v>
      </c>
      <c r="C83">
        <v>1</v>
      </c>
      <c r="D83">
        <v>0</v>
      </c>
      <c r="E83">
        <v>2</v>
      </c>
      <c r="F83">
        <v>13</v>
      </c>
      <c r="G83" t="b">
        <v>0</v>
      </c>
      <c r="H83">
        <v>2</v>
      </c>
      <c r="I83">
        <v>2</v>
      </c>
      <c r="J83">
        <v>0.2</v>
      </c>
      <c r="K83">
        <v>0.2576</v>
      </c>
      <c r="L83">
        <v>0.86</v>
      </c>
      <c r="M83">
        <v>0</v>
      </c>
      <c r="N83">
        <v>3</v>
      </c>
      <c r="O83">
        <v>49</v>
      </c>
      <c r="P83">
        <v>52</v>
      </c>
    </row>
    <row r="84" spans="1:16">
      <c r="A84">
        <v>702</v>
      </c>
      <c r="B84">
        <v>40575</v>
      </c>
      <c r="C84">
        <v>1</v>
      </c>
      <c r="D84">
        <v>0</v>
      </c>
      <c r="E84">
        <v>2</v>
      </c>
      <c r="F84">
        <v>14</v>
      </c>
      <c r="G84" t="b">
        <v>0</v>
      </c>
      <c r="H84">
        <v>2</v>
      </c>
      <c r="I84">
        <v>2</v>
      </c>
      <c r="J84">
        <v>0.22</v>
      </c>
      <c r="K84">
        <v>0.2576</v>
      </c>
      <c r="L84">
        <v>0.8</v>
      </c>
      <c r="M84">
        <v>8.9599999999999999E-2</v>
      </c>
      <c r="N84">
        <v>5</v>
      </c>
      <c r="O84">
        <v>49</v>
      </c>
      <c r="P84">
        <v>54</v>
      </c>
    </row>
    <row r="85" spans="1:16">
      <c r="A85">
        <v>703</v>
      </c>
      <c r="B85">
        <v>40575</v>
      </c>
      <c r="C85">
        <v>1</v>
      </c>
      <c r="D85">
        <v>0</v>
      </c>
      <c r="E85">
        <v>2</v>
      </c>
      <c r="F85">
        <v>15</v>
      </c>
      <c r="G85" t="b">
        <v>0</v>
      </c>
      <c r="H85">
        <v>2</v>
      </c>
      <c r="I85">
        <v>2</v>
      </c>
      <c r="J85">
        <v>0.24</v>
      </c>
      <c r="K85">
        <v>0.28789999999999999</v>
      </c>
      <c r="L85">
        <v>0.75</v>
      </c>
      <c r="M85">
        <v>0</v>
      </c>
      <c r="N85">
        <v>7</v>
      </c>
      <c r="O85">
        <v>45</v>
      </c>
      <c r="P85">
        <v>52</v>
      </c>
    </row>
    <row r="86" spans="1:16">
      <c r="A86">
        <v>704</v>
      </c>
      <c r="B86">
        <v>40575</v>
      </c>
      <c r="C86">
        <v>1</v>
      </c>
      <c r="D86">
        <v>0</v>
      </c>
      <c r="E86">
        <v>2</v>
      </c>
      <c r="F86">
        <v>16</v>
      </c>
      <c r="G86" t="b">
        <v>0</v>
      </c>
      <c r="H86">
        <v>2</v>
      </c>
      <c r="I86">
        <v>2</v>
      </c>
      <c r="J86">
        <v>0.24</v>
      </c>
      <c r="K86">
        <v>0.2424</v>
      </c>
      <c r="L86">
        <v>0.75</v>
      </c>
      <c r="M86">
        <v>0.1343</v>
      </c>
      <c r="N86">
        <v>3</v>
      </c>
      <c r="O86">
        <v>61</v>
      </c>
      <c r="P86">
        <v>64</v>
      </c>
    </row>
    <row r="87" spans="1:16">
      <c r="A87">
        <v>705</v>
      </c>
      <c r="B87">
        <v>40575</v>
      </c>
      <c r="C87">
        <v>1</v>
      </c>
      <c r="D87">
        <v>0</v>
      </c>
      <c r="E87">
        <v>2</v>
      </c>
      <c r="F87">
        <v>17</v>
      </c>
      <c r="G87" t="b">
        <v>0</v>
      </c>
      <c r="H87">
        <v>2</v>
      </c>
      <c r="I87">
        <v>2</v>
      </c>
      <c r="J87">
        <v>0.24</v>
      </c>
      <c r="K87">
        <v>0.28789999999999999</v>
      </c>
      <c r="L87">
        <v>0.75</v>
      </c>
      <c r="M87">
        <v>0</v>
      </c>
      <c r="N87">
        <v>4</v>
      </c>
      <c r="O87">
        <v>172</v>
      </c>
      <c r="P87">
        <v>176</v>
      </c>
    </row>
    <row r="88" spans="1:16">
      <c r="A88">
        <v>706</v>
      </c>
      <c r="B88">
        <v>40575</v>
      </c>
      <c r="C88">
        <v>1</v>
      </c>
      <c r="D88">
        <v>0</v>
      </c>
      <c r="E88">
        <v>2</v>
      </c>
      <c r="F88">
        <v>18</v>
      </c>
      <c r="G88" t="b">
        <v>0</v>
      </c>
      <c r="H88">
        <v>2</v>
      </c>
      <c r="I88">
        <v>2</v>
      </c>
      <c r="J88">
        <v>0.24</v>
      </c>
      <c r="K88">
        <v>0.2576</v>
      </c>
      <c r="L88">
        <v>0.81</v>
      </c>
      <c r="M88">
        <v>0.1045</v>
      </c>
      <c r="N88">
        <v>3</v>
      </c>
      <c r="O88">
        <v>165</v>
      </c>
      <c r="P88">
        <v>168</v>
      </c>
    </row>
    <row r="89" spans="1:16">
      <c r="A89">
        <v>707</v>
      </c>
      <c r="B89">
        <v>40575</v>
      </c>
      <c r="C89">
        <v>1</v>
      </c>
      <c r="D89">
        <v>0</v>
      </c>
      <c r="E89">
        <v>2</v>
      </c>
      <c r="F89">
        <v>19</v>
      </c>
      <c r="G89" t="b">
        <v>0</v>
      </c>
      <c r="H89">
        <v>2</v>
      </c>
      <c r="I89">
        <v>2</v>
      </c>
      <c r="J89">
        <v>0.24</v>
      </c>
      <c r="K89">
        <v>0.2424</v>
      </c>
      <c r="L89">
        <v>0.81</v>
      </c>
      <c r="M89">
        <v>0.1343</v>
      </c>
      <c r="N89">
        <v>3</v>
      </c>
      <c r="O89">
        <v>105</v>
      </c>
      <c r="P89">
        <v>108</v>
      </c>
    </row>
    <row r="90" spans="1:16">
      <c r="A90">
        <v>708</v>
      </c>
      <c r="B90">
        <v>40575</v>
      </c>
      <c r="C90">
        <v>1</v>
      </c>
      <c r="D90">
        <v>0</v>
      </c>
      <c r="E90">
        <v>2</v>
      </c>
      <c r="F90">
        <v>20</v>
      </c>
      <c r="G90" t="b">
        <v>0</v>
      </c>
      <c r="H90">
        <v>2</v>
      </c>
      <c r="I90">
        <v>2</v>
      </c>
      <c r="J90">
        <v>0.22</v>
      </c>
      <c r="K90">
        <v>0.2273</v>
      </c>
      <c r="L90">
        <v>0.87</v>
      </c>
      <c r="M90">
        <v>0.1343</v>
      </c>
      <c r="N90">
        <v>5</v>
      </c>
      <c r="O90">
        <v>69</v>
      </c>
      <c r="P90">
        <v>74</v>
      </c>
    </row>
    <row r="91" spans="1:16">
      <c r="A91">
        <v>709</v>
      </c>
      <c r="B91">
        <v>40575</v>
      </c>
      <c r="C91">
        <v>1</v>
      </c>
      <c r="D91">
        <v>0</v>
      </c>
      <c r="E91">
        <v>2</v>
      </c>
      <c r="F91">
        <v>21</v>
      </c>
      <c r="G91" t="b">
        <v>0</v>
      </c>
      <c r="H91">
        <v>2</v>
      </c>
      <c r="I91">
        <v>2</v>
      </c>
      <c r="J91">
        <v>0.22</v>
      </c>
      <c r="K91">
        <v>0.2273</v>
      </c>
      <c r="L91">
        <v>0.87</v>
      </c>
      <c r="M91">
        <v>0.1343</v>
      </c>
      <c r="N91">
        <v>0</v>
      </c>
      <c r="O91">
        <v>64</v>
      </c>
      <c r="P91">
        <v>64</v>
      </c>
    </row>
    <row r="92" spans="1:16">
      <c r="A92">
        <v>710</v>
      </c>
      <c r="B92">
        <v>40575</v>
      </c>
      <c r="C92">
        <v>1</v>
      </c>
      <c r="D92">
        <v>0</v>
      </c>
      <c r="E92">
        <v>2</v>
      </c>
      <c r="F92">
        <v>22</v>
      </c>
      <c r="G92" t="b">
        <v>0</v>
      </c>
      <c r="H92">
        <v>2</v>
      </c>
      <c r="I92">
        <v>2</v>
      </c>
      <c r="J92">
        <v>0.22</v>
      </c>
      <c r="K92">
        <v>0.2576</v>
      </c>
      <c r="L92">
        <v>0.87</v>
      </c>
      <c r="M92">
        <v>8.9599999999999999E-2</v>
      </c>
      <c r="N92">
        <v>2</v>
      </c>
      <c r="O92">
        <v>34</v>
      </c>
      <c r="P92">
        <v>36</v>
      </c>
    </row>
    <row r="93" spans="1:16">
      <c r="A93">
        <v>711</v>
      </c>
      <c r="B93">
        <v>40575</v>
      </c>
      <c r="C93">
        <v>1</v>
      </c>
      <c r="D93">
        <v>0</v>
      </c>
      <c r="E93">
        <v>2</v>
      </c>
      <c r="F93">
        <v>23</v>
      </c>
      <c r="G93" t="b">
        <v>0</v>
      </c>
      <c r="H93">
        <v>2</v>
      </c>
      <c r="I93">
        <v>3</v>
      </c>
      <c r="J93">
        <v>0.2</v>
      </c>
      <c r="K93">
        <v>0.19700000000000001</v>
      </c>
      <c r="L93">
        <v>0.93</v>
      </c>
      <c r="M93">
        <v>0.19400000000000001</v>
      </c>
      <c r="N93">
        <v>1</v>
      </c>
      <c r="O93">
        <v>15</v>
      </c>
      <c r="P93">
        <v>16</v>
      </c>
    </row>
    <row r="94" spans="1:16">
      <c r="A94">
        <v>712</v>
      </c>
      <c r="B94">
        <v>40576</v>
      </c>
      <c r="C94">
        <v>1</v>
      </c>
      <c r="D94">
        <v>0</v>
      </c>
      <c r="E94">
        <v>2</v>
      </c>
      <c r="F94">
        <v>0</v>
      </c>
      <c r="G94" t="b">
        <v>0</v>
      </c>
      <c r="H94">
        <v>3</v>
      </c>
      <c r="I94">
        <v>3</v>
      </c>
      <c r="J94">
        <v>0.22</v>
      </c>
      <c r="K94">
        <v>0.2424</v>
      </c>
      <c r="L94">
        <v>0.93</v>
      </c>
      <c r="M94">
        <v>0.1045</v>
      </c>
      <c r="N94">
        <v>0</v>
      </c>
      <c r="O94">
        <v>2</v>
      </c>
      <c r="P94">
        <v>2</v>
      </c>
    </row>
    <row r="95" spans="1:16">
      <c r="A95">
        <v>713</v>
      </c>
      <c r="B95">
        <v>40576</v>
      </c>
      <c r="C95">
        <v>1</v>
      </c>
      <c r="D95">
        <v>0</v>
      </c>
      <c r="E95">
        <v>2</v>
      </c>
      <c r="F95">
        <v>1</v>
      </c>
      <c r="G95" t="b">
        <v>0</v>
      </c>
      <c r="H95">
        <v>3</v>
      </c>
      <c r="I95">
        <v>3</v>
      </c>
      <c r="J95">
        <v>0.22</v>
      </c>
      <c r="K95">
        <v>0.2273</v>
      </c>
      <c r="L95">
        <v>0.93</v>
      </c>
      <c r="M95">
        <v>0.19400000000000001</v>
      </c>
      <c r="N95">
        <v>0</v>
      </c>
      <c r="O95">
        <v>3</v>
      </c>
      <c r="P95">
        <v>3</v>
      </c>
    </row>
    <row r="96" spans="1:16">
      <c r="A96">
        <v>714</v>
      </c>
      <c r="B96">
        <v>40576</v>
      </c>
      <c r="C96">
        <v>1</v>
      </c>
      <c r="D96">
        <v>0</v>
      </c>
      <c r="E96">
        <v>2</v>
      </c>
      <c r="F96">
        <v>2</v>
      </c>
      <c r="G96" t="b">
        <v>0</v>
      </c>
      <c r="H96">
        <v>3</v>
      </c>
      <c r="I96">
        <v>3</v>
      </c>
      <c r="J96">
        <v>0.22</v>
      </c>
      <c r="K96">
        <v>0.2273</v>
      </c>
      <c r="L96">
        <v>0.93</v>
      </c>
      <c r="M96">
        <v>0.1343</v>
      </c>
      <c r="N96">
        <v>4</v>
      </c>
      <c r="O96">
        <v>0</v>
      </c>
      <c r="P96">
        <v>4</v>
      </c>
    </row>
    <row r="97" spans="1:16">
      <c r="A97">
        <v>715</v>
      </c>
      <c r="B97">
        <v>40576</v>
      </c>
      <c r="C97">
        <v>1</v>
      </c>
      <c r="D97">
        <v>0</v>
      </c>
      <c r="E97">
        <v>2</v>
      </c>
      <c r="F97">
        <v>3</v>
      </c>
      <c r="G97" t="b">
        <v>0</v>
      </c>
      <c r="H97">
        <v>3</v>
      </c>
      <c r="I97">
        <v>3</v>
      </c>
      <c r="J97">
        <v>0.22</v>
      </c>
      <c r="K97">
        <v>0.2273</v>
      </c>
      <c r="L97">
        <v>0.93</v>
      </c>
      <c r="M97">
        <v>0.1343</v>
      </c>
      <c r="N97">
        <v>0</v>
      </c>
      <c r="O97">
        <v>1</v>
      </c>
      <c r="P97">
        <v>1</v>
      </c>
    </row>
    <row r="98" spans="1:16">
      <c r="A98">
        <v>716</v>
      </c>
      <c r="B98">
        <v>40576</v>
      </c>
      <c r="C98">
        <v>1</v>
      </c>
      <c r="D98">
        <v>0</v>
      </c>
      <c r="E98">
        <v>2</v>
      </c>
      <c r="F98">
        <v>4</v>
      </c>
      <c r="G98" t="b">
        <v>0</v>
      </c>
      <c r="H98">
        <v>3</v>
      </c>
      <c r="I98">
        <v>3</v>
      </c>
      <c r="J98">
        <v>0.22</v>
      </c>
      <c r="K98">
        <v>0.21210000000000001</v>
      </c>
      <c r="L98">
        <v>0.93</v>
      </c>
      <c r="M98">
        <v>0.28360000000000002</v>
      </c>
      <c r="N98">
        <v>0</v>
      </c>
      <c r="O98">
        <v>1</v>
      </c>
      <c r="P98">
        <v>1</v>
      </c>
    </row>
    <row r="99" spans="1:16">
      <c r="A99">
        <v>717</v>
      </c>
      <c r="B99">
        <v>40576</v>
      </c>
      <c r="C99">
        <v>1</v>
      </c>
      <c r="D99">
        <v>0</v>
      </c>
      <c r="E99">
        <v>2</v>
      </c>
      <c r="F99">
        <v>5</v>
      </c>
      <c r="G99" t="b">
        <v>0</v>
      </c>
      <c r="H99">
        <v>3</v>
      </c>
      <c r="I99">
        <v>3</v>
      </c>
      <c r="J99">
        <v>0.22</v>
      </c>
      <c r="K99">
        <v>0.2424</v>
      </c>
      <c r="L99">
        <v>0.93</v>
      </c>
      <c r="M99">
        <v>0.1045</v>
      </c>
      <c r="N99">
        <v>0</v>
      </c>
      <c r="O99">
        <v>3</v>
      </c>
      <c r="P99">
        <v>3</v>
      </c>
    </row>
    <row r="100" spans="1:16">
      <c r="A100">
        <v>718</v>
      </c>
      <c r="B100">
        <v>40576</v>
      </c>
      <c r="C100">
        <v>1</v>
      </c>
      <c r="D100">
        <v>0</v>
      </c>
      <c r="E100">
        <v>2</v>
      </c>
      <c r="F100">
        <v>6</v>
      </c>
      <c r="G100" t="b">
        <v>0</v>
      </c>
      <c r="H100">
        <v>3</v>
      </c>
      <c r="I100">
        <v>3</v>
      </c>
      <c r="J100">
        <v>0.22</v>
      </c>
      <c r="K100">
        <v>0.2424</v>
      </c>
      <c r="L100">
        <v>0.93</v>
      </c>
      <c r="M100">
        <v>0.1045</v>
      </c>
      <c r="N100">
        <v>1</v>
      </c>
      <c r="O100">
        <v>17</v>
      </c>
      <c r="P100">
        <v>18</v>
      </c>
    </row>
    <row r="101" spans="1:16">
      <c r="A101">
        <v>719</v>
      </c>
      <c r="B101">
        <v>40576</v>
      </c>
      <c r="C101">
        <v>1</v>
      </c>
      <c r="D101">
        <v>0</v>
      </c>
      <c r="E101">
        <v>2</v>
      </c>
      <c r="F101">
        <v>7</v>
      </c>
      <c r="G101" t="b">
        <v>0</v>
      </c>
      <c r="H101">
        <v>3</v>
      </c>
      <c r="I101">
        <v>3</v>
      </c>
      <c r="J101">
        <v>0.22</v>
      </c>
      <c r="K101">
        <v>0.21210000000000001</v>
      </c>
      <c r="L101">
        <v>0.93</v>
      </c>
      <c r="M101">
        <v>0.22389999999999999</v>
      </c>
      <c r="N101">
        <v>1</v>
      </c>
      <c r="O101">
        <v>48</v>
      </c>
      <c r="P101">
        <v>49</v>
      </c>
    </row>
    <row r="102" spans="1:16">
      <c r="A102">
        <v>720</v>
      </c>
      <c r="B102">
        <v>40576</v>
      </c>
      <c r="C102">
        <v>1</v>
      </c>
      <c r="D102">
        <v>0</v>
      </c>
      <c r="E102">
        <v>2</v>
      </c>
      <c r="F102">
        <v>8</v>
      </c>
      <c r="G102" t="b">
        <v>0</v>
      </c>
      <c r="H102">
        <v>3</v>
      </c>
      <c r="I102">
        <v>3</v>
      </c>
      <c r="J102">
        <v>0.22</v>
      </c>
      <c r="K102">
        <v>0.21210000000000001</v>
      </c>
      <c r="L102">
        <v>0.93</v>
      </c>
      <c r="M102">
        <v>0.22389999999999999</v>
      </c>
      <c r="N102">
        <v>1</v>
      </c>
      <c r="O102">
        <v>154</v>
      </c>
      <c r="P102">
        <v>155</v>
      </c>
    </row>
    <row r="103" spans="1:16">
      <c r="A103">
        <v>721</v>
      </c>
      <c r="B103">
        <v>40576</v>
      </c>
      <c r="C103">
        <v>1</v>
      </c>
      <c r="D103">
        <v>0</v>
      </c>
      <c r="E103">
        <v>2</v>
      </c>
      <c r="F103">
        <v>9</v>
      </c>
      <c r="G103" t="b">
        <v>0</v>
      </c>
      <c r="H103">
        <v>3</v>
      </c>
      <c r="I103">
        <v>2</v>
      </c>
      <c r="J103">
        <v>0.24</v>
      </c>
      <c r="K103">
        <v>0.2576</v>
      </c>
      <c r="L103">
        <v>0.93</v>
      </c>
      <c r="M103">
        <v>8.9599999999999999E-2</v>
      </c>
      <c r="N103">
        <v>4</v>
      </c>
      <c r="O103">
        <v>119</v>
      </c>
      <c r="P103">
        <v>123</v>
      </c>
    </row>
    <row r="104" spans="1:16">
      <c r="A104">
        <v>722</v>
      </c>
      <c r="B104">
        <v>40576</v>
      </c>
      <c r="C104">
        <v>1</v>
      </c>
      <c r="D104">
        <v>0</v>
      </c>
      <c r="E104">
        <v>2</v>
      </c>
      <c r="F104">
        <v>10</v>
      </c>
      <c r="G104" t="b">
        <v>0</v>
      </c>
      <c r="H104">
        <v>3</v>
      </c>
      <c r="I104">
        <v>2</v>
      </c>
      <c r="J104">
        <v>0.22</v>
      </c>
      <c r="K104">
        <v>0.2727</v>
      </c>
      <c r="L104">
        <v>1</v>
      </c>
      <c r="M104">
        <v>0</v>
      </c>
      <c r="N104">
        <v>2</v>
      </c>
      <c r="O104">
        <v>59</v>
      </c>
      <c r="P104">
        <v>61</v>
      </c>
    </row>
    <row r="105" spans="1:16">
      <c r="A105">
        <v>723</v>
      </c>
      <c r="B105">
        <v>40576</v>
      </c>
      <c r="C105">
        <v>1</v>
      </c>
      <c r="D105">
        <v>0</v>
      </c>
      <c r="E105">
        <v>2</v>
      </c>
      <c r="F105">
        <v>11</v>
      </c>
      <c r="G105" t="b">
        <v>0</v>
      </c>
      <c r="H105">
        <v>3</v>
      </c>
      <c r="I105">
        <v>2</v>
      </c>
      <c r="J105">
        <v>0.24</v>
      </c>
      <c r="K105">
        <v>0.2273</v>
      </c>
      <c r="L105">
        <v>0.93</v>
      </c>
      <c r="M105">
        <v>0.19400000000000001</v>
      </c>
      <c r="N105">
        <v>5</v>
      </c>
      <c r="O105">
        <v>47</v>
      </c>
      <c r="P105">
        <v>52</v>
      </c>
    </row>
    <row r="106" spans="1:16">
      <c r="A106">
        <v>724</v>
      </c>
      <c r="B106">
        <v>40576</v>
      </c>
      <c r="C106">
        <v>1</v>
      </c>
      <c r="D106">
        <v>0</v>
      </c>
      <c r="E106">
        <v>2</v>
      </c>
      <c r="F106">
        <v>12</v>
      </c>
      <c r="G106" t="b">
        <v>0</v>
      </c>
      <c r="H106">
        <v>3</v>
      </c>
      <c r="I106">
        <v>2</v>
      </c>
      <c r="J106">
        <v>0.24</v>
      </c>
      <c r="K106">
        <v>0.2273</v>
      </c>
      <c r="L106">
        <v>0.93</v>
      </c>
      <c r="M106">
        <v>0.22389999999999999</v>
      </c>
      <c r="N106">
        <v>3</v>
      </c>
      <c r="O106">
        <v>61</v>
      </c>
      <c r="P106">
        <v>64</v>
      </c>
    </row>
    <row r="107" spans="1:16">
      <c r="A107">
        <v>725</v>
      </c>
      <c r="B107">
        <v>40576</v>
      </c>
      <c r="C107">
        <v>1</v>
      </c>
      <c r="D107">
        <v>0</v>
      </c>
      <c r="E107">
        <v>2</v>
      </c>
      <c r="F107">
        <v>13</v>
      </c>
      <c r="G107" t="b">
        <v>0</v>
      </c>
      <c r="H107">
        <v>3</v>
      </c>
      <c r="I107">
        <v>1</v>
      </c>
      <c r="J107">
        <v>0.34</v>
      </c>
      <c r="K107">
        <v>0.33329999999999999</v>
      </c>
      <c r="L107">
        <v>0.93</v>
      </c>
      <c r="M107">
        <v>0.16420000000000001</v>
      </c>
      <c r="N107">
        <v>1</v>
      </c>
      <c r="O107">
        <v>74</v>
      </c>
      <c r="P107">
        <v>75</v>
      </c>
    </row>
    <row r="108" spans="1:16">
      <c r="A108">
        <v>726</v>
      </c>
      <c r="B108">
        <v>40576</v>
      </c>
      <c r="C108">
        <v>1</v>
      </c>
      <c r="D108">
        <v>0</v>
      </c>
      <c r="E108">
        <v>2</v>
      </c>
      <c r="F108">
        <v>14</v>
      </c>
      <c r="G108" t="b">
        <v>0</v>
      </c>
      <c r="H108">
        <v>3</v>
      </c>
      <c r="I108">
        <v>1</v>
      </c>
      <c r="J108">
        <v>0.38</v>
      </c>
      <c r="K108">
        <v>0.39389999999999997</v>
      </c>
      <c r="L108">
        <v>0.82</v>
      </c>
      <c r="M108">
        <v>0.3881</v>
      </c>
      <c r="N108">
        <v>2</v>
      </c>
      <c r="O108">
        <v>61</v>
      </c>
      <c r="P108">
        <v>63</v>
      </c>
    </row>
    <row r="109" spans="1:16">
      <c r="A109">
        <v>727</v>
      </c>
      <c r="B109">
        <v>40576</v>
      </c>
      <c r="C109">
        <v>1</v>
      </c>
      <c r="D109">
        <v>0</v>
      </c>
      <c r="E109">
        <v>2</v>
      </c>
      <c r="F109">
        <v>15</v>
      </c>
      <c r="G109" t="b">
        <v>0</v>
      </c>
      <c r="H109">
        <v>3</v>
      </c>
      <c r="I109">
        <v>1</v>
      </c>
      <c r="J109">
        <v>0.38</v>
      </c>
      <c r="K109">
        <v>0.39389999999999997</v>
      </c>
      <c r="L109">
        <v>0.76</v>
      </c>
      <c r="M109">
        <v>0.32840000000000003</v>
      </c>
      <c r="N109">
        <v>10</v>
      </c>
      <c r="O109">
        <v>66</v>
      </c>
      <c r="P109">
        <v>76</v>
      </c>
    </row>
    <row r="110" spans="1:16">
      <c r="A110">
        <v>728</v>
      </c>
      <c r="B110">
        <v>40576</v>
      </c>
      <c r="C110">
        <v>1</v>
      </c>
      <c r="D110">
        <v>0</v>
      </c>
      <c r="E110">
        <v>2</v>
      </c>
      <c r="F110">
        <v>16</v>
      </c>
      <c r="G110" t="b">
        <v>0</v>
      </c>
      <c r="H110">
        <v>3</v>
      </c>
      <c r="I110">
        <v>1</v>
      </c>
      <c r="J110">
        <v>0.36</v>
      </c>
      <c r="K110">
        <v>0.33329999999999999</v>
      </c>
      <c r="L110">
        <v>0.71</v>
      </c>
      <c r="M110">
        <v>0.29849999999999999</v>
      </c>
      <c r="N110">
        <v>8</v>
      </c>
      <c r="O110">
        <v>95</v>
      </c>
      <c r="P110">
        <v>103</v>
      </c>
    </row>
    <row r="111" spans="1:16">
      <c r="A111">
        <v>729</v>
      </c>
      <c r="B111">
        <v>40576</v>
      </c>
      <c r="C111">
        <v>1</v>
      </c>
      <c r="D111">
        <v>0</v>
      </c>
      <c r="E111">
        <v>2</v>
      </c>
      <c r="F111">
        <v>17</v>
      </c>
      <c r="G111" t="b">
        <v>0</v>
      </c>
      <c r="H111">
        <v>3</v>
      </c>
      <c r="I111">
        <v>1</v>
      </c>
      <c r="J111">
        <v>0.36</v>
      </c>
      <c r="K111">
        <v>0.31819999999999998</v>
      </c>
      <c r="L111">
        <v>0.53</v>
      </c>
      <c r="M111">
        <v>0.52239999999999998</v>
      </c>
      <c r="N111">
        <v>7</v>
      </c>
      <c r="O111">
        <v>183</v>
      </c>
      <c r="P111">
        <v>190</v>
      </c>
    </row>
    <row r="112" spans="1:16">
      <c r="A112">
        <v>730</v>
      </c>
      <c r="B112">
        <v>40576</v>
      </c>
      <c r="C112">
        <v>1</v>
      </c>
      <c r="D112">
        <v>0</v>
      </c>
      <c r="E112">
        <v>2</v>
      </c>
      <c r="F112">
        <v>18</v>
      </c>
      <c r="G112" t="b">
        <v>0</v>
      </c>
      <c r="H112">
        <v>3</v>
      </c>
      <c r="I112">
        <v>1</v>
      </c>
      <c r="J112">
        <v>0.34</v>
      </c>
      <c r="K112">
        <v>0.28789999999999999</v>
      </c>
      <c r="L112">
        <v>0.42</v>
      </c>
      <c r="M112">
        <v>0.55220000000000002</v>
      </c>
      <c r="N112">
        <v>7</v>
      </c>
      <c r="O112">
        <v>175</v>
      </c>
      <c r="P112">
        <v>182</v>
      </c>
    </row>
    <row r="113" spans="1:16">
      <c r="A113">
        <v>731</v>
      </c>
      <c r="B113">
        <v>40576</v>
      </c>
      <c r="C113">
        <v>1</v>
      </c>
      <c r="D113">
        <v>0</v>
      </c>
      <c r="E113">
        <v>2</v>
      </c>
      <c r="F113">
        <v>19</v>
      </c>
      <c r="G113" t="b">
        <v>0</v>
      </c>
      <c r="H113">
        <v>3</v>
      </c>
      <c r="I113">
        <v>1</v>
      </c>
      <c r="J113">
        <v>0.28000000000000003</v>
      </c>
      <c r="K113">
        <v>0.2424</v>
      </c>
      <c r="L113">
        <v>0.45</v>
      </c>
      <c r="M113">
        <v>0.49249999999999999</v>
      </c>
      <c r="N113">
        <v>3</v>
      </c>
      <c r="O113">
        <v>88</v>
      </c>
      <c r="P113">
        <v>91</v>
      </c>
    </row>
    <row r="114" spans="1:16">
      <c r="A114">
        <v>732</v>
      </c>
      <c r="B114">
        <v>40576</v>
      </c>
      <c r="C114">
        <v>1</v>
      </c>
      <c r="D114">
        <v>0</v>
      </c>
      <c r="E114">
        <v>2</v>
      </c>
      <c r="F114">
        <v>20</v>
      </c>
      <c r="G114" t="b">
        <v>0</v>
      </c>
      <c r="H114">
        <v>3</v>
      </c>
      <c r="I114">
        <v>1</v>
      </c>
      <c r="J114">
        <v>0.24</v>
      </c>
      <c r="K114">
        <v>0.19700000000000001</v>
      </c>
      <c r="L114">
        <v>0.48</v>
      </c>
      <c r="M114">
        <v>0.55220000000000002</v>
      </c>
      <c r="N114">
        <v>4</v>
      </c>
      <c r="O114">
        <v>71</v>
      </c>
      <c r="P114">
        <v>75</v>
      </c>
    </row>
    <row r="115" spans="1:16">
      <c r="A115">
        <v>733</v>
      </c>
      <c r="B115">
        <v>40576</v>
      </c>
      <c r="C115">
        <v>1</v>
      </c>
      <c r="D115">
        <v>0</v>
      </c>
      <c r="E115">
        <v>2</v>
      </c>
      <c r="F115">
        <v>21</v>
      </c>
      <c r="G115" t="b">
        <v>0</v>
      </c>
      <c r="H115">
        <v>3</v>
      </c>
      <c r="I115">
        <v>1</v>
      </c>
      <c r="J115">
        <v>0.22</v>
      </c>
      <c r="K115">
        <v>0.19700000000000001</v>
      </c>
      <c r="L115">
        <v>0.47</v>
      </c>
      <c r="M115">
        <v>0.32840000000000003</v>
      </c>
      <c r="N115">
        <v>1</v>
      </c>
      <c r="O115">
        <v>62</v>
      </c>
      <c r="P115">
        <v>63</v>
      </c>
    </row>
    <row r="116" spans="1:16">
      <c r="A116">
        <v>734</v>
      </c>
      <c r="B116">
        <v>40576</v>
      </c>
      <c r="C116">
        <v>1</v>
      </c>
      <c r="D116">
        <v>0</v>
      </c>
      <c r="E116">
        <v>2</v>
      </c>
      <c r="F116">
        <v>22</v>
      </c>
      <c r="G116" t="b">
        <v>0</v>
      </c>
      <c r="H116">
        <v>3</v>
      </c>
      <c r="I116">
        <v>1</v>
      </c>
      <c r="J116">
        <v>0.22</v>
      </c>
      <c r="K116">
        <v>0.21210000000000001</v>
      </c>
      <c r="L116">
        <v>0.44</v>
      </c>
      <c r="M116">
        <v>0.25369999999999998</v>
      </c>
      <c r="N116">
        <v>5</v>
      </c>
      <c r="O116">
        <v>35</v>
      </c>
      <c r="P116">
        <v>40</v>
      </c>
    </row>
    <row r="117" spans="1:16">
      <c r="A117">
        <v>735</v>
      </c>
      <c r="B117">
        <v>40576</v>
      </c>
      <c r="C117">
        <v>1</v>
      </c>
      <c r="D117">
        <v>0</v>
      </c>
      <c r="E117">
        <v>2</v>
      </c>
      <c r="F117">
        <v>23</v>
      </c>
      <c r="G117" t="b">
        <v>0</v>
      </c>
      <c r="H117">
        <v>3</v>
      </c>
      <c r="I117">
        <v>1</v>
      </c>
      <c r="J117">
        <v>0.2</v>
      </c>
      <c r="K117">
        <v>0.16669999999999999</v>
      </c>
      <c r="L117">
        <v>0.44</v>
      </c>
      <c r="M117">
        <v>0.44779999999999998</v>
      </c>
      <c r="N117">
        <v>3</v>
      </c>
      <c r="O117">
        <v>29</v>
      </c>
      <c r="P117">
        <v>32</v>
      </c>
    </row>
    <row r="118" spans="1:16">
      <c r="A118">
        <v>736</v>
      </c>
      <c r="B118">
        <v>40577</v>
      </c>
      <c r="C118">
        <v>1</v>
      </c>
      <c r="D118">
        <v>0</v>
      </c>
      <c r="E118">
        <v>2</v>
      </c>
      <c r="F118">
        <v>0</v>
      </c>
      <c r="G118" t="b">
        <v>0</v>
      </c>
      <c r="H118">
        <v>4</v>
      </c>
      <c r="I118">
        <v>1</v>
      </c>
      <c r="J118">
        <v>0.2</v>
      </c>
      <c r="K118">
        <v>0.16669999999999999</v>
      </c>
      <c r="L118">
        <v>0.4</v>
      </c>
      <c r="M118">
        <v>0.44779999999999998</v>
      </c>
      <c r="N118">
        <v>1</v>
      </c>
      <c r="O118">
        <v>11</v>
      </c>
      <c r="P118">
        <v>12</v>
      </c>
    </row>
    <row r="119" spans="1:16">
      <c r="A119">
        <v>737</v>
      </c>
      <c r="B119">
        <v>40577</v>
      </c>
      <c r="C119">
        <v>1</v>
      </c>
      <c r="D119">
        <v>0</v>
      </c>
      <c r="E119">
        <v>2</v>
      </c>
      <c r="F119">
        <v>1</v>
      </c>
      <c r="G119" t="b">
        <v>0</v>
      </c>
      <c r="H119">
        <v>4</v>
      </c>
      <c r="I119">
        <v>1</v>
      </c>
      <c r="J119">
        <v>0.2</v>
      </c>
      <c r="K119">
        <v>0.1515</v>
      </c>
      <c r="L119">
        <v>0.44</v>
      </c>
      <c r="M119">
        <v>0.52239999999999998</v>
      </c>
      <c r="N119">
        <v>0</v>
      </c>
      <c r="O119">
        <v>5</v>
      </c>
      <c r="P119">
        <v>5</v>
      </c>
    </row>
    <row r="120" spans="1:16">
      <c r="A120">
        <v>738</v>
      </c>
      <c r="B120">
        <v>40577</v>
      </c>
      <c r="C120">
        <v>1</v>
      </c>
      <c r="D120">
        <v>0</v>
      </c>
      <c r="E120">
        <v>2</v>
      </c>
      <c r="F120">
        <v>2</v>
      </c>
      <c r="G120" t="b">
        <v>0</v>
      </c>
      <c r="H120">
        <v>4</v>
      </c>
      <c r="I120">
        <v>1</v>
      </c>
      <c r="J120">
        <v>0.18</v>
      </c>
      <c r="K120">
        <v>0.16669999999999999</v>
      </c>
      <c r="L120">
        <v>0.43</v>
      </c>
      <c r="M120">
        <v>0.25369999999999998</v>
      </c>
      <c r="N120">
        <v>0</v>
      </c>
      <c r="O120">
        <v>2</v>
      </c>
      <c r="P120">
        <v>2</v>
      </c>
    </row>
    <row r="121" spans="1:16">
      <c r="A121">
        <v>739</v>
      </c>
      <c r="B121">
        <v>40577</v>
      </c>
      <c r="C121">
        <v>1</v>
      </c>
      <c r="D121">
        <v>0</v>
      </c>
      <c r="E121">
        <v>2</v>
      </c>
      <c r="F121">
        <v>3</v>
      </c>
      <c r="G121" t="b">
        <v>0</v>
      </c>
      <c r="H121">
        <v>4</v>
      </c>
      <c r="I121">
        <v>1</v>
      </c>
      <c r="J121">
        <v>0.18</v>
      </c>
      <c r="K121">
        <v>0.16669999999999999</v>
      </c>
      <c r="L121">
        <v>0.43</v>
      </c>
      <c r="M121">
        <v>0.25369999999999998</v>
      </c>
      <c r="N121">
        <v>0</v>
      </c>
      <c r="O121">
        <v>1</v>
      </c>
      <c r="P121">
        <v>1</v>
      </c>
    </row>
    <row r="122" spans="1:16">
      <c r="A122">
        <v>740</v>
      </c>
      <c r="B122">
        <v>40577</v>
      </c>
      <c r="C122">
        <v>1</v>
      </c>
      <c r="D122">
        <v>0</v>
      </c>
      <c r="E122">
        <v>2</v>
      </c>
      <c r="F122">
        <v>5</v>
      </c>
      <c r="G122" t="b">
        <v>0</v>
      </c>
      <c r="H122">
        <v>4</v>
      </c>
      <c r="I122">
        <v>1</v>
      </c>
      <c r="J122">
        <v>0.16</v>
      </c>
      <c r="K122">
        <v>0.13639999999999999</v>
      </c>
      <c r="L122">
        <v>0.5</v>
      </c>
      <c r="M122">
        <v>0.29849999999999999</v>
      </c>
      <c r="N122">
        <v>0</v>
      </c>
      <c r="O122">
        <v>2</v>
      </c>
      <c r="P122">
        <v>2</v>
      </c>
    </row>
    <row r="123" spans="1:16">
      <c r="A123">
        <v>741</v>
      </c>
      <c r="B123">
        <v>40577</v>
      </c>
      <c r="C123">
        <v>1</v>
      </c>
      <c r="D123">
        <v>0</v>
      </c>
      <c r="E123">
        <v>2</v>
      </c>
      <c r="F123">
        <v>6</v>
      </c>
      <c r="G123" t="b">
        <v>0</v>
      </c>
      <c r="H123">
        <v>4</v>
      </c>
      <c r="I123">
        <v>1</v>
      </c>
      <c r="J123">
        <v>0.16</v>
      </c>
      <c r="K123">
        <v>0.13639999999999999</v>
      </c>
      <c r="L123">
        <v>0.43</v>
      </c>
      <c r="M123">
        <v>0.35820000000000002</v>
      </c>
      <c r="N123">
        <v>0</v>
      </c>
      <c r="O123">
        <v>39</v>
      </c>
      <c r="P123">
        <v>39</v>
      </c>
    </row>
    <row r="124" spans="1:16">
      <c r="A124">
        <v>742</v>
      </c>
      <c r="B124">
        <v>40577</v>
      </c>
      <c r="C124">
        <v>1</v>
      </c>
      <c r="D124">
        <v>0</v>
      </c>
      <c r="E124">
        <v>2</v>
      </c>
      <c r="F124">
        <v>7</v>
      </c>
      <c r="G124" t="b">
        <v>0</v>
      </c>
      <c r="H124">
        <v>4</v>
      </c>
      <c r="I124">
        <v>1</v>
      </c>
      <c r="J124">
        <v>0.14000000000000001</v>
      </c>
      <c r="K124">
        <v>0.1212</v>
      </c>
      <c r="L124">
        <v>0.5</v>
      </c>
      <c r="M124">
        <v>0.32840000000000003</v>
      </c>
      <c r="N124">
        <v>1</v>
      </c>
      <c r="O124">
        <v>86</v>
      </c>
      <c r="P124">
        <v>87</v>
      </c>
    </row>
    <row r="125" spans="1:16">
      <c r="A125">
        <v>743</v>
      </c>
      <c r="B125">
        <v>40577</v>
      </c>
      <c r="C125">
        <v>1</v>
      </c>
      <c r="D125">
        <v>0</v>
      </c>
      <c r="E125">
        <v>2</v>
      </c>
      <c r="F125">
        <v>8</v>
      </c>
      <c r="G125" t="b">
        <v>0</v>
      </c>
      <c r="H125">
        <v>4</v>
      </c>
      <c r="I125">
        <v>1</v>
      </c>
      <c r="J125">
        <v>0.14000000000000001</v>
      </c>
      <c r="K125">
        <v>0.1212</v>
      </c>
      <c r="L125">
        <v>0.5</v>
      </c>
      <c r="M125">
        <v>0.35820000000000002</v>
      </c>
      <c r="N125">
        <v>4</v>
      </c>
      <c r="O125">
        <v>184</v>
      </c>
      <c r="P125">
        <v>188</v>
      </c>
    </row>
    <row r="126" spans="1:16">
      <c r="A126">
        <v>744</v>
      </c>
      <c r="B126">
        <v>40577</v>
      </c>
      <c r="C126">
        <v>1</v>
      </c>
      <c r="D126">
        <v>0</v>
      </c>
      <c r="E126">
        <v>2</v>
      </c>
      <c r="F126">
        <v>9</v>
      </c>
      <c r="G126" t="b">
        <v>0</v>
      </c>
      <c r="H126">
        <v>4</v>
      </c>
      <c r="I126">
        <v>1</v>
      </c>
      <c r="J126">
        <v>0.16</v>
      </c>
      <c r="K126">
        <v>0.13639999999999999</v>
      </c>
      <c r="L126">
        <v>0.47</v>
      </c>
      <c r="M126">
        <v>0.29849999999999999</v>
      </c>
      <c r="N126">
        <v>6</v>
      </c>
      <c r="O126">
        <v>127</v>
      </c>
      <c r="P126">
        <v>133</v>
      </c>
    </row>
    <row r="127" spans="1:16">
      <c r="A127">
        <v>745</v>
      </c>
      <c r="B127">
        <v>40577</v>
      </c>
      <c r="C127">
        <v>1</v>
      </c>
      <c r="D127">
        <v>0</v>
      </c>
      <c r="E127">
        <v>2</v>
      </c>
      <c r="F127">
        <v>10</v>
      </c>
      <c r="G127" t="b">
        <v>0</v>
      </c>
      <c r="H127">
        <v>4</v>
      </c>
      <c r="I127">
        <v>1</v>
      </c>
      <c r="J127">
        <v>0.18</v>
      </c>
      <c r="K127">
        <v>0.1515</v>
      </c>
      <c r="L127">
        <v>0.43</v>
      </c>
      <c r="M127">
        <v>0.32840000000000003</v>
      </c>
      <c r="N127">
        <v>2</v>
      </c>
      <c r="O127">
        <v>50</v>
      </c>
      <c r="P127">
        <v>52</v>
      </c>
    </row>
    <row r="128" spans="1:16">
      <c r="A128">
        <v>746</v>
      </c>
      <c r="B128">
        <v>40577</v>
      </c>
      <c r="C128">
        <v>1</v>
      </c>
      <c r="D128">
        <v>0</v>
      </c>
      <c r="E128">
        <v>2</v>
      </c>
      <c r="F128">
        <v>11</v>
      </c>
      <c r="G128" t="b">
        <v>0</v>
      </c>
      <c r="H128">
        <v>4</v>
      </c>
      <c r="I128">
        <v>1</v>
      </c>
      <c r="J128">
        <v>0.18</v>
      </c>
      <c r="K128">
        <v>0.13639999999999999</v>
      </c>
      <c r="L128">
        <v>0.43</v>
      </c>
      <c r="M128">
        <v>0.44779999999999998</v>
      </c>
      <c r="N128">
        <v>9</v>
      </c>
      <c r="O128">
        <v>55</v>
      </c>
      <c r="P128">
        <v>64</v>
      </c>
    </row>
    <row r="129" spans="1:16">
      <c r="A129">
        <v>747</v>
      </c>
      <c r="B129">
        <v>40577</v>
      </c>
      <c r="C129">
        <v>1</v>
      </c>
      <c r="D129">
        <v>0</v>
      </c>
      <c r="E129">
        <v>2</v>
      </c>
      <c r="F129">
        <v>12</v>
      </c>
      <c r="G129" t="b">
        <v>0</v>
      </c>
      <c r="H129">
        <v>4</v>
      </c>
      <c r="I129">
        <v>1</v>
      </c>
      <c r="J129">
        <v>0.2</v>
      </c>
      <c r="K129">
        <v>0.18179999999999999</v>
      </c>
      <c r="L129">
        <v>0.4</v>
      </c>
      <c r="M129">
        <v>0.35820000000000002</v>
      </c>
      <c r="N129">
        <v>2</v>
      </c>
      <c r="O129">
        <v>67</v>
      </c>
      <c r="P129">
        <v>69</v>
      </c>
    </row>
    <row r="130" spans="1:16">
      <c r="A130">
        <v>748</v>
      </c>
      <c r="B130">
        <v>40577</v>
      </c>
      <c r="C130">
        <v>1</v>
      </c>
      <c r="D130">
        <v>0</v>
      </c>
      <c r="E130">
        <v>2</v>
      </c>
      <c r="F130">
        <v>13</v>
      </c>
      <c r="G130" t="b">
        <v>0</v>
      </c>
      <c r="H130">
        <v>4</v>
      </c>
      <c r="I130">
        <v>1</v>
      </c>
      <c r="J130">
        <v>0.2</v>
      </c>
      <c r="K130">
        <v>0.16669999999999999</v>
      </c>
      <c r="L130">
        <v>0.4</v>
      </c>
      <c r="M130">
        <v>0.41789999999999999</v>
      </c>
      <c r="N130">
        <v>4</v>
      </c>
      <c r="O130">
        <v>47</v>
      </c>
      <c r="P130">
        <v>51</v>
      </c>
    </row>
    <row r="131" spans="1:16">
      <c r="A131">
        <v>749</v>
      </c>
      <c r="B131">
        <v>40577</v>
      </c>
      <c r="C131">
        <v>1</v>
      </c>
      <c r="D131">
        <v>0</v>
      </c>
      <c r="E131">
        <v>2</v>
      </c>
      <c r="F131">
        <v>14</v>
      </c>
      <c r="G131" t="b">
        <v>0</v>
      </c>
      <c r="H131">
        <v>4</v>
      </c>
      <c r="I131">
        <v>1</v>
      </c>
      <c r="J131">
        <v>0.22</v>
      </c>
      <c r="K131">
        <v>0.19700000000000001</v>
      </c>
      <c r="L131">
        <v>0.37</v>
      </c>
      <c r="M131">
        <v>0.3881</v>
      </c>
      <c r="N131">
        <v>4</v>
      </c>
      <c r="O131">
        <v>43</v>
      </c>
      <c r="P131">
        <v>47</v>
      </c>
    </row>
    <row r="132" spans="1:16">
      <c r="A132">
        <v>750</v>
      </c>
      <c r="B132">
        <v>40577</v>
      </c>
      <c r="C132">
        <v>1</v>
      </c>
      <c r="D132">
        <v>0</v>
      </c>
      <c r="E132">
        <v>2</v>
      </c>
      <c r="F132">
        <v>15</v>
      </c>
      <c r="G132" t="b">
        <v>0</v>
      </c>
      <c r="H132">
        <v>4</v>
      </c>
      <c r="I132">
        <v>1</v>
      </c>
      <c r="J132">
        <v>0.22</v>
      </c>
      <c r="K132">
        <v>0.19700000000000001</v>
      </c>
      <c r="L132">
        <v>0.37</v>
      </c>
      <c r="M132">
        <v>0.32840000000000003</v>
      </c>
      <c r="N132">
        <v>4</v>
      </c>
      <c r="O132">
        <v>56</v>
      </c>
      <c r="P132">
        <v>60</v>
      </c>
    </row>
    <row r="133" spans="1:16">
      <c r="A133">
        <v>751</v>
      </c>
      <c r="B133">
        <v>40577</v>
      </c>
      <c r="C133">
        <v>1</v>
      </c>
      <c r="D133">
        <v>0</v>
      </c>
      <c r="E133">
        <v>2</v>
      </c>
      <c r="F133">
        <v>16</v>
      </c>
      <c r="G133" t="b">
        <v>0</v>
      </c>
      <c r="H133">
        <v>4</v>
      </c>
      <c r="I133">
        <v>1</v>
      </c>
      <c r="J133">
        <v>0.22</v>
      </c>
      <c r="K133">
        <v>0.21210000000000001</v>
      </c>
      <c r="L133">
        <v>0.37</v>
      </c>
      <c r="M133">
        <v>0.25369999999999998</v>
      </c>
      <c r="N133">
        <v>5</v>
      </c>
      <c r="O133">
        <v>73</v>
      </c>
      <c r="P133">
        <v>78</v>
      </c>
    </row>
    <row r="134" spans="1:16">
      <c r="A134">
        <v>752</v>
      </c>
      <c r="B134">
        <v>40577</v>
      </c>
      <c r="C134">
        <v>1</v>
      </c>
      <c r="D134">
        <v>0</v>
      </c>
      <c r="E134">
        <v>2</v>
      </c>
      <c r="F134">
        <v>17</v>
      </c>
      <c r="G134" t="b">
        <v>0</v>
      </c>
      <c r="H134">
        <v>4</v>
      </c>
      <c r="I134">
        <v>1</v>
      </c>
      <c r="J134">
        <v>0.2</v>
      </c>
      <c r="K134">
        <v>0.19700000000000001</v>
      </c>
      <c r="L134">
        <v>0.4</v>
      </c>
      <c r="M134">
        <v>0.19400000000000001</v>
      </c>
      <c r="N134">
        <v>5</v>
      </c>
      <c r="O134">
        <v>170</v>
      </c>
      <c r="P134">
        <v>175</v>
      </c>
    </row>
    <row r="135" spans="1:16">
      <c r="A135">
        <v>753</v>
      </c>
      <c r="B135">
        <v>40577</v>
      </c>
      <c r="C135">
        <v>1</v>
      </c>
      <c r="D135">
        <v>0</v>
      </c>
      <c r="E135">
        <v>2</v>
      </c>
      <c r="F135">
        <v>18</v>
      </c>
      <c r="G135" t="b">
        <v>0</v>
      </c>
      <c r="H135">
        <v>4</v>
      </c>
      <c r="I135">
        <v>1</v>
      </c>
      <c r="J135">
        <v>0.2</v>
      </c>
      <c r="K135">
        <v>0.21210000000000001</v>
      </c>
      <c r="L135">
        <v>0.4</v>
      </c>
      <c r="M135">
        <v>0.16420000000000001</v>
      </c>
      <c r="N135">
        <v>2</v>
      </c>
      <c r="O135">
        <v>145</v>
      </c>
      <c r="P135">
        <v>147</v>
      </c>
    </row>
    <row r="136" spans="1:16">
      <c r="A136">
        <v>754</v>
      </c>
      <c r="B136">
        <v>40577</v>
      </c>
      <c r="C136">
        <v>1</v>
      </c>
      <c r="D136">
        <v>0</v>
      </c>
      <c r="E136">
        <v>2</v>
      </c>
      <c r="F136">
        <v>19</v>
      </c>
      <c r="G136" t="b">
        <v>0</v>
      </c>
      <c r="H136">
        <v>4</v>
      </c>
      <c r="I136">
        <v>1</v>
      </c>
      <c r="J136">
        <v>0.2</v>
      </c>
      <c r="K136">
        <v>0.2576</v>
      </c>
      <c r="L136">
        <v>0.4</v>
      </c>
      <c r="M136">
        <v>0</v>
      </c>
      <c r="N136">
        <v>4</v>
      </c>
      <c r="O136">
        <v>92</v>
      </c>
      <c r="P136">
        <v>96</v>
      </c>
    </row>
    <row r="137" spans="1:16">
      <c r="A137">
        <v>755</v>
      </c>
      <c r="B137">
        <v>40577</v>
      </c>
      <c r="C137">
        <v>1</v>
      </c>
      <c r="D137">
        <v>0</v>
      </c>
      <c r="E137">
        <v>2</v>
      </c>
      <c r="F137">
        <v>20</v>
      </c>
      <c r="G137" t="b">
        <v>0</v>
      </c>
      <c r="H137">
        <v>4</v>
      </c>
      <c r="I137">
        <v>1</v>
      </c>
      <c r="J137">
        <v>0.2</v>
      </c>
      <c r="K137">
        <v>0.2273</v>
      </c>
      <c r="L137">
        <v>0.47</v>
      </c>
      <c r="M137">
        <v>8.9599999999999999E-2</v>
      </c>
      <c r="N137">
        <v>1</v>
      </c>
      <c r="O137">
        <v>108</v>
      </c>
      <c r="P137">
        <v>109</v>
      </c>
    </row>
    <row r="138" spans="1:16">
      <c r="A138">
        <v>756</v>
      </c>
      <c r="B138">
        <v>40577</v>
      </c>
      <c r="C138">
        <v>1</v>
      </c>
      <c r="D138">
        <v>0</v>
      </c>
      <c r="E138">
        <v>2</v>
      </c>
      <c r="F138">
        <v>21</v>
      </c>
      <c r="G138" t="b">
        <v>0</v>
      </c>
      <c r="H138">
        <v>4</v>
      </c>
      <c r="I138">
        <v>1</v>
      </c>
      <c r="J138">
        <v>0.18</v>
      </c>
      <c r="K138">
        <v>0.21210000000000001</v>
      </c>
      <c r="L138">
        <v>0.55000000000000004</v>
      </c>
      <c r="M138">
        <v>0.1045</v>
      </c>
      <c r="N138">
        <v>1</v>
      </c>
      <c r="O138">
        <v>53</v>
      </c>
      <c r="P138">
        <v>54</v>
      </c>
    </row>
    <row r="139" spans="1:16">
      <c r="A139">
        <v>757</v>
      </c>
      <c r="B139">
        <v>40577</v>
      </c>
      <c r="C139">
        <v>1</v>
      </c>
      <c r="D139">
        <v>0</v>
      </c>
      <c r="E139">
        <v>2</v>
      </c>
      <c r="F139">
        <v>22</v>
      </c>
      <c r="G139" t="b">
        <v>0</v>
      </c>
      <c r="H139">
        <v>4</v>
      </c>
      <c r="I139">
        <v>1</v>
      </c>
      <c r="J139">
        <v>0.18</v>
      </c>
      <c r="K139">
        <v>0.21210000000000001</v>
      </c>
      <c r="L139">
        <v>0.51</v>
      </c>
      <c r="M139">
        <v>8.9599999999999999E-2</v>
      </c>
      <c r="N139">
        <v>2</v>
      </c>
      <c r="O139">
        <v>39</v>
      </c>
      <c r="P139">
        <v>41</v>
      </c>
    </row>
    <row r="140" spans="1:16">
      <c r="A140">
        <v>758</v>
      </c>
      <c r="B140">
        <v>40577</v>
      </c>
      <c r="C140">
        <v>1</v>
      </c>
      <c r="D140">
        <v>0</v>
      </c>
      <c r="E140">
        <v>2</v>
      </c>
      <c r="F140">
        <v>23</v>
      </c>
      <c r="G140" t="b">
        <v>0</v>
      </c>
      <c r="H140">
        <v>4</v>
      </c>
      <c r="I140">
        <v>1</v>
      </c>
      <c r="J140">
        <v>0.2</v>
      </c>
      <c r="K140">
        <v>0.2273</v>
      </c>
      <c r="L140">
        <v>0.47</v>
      </c>
      <c r="M140">
        <v>0.1045</v>
      </c>
      <c r="N140">
        <v>4</v>
      </c>
      <c r="O140">
        <v>34</v>
      </c>
      <c r="P140">
        <v>38</v>
      </c>
    </row>
    <row r="141" spans="1:16">
      <c r="A141">
        <v>759</v>
      </c>
      <c r="B141">
        <v>40578</v>
      </c>
      <c r="C141">
        <v>1</v>
      </c>
      <c r="D141">
        <v>0</v>
      </c>
      <c r="E141">
        <v>2</v>
      </c>
      <c r="F141">
        <v>0</v>
      </c>
      <c r="G141" t="b">
        <v>0</v>
      </c>
      <c r="H141">
        <v>5</v>
      </c>
      <c r="I141">
        <v>2</v>
      </c>
      <c r="J141">
        <v>0.2</v>
      </c>
      <c r="K141">
        <v>0.2576</v>
      </c>
      <c r="L141">
        <v>0.44</v>
      </c>
      <c r="M141">
        <v>0</v>
      </c>
      <c r="N141">
        <v>3</v>
      </c>
      <c r="O141">
        <v>10</v>
      </c>
      <c r="P141">
        <v>13</v>
      </c>
    </row>
    <row r="142" spans="1:16">
      <c r="A142">
        <v>760</v>
      </c>
      <c r="B142">
        <v>40578</v>
      </c>
      <c r="C142">
        <v>1</v>
      </c>
      <c r="D142">
        <v>0</v>
      </c>
      <c r="E142">
        <v>2</v>
      </c>
      <c r="F142">
        <v>1</v>
      </c>
      <c r="G142" t="b">
        <v>0</v>
      </c>
      <c r="H142">
        <v>5</v>
      </c>
      <c r="I142">
        <v>2</v>
      </c>
      <c r="J142">
        <v>0.16</v>
      </c>
      <c r="K142">
        <v>0.2273</v>
      </c>
      <c r="L142">
        <v>0.59</v>
      </c>
      <c r="M142">
        <v>0</v>
      </c>
      <c r="N142">
        <v>0</v>
      </c>
      <c r="O142">
        <v>7</v>
      </c>
      <c r="P142">
        <v>7</v>
      </c>
    </row>
    <row r="143" spans="1:16">
      <c r="A143">
        <v>761</v>
      </c>
      <c r="B143">
        <v>40578</v>
      </c>
      <c r="C143">
        <v>1</v>
      </c>
      <c r="D143">
        <v>0</v>
      </c>
      <c r="E143">
        <v>2</v>
      </c>
      <c r="F143">
        <v>2</v>
      </c>
      <c r="G143" t="b">
        <v>0</v>
      </c>
      <c r="H143">
        <v>5</v>
      </c>
      <c r="I143">
        <v>2</v>
      </c>
      <c r="J143">
        <v>0.14000000000000001</v>
      </c>
      <c r="K143">
        <v>0.16669999999999999</v>
      </c>
      <c r="L143">
        <v>0.63</v>
      </c>
      <c r="M143">
        <v>0.1045</v>
      </c>
      <c r="N143">
        <v>0</v>
      </c>
      <c r="O143">
        <v>1</v>
      </c>
      <c r="P143">
        <v>1</v>
      </c>
    </row>
    <row r="144" spans="1:16">
      <c r="A144">
        <v>762</v>
      </c>
      <c r="B144">
        <v>40578</v>
      </c>
      <c r="C144">
        <v>1</v>
      </c>
      <c r="D144">
        <v>0</v>
      </c>
      <c r="E144">
        <v>2</v>
      </c>
      <c r="F144">
        <v>3</v>
      </c>
      <c r="G144" t="b">
        <v>0</v>
      </c>
      <c r="H144">
        <v>5</v>
      </c>
      <c r="I144">
        <v>2</v>
      </c>
      <c r="J144">
        <v>0.14000000000000001</v>
      </c>
      <c r="K144">
        <v>0.16669999999999999</v>
      </c>
      <c r="L144">
        <v>0.63</v>
      </c>
      <c r="M144">
        <v>0.1045</v>
      </c>
      <c r="N144">
        <v>0</v>
      </c>
      <c r="O144">
        <v>1</v>
      </c>
      <c r="P144">
        <v>1</v>
      </c>
    </row>
    <row r="145" spans="1:16">
      <c r="A145">
        <v>763</v>
      </c>
      <c r="B145">
        <v>40578</v>
      </c>
      <c r="C145">
        <v>1</v>
      </c>
      <c r="D145">
        <v>0</v>
      </c>
      <c r="E145">
        <v>2</v>
      </c>
      <c r="F145">
        <v>5</v>
      </c>
      <c r="G145" t="b">
        <v>0</v>
      </c>
      <c r="H145">
        <v>5</v>
      </c>
      <c r="I145">
        <v>2</v>
      </c>
      <c r="J145">
        <v>0.14000000000000001</v>
      </c>
      <c r="K145">
        <v>0.1515</v>
      </c>
      <c r="L145">
        <v>0.63</v>
      </c>
      <c r="M145">
        <v>0.1343</v>
      </c>
      <c r="N145">
        <v>0</v>
      </c>
      <c r="O145">
        <v>7</v>
      </c>
      <c r="P145">
        <v>7</v>
      </c>
    </row>
    <row r="146" spans="1:16">
      <c r="A146">
        <v>764</v>
      </c>
      <c r="B146">
        <v>40578</v>
      </c>
      <c r="C146">
        <v>1</v>
      </c>
      <c r="D146">
        <v>0</v>
      </c>
      <c r="E146">
        <v>2</v>
      </c>
      <c r="F146">
        <v>6</v>
      </c>
      <c r="G146" t="b">
        <v>0</v>
      </c>
      <c r="H146">
        <v>5</v>
      </c>
      <c r="I146">
        <v>2</v>
      </c>
      <c r="J146">
        <v>0.16</v>
      </c>
      <c r="K146">
        <v>0.2273</v>
      </c>
      <c r="L146">
        <v>0.55000000000000004</v>
      </c>
      <c r="M146">
        <v>0</v>
      </c>
      <c r="N146">
        <v>2</v>
      </c>
      <c r="O146">
        <v>26</v>
      </c>
      <c r="P146">
        <v>28</v>
      </c>
    </row>
    <row r="147" spans="1:16">
      <c r="A147">
        <v>765</v>
      </c>
      <c r="B147">
        <v>40578</v>
      </c>
      <c r="C147">
        <v>1</v>
      </c>
      <c r="D147">
        <v>0</v>
      </c>
      <c r="E147">
        <v>2</v>
      </c>
      <c r="F147">
        <v>7</v>
      </c>
      <c r="G147" t="b">
        <v>0</v>
      </c>
      <c r="H147">
        <v>5</v>
      </c>
      <c r="I147">
        <v>1</v>
      </c>
      <c r="J147">
        <v>0.14000000000000001</v>
      </c>
      <c r="K147">
        <v>0.21210000000000001</v>
      </c>
      <c r="L147">
        <v>0.59</v>
      </c>
      <c r="M147">
        <v>0</v>
      </c>
      <c r="N147">
        <v>0</v>
      </c>
      <c r="O147">
        <v>87</v>
      </c>
      <c r="P147">
        <v>87</v>
      </c>
    </row>
    <row r="148" spans="1:16">
      <c r="A148">
        <v>766</v>
      </c>
      <c r="B148">
        <v>40578</v>
      </c>
      <c r="C148">
        <v>1</v>
      </c>
      <c r="D148">
        <v>0</v>
      </c>
      <c r="E148">
        <v>2</v>
      </c>
      <c r="F148">
        <v>8</v>
      </c>
      <c r="G148" t="b">
        <v>0</v>
      </c>
      <c r="H148">
        <v>5</v>
      </c>
      <c r="I148">
        <v>1</v>
      </c>
      <c r="J148">
        <v>0.14000000000000001</v>
      </c>
      <c r="K148">
        <v>0.1515</v>
      </c>
      <c r="L148">
        <v>0.74</v>
      </c>
      <c r="M148">
        <v>0.1343</v>
      </c>
      <c r="N148">
        <v>3</v>
      </c>
      <c r="O148">
        <v>217</v>
      </c>
      <c r="P148">
        <v>220</v>
      </c>
    </row>
    <row r="149" spans="1:16">
      <c r="A149">
        <v>767</v>
      </c>
      <c r="B149">
        <v>40578</v>
      </c>
      <c r="C149">
        <v>1</v>
      </c>
      <c r="D149">
        <v>0</v>
      </c>
      <c r="E149">
        <v>2</v>
      </c>
      <c r="F149">
        <v>9</v>
      </c>
      <c r="G149" t="b">
        <v>0</v>
      </c>
      <c r="H149">
        <v>5</v>
      </c>
      <c r="I149">
        <v>2</v>
      </c>
      <c r="J149">
        <v>0.16</v>
      </c>
      <c r="K149">
        <v>0.18179999999999999</v>
      </c>
      <c r="L149">
        <v>0.8</v>
      </c>
      <c r="M149">
        <v>0.1343</v>
      </c>
      <c r="N149">
        <v>3</v>
      </c>
      <c r="O149">
        <v>124</v>
      </c>
      <c r="P149">
        <v>127</v>
      </c>
    </row>
    <row r="150" spans="1:16">
      <c r="A150">
        <v>768</v>
      </c>
      <c r="B150">
        <v>40578</v>
      </c>
      <c r="C150">
        <v>1</v>
      </c>
      <c r="D150">
        <v>0</v>
      </c>
      <c r="E150">
        <v>2</v>
      </c>
      <c r="F150">
        <v>10</v>
      </c>
      <c r="G150" t="b">
        <v>0</v>
      </c>
      <c r="H150">
        <v>5</v>
      </c>
      <c r="I150">
        <v>2</v>
      </c>
      <c r="J150">
        <v>0.2</v>
      </c>
      <c r="K150">
        <v>0.21210000000000001</v>
      </c>
      <c r="L150">
        <v>0.51</v>
      </c>
      <c r="M150">
        <v>0.1343</v>
      </c>
      <c r="N150">
        <v>5</v>
      </c>
      <c r="O150">
        <v>46</v>
      </c>
      <c r="P150">
        <v>51</v>
      </c>
    </row>
    <row r="151" spans="1:16">
      <c r="A151">
        <v>769</v>
      </c>
      <c r="B151">
        <v>40578</v>
      </c>
      <c r="C151">
        <v>1</v>
      </c>
      <c r="D151">
        <v>0</v>
      </c>
      <c r="E151">
        <v>2</v>
      </c>
      <c r="F151">
        <v>11</v>
      </c>
      <c r="G151" t="b">
        <v>0</v>
      </c>
      <c r="H151">
        <v>5</v>
      </c>
      <c r="I151">
        <v>1</v>
      </c>
      <c r="J151">
        <v>0.22</v>
      </c>
      <c r="K151">
        <v>0.2273</v>
      </c>
      <c r="L151">
        <v>0.51</v>
      </c>
      <c r="M151">
        <v>0.16420000000000001</v>
      </c>
      <c r="N151">
        <v>3</v>
      </c>
      <c r="O151">
        <v>61</v>
      </c>
      <c r="P151">
        <v>64</v>
      </c>
    </row>
    <row r="152" spans="1:16">
      <c r="A152">
        <v>770</v>
      </c>
      <c r="B152">
        <v>40578</v>
      </c>
      <c r="C152">
        <v>1</v>
      </c>
      <c r="D152">
        <v>0</v>
      </c>
      <c r="E152">
        <v>2</v>
      </c>
      <c r="F152">
        <v>12</v>
      </c>
      <c r="G152" t="b">
        <v>0</v>
      </c>
      <c r="H152">
        <v>5</v>
      </c>
      <c r="I152">
        <v>2</v>
      </c>
      <c r="J152">
        <v>0.24</v>
      </c>
      <c r="K152">
        <v>0.2424</v>
      </c>
      <c r="L152">
        <v>0.48</v>
      </c>
      <c r="M152">
        <v>0.16420000000000001</v>
      </c>
      <c r="N152">
        <v>8</v>
      </c>
      <c r="O152">
        <v>78</v>
      </c>
      <c r="P152">
        <v>86</v>
      </c>
    </row>
    <row r="153" spans="1:16">
      <c r="A153">
        <v>771</v>
      </c>
      <c r="B153">
        <v>40578</v>
      </c>
      <c r="C153">
        <v>1</v>
      </c>
      <c r="D153">
        <v>0</v>
      </c>
      <c r="E153">
        <v>2</v>
      </c>
      <c r="F153">
        <v>13</v>
      </c>
      <c r="G153" t="b">
        <v>0</v>
      </c>
      <c r="H153">
        <v>5</v>
      </c>
      <c r="I153">
        <v>2</v>
      </c>
      <c r="J153">
        <v>0.26</v>
      </c>
      <c r="K153">
        <v>0.2576</v>
      </c>
      <c r="L153">
        <v>0.5</v>
      </c>
      <c r="M153">
        <v>0.22389999999999999</v>
      </c>
      <c r="N153">
        <v>9</v>
      </c>
      <c r="O153">
        <v>73</v>
      </c>
      <c r="P153">
        <v>82</v>
      </c>
    </row>
    <row r="154" spans="1:16">
      <c r="A154">
        <v>772</v>
      </c>
      <c r="B154">
        <v>40578</v>
      </c>
      <c r="C154">
        <v>1</v>
      </c>
      <c r="D154">
        <v>0</v>
      </c>
      <c r="E154">
        <v>2</v>
      </c>
      <c r="F154">
        <v>14</v>
      </c>
      <c r="G154" t="b">
        <v>0</v>
      </c>
      <c r="H154">
        <v>5</v>
      </c>
      <c r="I154">
        <v>2</v>
      </c>
      <c r="J154">
        <v>0.28000000000000003</v>
      </c>
      <c r="K154">
        <v>0.2727</v>
      </c>
      <c r="L154">
        <v>0.45</v>
      </c>
      <c r="M154">
        <v>0.16420000000000001</v>
      </c>
      <c r="N154">
        <v>15</v>
      </c>
      <c r="O154">
        <v>76</v>
      </c>
      <c r="P154">
        <v>91</v>
      </c>
    </row>
    <row r="155" spans="1:16">
      <c r="A155">
        <v>773</v>
      </c>
      <c r="B155">
        <v>40578</v>
      </c>
      <c r="C155">
        <v>1</v>
      </c>
      <c r="D155">
        <v>0</v>
      </c>
      <c r="E155">
        <v>2</v>
      </c>
      <c r="F155">
        <v>15</v>
      </c>
      <c r="G155" t="b">
        <v>0</v>
      </c>
      <c r="H155">
        <v>5</v>
      </c>
      <c r="I155">
        <v>2</v>
      </c>
      <c r="J155">
        <v>0.28000000000000003</v>
      </c>
      <c r="K155">
        <v>0.2727</v>
      </c>
      <c r="L155">
        <v>0.48</v>
      </c>
      <c r="M155">
        <v>0.25369999999999998</v>
      </c>
      <c r="N155">
        <v>9</v>
      </c>
      <c r="O155">
        <v>81</v>
      </c>
      <c r="P155">
        <v>90</v>
      </c>
    </row>
    <row r="156" spans="1:16">
      <c r="A156">
        <v>774</v>
      </c>
      <c r="B156">
        <v>40578</v>
      </c>
      <c r="C156">
        <v>1</v>
      </c>
      <c r="D156">
        <v>0</v>
      </c>
      <c r="E156">
        <v>2</v>
      </c>
      <c r="F156">
        <v>16</v>
      </c>
      <c r="G156" t="b">
        <v>0</v>
      </c>
      <c r="H156">
        <v>5</v>
      </c>
      <c r="I156">
        <v>2</v>
      </c>
      <c r="J156">
        <v>0.3</v>
      </c>
      <c r="K156">
        <v>0.28789999999999999</v>
      </c>
      <c r="L156">
        <v>0.42</v>
      </c>
      <c r="M156">
        <v>0.22389999999999999</v>
      </c>
      <c r="N156">
        <v>8</v>
      </c>
      <c r="O156">
        <v>91</v>
      </c>
      <c r="P156">
        <v>99</v>
      </c>
    </row>
    <row r="157" spans="1:16">
      <c r="A157">
        <v>775</v>
      </c>
      <c r="B157">
        <v>40578</v>
      </c>
      <c r="C157">
        <v>1</v>
      </c>
      <c r="D157">
        <v>0</v>
      </c>
      <c r="E157">
        <v>2</v>
      </c>
      <c r="F157">
        <v>17</v>
      </c>
      <c r="G157" t="b">
        <v>0</v>
      </c>
      <c r="H157">
        <v>5</v>
      </c>
      <c r="I157">
        <v>2</v>
      </c>
      <c r="J157">
        <v>0.26</v>
      </c>
      <c r="K157">
        <v>0.2727</v>
      </c>
      <c r="L157">
        <v>0.56000000000000005</v>
      </c>
      <c r="M157">
        <v>0.1343</v>
      </c>
      <c r="N157">
        <v>10</v>
      </c>
      <c r="O157">
        <v>195</v>
      </c>
      <c r="P157">
        <v>205</v>
      </c>
    </row>
    <row r="158" spans="1:16">
      <c r="A158">
        <v>776</v>
      </c>
      <c r="B158">
        <v>40578</v>
      </c>
      <c r="C158">
        <v>1</v>
      </c>
      <c r="D158">
        <v>0</v>
      </c>
      <c r="E158">
        <v>2</v>
      </c>
      <c r="F158">
        <v>18</v>
      </c>
      <c r="G158" t="b">
        <v>0</v>
      </c>
      <c r="H158">
        <v>5</v>
      </c>
      <c r="I158">
        <v>2</v>
      </c>
      <c r="J158">
        <v>0.24</v>
      </c>
      <c r="K158">
        <v>0.2576</v>
      </c>
      <c r="L158">
        <v>0.6</v>
      </c>
      <c r="M158">
        <v>0.1045</v>
      </c>
      <c r="N158">
        <v>3</v>
      </c>
      <c r="O158">
        <v>152</v>
      </c>
      <c r="P158">
        <v>155</v>
      </c>
    </row>
    <row r="159" spans="1:16">
      <c r="A159">
        <v>777</v>
      </c>
      <c r="B159">
        <v>40578</v>
      </c>
      <c r="C159">
        <v>1</v>
      </c>
      <c r="D159">
        <v>0</v>
      </c>
      <c r="E159">
        <v>2</v>
      </c>
      <c r="F159">
        <v>19</v>
      </c>
      <c r="G159" t="b">
        <v>0</v>
      </c>
      <c r="H159">
        <v>5</v>
      </c>
      <c r="I159">
        <v>2</v>
      </c>
      <c r="J159">
        <v>0.24</v>
      </c>
      <c r="K159">
        <v>0.2424</v>
      </c>
      <c r="L159">
        <v>0.65</v>
      </c>
      <c r="M159">
        <v>0.1343</v>
      </c>
      <c r="N159">
        <v>1</v>
      </c>
      <c r="O159">
        <v>102</v>
      </c>
      <c r="P159">
        <v>103</v>
      </c>
    </row>
    <row r="160" spans="1:16">
      <c r="A160">
        <v>778</v>
      </c>
      <c r="B160">
        <v>40578</v>
      </c>
      <c r="C160">
        <v>1</v>
      </c>
      <c r="D160">
        <v>0</v>
      </c>
      <c r="E160">
        <v>2</v>
      </c>
      <c r="F160">
        <v>20</v>
      </c>
      <c r="G160" t="b">
        <v>0</v>
      </c>
      <c r="H160">
        <v>5</v>
      </c>
      <c r="I160">
        <v>2</v>
      </c>
      <c r="J160">
        <v>0.24</v>
      </c>
      <c r="K160">
        <v>0.2424</v>
      </c>
      <c r="L160">
        <v>0.65</v>
      </c>
      <c r="M160">
        <v>0.16420000000000001</v>
      </c>
      <c r="N160">
        <v>2</v>
      </c>
      <c r="O160">
        <v>69</v>
      </c>
      <c r="P160">
        <v>71</v>
      </c>
    </row>
    <row r="161" spans="1:16">
      <c r="A161">
        <v>779</v>
      </c>
      <c r="B161">
        <v>40578</v>
      </c>
      <c r="C161">
        <v>1</v>
      </c>
      <c r="D161">
        <v>0</v>
      </c>
      <c r="E161">
        <v>2</v>
      </c>
      <c r="F161">
        <v>21</v>
      </c>
      <c r="G161" t="b">
        <v>0</v>
      </c>
      <c r="H161">
        <v>5</v>
      </c>
      <c r="I161">
        <v>2</v>
      </c>
      <c r="J161">
        <v>0.24</v>
      </c>
      <c r="K161">
        <v>0.2424</v>
      </c>
      <c r="L161">
        <v>0.7</v>
      </c>
      <c r="M161">
        <v>0.16420000000000001</v>
      </c>
      <c r="N161">
        <v>2</v>
      </c>
      <c r="O161">
        <v>41</v>
      </c>
      <c r="P161">
        <v>43</v>
      </c>
    </row>
    <row r="162" spans="1:16">
      <c r="A162">
        <v>780</v>
      </c>
      <c r="B162">
        <v>40578</v>
      </c>
      <c r="C162">
        <v>1</v>
      </c>
      <c r="D162">
        <v>0</v>
      </c>
      <c r="E162">
        <v>2</v>
      </c>
      <c r="F162">
        <v>22</v>
      </c>
      <c r="G162" t="b">
        <v>0</v>
      </c>
      <c r="H162">
        <v>5</v>
      </c>
      <c r="I162">
        <v>2</v>
      </c>
      <c r="J162">
        <v>0.24</v>
      </c>
      <c r="K162">
        <v>0.2424</v>
      </c>
      <c r="L162">
        <v>0.65</v>
      </c>
      <c r="M162">
        <v>0.16420000000000001</v>
      </c>
      <c r="N162">
        <v>1</v>
      </c>
      <c r="O162">
        <v>45</v>
      </c>
      <c r="P162">
        <v>46</v>
      </c>
    </row>
    <row r="163" spans="1:16">
      <c r="A163">
        <v>781</v>
      </c>
      <c r="B163">
        <v>40578</v>
      </c>
      <c r="C163">
        <v>1</v>
      </c>
      <c r="D163">
        <v>0</v>
      </c>
      <c r="E163">
        <v>2</v>
      </c>
      <c r="F163">
        <v>23</v>
      </c>
      <c r="G163" t="b">
        <v>0</v>
      </c>
      <c r="H163">
        <v>5</v>
      </c>
      <c r="I163">
        <v>2</v>
      </c>
      <c r="J163">
        <v>0.24</v>
      </c>
      <c r="K163">
        <v>0.2424</v>
      </c>
      <c r="L163">
        <v>0.7</v>
      </c>
      <c r="M163">
        <v>0.1343</v>
      </c>
      <c r="N163">
        <v>1</v>
      </c>
      <c r="O163">
        <v>30</v>
      </c>
      <c r="P163">
        <v>31</v>
      </c>
    </row>
    <row r="164" spans="1:16">
      <c r="A164">
        <v>782</v>
      </c>
      <c r="B164">
        <v>40579</v>
      </c>
      <c r="C164">
        <v>1</v>
      </c>
      <c r="D164">
        <v>0</v>
      </c>
      <c r="E164">
        <v>2</v>
      </c>
      <c r="F164">
        <v>0</v>
      </c>
      <c r="G164" t="b">
        <v>0</v>
      </c>
      <c r="H164">
        <v>6</v>
      </c>
      <c r="I164">
        <v>2</v>
      </c>
      <c r="J164">
        <v>0.24</v>
      </c>
      <c r="K164">
        <v>0.2424</v>
      </c>
      <c r="L164">
        <v>0.7</v>
      </c>
      <c r="M164">
        <v>0.16420000000000001</v>
      </c>
      <c r="N164">
        <v>3</v>
      </c>
      <c r="O164">
        <v>36</v>
      </c>
      <c r="P164">
        <v>39</v>
      </c>
    </row>
    <row r="165" spans="1:16">
      <c r="A165">
        <v>783</v>
      </c>
      <c r="B165">
        <v>40579</v>
      </c>
      <c r="C165">
        <v>1</v>
      </c>
      <c r="D165">
        <v>0</v>
      </c>
      <c r="E165">
        <v>2</v>
      </c>
      <c r="F165">
        <v>1</v>
      </c>
      <c r="G165" t="b">
        <v>0</v>
      </c>
      <c r="H165">
        <v>6</v>
      </c>
      <c r="I165">
        <v>2</v>
      </c>
      <c r="J165">
        <v>0.24</v>
      </c>
      <c r="K165">
        <v>0.2424</v>
      </c>
      <c r="L165">
        <v>0.65</v>
      </c>
      <c r="M165">
        <v>0.16420000000000001</v>
      </c>
      <c r="N165">
        <v>1</v>
      </c>
      <c r="O165">
        <v>17</v>
      </c>
      <c r="P165">
        <v>18</v>
      </c>
    </row>
    <row r="166" spans="1:16">
      <c r="A166">
        <v>784</v>
      </c>
      <c r="B166">
        <v>40579</v>
      </c>
      <c r="C166">
        <v>1</v>
      </c>
      <c r="D166">
        <v>0</v>
      </c>
      <c r="E166">
        <v>2</v>
      </c>
      <c r="F166">
        <v>2</v>
      </c>
      <c r="G166" t="b">
        <v>0</v>
      </c>
      <c r="H166">
        <v>6</v>
      </c>
      <c r="I166">
        <v>2</v>
      </c>
      <c r="J166">
        <v>0.24</v>
      </c>
      <c r="K166">
        <v>0.2424</v>
      </c>
      <c r="L166">
        <v>0.75</v>
      </c>
      <c r="M166">
        <v>0.16420000000000001</v>
      </c>
      <c r="N166">
        <v>5</v>
      </c>
      <c r="O166">
        <v>12</v>
      </c>
      <c r="P166">
        <v>17</v>
      </c>
    </row>
    <row r="167" spans="1:16">
      <c r="A167">
        <v>785</v>
      </c>
      <c r="B167">
        <v>40579</v>
      </c>
      <c r="C167">
        <v>1</v>
      </c>
      <c r="D167">
        <v>0</v>
      </c>
      <c r="E167">
        <v>2</v>
      </c>
      <c r="F167">
        <v>3</v>
      </c>
      <c r="G167" t="b">
        <v>0</v>
      </c>
      <c r="H167">
        <v>6</v>
      </c>
      <c r="I167">
        <v>2</v>
      </c>
      <c r="J167">
        <v>0.24</v>
      </c>
      <c r="K167">
        <v>0.2424</v>
      </c>
      <c r="L167">
        <v>0.75</v>
      </c>
      <c r="M167">
        <v>0.16420000000000001</v>
      </c>
      <c r="N167">
        <v>1</v>
      </c>
      <c r="O167">
        <v>10</v>
      </c>
      <c r="P167">
        <v>11</v>
      </c>
    </row>
    <row r="168" spans="1:16">
      <c r="A168">
        <v>786</v>
      </c>
      <c r="B168">
        <v>40579</v>
      </c>
      <c r="C168">
        <v>1</v>
      </c>
      <c r="D168">
        <v>0</v>
      </c>
      <c r="E168">
        <v>2</v>
      </c>
      <c r="F168">
        <v>4</v>
      </c>
      <c r="G168" t="b">
        <v>0</v>
      </c>
      <c r="H168">
        <v>6</v>
      </c>
      <c r="I168">
        <v>3</v>
      </c>
      <c r="J168">
        <v>0.22</v>
      </c>
      <c r="K168">
        <v>0.2273</v>
      </c>
      <c r="L168">
        <v>0.93</v>
      </c>
      <c r="M168">
        <v>0.1343</v>
      </c>
      <c r="N168">
        <v>0</v>
      </c>
      <c r="O168">
        <v>8</v>
      </c>
      <c r="P168">
        <v>8</v>
      </c>
    </row>
    <row r="169" spans="1:16">
      <c r="A169">
        <v>787</v>
      </c>
      <c r="B169">
        <v>40579</v>
      </c>
      <c r="C169">
        <v>1</v>
      </c>
      <c r="D169">
        <v>0</v>
      </c>
      <c r="E169">
        <v>2</v>
      </c>
      <c r="F169">
        <v>5</v>
      </c>
      <c r="G169" t="b">
        <v>0</v>
      </c>
      <c r="H169">
        <v>6</v>
      </c>
      <c r="I169">
        <v>3</v>
      </c>
      <c r="J169">
        <v>0.2</v>
      </c>
      <c r="K169">
        <v>0.2273</v>
      </c>
      <c r="L169">
        <v>1</v>
      </c>
      <c r="M169">
        <v>8.9599999999999999E-2</v>
      </c>
      <c r="N169">
        <v>0</v>
      </c>
      <c r="O169">
        <v>9</v>
      </c>
      <c r="P169">
        <v>9</v>
      </c>
    </row>
    <row r="170" spans="1:16">
      <c r="A170">
        <v>788</v>
      </c>
      <c r="B170">
        <v>40579</v>
      </c>
      <c r="C170">
        <v>1</v>
      </c>
      <c r="D170">
        <v>0</v>
      </c>
      <c r="E170">
        <v>2</v>
      </c>
      <c r="F170">
        <v>6</v>
      </c>
      <c r="G170" t="b">
        <v>0</v>
      </c>
      <c r="H170">
        <v>6</v>
      </c>
      <c r="I170">
        <v>3</v>
      </c>
      <c r="J170">
        <v>0.2</v>
      </c>
      <c r="K170">
        <v>0.2576</v>
      </c>
      <c r="L170">
        <v>1</v>
      </c>
      <c r="M170">
        <v>0</v>
      </c>
      <c r="N170">
        <v>0</v>
      </c>
      <c r="O170">
        <v>4</v>
      </c>
      <c r="P170">
        <v>4</v>
      </c>
    </row>
    <row r="171" spans="1:16">
      <c r="A171">
        <v>789</v>
      </c>
      <c r="B171">
        <v>40579</v>
      </c>
      <c r="C171">
        <v>1</v>
      </c>
      <c r="D171">
        <v>0</v>
      </c>
      <c r="E171">
        <v>2</v>
      </c>
      <c r="F171">
        <v>7</v>
      </c>
      <c r="G171" t="b">
        <v>0</v>
      </c>
      <c r="H171">
        <v>6</v>
      </c>
      <c r="I171">
        <v>3</v>
      </c>
      <c r="J171">
        <v>0.22</v>
      </c>
      <c r="K171">
        <v>0.2576</v>
      </c>
      <c r="L171">
        <v>0.93</v>
      </c>
      <c r="M171">
        <v>8.9599999999999999E-2</v>
      </c>
      <c r="N171">
        <v>0</v>
      </c>
      <c r="O171">
        <v>4</v>
      </c>
      <c r="P171">
        <v>4</v>
      </c>
    </row>
    <row r="172" spans="1:16">
      <c r="A172">
        <v>790</v>
      </c>
      <c r="B172">
        <v>40579</v>
      </c>
      <c r="C172">
        <v>1</v>
      </c>
      <c r="D172">
        <v>0</v>
      </c>
      <c r="E172">
        <v>2</v>
      </c>
      <c r="F172">
        <v>8</v>
      </c>
      <c r="G172" t="b">
        <v>0</v>
      </c>
      <c r="H172">
        <v>6</v>
      </c>
      <c r="I172">
        <v>3</v>
      </c>
      <c r="J172">
        <v>0.2</v>
      </c>
      <c r="K172">
        <v>0.2273</v>
      </c>
      <c r="L172">
        <v>1</v>
      </c>
      <c r="M172">
        <v>8.9599999999999999E-2</v>
      </c>
      <c r="N172">
        <v>0</v>
      </c>
      <c r="O172">
        <v>10</v>
      </c>
      <c r="P172">
        <v>10</v>
      </c>
    </row>
    <row r="173" spans="1:16">
      <c r="A173">
        <v>791</v>
      </c>
      <c r="B173">
        <v>40579</v>
      </c>
      <c r="C173">
        <v>1</v>
      </c>
      <c r="D173">
        <v>0</v>
      </c>
      <c r="E173">
        <v>2</v>
      </c>
      <c r="F173">
        <v>9</v>
      </c>
      <c r="G173" t="b">
        <v>0</v>
      </c>
      <c r="H173">
        <v>6</v>
      </c>
      <c r="I173">
        <v>3</v>
      </c>
      <c r="J173">
        <v>0.2</v>
      </c>
      <c r="K173">
        <v>0.2273</v>
      </c>
      <c r="L173">
        <v>1</v>
      </c>
      <c r="M173">
        <v>8.9599999999999999E-2</v>
      </c>
      <c r="N173">
        <v>3</v>
      </c>
      <c r="O173">
        <v>17</v>
      </c>
      <c r="P173">
        <v>20</v>
      </c>
    </row>
    <row r="174" spans="1:16">
      <c r="A174">
        <v>792</v>
      </c>
      <c r="B174">
        <v>40579</v>
      </c>
      <c r="C174">
        <v>1</v>
      </c>
      <c r="D174">
        <v>0</v>
      </c>
      <c r="E174">
        <v>2</v>
      </c>
      <c r="F174">
        <v>10</v>
      </c>
      <c r="G174" t="b">
        <v>0</v>
      </c>
      <c r="H174">
        <v>6</v>
      </c>
      <c r="I174">
        <v>3</v>
      </c>
      <c r="J174">
        <v>0.2</v>
      </c>
      <c r="K174">
        <v>0.21210000000000001</v>
      </c>
      <c r="L174">
        <v>1</v>
      </c>
      <c r="M174">
        <v>0.1343</v>
      </c>
      <c r="N174">
        <v>3</v>
      </c>
      <c r="O174">
        <v>31</v>
      </c>
      <c r="P174">
        <v>34</v>
      </c>
    </row>
    <row r="175" spans="1:16">
      <c r="A175">
        <v>793</v>
      </c>
      <c r="B175">
        <v>40579</v>
      </c>
      <c r="C175">
        <v>1</v>
      </c>
      <c r="D175">
        <v>0</v>
      </c>
      <c r="E175">
        <v>2</v>
      </c>
      <c r="F175">
        <v>11</v>
      </c>
      <c r="G175" t="b">
        <v>0</v>
      </c>
      <c r="H175">
        <v>6</v>
      </c>
      <c r="I175">
        <v>3</v>
      </c>
      <c r="J175">
        <v>0.22</v>
      </c>
      <c r="K175">
        <v>0.2273</v>
      </c>
      <c r="L175">
        <v>1</v>
      </c>
      <c r="M175">
        <v>0.1343</v>
      </c>
      <c r="N175">
        <v>1</v>
      </c>
      <c r="O175">
        <v>46</v>
      </c>
      <c r="P175">
        <v>47</v>
      </c>
    </row>
    <row r="176" spans="1:16">
      <c r="A176">
        <v>794</v>
      </c>
      <c r="B176">
        <v>40579</v>
      </c>
      <c r="C176">
        <v>1</v>
      </c>
      <c r="D176">
        <v>0</v>
      </c>
      <c r="E176">
        <v>2</v>
      </c>
      <c r="F176">
        <v>12</v>
      </c>
      <c r="G176" t="b">
        <v>0</v>
      </c>
      <c r="H176">
        <v>6</v>
      </c>
      <c r="I176">
        <v>3</v>
      </c>
      <c r="J176">
        <v>0.22</v>
      </c>
      <c r="K176">
        <v>0.2273</v>
      </c>
      <c r="L176">
        <v>1</v>
      </c>
      <c r="M176">
        <v>0.16420000000000001</v>
      </c>
      <c r="N176">
        <v>10</v>
      </c>
      <c r="O176">
        <v>42</v>
      </c>
      <c r="P176">
        <v>52</v>
      </c>
    </row>
    <row r="177" spans="1:16">
      <c r="A177">
        <v>795</v>
      </c>
      <c r="B177">
        <v>40579</v>
      </c>
      <c r="C177">
        <v>1</v>
      </c>
      <c r="D177">
        <v>0</v>
      </c>
      <c r="E177">
        <v>2</v>
      </c>
      <c r="F177">
        <v>13</v>
      </c>
      <c r="G177" t="b">
        <v>0</v>
      </c>
      <c r="H177">
        <v>6</v>
      </c>
      <c r="I177">
        <v>3</v>
      </c>
      <c r="J177">
        <v>0.22</v>
      </c>
      <c r="K177">
        <v>0.2273</v>
      </c>
      <c r="L177">
        <v>1</v>
      </c>
      <c r="M177">
        <v>0.16420000000000001</v>
      </c>
      <c r="N177">
        <v>10</v>
      </c>
      <c r="O177">
        <v>62</v>
      </c>
      <c r="P177">
        <v>72</v>
      </c>
    </row>
    <row r="178" spans="1:16">
      <c r="A178">
        <v>796</v>
      </c>
      <c r="B178">
        <v>40579</v>
      </c>
      <c r="C178">
        <v>1</v>
      </c>
      <c r="D178">
        <v>0</v>
      </c>
      <c r="E178">
        <v>2</v>
      </c>
      <c r="F178">
        <v>14</v>
      </c>
      <c r="G178" t="b">
        <v>0</v>
      </c>
      <c r="H178">
        <v>6</v>
      </c>
      <c r="I178">
        <v>3</v>
      </c>
      <c r="J178">
        <v>0.22</v>
      </c>
      <c r="K178">
        <v>0.2727</v>
      </c>
      <c r="L178">
        <v>1</v>
      </c>
      <c r="M178">
        <v>0</v>
      </c>
      <c r="N178">
        <v>5</v>
      </c>
      <c r="O178">
        <v>50</v>
      </c>
      <c r="P178">
        <v>55</v>
      </c>
    </row>
    <row r="179" spans="1:16">
      <c r="A179">
        <v>797</v>
      </c>
      <c r="B179">
        <v>40579</v>
      </c>
      <c r="C179">
        <v>1</v>
      </c>
      <c r="D179">
        <v>0</v>
      </c>
      <c r="E179">
        <v>2</v>
      </c>
      <c r="F179">
        <v>15</v>
      </c>
      <c r="G179" t="b">
        <v>0</v>
      </c>
      <c r="H179">
        <v>6</v>
      </c>
      <c r="I179">
        <v>3</v>
      </c>
      <c r="J179">
        <v>0.22</v>
      </c>
      <c r="K179">
        <v>0.2727</v>
      </c>
      <c r="L179">
        <v>1</v>
      </c>
      <c r="M179">
        <v>0</v>
      </c>
      <c r="N179">
        <v>11</v>
      </c>
      <c r="O179">
        <v>49</v>
      </c>
      <c r="P179">
        <v>60</v>
      </c>
    </row>
    <row r="180" spans="1:16">
      <c r="A180">
        <v>798</v>
      </c>
      <c r="B180">
        <v>40579</v>
      </c>
      <c r="C180">
        <v>1</v>
      </c>
      <c r="D180">
        <v>0</v>
      </c>
      <c r="E180">
        <v>2</v>
      </c>
      <c r="F180">
        <v>16</v>
      </c>
      <c r="G180" t="b">
        <v>0</v>
      </c>
      <c r="H180">
        <v>6</v>
      </c>
      <c r="I180">
        <v>3</v>
      </c>
      <c r="J180">
        <v>0.22</v>
      </c>
      <c r="K180">
        <v>0.2273</v>
      </c>
      <c r="L180">
        <v>1</v>
      </c>
      <c r="M180">
        <v>0.1343</v>
      </c>
      <c r="N180">
        <v>8</v>
      </c>
      <c r="O180">
        <v>63</v>
      </c>
      <c r="P180">
        <v>71</v>
      </c>
    </row>
    <row r="181" spans="1:16">
      <c r="A181">
        <v>799</v>
      </c>
      <c r="B181">
        <v>40579</v>
      </c>
      <c r="C181">
        <v>1</v>
      </c>
      <c r="D181">
        <v>0</v>
      </c>
      <c r="E181">
        <v>2</v>
      </c>
      <c r="F181">
        <v>17</v>
      </c>
      <c r="G181" t="b">
        <v>0</v>
      </c>
      <c r="H181">
        <v>6</v>
      </c>
      <c r="I181">
        <v>2</v>
      </c>
      <c r="J181">
        <v>0.24</v>
      </c>
      <c r="K181">
        <v>0.21210000000000001</v>
      </c>
      <c r="L181">
        <v>1</v>
      </c>
      <c r="M181">
        <v>0.28360000000000002</v>
      </c>
      <c r="N181">
        <v>14</v>
      </c>
      <c r="O181">
        <v>64</v>
      </c>
      <c r="P181">
        <v>78</v>
      </c>
    </row>
    <row r="182" spans="1:16">
      <c r="A182">
        <v>800</v>
      </c>
      <c r="B182">
        <v>40579</v>
      </c>
      <c r="C182">
        <v>1</v>
      </c>
      <c r="D182">
        <v>0</v>
      </c>
      <c r="E182">
        <v>2</v>
      </c>
      <c r="F182">
        <v>18</v>
      </c>
      <c r="G182" t="b">
        <v>0</v>
      </c>
      <c r="H182">
        <v>6</v>
      </c>
      <c r="I182">
        <v>2</v>
      </c>
      <c r="J182">
        <v>0.28000000000000003</v>
      </c>
      <c r="K182">
        <v>0.2424</v>
      </c>
      <c r="L182">
        <v>0.93</v>
      </c>
      <c r="M182">
        <v>0.44779999999999998</v>
      </c>
      <c r="N182">
        <v>2</v>
      </c>
      <c r="O182">
        <v>81</v>
      </c>
      <c r="P182">
        <v>83</v>
      </c>
    </row>
    <row r="183" spans="1:16">
      <c r="A183">
        <v>801</v>
      </c>
      <c r="B183">
        <v>40579</v>
      </c>
      <c r="C183">
        <v>1</v>
      </c>
      <c r="D183">
        <v>0</v>
      </c>
      <c r="E183">
        <v>2</v>
      </c>
      <c r="F183">
        <v>19</v>
      </c>
      <c r="G183" t="b">
        <v>0</v>
      </c>
      <c r="H183">
        <v>6</v>
      </c>
      <c r="I183">
        <v>2</v>
      </c>
      <c r="J183">
        <v>0.28000000000000003</v>
      </c>
      <c r="K183">
        <v>0.2424</v>
      </c>
      <c r="L183">
        <v>0.93</v>
      </c>
      <c r="M183">
        <v>0.44779999999999998</v>
      </c>
      <c r="N183">
        <v>6</v>
      </c>
      <c r="O183">
        <v>78</v>
      </c>
      <c r="P183">
        <v>84</v>
      </c>
    </row>
    <row r="184" spans="1:16">
      <c r="A184">
        <v>802</v>
      </c>
      <c r="B184">
        <v>40579</v>
      </c>
      <c r="C184">
        <v>1</v>
      </c>
      <c r="D184">
        <v>0</v>
      </c>
      <c r="E184">
        <v>2</v>
      </c>
      <c r="F184">
        <v>20</v>
      </c>
      <c r="G184" t="b">
        <v>0</v>
      </c>
      <c r="H184">
        <v>6</v>
      </c>
      <c r="I184">
        <v>1</v>
      </c>
      <c r="J184">
        <v>0.3</v>
      </c>
      <c r="K184">
        <v>0.28789999999999999</v>
      </c>
      <c r="L184">
        <v>0.87</v>
      </c>
      <c r="M184">
        <v>0.25369999999999998</v>
      </c>
      <c r="N184">
        <v>5</v>
      </c>
      <c r="O184">
        <v>64</v>
      </c>
      <c r="P184">
        <v>69</v>
      </c>
    </row>
    <row r="185" spans="1:16">
      <c r="A185">
        <v>803</v>
      </c>
      <c r="B185">
        <v>40579</v>
      </c>
      <c r="C185">
        <v>1</v>
      </c>
      <c r="D185">
        <v>0</v>
      </c>
      <c r="E185">
        <v>2</v>
      </c>
      <c r="F185">
        <v>21</v>
      </c>
      <c r="G185" t="b">
        <v>0</v>
      </c>
      <c r="H185">
        <v>6</v>
      </c>
      <c r="I185">
        <v>1</v>
      </c>
      <c r="J185">
        <v>0.26</v>
      </c>
      <c r="K185">
        <v>0.2576</v>
      </c>
      <c r="L185">
        <v>1</v>
      </c>
      <c r="M185">
        <v>0.19400000000000001</v>
      </c>
      <c r="N185">
        <v>3</v>
      </c>
      <c r="O185">
        <v>53</v>
      </c>
      <c r="P185">
        <v>56</v>
      </c>
    </row>
    <row r="186" spans="1:16">
      <c r="A186">
        <v>804</v>
      </c>
      <c r="B186">
        <v>40579</v>
      </c>
      <c r="C186">
        <v>1</v>
      </c>
      <c r="D186">
        <v>0</v>
      </c>
      <c r="E186">
        <v>2</v>
      </c>
      <c r="F186">
        <v>22</v>
      </c>
      <c r="G186" t="b">
        <v>0</v>
      </c>
      <c r="H186">
        <v>6</v>
      </c>
      <c r="I186">
        <v>1</v>
      </c>
      <c r="J186">
        <v>0.26</v>
      </c>
      <c r="K186">
        <v>0.2727</v>
      </c>
      <c r="L186">
        <v>0.93</v>
      </c>
      <c r="M186">
        <v>0.1343</v>
      </c>
      <c r="N186">
        <v>2</v>
      </c>
      <c r="O186">
        <v>43</v>
      </c>
      <c r="P186">
        <v>45</v>
      </c>
    </row>
    <row r="187" spans="1:16">
      <c r="A187">
        <v>805</v>
      </c>
      <c r="B187">
        <v>40579</v>
      </c>
      <c r="C187">
        <v>1</v>
      </c>
      <c r="D187">
        <v>0</v>
      </c>
      <c r="E187">
        <v>2</v>
      </c>
      <c r="F187">
        <v>23</v>
      </c>
      <c r="G187" t="b">
        <v>0</v>
      </c>
      <c r="H187">
        <v>6</v>
      </c>
      <c r="I187">
        <v>1</v>
      </c>
      <c r="J187">
        <v>0.26</v>
      </c>
      <c r="K187">
        <v>0.2576</v>
      </c>
      <c r="L187">
        <v>0.93</v>
      </c>
      <c r="M187">
        <v>0.22389999999999999</v>
      </c>
      <c r="N187">
        <v>7</v>
      </c>
      <c r="O187">
        <v>52</v>
      </c>
      <c r="P187">
        <v>59</v>
      </c>
    </row>
    <row r="188" spans="1:16">
      <c r="A188">
        <v>806</v>
      </c>
      <c r="B188">
        <v>40580</v>
      </c>
      <c r="C188">
        <v>1</v>
      </c>
      <c r="D188">
        <v>0</v>
      </c>
      <c r="E188">
        <v>2</v>
      </c>
      <c r="F188">
        <v>0</v>
      </c>
      <c r="G188" t="b">
        <v>0</v>
      </c>
      <c r="H188">
        <v>0</v>
      </c>
      <c r="I188">
        <v>1</v>
      </c>
      <c r="J188">
        <v>0.26</v>
      </c>
      <c r="K188">
        <v>0.2576</v>
      </c>
      <c r="L188">
        <v>0.7</v>
      </c>
      <c r="M188">
        <v>0.19400000000000001</v>
      </c>
      <c r="N188">
        <v>2</v>
      </c>
      <c r="O188">
        <v>37</v>
      </c>
      <c r="P188">
        <v>39</v>
      </c>
    </row>
    <row r="189" spans="1:16">
      <c r="A189">
        <v>807</v>
      </c>
      <c r="B189">
        <v>40580</v>
      </c>
      <c r="C189">
        <v>1</v>
      </c>
      <c r="D189">
        <v>0</v>
      </c>
      <c r="E189">
        <v>2</v>
      </c>
      <c r="F189">
        <v>1</v>
      </c>
      <c r="G189" t="b">
        <v>0</v>
      </c>
      <c r="H189">
        <v>0</v>
      </c>
      <c r="I189">
        <v>1</v>
      </c>
      <c r="J189">
        <v>0.26</v>
      </c>
      <c r="K189">
        <v>0.2273</v>
      </c>
      <c r="L189">
        <v>0.65</v>
      </c>
      <c r="M189">
        <v>0.41789999999999999</v>
      </c>
      <c r="N189">
        <v>4</v>
      </c>
      <c r="O189">
        <v>40</v>
      </c>
      <c r="P189">
        <v>44</v>
      </c>
    </row>
    <row r="190" spans="1:16">
      <c r="A190">
        <v>808</v>
      </c>
      <c r="B190">
        <v>40580</v>
      </c>
      <c r="C190">
        <v>1</v>
      </c>
      <c r="D190">
        <v>0</v>
      </c>
      <c r="E190">
        <v>2</v>
      </c>
      <c r="F190">
        <v>2</v>
      </c>
      <c r="G190" t="b">
        <v>0</v>
      </c>
      <c r="H190">
        <v>0</v>
      </c>
      <c r="I190">
        <v>1</v>
      </c>
      <c r="J190">
        <v>0.26</v>
      </c>
      <c r="K190">
        <v>0.2273</v>
      </c>
      <c r="L190">
        <v>0.6</v>
      </c>
      <c r="M190">
        <v>0.32840000000000003</v>
      </c>
      <c r="N190">
        <v>0</v>
      </c>
      <c r="O190">
        <v>20</v>
      </c>
      <c r="P190">
        <v>20</v>
      </c>
    </row>
    <row r="191" spans="1:16">
      <c r="A191">
        <v>809</v>
      </c>
      <c r="B191">
        <v>40580</v>
      </c>
      <c r="C191">
        <v>1</v>
      </c>
      <c r="D191">
        <v>0</v>
      </c>
      <c r="E191">
        <v>2</v>
      </c>
      <c r="F191">
        <v>3</v>
      </c>
      <c r="G191" t="b">
        <v>0</v>
      </c>
      <c r="H191">
        <v>0</v>
      </c>
      <c r="I191">
        <v>1</v>
      </c>
      <c r="J191">
        <v>0.26</v>
      </c>
      <c r="K191">
        <v>0.28789999999999999</v>
      </c>
      <c r="L191">
        <v>0.6</v>
      </c>
      <c r="M191">
        <v>8.9599999999999999E-2</v>
      </c>
      <c r="N191">
        <v>3</v>
      </c>
      <c r="O191">
        <v>10</v>
      </c>
      <c r="P191">
        <v>13</v>
      </c>
    </row>
    <row r="192" spans="1:16">
      <c r="A192">
        <v>810</v>
      </c>
      <c r="B192">
        <v>40580</v>
      </c>
      <c r="C192">
        <v>1</v>
      </c>
      <c r="D192">
        <v>0</v>
      </c>
      <c r="E192">
        <v>2</v>
      </c>
      <c r="F192">
        <v>4</v>
      </c>
      <c r="G192" t="b">
        <v>0</v>
      </c>
      <c r="H192">
        <v>0</v>
      </c>
      <c r="I192">
        <v>1</v>
      </c>
      <c r="J192">
        <v>0.26</v>
      </c>
      <c r="K192">
        <v>0.2273</v>
      </c>
      <c r="L192">
        <v>0.6</v>
      </c>
      <c r="M192">
        <v>0.35820000000000002</v>
      </c>
      <c r="N192">
        <v>0</v>
      </c>
      <c r="O192">
        <v>2</v>
      </c>
      <c r="P192">
        <v>2</v>
      </c>
    </row>
    <row r="193" spans="1:16">
      <c r="A193">
        <v>811</v>
      </c>
      <c r="B193">
        <v>40580</v>
      </c>
      <c r="C193">
        <v>1</v>
      </c>
      <c r="D193">
        <v>0</v>
      </c>
      <c r="E193">
        <v>2</v>
      </c>
      <c r="F193">
        <v>5</v>
      </c>
      <c r="G193" t="b">
        <v>0</v>
      </c>
      <c r="H193">
        <v>0</v>
      </c>
      <c r="I193">
        <v>1</v>
      </c>
      <c r="J193">
        <v>0.26</v>
      </c>
      <c r="K193">
        <v>0.2576</v>
      </c>
      <c r="L193">
        <v>0.6</v>
      </c>
      <c r="M193">
        <v>0.22389999999999999</v>
      </c>
      <c r="N193">
        <v>0</v>
      </c>
      <c r="O193">
        <v>1</v>
      </c>
      <c r="P193">
        <v>1</v>
      </c>
    </row>
    <row r="194" spans="1:16">
      <c r="A194">
        <v>812</v>
      </c>
      <c r="B194">
        <v>40580</v>
      </c>
      <c r="C194">
        <v>1</v>
      </c>
      <c r="D194">
        <v>0</v>
      </c>
      <c r="E194">
        <v>2</v>
      </c>
      <c r="F194">
        <v>6</v>
      </c>
      <c r="G194" t="b">
        <v>0</v>
      </c>
      <c r="H194">
        <v>0</v>
      </c>
      <c r="I194">
        <v>1</v>
      </c>
      <c r="J194">
        <v>0.26</v>
      </c>
      <c r="K194">
        <v>0.2576</v>
      </c>
      <c r="L194">
        <v>0.6</v>
      </c>
      <c r="M194">
        <v>0.22389999999999999</v>
      </c>
      <c r="N194">
        <v>0</v>
      </c>
      <c r="O194">
        <v>1</v>
      </c>
      <c r="P194">
        <v>1</v>
      </c>
    </row>
    <row r="195" spans="1:16">
      <c r="A195">
        <v>813</v>
      </c>
      <c r="B195">
        <v>40580</v>
      </c>
      <c r="C195">
        <v>1</v>
      </c>
      <c r="D195">
        <v>0</v>
      </c>
      <c r="E195">
        <v>2</v>
      </c>
      <c r="F195">
        <v>7</v>
      </c>
      <c r="G195" t="b">
        <v>0</v>
      </c>
      <c r="H195">
        <v>0</v>
      </c>
      <c r="I195">
        <v>1</v>
      </c>
      <c r="J195">
        <v>0.24</v>
      </c>
      <c r="K195">
        <v>0.2424</v>
      </c>
      <c r="L195">
        <v>0.65</v>
      </c>
      <c r="M195">
        <v>0.16420000000000001</v>
      </c>
      <c r="N195">
        <v>0</v>
      </c>
      <c r="O195">
        <v>8</v>
      </c>
      <c r="P195">
        <v>8</v>
      </c>
    </row>
    <row r="196" spans="1:16">
      <c r="A196">
        <v>814</v>
      </c>
      <c r="B196">
        <v>40580</v>
      </c>
      <c r="C196">
        <v>1</v>
      </c>
      <c r="D196">
        <v>0</v>
      </c>
      <c r="E196">
        <v>2</v>
      </c>
      <c r="F196">
        <v>8</v>
      </c>
      <c r="G196" t="b">
        <v>0</v>
      </c>
      <c r="H196">
        <v>0</v>
      </c>
      <c r="I196">
        <v>1</v>
      </c>
      <c r="J196">
        <v>0.24</v>
      </c>
      <c r="K196">
        <v>0.2576</v>
      </c>
      <c r="L196">
        <v>0.65</v>
      </c>
      <c r="M196">
        <v>0.1045</v>
      </c>
      <c r="N196">
        <v>2</v>
      </c>
      <c r="O196">
        <v>21</v>
      </c>
      <c r="P196">
        <v>23</v>
      </c>
    </row>
    <row r="197" spans="1:16">
      <c r="A197">
        <v>815</v>
      </c>
      <c r="B197">
        <v>40580</v>
      </c>
      <c r="C197">
        <v>1</v>
      </c>
      <c r="D197">
        <v>0</v>
      </c>
      <c r="E197">
        <v>2</v>
      </c>
      <c r="F197">
        <v>9</v>
      </c>
      <c r="G197" t="b">
        <v>0</v>
      </c>
      <c r="H197">
        <v>0</v>
      </c>
      <c r="I197">
        <v>1</v>
      </c>
      <c r="J197">
        <v>0.28000000000000003</v>
      </c>
      <c r="K197">
        <v>0.28789999999999999</v>
      </c>
      <c r="L197">
        <v>0.56000000000000005</v>
      </c>
      <c r="M197">
        <v>0.1045</v>
      </c>
      <c r="N197">
        <v>7</v>
      </c>
      <c r="O197">
        <v>38</v>
      </c>
      <c r="P197">
        <v>45</v>
      </c>
    </row>
    <row r="198" spans="1:16">
      <c r="A198">
        <v>816</v>
      </c>
      <c r="B198">
        <v>40580</v>
      </c>
      <c r="C198">
        <v>1</v>
      </c>
      <c r="D198">
        <v>0</v>
      </c>
      <c r="E198">
        <v>2</v>
      </c>
      <c r="F198">
        <v>10</v>
      </c>
      <c r="G198" t="b">
        <v>0</v>
      </c>
      <c r="H198">
        <v>0</v>
      </c>
      <c r="I198">
        <v>1</v>
      </c>
      <c r="J198">
        <v>0.3</v>
      </c>
      <c r="K198">
        <v>0.28789999999999999</v>
      </c>
      <c r="L198">
        <v>0.52</v>
      </c>
      <c r="M198">
        <v>0.25369999999999998</v>
      </c>
      <c r="N198">
        <v>15</v>
      </c>
      <c r="O198">
        <v>74</v>
      </c>
      <c r="P198">
        <v>89</v>
      </c>
    </row>
    <row r="199" spans="1:16">
      <c r="A199">
        <v>817</v>
      </c>
      <c r="B199">
        <v>40580</v>
      </c>
      <c r="C199">
        <v>1</v>
      </c>
      <c r="D199">
        <v>0</v>
      </c>
      <c r="E199">
        <v>2</v>
      </c>
      <c r="F199">
        <v>11</v>
      </c>
      <c r="G199" t="b">
        <v>0</v>
      </c>
      <c r="H199">
        <v>0</v>
      </c>
      <c r="I199">
        <v>1</v>
      </c>
      <c r="J199">
        <v>0.32</v>
      </c>
      <c r="K199">
        <v>0.30299999999999999</v>
      </c>
      <c r="L199">
        <v>0.49</v>
      </c>
      <c r="M199">
        <v>0.25369999999999998</v>
      </c>
      <c r="N199">
        <v>28</v>
      </c>
      <c r="O199">
        <v>89</v>
      </c>
      <c r="P199">
        <v>117</v>
      </c>
    </row>
    <row r="200" spans="1:16">
      <c r="A200">
        <v>818</v>
      </c>
      <c r="B200">
        <v>40580</v>
      </c>
      <c r="C200">
        <v>1</v>
      </c>
      <c r="D200">
        <v>0</v>
      </c>
      <c r="E200">
        <v>2</v>
      </c>
      <c r="F200">
        <v>12</v>
      </c>
      <c r="G200" t="b">
        <v>0</v>
      </c>
      <c r="H200">
        <v>0</v>
      </c>
      <c r="I200">
        <v>1</v>
      </c>
      <c r="J200">
        <v>0.34</v>
      </c>
      <c r="K200">
        <v>0.33329999999999999</v>
      </c>
      <c r="L200">
        <v>0.46</v>
      </c>
      <c r="M200">
        <v>0</v>
      </c>
      <c r="N200">
        <v>48</v>
      </c>
      <c r="O200">
        <v>126</v>
      </c>
      <c r="P200">
        <v>174</v>
      </c>
    </row>
    <row r="201" spans="1:16">
      <c r="A201">
        <v>819</v>
      </c>
      <c r="B201">
        <v>40580</v>
      </c>
      <c r="C201">
        <v>1</v>
      </c>
      <c r="D201">
        <v>0</v>
      </c>
      <c r="E201">
        <v>2</v>
      </c>
      <c r="F201">
        <v>13</v>
      </c>
      <c r="G201" t="b">
        <v>0</v>
      </c>
      <c r="H201">
        <v>0</v>
      </c>
      <c r="I201">
        <v>1</v>
      </c>
      <c r="J201">
        <v>0.34</v>
      </c>
      <c r="K201">
        <v>0.36359999999999998</v>
      </c>
      <c r="L201">
        <v>0.46</v>
      </c>
      <c r="M201">
        <v>0</v>
      </c>
      <c r="N201">
        <v>47</v>
      </c>
      <c r="O201">
        <v>135</v>
      </c>
      <c r="P201">
        <v>182</v>
      </c>
    </row>
    <row r="202" spans="1:16">
      <c r="A202">
        <v>820</v>
      </c>
      <c r="B202">
        <v>40580</v>
      </c>
      <c r="C202">
        <v>1</v>
      </c>
      <c r="D202">
        <v>0</v>
      </c>
      <c r="E202">
        <v>2</v>
      </c>
      <c r="F202">
        <v>14</v>
      </c>
      <c r="G202" t="b">
        <v>0</v>
      </c>
      <c r="H202">
        <v>0</v>
      </c>
      <c r="I202">
        <v>1</v>
      </c>
      <c r="J202">
        <v>0.34</v>
      </c>
      <c r="K202">
        <v>0.34849999999999998</v>
      </c>
      <c r="L202">
        <v>0.46</v>
      </c>
      <c r="M202">
        <v>8.9599999999999999E-2</v>
      </c>
      <c r="N202">
        <v>47</v>
      </c>
      <c r="O202">
        <v>114</v>
      </c>
      <c r="P202">
        <v>161</v>
      </c>
    </row>
    <row r="203" spans="1:16">
      <c r="A203">
        <v>821</v>
      </c>
      <c r="B203">
        <v>40580</v>
      </c>
      <c r="C203">
        <v>1</v>
      </c>
      <c r="D203">
        <v>0</v>
      </c>
      <c r="E203">
        <v>2</v>
      </c>
      <c r="F203">
        <v>15</v>
      </c>
      <c r="G203" t="b">
        <v>0</v>
      </c>
      <c r="H203">
        <v>0</v>
      </c>
      <c r="I203">
        <v>1</v>
      </c>
      <c r="J203">
        <v>0.34</v>
      </c>
      <c r="K203">
        <v>0.34849999999999998</v>
      </c>
      <c r="L203">
        <v>0.46</v>
      </c>
      <c r="M203">
        <v>8.9599999999999999E-2</v>
      </c>
      <c r="N203">
        <v>52</v>
      </c>
      <c r="O203">
        <v>130</v>
      </c>
      <c r="P203">
        <v>182</v>
      </c>
    </row>
    <row r="204" spans="1:16">
      <c r="A204">
        <v>822</v>
      </c>
      <c r="B204">
        <v>40580</v>
      </c>
      <c r="C204">
        <v>1</v>
      </c>
      <c r="D204">
        <v>0</v>
      </c>
      <c r="E204">
        <v>2</v>
      </c>
      <c r="F204">
        <v>16</v>
      </c>
      <c r="G204" t="b">
        <v>0</v>
      </c>
      <c r="H204">
        <v>0</v>
      </c>
      <c r="I204">
        <v>1</v>
      </c>
      <c r="J204">
        <v>0.34</v>
      </c>
      <c r="K204">
        <v>0.34849999999999998</v>
      </c>
      <c r="L204">
        <v>0.49</v>
      </c>
      <c r="M204">
        <v>0.1045</v>
      </c>
      <c r="N204">
        <v>42</v>
      </c>
      <c r="O204">
        <v>115</v>
      </c>
      <c r="P204">
        <v>157</v>
      </c>
    </row>
    <row r="205" spans="1:16">
      <c r="A205">
        <v>823</v>
      </c>
      <c r="B205">
        <v>40580</v>
      </c>
      <c r="C205">
        <v>1</v>
      </c>
      <c r="D205">
        <v>0</v>
      </c>
      <c r="E205">
        <v>2</v>
      </c>
      <c r="F205">
        <v>17</v>
      </c>
      <c r="G205" t="b">
        <v>0</v>
      </c>
      <c r="H205">
        <v>0</v>
      </c>
      <c r="I205">
        <v>1</v>
      </c>
      <c r="J205">
        <v>0.34</v>
      </c>
      <c r="K205">
        <v>0.36359999999999998</v>
      </c>
      <c r="L205">
        <v>0.46</v>
      </c>
      <c r="M205">
        <v>0</v>
      </c>
      <c r="N205">
        <v>24</v>
      </c>
      <c r="O205">
        <v>97</v>
      </c>
      <c r="P205">
        <v>121</v>
      </c>
    </row>
    <row r="206" spans="1:16">
      <c r="A206">
        <v>824</v>
      </c>
      <c r="B206">
        <v>40580</v>
      </c>
      <c r="C206">
        <v>1</v>
      </c>
      <c r="D206">
        <v>0</v>
      </c>
      <c r="E206">
        <v>2</v>
      </c>
      <c r="F206">
        <v>18</v>
      </c>
      <c r="G206" t="b">
        <v>0</v>
      </c>
      <c r="H206">
        <v>0</v>
      </c>
      <c r="I206">
        <v>1</v>
      </c>
      <c r="J206">
        <v>0.3</v>
      </c>
      <c r="K206">
        <v>0.30299999999999999</v>
      </c>
      <c r="L206">
        <v>0.56000000000000005</v>
      </c>
      <c r="M206">
        <v>0.16420000000000001</v>
      </c>
      <c r="N206">
        <v>13</v>
      </c>
      <c r="O206">
        <v>65</v>
      </c>
      <c r="P206">
        <v>78</v>
      </c>
    </row>
    <row r="207" spans="1:16">
      <c r="A207">
        <v>825</v>
      </c>
      <c r="B207">
        <v>40580</v>
      </c>
      <c r="C207">
        <v>1</v>
      </c>
      <c r="D207">
        <v>0</v>
      </c>
      <c r="E207">
        <v>2</v>
      </c>
      <c r="F207">
        <v>19</v>
      </c>
      <c r="G207" t="b">
        <v>0</v>
      </c>
      <c r="H207">
        <v>0</v>
      </c>
      <c r="I207">
        <v>1</v>
      </c>
      <c r="J207">
        <v>0.28000000000000003</v>
      </c>
      <c r="K207">
        <v>0.28789999999999999</v>
      </c>
      <c r="L207">
        <v>0.61</v>
      </c>
      <c r="M207">
        <v>0.1343</v>
      </c>
      <c r="N207">
        <v>1</v>
      </c>
      <c r="O207">
        <v>20</v>
      </c>
      <c r="P207">
        <v>21</v>
      </c>
    </row>
    <row r="208" spans="1:16">
      <c r="A208">
        <v>826</v>
      </c>
      <c r="B208">
        <v>40580</v>
      </c>
      <c r="C208">
        <v>1</v>
      </c>
      <c r="D208">
        <v>0</v>
      </c>
      <c r="E208">
        <v>2</v>
      </c>
      <c r="F208">
        <v>20</v>
      </c>
      <c r="G208" t="b">
        <v>0</v>
      </c>
      <c r="H208">
        <v>0</v>
      </c>
      <c r="I208">
        <v>1</v>
      </c>
      <c r="J208">
        <v>0.28000000000000003</v>
      </c>
      <c r="K208">
        <v>0.28789999999999999</v>
      </c>
      <c r="L208">
        <v>0.61</v>
      </c>
      <c r="M208">
        <v>0.1045</v>
      </c>
      <c r="N208">
        <v>5</v>
      </c>
      <c r="O208">
        <v>21</v>
      </c>
      <c r="P208">
        <v>26</v>
      </c>
    </row>
    <row r="209" spans="1:16">
      <c r="A209">
        <v>827</v>
      </c>
      <c r="B209">
        <v>40580</v>
      </c>
      <c r="C209">
        <v>1</v>
      </c>
      <c r="D209">
        <v>0</v>
      </c>
      <c r="E209">
        <v>2</v>
      </c>
      <c r="F209">
        <v>21</v>
      </c>
      <c r="G209" t="b">
        <v>0</v>
      </c>
      <c r="H209">
        <v>0</v>
      </c>
      <c r="I209">
        <v>1</v>
      </c>
      <c r="J209">
        <v>0.26</v>
      </c>
      <c r="K209">
        <v>0.30299999999999999</v>
      </c>
      <c r="L209">
        <v>0.6</v>
      </c>
      <c r="M209">
        <v>0</v>
      </c>
      <c r="N209">
        <v>5</v>
      </c>
      <c r="O209">
        <v>22</v>
      </c>
      <c r="P209">
        <v>27</v>
      </c>
    </row>
    <row r="210" spans="1:16">
      <c r="A210">
        <v>828</v>
      </c>
      <c r="B210">
        <v>40580</v>
      </c>
      <c r="C210">
        <v>1</v>
      </c>
      <c r="D210">
        <v>0</v>
      </c>
      <c r="E210">
        <v>2</v>
      </c>
      <c r="F210">
        <v>22</v>
      </c>
      <c r="G210" t="b">
        <v>0</v>
      </c>
      <c r="H210">
        <v>0</v>
      </c>
      <c r="I210">
        <v>1</v>
      </c>
      <c r="J210">
        <v>0.26</v>
      </c>
      <c r="K210">
        <v>0.30299999999999999</v>
      </c>
      <c r="L210">
        <v>0.6</v>
      </c>
      <c r="M210">
        <v>0</v>
      </c>
      <c r="N210">
        <v>5</v>
      </c>
      <c r="O210">
        <v>57</v>
      </c>
      <c r="P210">
        <v>62</v>
      </c>
    </row>
    <row r="211" spans="1:16">
      <c r="A211">
        <v>829</v>
      </c>
      <c r="B211">
        <v>40580</v>
      </c>
      <c r="C211">
        <v>1</v>
      </c>
      <c r="D211">
        <v>0</v>
      </c>
      <c r="E211">
        <v>2</v>
      </c>
      <c r="F211">
        <v>23</v>
      </c>
      <c r="G211" t="b">
        <v>0</v>
      </c>
      <c r="H211">
        <v>0</v>
      </c>
      <c r="I211">
        <v>1</v>
      </c>
      <c r="J211">
        <v>0.24</v>
      </c>
      <c r="K211">
        <v>0.28789999999999999</v>
      </c>
      <c r="L211">
        <v>0.65</v>
      </c>
      <c r="M211">
        <v>0</v>
      </c>
      <c r="N211">
        <v>4</v>
      </c>
      <c r="O211">
        <v>26</v>
      </c>
      <c r="P211">
        <v>30</v>
      </c>
    </row>
    <row r="212" spans="1:16">
      <c r="A212">
        <v>830</v>
      </c>
      <c r="B212">
        <v>40581</v>
      </c>
      <c r="C212">
        <v>1</v>
      </c>
      <c r="D212">
        <v>0</v>
      </c>
      <c r="E212">
        <v>2</v>
      </c>
      <c r="F212">
        <v>0</v>
      </c>
      <c r="G212" t="b">
        <v>0</v>
      </c>
      <c r="H212">
        <v>1</v>
      </c>
      <c r="I212">
        <v>1</v>
      </c>
      <c r="J212">
        <v>0.24</v>
      </c>
      <c r="K212">
        <v>0.28789999999999999</v>
      </c>
      <c r="L212">
        <v>0.65</v>
      </c>
      <c r="M212">
        <v>0</v>
      </c>
      <c r="N212">
        <v>1</v>
      </c>
      <c r="O212">
        <v>14</v>
      </c>
      <c r="P212">
        <v>15</v>
      </c>
    </row>
    <row r="213" spans="1:16">
      <c r="A213">
        <v>831</v>
      </c>
      <c r="B213">
        <v>40581</v>
      </c>
      <c r="C213">
        <v>1</v>
      </c>
      <c r="D213">
        <v>0</v>
      </c>
      <c r="E213">
        <v>2</v>
      </c>
      <c r="F213">
        <v>1</v>
      </c>
      <c r="G213" t="b">
        <v>0</v>
      </c>
      <c r="H213">
        <v>1</v>
      </c>
      <c r="I213">
        <v>1</v>
      </c>
      <c r="J213">
        <v>0.22</v>
      </c>
      <c r="K213">
        <v>0.2727</v>
      </c>
      <c r="L213">
        <v>0.75</v>
      </c>
      <c r="M213">
        <v>0</v>
      </c>
      <c r="N213">
        <v>1</v>
      </c>
      <c r="O213">
        <v>4</v>
      </c>
      <c r="P213">
        <v>5</v>
      </c>
    </row>
    <row r="214" spans="1:16">
      <c r="A214">
        <v>832</v>
      </c>
      <c r="B214">
        <v>40581</v>
      </c>
      <c r="C214">
        <v>1</v>
      </c>
      <c r="D214">
        <v>0</v>
      </c>
      <c r="E214">
        <v>2</v>
      </c>
      <c r="F214">
        <v>2</v>
      </c>
      <c r="G214" t="b">
        <v>0</v>
      </c>
      <c r="H214">
        <v>1</v>
      </c>
      <c r="I214">
        <v>1</v>
      </c>
      <c r="J214">
        <v>0.2</v>
      </c>
      <c r="K214">
        <v>0.2576</v>
      </c>
      <c r="L214">
        <v>0.8</v>
      </c>
      <c r="M214">
        <v>0</v>
      </c>
      <c r="N214">
        <v>0</v>
      </c>
      <c r="O214">
        <v>3</v>
      </c>
      <c r="P214">
        <v>3</v>
      </c>
    </row>
    <row r="215" spans="1:16">
      <c r="A215">
        <v>833</v>
      </c>
      <c r="B215">
        <v>40581</v>
      </c>
      <c r="C215">
        <v>1</v>
      </c>
      <c r="D215">
        <v>0</v>
      </c>
      <c r="E215">
        <v>2</v>
      </c>
      <c r="F215">
        <v>3</v>
      </c>
      <c r="G215" t="b">
        <v>0</v>
      </c>
      <c r="H215">
        <v>1</v>
      </c>
      <c r="I215">
        <v>1</v>
      </c>
      <c r="J215">
        <v>0.2</v>
      </c>
      <c r="K215">
        <v>0.2576</v>
      </c>
      <c r="L215">
        <v>0.86</v>
      </c>
      <c r="M215">
        <v>0</v>
      </c>
      <c r="N215">
        <v>0</v>
      </c>
      <c r="O215">
        <v>1</v>
      </c>
      <c r="P215">
        <v>1</v>
      </c>
    </row>
    <row r="216" spans="1:16">
      <c r="A216">
        <v>834</v>
      </c>
      <c r="B216">
        <v>40581</v>
      </c>
      <c r="C216">
        <v>1</v>
      </c>
      <c r="D216">
        <v>0</v>
      </c>
      <c r="E216">
        <v>2</v>
      </c>
      <c r="F216">
        <v>4</v>
      </c>
      <c r="G216" t="b">
        <v>0</v>
      </c>
      <c r="H216">
        <v>1</v>
      </c>
      <c r="I216">
        <v>1</v>
      </c>
      <c r="J216">
        <v>0.2</v>
      </c>
      <c r="K216">
        <v>0.2576</v>
      </c>
      <c r="L216">
        <v>0.86</v>
      </c>
      <c r="M216">
        <v>0</v>
      </c>
      <c r="N216">
        <v>1</v>
      </c>
      <c r="O216">
        <v>1</v>
      </c>
      <c r="P216">
        <v>2</v>
      </c>
    </row>
    <row r="217" spans="1:16">
      <c r="A217">
        <v>835</v>
      </c>
      <c r="B217">
        <v>40581</v>
      </c>
      <c r="C217">
        <v>1</v>
      </c>
      <c r="D217">
        <v>0</v>
      </c>
      <c r="E217">
        <v>2</v>
      </c>
      <c r="F217">
        <v>5</v>
      </c>
      <c r="G217" t="b">
        <v>0</v>
      </c>
      <c r="H217">
        <v>1</v>
      </c>
      <c r="I217">
        <v>1</v>
      </c>
      <c r="J217">
        <v>0.2</v>
      </c>
      <c r="K217">
        <v>0.2576</v>
      </c>
      <c r="L217">
        <v>0.86</v>
      </c>
      <c r="M217">
        <v>0</v>
      </c>
      <c r="N217">
        <v>1</v>
      </c>
      <c r="O217">
        <v>9</v>
      </c>
      <c r="P217">
        <v>10</v>
      </c>
    </row>
    <row r="218" spans="1:16">
      <c r="A218">
        <v>836</v>
      </c>
      <c r="B218">
        <v>40581</v>
      </c>
      <c r="C218">
        <v>1</v>
      </c>
      <c r="D218">
        <v>0</v>
      </c>
      <c r="E218">
        <v>2</v>
      </c>
      <c r="F218">
        <v>6</v>
      </c>
      <c r="G218" t="b">
        <v>0</v>
      </c>
      <c r="H218">
        <v>1</v>
      </c>
      <c r="I218">
        <v>1</v>
      </c>
      <c r="J218">
        <v>0.18</v>
      </c>
      <c r="K218">
        <v>0.2424</v>
      </c>
      <c r="L218">
        <v>0.93</v>
      </c>
      <c r="M218">
        <v>0</v>
      </c>
      <c r="N218">
        <v>1</v>
      </c>
      <c r="O218">
        <v>29</v>
      </c>
      <c r="P218">
        <v>30</v>
      </c>
    </row>
    <row r="219" spans="1:16">
      <c r="A219">
        <v>837</v>
      </c>
      <c r="B219">
        <v>40581</v>
      </c>
      <c r="C219">
        <v>1</v>
      </c>
      <c r="D219">
        <v>0</v>
      </c>
      <c r="E219">
        <v>2</v>
      </c>
      <c r="F219">
        <v>7</v>
      </c>
      <c r="G219" t="b">
        <v>0</v>
      </c>
      <c r="H219">
        <v>1</v>
      </c>
      <c r="I219">
        <v>1</v>
      </c>
      <c r="J219">
        <v>0.18</v>
      </c>
      <c r="K219">
        <v>0.2424</v>
      </c>
      <c r="L219">
        <v>0.86</v>
      </c>
      <c r="M219">
        <v>0</v>
      </c>
      <c r="N219">
        <v>6</v>
      </c>
      <c r="O219">
        <v>89</v>
      </c>
      <c r="P219">
        <v>95</v>
      </c>
    </row>
    <row r="220" spans="1:16">
      <c r="A220">
        <v>838</v>
      </c>
      <c r="B220">
        <v>40581</v>
      </c>
      <c r="C220">
        <v>1</v>
      </c>
      <c r="D220">
        <v>0</v>
      </c>
      <c r="E220">
        <v>2</v>
      </c>
      <c r="F220">
        <v>8</v>
      </c>
      <c r="G220" t="b">
        <v>0</v>
      </c>
      <c r="H220">
        <v>1</v>
      </c>
      <c r="I220">
        <v>2</v>
      </c>
      <c r="J220">
        <v>0.16</v>
      </c>
      <c r="K220">
        <v>0.2273</v>
      </c>
      <c r="L220">
        <v>1</v>
      </c>
      <c r="M220">
        <v>0</v>
      </c>
      <c r="N220">
        <v>7</v>
      </c>
      <c r="O220">
        <v>223</v>
      </c>
      <c r="P220">
        <v>230</v>
      </c>
    </row>
    <row r="221" spans="1:16">
      <c r="A221">
        <v>839</v>
      </c>
      <c r="B221">
        <v>40581</v>
      </c>
      <c r="C221">
        <v>1</v>
      </c>
      <c r="D221">
        <v>0</v>
      </c>
      <c r="E221">
        <v>2</v>
      </c>
      <c r="F221">
        <v>9</v>
      </c>
      <c r="G221" t="b">
        <v>0</v>
      </c>
      <c r="H221">
        <v>1</v>
      </c>
      <c r="I221">
        <v>1</v>
      </c>
      <c r="J221">
        <v>0.22</v>
      </c>
      <c r="K221">
        <v>0.2727</v>
      </c>
      <c r="L221">
        <v>0.8</v>
      </c>
      <c r="M221">
        <v>0</v>
      </c>
      <c r="N221">
        <v>3</v>
      </c>
      <c r="O221">
        <v>115</v>
      </c>
      <c r="P221">
        <v>118</v>
      </c>
    </row>
    <row r="222" spans="1:16">
      <c r="A222">
        <v>840</v>
      </c>
      <c r="B222">
        <v>40581</v>
      </c>
      <c r="C222">
        <v>1</v>
      </c>
      <c r="D222">
        <v>0</v>
      </c>
      <c r="E222">
        <v>2</v>
      </c>
      <c r="F222">
        <v>10</v>
      </c>
      <c r="G222" t="b">
        <v>0</v>
      </c>
      <c r="H222">
        <v>1</v>
      </c>
      <c r="I222">
        <v>1</v>
      </c>
      <c r="J222">
        <v>0.24</v>
      </c>
      <c r="K222">
        <v>0.2576</v>
      </c>
      <c r="L222">
        <v>0.75</v>
      </c>
      <c r="M222">
        <v>0.1045</v>
      </c>
      <c r="N222">
        <v>6</v>
      </c>
      <c r="O222">
        <v>49</v>
      </c>
      <c r="P222">
        <v>55</v>
      </c>
    </row>
    <row r="223" spans="1:16">
      <c r="A223">
        <v>841</v>
      </c>
      <c r="B223">
        <v>40581</v>
      </c>
      <c r="C223">
        <v>1</v>
      </c>
      <c r="D223">
        <v>0</v>
      </c>
      <c r="E223">
        <v>2</v>
      </c>
      <c r="F223">
        <v>11</v>
      </c>
      <c r="G223" t="b">
        <v>0</v>
      </c>
      <c r="H223">
        <v>1</v>
      </c>
      <c r="I223">
        <v>1</v>
      </c>
      <c r="J223">
        <v>0.3</v>
      </c>
      <c r="K223">
        <v>0.31819999999999998</v>
      </c>
      <c r="L223">
        <v>0.65</v>
      </c>
      <c r="M223">
        <v>8.9599999999999999E-2</v>
      </c>
      <c r="N223">
        <v>11</v>
      </c>
      <c r="O223">
        <v>36</v>
      </c>
      <c r="P223">
        <v>47</v>
      </c>
    </row>
    <row r="224" spans="1:16">
      <c r="A224">
        <v>842</v>
      </c>
      <c r="B224">
        <v>40581</v>
      </c>
      <c r="C224">
        <v>1</v>
      </c>
      <c r="D224">
        <v>0</v>
      </c>
      <c r="E224">
        <v>2</v>
      </c>
      <c r="F224">
        <v>12</v>
      </c>
      <c r="G224" t="b">
        <v>0</v>
      </c>
      <c r="H224">
        <v>1</v>
      </c>
      <c r="I224">
        <v>2</v>
      </c>
      <c r="J224">
        <v>0.32</v>
      </c>
      <c r="K224">
        <v>0.34849999999999998</v>
      </c>
      <c r="L224">
        <v>0.62</v>
      </c>
      <c r="M224">
        <v>0</v>
      </c>
      <c r="N224">
        <v>7</v>
      </c>
      <c r="O224">
        <v>59</v>
      </c>
      <c r="P224">
        <v>66</v>
      </c>
    </row>
    <row r="225" spans="1:16">
      <c r="A225">
        <v>843</v>
      </c>
      <c r="B225">
        <v>40581</v>
      </c>
      <c r="C225">
        <v>1</v>
      </c>
      <c r="D225">
        <v>0</v>
      </c>
      <c r="E225">
        <v>2</v>
      </c>
      <c r="F225">
        <v>13</v>
      </c>
      <c r="G225" t="b">
        <v>0</v>
      </c>
      <c r="H225">
        <v>1</v>
      </c>
      <c r="I225">
        <v>2</v>
      </c>
      <c r="J225">
        <v>0.36</v>
      </c>
      <c r="K225">
        <v>0.36359999999999998</v>
      </c>
      <c r="L225">
        <v>0.56999999999999995</v>
      </c>
      <c r="M225">
        <v>8.9599999999999999E-2</v>
      </c>
      <c r="N225">
        <v>10</v>
      </c>
      <c r="O225">
        <v>54</v>
      </c>
      <c r="P225">
        <v>64</v>
      </c>
    </row>
    <row r="226" spans="1:16">
      <c r="A226">
        <v>844</v>
      </c>
      <c r="B226">
        <v>40581</v>
      </c>
      <c r="C226">
        <v>1</v>
      </c>
      <c r="D226">
        <v>0</v>
      </c>
      <c r="E226">
        <v>2</v>
      </c>
      <c r="F226">
        <v>14</v>
      </c>
      <c r="G226" t="b">
        <v>0</v>
      </c>
      <c r="H226">
        <v>1</v>
      </c>
      <c r="I226">
        <v>2</v>
      </c>
      <c r="J226">
        <v>0.36</v>
      </c>
      <c r="K226">
        <v>0.36359999999999998</v>
      </c>
      <c r="L226">
        <v>0.56999999999999995</v>
      </c>
      <c r="M226">
        <v>8.9599999999999999E-2</v>
      </c>
      <c r="N226">
        <v>8</v>
      </c>
      <c r="O226">
        <v>52</v>
      </c>
      <c r="P226">
        <v>60</v>
      </c>
    </row>
    <row r="227" spans="1:16">
      <c r="A227">
        <v>845</v>
      </c>
      <c r="B227">
        <v>40581</v>
      </c>
      <c r="C227">
        <v>1</v>
      </c>
      <c r="D227">
        <v>0</v>
      </c>
      <c r="E227">
        <v>2</v>
      </c>
      <c r="F227">
        <v>15</v>
      </c>
      <c r="G227" t="b">
        <v>0</v>
      </c>
      <c r="H227">
        <v>1</v>
      </c>
      <c r="I227">
        <v>2</v>
      </c>
      <c r="J227">
        <v>0.38</v>
      </c>
      <c r="K227">
        <v>0.39389999999999997</v>
      </c>
      <c r="L227">
        <v>0.54</v>
      </c>
      <c r="M227">
        <v>8.9599999999999999E-2</v>
      </c>
      <c r="N227">
        <v>4</v>
      </c>
      <c r="O227">
        <v>46</v>
      </c>
      <c r="P227">
        <v>50</v>
      </c>
    </row>
    <row r="228" spans="1:16">
      <c r="A228">
        <v>846</v>
      </c>
      <c r="B228">
        <v>40581</v>
      </c>
      <c r="C228">
        <v>1</v>
      </c>
      <c r="D228">
        <v>0</v>
      </c>
      <c r="E228">
        <v>2</v>
      </c>
      <c r="F228">
        <v>16</v>
      </c>
      <c r="G228" t="b">
        <v>0</v>
      </c>
      <c r="H228">
        <v>1</v>
      </c>
      <c r="I228">
        <v>2</v>
      </c>
      <c r="J228">
        <v>0.36</v>
      </c>
      <c r="K228">
        <v>0.34849999999999998</v>
      </c>
      <c r="L228">
        <v>0.56999999999999995</v>
      </c>
      <c r="M228">
        <v>0.1343</v>
      </c>
      <c r="N228">
        <v>16</v>
      </c>
      <c r="O228">
        <v>98</v>
      </c>
      <c r="P228">
        <v>114</v>
      </c>
    </row>
    <row r="229" spans="1:16">
      <c r="A229">
        <v>847</v>
      </c>
      <c r="B229">
        <v>40581</v>
      </c>
      <c r="C229">
        <v>1</v>
      </c>
      <c r="D229">
        <v>0</v>
      </c>
      <c r="E229">
        <v>2</v>
      </c>
      <c r="F229">
        <v>17</v>
      </c>
      <c r="G229" t="b">
        <v>0</v>
      </c>
      <c r="H229">
        <v>1</v>
      </c>
      <c r="I229">
        <v>2</v>
      </c>
      <c r="J229">
        <v>0.32</v>
      </c>
      <c r="K229">
        <v>0.31819999999999998</v>
      </c>
      <c r="L229">
        <v>0.7</v>
      </c>
      <c r="M229">
        <v>0.16420000000000001</v>
      </c>
      <c r="N229">
        <v>9</v>
      </c>
      <c r="O229">
        <v>207</v>
      </c>
      <c r="P229">
        <v>216</v>
      </c>
    </row>
    <row r="230" spans="1:16">
      <c r="A230">
        <v>848</v>
      </c>
      <c r="B230">
        <v>40581</v>
      </c>
      <c r="C230">
        <v>1</v>
      </c>
      <c r="D230">
        <v>0</v>
      </c>
      <c r="E230">
        <v>2</v>
      </c>
      <c r="F230">
        <v>18</v>
      </c>
      <c r="G230" t="b">
        <v>0</v>
      </c>
      <c r="H230">
        <v>1</v>
      </c>
      <c r="I230">
        <v>2</v>
      </c>
      <c r="J230">
        <v>0.34</v>
      </c>
      <c r="K230">
        <v>0.33329999999999999</v>
      </c>
      <c r="L230">
        <v>0.66</v>
      </c>
      <c r="M230">
        <v>0.1343</v>
      </c>
      <c r="N230">
        <v>5</v>
      </c>
      <c r="O230">
        <v>170</v>
      </c>
      <c r="P230">
        <v>175</v>
      </c>
    </row>
    <row r="231" spans="1:16">
      <c r="A231">
        <v>849</v>
      </c>
      <c r="B231">
        <v>40581</v>
      </c>
      <c r="C231">
        <v>1</v>
      </c>
      <c r="D231">
        <v>0</v>
      </c>
      <c r="E231">
        <v>2</v>
      </c>
      <c r="F231">
        <v>19</v>
      </c>
      <c r="G231" t="b">
        <v>0</v>
      </c>
      <c r="H231">
        <v>1</v>
      </c>
      <c r="I231">
        <v>2</v>
      </c>
      <c r="J231">
        <v>0.32</v>
      </c>
      <c r="K231">
        <v>0.34849999999999998</v>
      </c>
      <c r="L231">
        <v>0.7</v>
      </c>
      <c r="M231">
        <v>0</v>
      </c>
      <c r="N231">
        <v>5</v>
      </c>
      <c r="O231">
        <v>123</v>
      </c>
      <c r="P231">
        <v>128</v>
      </c>
    </row>
    <row r="232" spans="1:16">
      <c r="A232">
        <v>850</v>
      </c>
      <c r="B232">
        <v>40581</v>
      </c>
      <c r="C232">
        <v>1</v>
      </c>
      <c r="D232">
        <v>0</v>
      </c>
      <c r="E232">
        <v>2</v>
      </c>
      <c r="F232">
        <v>20</v>
      </c>
      <c r="G232" t="b">
        <v>0</v>
      </c>
      <c r="H232">
        <v>1</v>
      </c>
      <c r="I232">
        <v>2</v>
      </c>
      <c r="J232">
        <v>0.32</v>
      </c>
      <c r="K232">
        <v>0.33329999999999999</v>
      </c>
      <c r="L232">
        <v>0.7</v>
      </c>
      <c r="M232">
        <v>0.1045</v>
      </c>
      <c r="N232">
        <v>6</v>
      </c>
      <c r="O232">
        <v>82</v>
      </c>
      <c r="P232">
        <v>88</v>
      </c>
    </row>
    <row r="233" spans="1:16">
      <c r="A233">
        <v>851</v>
      </c>
      <c r="B233">
        <v>40581</v>
      </c>
      <c r="C233">
        <v>1</v>
      </c>
      <c r="D233">
        <v>0</v>
      </c>
      <c r="E233">
        <v>2</v>
      </c>
      <c r="F233">
        <v>21</v>
      </c>
      <c r="G233" t="b">
        <v>0</v>
      </c>
      <c r="H233">
        <v>1</v>
      </c>
      <c r="I233">
        <v>1</v>
      </c>
      <c r="J233">
        <v>0.32</v>
      </c>
      <c r="K233">
        <v>0.34849999999999998</v>
      </c>
      <c r="L233">
        <v>0.7</v>
      </c>
      <c r="M233">
        <v>0</v>
      </c>
      <c r="N233">
        <v>3</v>
      </c>
      <c r="O233">
        <v>75</v>
      </c>
      <c r="P233">
        <v>78</v>
      </c>
    </row>
    <row r="234" spans="1:16">
      <c r="A234">
        <v>852</v>
      </c>
      <c r="B234">
        <v>40581</v>
      </c>
      <c r="C234">
        <v>1</v>
      </c>
      <c r="D234">
        <v>0</v>
      </c>
      <c r="E234">
        <v>2</v>
      </c>
      <c r="F234">
        <v>22</v>
      </c>
      <c r="G234" t="b">
        <v>0</v>
      </c>
      <c r="H234">
        <v>1</v>
      </c>
      <c r="I234">
        <v>1</v>
      </c>
      <c r="J234">
        <v>0.28000000000000003</v>
      </c>
      <c r="K234">
        <v>0.30299999999999999</v>
      </c>
      <c r="L234">
        <v>0.81</v>
      </c>
      <c r="M234">
        <v>8.9599999999999999E-2</v>
      </c>
      <c r="N234">
        <v>3</v>
      </c>
      <c r="O234">
        <v>34</v>
      </c>
      <c r="P234">
        <v>37</v>
      </c>
    </row>
    <row r="235" spans="1:16">
      <c r="A235">
        <v>853</v>
      </c>
      <c r="B235">
        <v>40581</v>
      </c>
      <c r="C235">
        <v>1</v>
      </c>
      <c r="D235">
        <v>0</v>
      </c>
      <c r="E235">
        <v>2</v>
      </c>
      <c r="F235">
        <v>23</v>
      </c>
      <c r="G235" t="b">
        <v>0</v>
      </c>
      <c r="H235">
        <v>1</v>
      </c>
      <c r="I235">
        <v>2</v>
      </c>
      <c r="J235">
        <v>0.3</v>
      </c>
      <c r="K235">
        <v>0.33329999999999999</v>
      </c>
      <c r="L235">
        <v>0.81</v>
      </c>
      <c r="M235">
        <v>0</v>
      </c>
      <c r="N235">
        <v>6</v>
      </c>
      <c r="O235">
        <v>19</v>
      </c>
      <c r="P235">
        <v>25</v>
      </c>
    </row>
    <row r="236" spans="1:16">
      <c r="A236">
        <v>854</v>
      </c>
      <c r="B236">
        <v>40582</v>
      </c>
      <c r="C236">
        <v>1</v>
      </c>
      <c r="D236">
        <v>0</v>
      </c>
      <c r="E236">
        <v>2</v>
      </c>
      <c r="F236">
        <v>0</v>
      </c>
      <c r="G236" t="b">
        <v>0</v>
      </c>
      <c r="H236">
        <v>2</v>
      </c>
      <c r="I236">
        <v>2</v>
      </c>
      <c r="J236">
        <v>0.28000000000000003</v>
      </c>
      <c r="K236">
        <v>0.31819999999999998</v>
      </c>
      <c r="L236">
        <v>0.87</v>
      </c>
      <c r="M236">
        <v>0</v>
      </c>
      <c r="N236">
        <v>4</v>
      </c>
      <c r="O236">
        <v>6</v>
      </c>
      <c r="P236">
        <v>10</v>
      </c>
    </row>
    <row r="237" spans="1:16">
      <c r="A237">
        <v>855</v>
      </c>
      <c r="B237">
        <v>40582</v>
      </c>
      <c r="C237">
        <v>1</v>
      </c>
      <c r="D237">
        <v>0</v>
      </c>
      <c r="E237">
        <v>2</v>
      </c>
      <c r="F237">
        <v>1</v>
      </c>
      <c r="G237" t="b">
        <v>0</v>
      </c>
      <c r="H237">
        <v>2</v>
      </c>
      <c r="I237">
        <v>2</v>
      </c>
      <c r="J237">
        <v>0.28000000000000003</v>
      </c>
      <c r="K237">
        <v>0.31819999999999998</v>
      </c>
      <c r="L237">
        <v>0.87</v>
      </c>
      <c r="M237">
        <v>0</v>
      </c>
      <c r="N237">
        <v>0</v>
      </c>
      <c r="O237">
        <v>4</v>
      </c>
      <c r="P237">
        <v>4</v>
      </c>
    </row>
    <row r="238" spans="1:16">
      <c r="A238">
        <v>856</v>
      </c>
      <c r="B238">
        <v>40582</v>
      </c>
      <c r="C238">
        <v>1</v>
      </c>
      <c r="D238">
        <v>0</v>
      </c>
      <c r="E238">
        <v>2</v>
      </c>
      <c r="F238">
        <v>2</v>
      </c>
      <c r="G238" t="b">
        <v>0</v>
      </c>
      <c r="H238">
        <v>2</v>
      </c>
      <c r="I238">
        <v>2</v>
      </c>
      <c r="J238">
        <v>0.26</v>
      </c>
      <c r="K238">
        <v>0.2727</v>
      </c>
      <c r="L238">
        <v>0.93</v>
      </c>
      <c r="M238">
        <v>0.1045</v>
      </c>
      <c r="N238">
        <v>1</v>
      </c>
      <c r="O238">
        <v>1</v>
      </c>
      <c r="P238">
        <v>2</v>
      </c>
    </row>
    <row r="239" spans="1:16">
      <c r="A239">
        <v>857</v>
      </c>
      <c r="B239">
        <v>40582</v>
      </c>
      <c r="C239">
        <v>1</v>
      </c>
      <c r="D239">
        <v>0</v>
      </c>
      <c r="E239">
        <v>2</v>
      </c>
      <c r="F239">
        <v>3</v>
      </c>
      <c r="G239" t="b">
        <v>0</v>
      </c>
      <c r="H239">
        <v>2</v>
      </c>
      <c r="I239">
        <v>3</v>
      </c>
      <c r="J239">
        <v>0.28000000000000003</v>
      </c>
      <c r="K239">
        <v>0.2727</v>
      </c>
      <c r="L239">
        <v>0.93</v>
      </c>
      <c r="M239">
        <v>0.16420000000000001</v>
      </c>
      <c r="N239">
        <v>0</v>
      </c>
      <c r="O239">
        <v>1</v>
      </c>
      <c r="P239">
        <v>1</v>
      </c>
    </row>
    <row r="240" spans="1:16">
      <c r="A240">
        <v>858</v>
      </c>
      <c r="B240">
        <v>40582</v>
      </c>
      <c r="C240">
        <v>1</v>
      </c>
      <c r="D240">
        <v>0</v>
      </c>
      <c r="E240">
        <v>2</v>
      </c>
      <c r="F240">
        <v>4</v>
      </c>
      <c r="G240" t="b">
        <v>0</v>
      </c>
      <c r="H240">
        <v>2</v>
      </c>
      <c r="I240">
        <v>1</v>
      </c>
      <c r="J240">
        <v>0.26</v>
      </c>
      <c r="K240">
        <v>0.2576</v>
      </c>
      <c r="L240">
        <v>0.93</v>
      </c>
      <c r="M240">
        <v>0.16420000000000001</v>
      </c>
      <c r="N240">
        <v>0</v>
      </c>
      <c r="O240">
        <v>3</v>
      </c>
      <c r="P240">
        <v>3</v>
      </c>
    </row>
    <row r="241" spans="1:16">
      <c r="A241">
        <v>859</v>
      </c>
      <c r="B241">
        <v>40582</v>
      </c>
      <c r="C241">
        <v>1</v>
      </c>
      <c r="D241">
        <v>0</v>
      </c>
      <c r="E241">
        <v>2</v>
      </c>
      <c r="F241">
        <v>5</v>
      </c>
      <c r="G241" t="b">
        <v>0</v>
      </c>
      <c r="H241">
        <v>2</v>
      </c>
      <c r="I241">
        <v>1</v>
      </c>
      <c r="J241">
        <v>0.26</v>
      </c>
      <c r="K241">
        <v>0.2273</v>
      </c>
      <c r="L241">
        <v>0.81</v>
      </c>
      <c r="M241">
        <v>0.32840000000000003</v>
      </c>
      <c r="N241">
        <v>0</v>
      </c>
      <c r="O241">
        <v>2</v>
      </c>
      <c r="P241">
        <v>2</v>
      </c>
    </row>
    <row r="242" spans="1:16">
      <c r="A242">
        <v>860</v>
      </c>
      <c r="B242">
        <v>40582</v>
      </c>
      <c r="C242">
        <v>1</v>
      </c>
      <c r="D242">
        <v>0</v>
      </c>
      <c r="E242">
        <v>2</v>
      </c>
      <c r="F242">
        <v>6</v>
      </c>
      <c r="G242" t="b">
        <v>0</v>
      </c>
      <c r="H242">
        <v>2</v>
      </c>
      <c r="I242">
        <v>1</v>
      </c>
      <c r="J242">
        <v>0.26</v>
      </c>
      <c r="K242">
        <v>0.2273</v>
      </c>
      <c r="L242">
        <v>0.7</v>
      </c>
      <c r="M242">
        <v>0.32840000000000003</v>
      </c>
      <c r="N242">
        <v>0</v>
      </c>
      <c r="O242">
        <v>39</v>
      </c>
      <c r="P242">
        <v>39</v>
      </c>
    </row>
    <row r="243" spans="1:16">
      <c r="A243">
        <v>861</v>
      </c>
      <c r="B243">
        <v>40582</v>
      </c>
      <c r="C243">
        <v>1</v>
      </c>
      <c r="D243">
        <v>0</v>
      </c>
      <c r="E243">
        <v>2</v>
      </c>
      <c r="F243">
        <v>7</v>
      </c>
      <c r="G243" t="b">
        <v>0</v>
      </c>
      <c r="H243">
        <v>2</v>
      </c>
      <c r="I243">
        <v>1</v>
      </c>
      <c r="J243">
        <v>0.24</v>
      </c>
      <c r="K243">
        <v>0.19700000000000001</v>
      </c>
      <c r="L243">
        <v>0.65</v>
      </c>
      <c r="M243">
        <v>0.41789999999999999</v>
      </c>
      <c r="N243">
        <v>3</v>
      </c>
      <c r="O243">
        <v>97</v>
      </c>
      <c r="P243">
        <v>100</v>
      </c>
    </row>
    <row r="244" spans="1:16">
      <c r="A244">
        <v>862</v>
      </c>
      <c r="B244">
        <v>40582</v>
      </c>
      <c r="C244">
        <v>1</v>
      </c>
      <c r="D244">
        <v>0</v>
      </c>
      <c r="E244">
        <v>2</v>
      </c>
      <c r="F244">
        <v>8</v>
      </c>
      <c r="G244" t="b">
        <v>0</v>
      </c>
      <c r="H244">
        <v>2</v>
      </c>
      <c r="I244">
        <v>1</v>
      </c>
      <c r="J244">
        <v>0.24</v>
      </c>
      <c r="K244">
        <v>0.19700000000000001</v>
      </c>
      <c r="L244">
        <v>0.56000000000000005</v>
      </c>
      <c r="M244">
        <v>0.49249999999999999</v>
      </c>
      <c r="N244">
        <v>7</v>
      </c>
      <c r="O244">
        <v>236</v>
      </c>
      <c r="P244">
        <v>243</v>
      </c>
    </row>
    <row r="245" spans="1:16">
      <c r="A245">
        <v>863</v>
      </c>
      <c r="B245">
        <v>40582</v>
      </c>
      <c r="C245">
        <v>1</v>
      </c>
      <c r="D245">
        <v>0</v>
      </c>
      <c r="E245">
        <v>2</v>
      </c>
      <c r="F245">
        <v>9</v>
      </c>
      <c r="G245" t="b">
        <v>0</v>
      </c>
      <c r="H245">
        <v>2</v>
      </c>
      <c r="I245">
        <v>1</v>
      </c>
      <c r="J245">
        <v>0.24</v>
      </c>
      <c r="K245">
        <v>0.19700000000000001</v>
      </c>
      <c r="L245">
        <v>0.52</v>
      </c>
      <c r="M245">
        <v>0.49249999999999999</v>
      </c>
      <c r="N245">
        <v>7</v>
      </c>
      <c r="O245">
        <v>128</v>
      </c>
      <c r="P245">
        <v>135</v>
      </c>
    </row>
    <row r="246" spans="1:16">
      <c r="A246">
        <v>864</v>
      </c>
      <c r="B246">
        <v>40582</v>
      </c>
      <c r="C246">
        <v>1</v>
      </c>
      <c r="D246">
        <v>0</v>
      </c>
      <c r="E246">
        <v>2</v>
      </c>
      <c r="F246">
        <v>10</v>
      </c>
      <c r="G246" t="b">
        <v>0</v>
      </c>
      <c r="H246">
        <v>2</v>
      </c>
      <c r="I246">
        <v>1</v>
      </c>
      <c r="J246">
        <v>0.22</v>
      </c>
      <c r="K246">
        <v>0.18179999999999999</v>
      </c>
      <c r="L246">
        <v>0.47</v>
      </c>
      <c r="M246">
        <v>0.55220000000000002</v>
      </c>
      <c r="N246">
        <v>4</v>
      </c>
      <c r="O246">
        <v>44</v>
      </c>
      <c r="P246">
        <v>48</v>
      </c>
    </row>
    <row r="247" spans="1:16">
      <c r="A247">
        <v>865</v>
      </c>
      <c r="B247">
        <v>40582</v>
      </c>
      <c r="C247">
        <v>1</v>
      </c>
      <c r="D247">
        <v>0</v>
      </c>
      <c r="E247">
        <v>2</v>
      </c>
      <c r="F247">
        <v>11</v>
      </c>
      <c r="G247" t="b">
        <v>0</v>
      </c>
      <c r="H247">
        <v>2</v>
      </c>
      <c r="I247">
        <v>1</v>
      </c>
      <c r="J247">
        <v>0.22</v>
      </c>
      <c r="K247">
        <v>0.18179999999999999</v>
      </c>
      <c r="L247">
        <v>0.47</v>
      </c>
      <c r="M247">
        <v>0.4627</v>
      </c>
      <c r="N247">
        <v>1</v>
      </c>
      <c r="O247">
        <v>49</v>
      </c>
      <c r="P247">
        <v>50</v>
      </c>
    </row>
    <row r="248" spans="1:16">
      <c r="A248">
        <v>866</v>
      </c>
      <c r="B248">
        <v>40582</v>
      </c>
      <c r="C248">
        <v>1</v>
      </c>
      <c r="D248">
        <v>0</v>
      </c>
      <c r="E248">
        <v>2</v>
      </c>
      <c r="F248">
        <v>12</v>
      </c>
      <c r="G248" t="b">
        <v>0</v>
      </c>
      <c r="H248">
        <v>2</v>
      </c>
      <c r="I248">
        <v>1</v>
      </c>
      <c r="J248">
        <v>0.24</v>
      </c>
      <c r="K248">
        <v>0.19700000000000001</v>
      </c>
      <c r="L248">
        <v>0.38</v>
      </c>
      <c r="M248">
        <v>0.49249999999999999</v>
      </c>
      <c r="N248">
        <v>2</v>
      </c>
      <c r="O248">
        <v>63</v>
      </c>
      <c r="P248">
        <v>65</v>
      </c>
    </row>
    <row r="249" spans="1:16">
      <c r="A249">
        <v>867</v>
      </c>
      <c r="B249">
        <v>40582</v>
      </c>
      <c r="C249">
        <v>1</v>
      </c>
      <c r="D249">
        <v>0</v>
      </c>
      <c r="E249">
        <v>2</v>
      </c>
      <c r="F249">
        <v>13</v>
      </c>
      <c r="G249" t="b">
        <v>0</v>
      </c>
      <c r="H249">
        <v>2</v>
      </c>
      <c r="I249">
        <v>2</v>
      </c>
      <c r="J249">
        <v>0.24</v>
      </c>
      <c r="K249">
        <v>0.19700000000000001</v>
      </c>
      <c r="L249">
        <v>0.32</v>
      </c>
      <c r="M249">
        <v>0.44779999999999998</v>
      </c>
      <c r="N249">
        <v>2</v>
      </c>
      <c r="O249">
        <v>48</v>
      </c>
      <c r="P249">
        <v>50</v>
      </c>
    </row>
    <row r="250" spans="1:16">
      <c r="A250">
        <v>868</v>
      </c>
      <c r="B250">
        <v>40582</v>
      </c>
      <c r="C250">
        <v>1</v>
      </c>
      <c r="D250">
        <v>0</v>
      </c>
      <c r="E250">
        <v>2</v>
      </c>
      <c r="F250">
        <v>14</v>
      </c>
      <c r="G250" t="b">
        <v>0</v>
      </c>
      <c r="H250">
        <v>2</v>
      </c>
      <c r="I250">
        <v>1</v>
      </c>
      <c r="J250">
        <v>0.22</v>
      </c>
      <c r="K250">
        <v>0.19700000000000001</v>
      </c>
      <c r="L250">
        <v>0.37</v>
      </c>
      <c r="M250">
        <v>0.41789999999999999</v>
      </c>
      <c r="N250">
        <v>3</v>
      </c>
      <c r="O250">
        <v>61</v>
      </c>
      <c r="P250">
        <v>64</v>
      </c>
    </row>
    <row r="251" spans="1:16">
      <c r="A251">
        <v>869</v>
      </c>
      <c r="B251">
        <v>40582</v>
      </c>
      <c r="C251">
        <v>1</v>
      </c>
      <c r="D251">
        <v>0</v>
      </c>
      <c r="E251">
        <v>2</v>
      </c>
      <c r="F251">
        <v>15</v>
      </c>
      <c r="G251" t="b">
        <v>0</v>
      </c>
      <c r="H251">
        <v>2</v>
      </c>
      <c r="I251">
        <v>1</v>
      </c>
      <c r="J251">
        <v>0.22</v>
      </c>
      <c r="K251">
        <v>0.19700000000000001</v>
      </c>
      <c r="L251">
        <v>0.35</v>
      </c>
      <c r="M251">
        <v>0.3881</v>
      </c>
      <c r="N251">
        <v>6</v>
      </c>
      <c r="O251">
        <v>45</v>
      </c>
      <c r="P251">
        <v>51</v>
      </c>
    </row>
    <row r="252" spans="1:16">
      <c r="A252">
        <v>870</v>
      </c>
      <c r="B252">
        <v>40582</v>
      </c>
      <c r="C252">
        <v>1</v>
      </c>
      <c r="D252">
        <v>0</v>
      </c>
      <c r="E252">
        <v>2</v>
      </c>
      <c r="F252">
        <v>16</v>
      </c>
      <c r="G252" t="b">
        <v>0</v>
      </c>
      <c r="H252">
        <v>2</v>
      </c>
      <c r="I252">
        <v>1</v>
      </c>
      <c r="J252">
        <v>0.22</v>
      </c>
      <c r="K252">
        <v>0.18179999999999999</v>
      </c>
      <c r="L252">
        <v>0.35</v>
      </c>
      <c r="M252">
        <v>0.52239999999999998</v>
      </c>
      <c r="N252">
        <v>4</v>
      </c>
      <c r="O252">
        <v>79</v>
      </c>
      <c r="P252">
        <v>83</v>
      </c>
    </row>
    <row r="253" spans="1:16">
      <c r="A253">
        <v>871</v>
      </c>
      <c r="B253">
        <v>40582</v>
      </c>
      <c r="C253">
        <v>1</v>
      </c>
      <c r="D253">
        <v>0</v>
      </c>
      <c r="E253">
        <v>2</v>
      </c>
      <c r="F253">
        <v>17</v>
      </c>
      <c r="G253" t="b">
        <v>0</v>
      </c>
      <c r="H253">
        <v>2</v>
      </c>
      <c r="I253">
        <v>1</v>
      </c>
      <c r="J253">
        <v>0.22</v>
      </c>
      <c r="K253">
        <v>0.18179999999999999</v>
      </c>
      <c r="L253">
        <v>0.32</v>
      </c>
      <c r="M253">
        <v>0.58209999999999995</v>
      </c>
      <c r="N253">
        <v>4</v>
      </c>
      <c r="O253">
        <v>172</v>
      </c>
      <c r="P253">
        <v>176</v>
      </c>
    </row>
    <row r="254" spans="1:16">
      <c r="A254">
        <v>872</v>
      </c>
      <c r="B254">
        <v>40582</v>
      </c>
      <c r="C254">
        <v>1</v>
      </c>
      <c r="D254">
        <v>0</v>
      </c>
      <c r="E254">
        <v>2</v>
      </c>
      <c r="F254">
        <v>18</v>
      </c>
      <c r="G254" t="b">
        <v>0</v>
      </c>
      <c r="H254">
        <v>2</v>
      </c>
      <c r="I254">
        <v>1</v>
      </c>
      <c r="J254">
        <v>0.2</v>
      </c>
      <c r="K254">
        <v>0.18179999999999999</v>
      </c>
      <c r="L254">
        <v>0.32</v>
      </c>
      <c r="M254">
        <v>0.3881</v>
      </c>
      <c r="N254">
        <v>1</v>
      </c>
      <c r="O254">
        <v>151</v>
      </c>
      <c r="P254">
        <v>152</v>
      </c>
    </row>
    <row r="255" spans="1:16">
      <c r="A255">
        <v>873</v>
      </c>
      <c r="B255">
        <v>40582</v>
      </c>
      <c r="C255">
        <v>1</v>
      </c>
      <c r="D255">
        <v>0</v>
      </c>
      <c r="E255">
        <v>2</v>
      </c>
      <c r="F255">
        <v>19</v>
      </c>
      <c r="G255" t="b">
        <v>0</v>
      </c>
      <c r="H255">
        <v>2</v>
      </c>
      <c r="I255">
        <v>1</v>
      </c>
      <c r="J255">
        <v>0.16</v>
      </c>
      <c r="K255">
        <v>0.1212</v>
      </c>
      <c r="L255">
        <v>0.4</v>
      </c>
      <c r="M255">
        <v>0.4627</v>
      </c>
      <c r="N255">
        <v>1</v>
      </c>
      <c r="O255">
        <v>100</v>
      </c>
      <c r="P255">
        <v>101</v>
      </c>
    </row>
    <row r="256" spans="1:16">
      <c r="A256">
        <v>874</v>
      </c>
      <c r="B256">
        <v>40582</v>
      </c>
      <c r="C256">
        <v>1</v>
      </c>
      <c r="D256">
        <v>0</v>
      </c>
      <c r="E256">
        <v>2</v>
      </c>
      <c r="F256">
        <v>20</v>
      </c>
      <c r="G256" t="b">
        <v>0</v>
      </c>
      <c r="H256">
        <v>2</v>
      </c>
      <c r="I256">
        <v>1</v>
      </c>
      <c r="J256">
        <v>0.16</v>
      </c>
      <c r="K256">
        <v>0.13639999999999999</v>
      </c>
      <c r="L256">
        <v>0.4</v>
      </c>
      <c r="M256">
        <v>0.32840000000000003</v>
      </c>
      <c r="N256">
        <v>3</v>
      </c>
      <c r="O256">
        <v>53</v>
      </c>
      <c r="P256">
        <v>56</v>
      </c>
    </row>
    <row r="257" spans="1:16">
      <c r="A257">
        <v>875</v>
      </c>
      <c r="B257">
        <v>40582</v>
      </c>
      <c r="C257">
        <v>1</v>
      </c>
      <c r="D257">
        <v>0</v>
      </c>
      <c r="E257">
        <v>2</v>
      </c>
      <c r="F257">
        <v>21</v>
      </c>
      <c r="G257" t="b">
        <v>0</v>
      </c>
      <c r="H257">
        <v>2</v>
      </c>
      <c r="I257">
        <v>1</v>
      </c>
      <c r="J257">
        <v>0.14000000000000001</v>
      </c>
      <c r="K257">
        <v>0.1061</v>
      </c>
      <c r="L257">
        <v>0.33</v>
      </c>
      <c r="M257">
        <v>0.4627</v>
      </c>
      <c r="N257">
        <v>8</v>
      </c>
      <c r="O257">
        <v>46</v>
      </c>
      <c r="P257">
        <v>54</v>
      </c>
    </row>
    <row r="258" spans="1:16">
      <c r="A258">
        <v>876</v>
      </c>
      <c r="B258">
        <v>40582</v>
      </c>
      <c r="C258">
        <v>1</v>
      </c>
      <c r="D258">
        <v>0</v>
      </c>
      <c r="E258">
        <v>2</v>
      </c>
      <c r="F258">
        <v>22</v>
      </c>
      <c r="G258" t="b">
        <v>0</v>
      </c>
      <c r="H258">
        <v>2</v>
      </c>
      <c r="I258">
        <v>1</v>
      </c>
      <c r="J258">
        <v>0.12</v>
      </c>
      <c r="K258">
        <v>0.1061</v>
      </c>
      <c r="L258">
        <v>0.33</v>
      </c>
      <c r="M258">
        <v>0.35820000000000002</v>
      </c>
      <c r="N258">
        <v>0</v>
      </c>
      <c r="O258">
        <v>29</v>
      </c>
      <c r="P258">
        <v>29</v>
      </c>
    </row>
    <row r="259" spans="1:16">
      <c r="A259">
        <v>877</v>
      </c>
      <c r="B259">
        <v>40582</v>
      </c>
      <c r="C259">
        <v>1</v>
      </c>
      <c r="D259">
        <v>0</v>
      </c>
      <c r="E259">
        <v>2</v>
      </c>
      <c r="F259">
        <v>23</v>
      </c>
      <c r="G259" t="b">
        <v>0</v>
      </c>
      <c r="H259">
        <v>2</v>
      </c>
      <c r="I259">
        <v>1</v>
      </c>
      <c r="J259">
        <v>0.12</v>
      </c>
      <c r="K259">
        <v>0.1061</v>
      </c>
      <c r="L259">
        <v>0.33</v>
      </c>
      <c r="M259">
        <v>0.32840000000000003</v>
      </c>
      <c r="N259">
        <v>3</v>
      </c>
      <c r="O259">
        <v>9</v>
      </c>
      <c r="P259">
        <v>12</v>
      </c>
    </row>
    <row r="260" spans="1:16">
      <c r="A260">
        <v>878</v>
      </c>
      <c r="B260">
        <v>40583</v>
      </c>
      <c r="C260">
        <v>1</v>
      </c>
      <c r="D260">
        <v>0</v>
      </c>
      <c r="E260">
        <v>2</v>
      </c>
      <c r="F260">
        <v>0</v>
      </c>
      <c r="G260" t="b">
        <v>0</v>
      </c>
      <c r="H260">
        <v>3</v>
      </c>
      <c r="I260">
        <v>1</v>
      </c>
      <c r="J260">
        <v>0.1</v>
      </c>
      <c r="K260">
        <v>7.5800000000000006E-2</v>
      </c>
      <c r="L260">
        <v>0.36</v>
      </c>
      <c r="M260">
        <v>0.35820000000000002</v>
      </c>
      <c r="N260">
        <v>0</v>
      </c>
      <c r="O260">
        <v>17</v>
      </c>
      <c r="P260">
        <v>17</v>
      </c>
    </row>
    <row r="261" spans="1:16">
      <c r="A261">
        <v>879</v>
      </c>
      <c r="B261">
        <v>40583</v>
      </c>
      <c r="C261">
        <v>1</v>
      </c>
      <c r="D261">
        <v>0</v>
      </c>
      <c r="E261">
        <v>2</v>
      </c>
      <c r="F261">
        <v>1</v>
      </c>
      <c r="G261" t="b">
        <v>0</v>
      </c>
      <c r="H261">
        <v>3</v>
      </c>
      <c r="I261">
        <v>1</v>
      </c>
      <c r="J261">
        <v>0.1</v>
      </c>
      <c r="K261">
        <v>0.1061</v>
      </c>
      <c r="L261">
        <v>0.36</v>
      </c>
      <c r="M261">
        <v>0.22389999999999999</v>
      </c>
      <c r="N261">
        <v>0</v>
      </c>
      <c r="O261">
        <v>7</v>
      </c>
      <c r="P261">
        <v>7</v>
      </c>
    </row>
    <row r="262" spans="1:16">
      <c r="A262">
        <v>880</v>
      </c>
      <c r="B262">
        <v>40583</v>
      </c>
      <c r="C262">
        <v>1</v>
      </c>
      <c r="D262">
        <v>0</v>
      </c>
      <c r="E262">
        <v>2</v>
      </c>
      <c r="F262">
        <v>2</v>
      </c>
      <c r="G262" t="b">
        <v>0</v>
      </c>
      <c r="H262">
        <v>3</v>
      </c>
      <c r="I262">
        <v>1</v>
      </c>
      <c r="J262">
        <v>0.08</v>
      </c>
      <c r="K262">
        <v>7.5800000000000006E-2</v>
      </c>
      <c r="L262">
        <v>0.38</v>
      </c>
      <c r="M262">
        <v>0.28360000000000002</v>
      </c>
      <c r="N262">
        <v>1</v>
      </c>
      <c r="O262">
        <v>2</v>
      </c>
      <c r="P262">
        <v>3</v>
      </c>
    </row>
    <row r="263" spans="1:16">
      <c r="A263">
        <v>881</v>
      </c>
      <c r="B263">
        <v>40583</v>
      </c>
      <c r="C263">
        <v>1</v>
      </c>
      <c r="D263">
        <v>0</v>
      </c>
      <c r="E263">
        <v>2</v>
      </c>
      <c r="F263">
        <v>3</v>
      </c>
      <c r="G263" t="b">
        <v>0</v>
      </c>
      <c r="H263">
        <v>3</v>
      </c>
      <c r="I263">
        <v>1</v>
      </c>
      <c r="J263">
        <v>0.06</v>
      </c>
      <c r="K263">
        <v>7.5800000000000006E-2</v>
      </c>
      <c r="L263">
        <v>0.45</v>
      </c>
      <c r="M263">
        <v>0.1343</v>
      </c>
      <c r="N263">
        <v>0</v>
      </c>
      <c r="O263">
        <v>2</v>
      </c>
      <c r="P263">
        <v>2</v>
      </c>
    </row>
    <row r="264" spans="1:16">
      <c r="A264">
        <v>882</v>
      </c>
      <c r="B264">
        <v>40583</v>
      </c>
      <c r="C264">
        <v>1</v>
      </c>
      <c r="D264">
        <v>0</v>
      </c>
      <c r="E264">
        <v>2</v>
      </c>
      <c r="F264">
        <v>5</v>
      </c>
      <c r="G264" t="b">
        <v>0</v>
      </c>
      <c r="H264">
        <v>3</v>
      </c>
      <c r="I264">
        <v>1</v>
      </c>
      <c r="J264">
        <v>0.06</v>
      </c>
      <c r="K264">
        <v>0.1061</v>
      </c>
      <c r="L264">
        <v>0.45</v>
      </c>
      <c r="M264">
        <v>0.1045</v>
      </c>
      <c r="N264">
        <v>0</v>
      </c>
      <c r="O264">
        <v>7</v>
      </c>
      <c r="P264">
        <v>7</v>
      </c>
    </row>
    <row r="265" spans="1:16">
      <c r="A265">
        <v>883</v>
      </c>
      <c r="B265">
        <v>40583</v>
      </c>
      <c r="C265">
        <v>1</v>
      </c>
      <c r="D265">
        <v>0</v>
      </c>
      <c r="E265">
        <v>2</v>
      </c>
      <c r="F265">
        <v>6</v>
      </c>
      <c r="G265" t="b">
        <v>0</v>
      </c>
      <c r="H265">
        <v>3</v>
      </c>
      <c r="I265">
        <v>1</v>
      </c>
      <c r="J265">
        <v>0.06</v>
      </c>
      <c r="K265">
        <v>0.1515</v>
      </c>
      <c r="L265">
        <v>0.45</v>
      </c>
      <c r="M265">
        <v>0</v>
      </c>
      <c r="N265">
        <v>0</v>
      </c>
      <c r="O265">
        <v>43</v>
      </c>
      <c r="P265">
        <v>43</v>
      </c>
    </row>
    <row r="266" spans="1:16">
      <c r="A266">
        <v>884</v>
      </c>
      <c r="B266">
        <v>40583</v>
      </c>
      <c r="C266">
        <v>1</v>
      </c>
      <c r="D266">
        <v>0</v>
      </c>
      <c r="E266">
        <v>2</v>
      </c>
      <c r="F266">
        <v>7</v>
      </c>
      <c r="G266" t="b">
        <v>0</v>
      </c>
      <c r="H266">
        <v>3</v>
      </c>
      <c r="I266">
        <v>1</v>
      </c>
      <c r="J266">
        <v>0.06</v>
      </c>
      <c r="K266">
        <v>0.1061</v>
      </c>
      <c r="L266">
        <v>0.49</v>
      </c>
      <c r="M266">
        <v>0.1045</v>
      </c>
      <c r="N266">
        <v>4</v>
      </c>
      <c r="O266">
        <v>95</v>
      </c>
      <c r="P266">
        <v>99</v>
      </c>
    </row>
    <row r="267" spans="1:16">
      <c r="A267">
        <v>885</v>
      </c>
      <c r="B267">
        <v>40583</v>
      </c>
      <c r="C267">
        <v>1</v>
      </c>
      <c r="D267">
        <v>0</v>
      </c>
      <c r="E267">
        <v>2</v>
      </c>
      <c r="F267">
        <v>8</v>
      </c>
      <c r="G267" t="b">
        <v>0</v>
      </c>
      <c r="H267">
        <v>3</v>
      </c>
      <c r="I267">
        <v>1</v>
      </c>
      <c r="J267">
        <v>0.1</v>
      </c>
      <c r="K267">
        <v>0.13639999999999999</v>
      </c>
      <c r="L267">
        <v>0.42</v>
      </c>
      <c r="M267">
        <v>0</v>
      </c>
      <c r="N267">
        <v>1</v>
      </c>
      <c r="O267">
        <v>198</v>
      </c>
      <c r="P267">
        <v>199</v>
      </c>
    </row>
    <row r="268" spans="1:16">
      <c r="A268">
        <v>886</v>
      </c>
      <c r="B268">
        <v>40583</v>
      </c>
      <c r="C268">
        <v>1</v>
      </c>
      <c r="D268">
        <v>0</v>
      </c>
      <c r="E268">
        <v>2</v>
      </c>
      <c r="F268">
        <v>9</v>
      </c>
      <c r="G268" t="b">
        <v>0</v>
      </c>
      <c r="H268">
        <v>3</v>
      </c>
      <c r="I268">
        <v>1</v>
      </c>
      <c r="J268">
        <v>0.12</v>
      </c>
      <c r="K268">
        <v>0.13639999999999999</v>
      </c>
      <c r="L268">
        <v>0.39</v>
      </c>
      <c r="M268">
        <v>0.16420000000000001</v>
      </c>
      <c r="N268">
        <v>4</v>
      </c>
      <c r="O268">
        <v>119</v>
      </c>
      <c r="P268">
        <v>123</v>
      </c>
    </row>
    <row r="269" spans="1:16">
      <c r="A269">
        <v>887</v>
      </c>
      <c r="B269">
        <v>40583</v>
      </c>
      <c r="C269">
        <v>1</v>
      </c>
      <c r="D269">
        <v>0</v>
      </c>
      <c r="E269">
        <v>2</v>
      </c>
      <c r="F269">
        <v>10</v>
      </c>
      <c r="G269" t="b">
        <v>0</v>
      </c>
      <c r="H269">
        <v>3</v>
      </c>
      <c r="I269">
        <v>1</v>
      </c>
      <c r="J269">
        <v>0.14000000000000001</v>
      </c>
      <c r="K269">
        <v>0.18179999999999999</v>
      </c>
      <c r="L269">
        <v>0.36</v>
      </c>
      <c r="M269">
        <v>0</v>
      </c>
      <c r="N269">
        <v>8</v>
      </c>
      <c r="O269">
        <v>51</v>
      </c>
      <c r="P269">
        <v>59</v>
      </c>
    </row>
    <row r="270" spans="1:16">
      <c r="A270">
        <v>888</v>
      </c>
      <c r="B270">
        <v>40583</v>
      </c>
      <c r="C270">
        <v>1</v>
      </c>
      <c r="D270">
        <v>0</v>
      </c>
      <c r="E270">
        <v>2</v>
      </c>
      <c r="F270">
        <v>11</v>
      </c>
      <c r="G270" t="b">
        <v>0</v>
      </c>
      <c r="H270">
        <v>3</v>
      </c>
      <c r="I270">
        <v>2</v>
      </c>
      <c r="J270">
        <v>0.14000000000000001</v>
      </c>
      <c r="K270">
        <v>0.1515</v>
      </c>
      <c r="L270">
        <v>0.43</v>
      </c>
      <c r="M270">
        <v>0.16420000000000001</v>
      </c>
      <c r="N270">
        <v>1</v>
      </c>
      <c r="O270">
        <v>40</v>
      </c>
      <c r="P270">
        <v>41</v>
      </c>
    </row>
    <row r="271" spans="1:16">
      <c r="A271">
        <v>889</v>
      </c>
      <c r="B271">
        <v>40583</v>
      </c>
      <c r="C271">
        <v>1</v>
      </c>
      <c r="D271">
        <v>0</v>
      </c>
      <c r="E271">
        <v>2</v>
      </c>
      <c r="F271">
        <v>12</v>
      </c>
      <c r="G271" t="b">
        <v>0</v>
      </c>
      <c r="H271">
        <v>3</v>
      </c>
      <c r="I271">
        <v>2</v>
      </c>
      <c r="J271">
        <v>0.18</v>
      </c>
      <c r="K271">
        <v>0.18179999999999999</v>
      </c>
      <c r="L271">
        <v>0.4</v>
      </c>
      <c r="M271">
        <v>0.22389999999999999</v>
      </c>
      <c r="N271">
        <v>4</v>
      </c>
      <c r="O271">
        <v>57</v>
      </c>
      <c r="P271">
        <v>61</v>
      </c>
    </row>
    <row r="272" spans="1:16">
      <c r="A272">
        <v>890</v>
      </c>
      <c r="B272">
        <v>40583</v>
      </c>
      <c r="C272">
        <v>1</v>
      </c>
      <c r="D272">
        <v>0</v>
      </c>
      <c r="E272">
        <v>2</v>
      </c>
      <c r="F272">
        <v>13</v>
      </c>
      <c r="G272" t="b">
        <v>0</v>
      </c>
      <c r="H272">
        <v>3</v>
      </c>
      <c r="I272">
        <v>1</v>
      </c>
      <c r="J272">
        <v>0.18</v>
      </c>
      <c r="K272">
        <v>0.16669999999999999</v>
      </c>
      <c r="L272">
        <v>0.4</v>
      </c>
      <c r="M272">
        <v>0.25369999999999998</v>
      </c>
      <c r="N272">
        <v>2</v>
      </c>
      <c r="O272">
        <v>67</v>
      </c>
      <c r="P272">
        <v>69</v>
      </c>
    </row>
    <row r="273" spans="1:16">
      <c r="A273">
        <v>891</v>
      </c>
      <c r="B273">
        <v>40583</v>
      </c>
      <c r="C273">
        <v>1</v>
      </c>
      <c r="D273">
        <v>0</v>
      </c>
      <c r="E273">
        <v>2</v>
      </c>
      <c r="F273">
        <v>14</v>
      </c>
      <c r="G273" t="b">
        <v>0</v>
      </c>
      <c r="H273">
        <v>3</v>
      </c>
      <c r="I273">
        <v>1</v>
      </c>
      <c r="J273">
        <v>0.2</v>
      </c>
      <c r="K273">
        <v>0.18179999999999999</v>
      </c>
      <c r="L273">
        <v>0.34</v>
      </c>
      <c r="M273">
        <v>0.29849999999999999</v>
      </c>
      <c r="N273">
        <v>2</v>
      </c>
      <c r="O273">
        <v>56</v>
      </c>
      <c r="P273">
        <v>58</v>
      </c>
    </row>
    <row r="274" spans="1:16">
      <c r="A274">
        <v>892</v>
      </c>
      <c r="B274">
        <v>40583</v>
      </c>
      <c r="C274">
        <v>1</v>
      </c>
      <c r="D274">
        <v>0</v>
      </c>
      <c r="E274">
        <v>2</v>
      </c>
      <c r="F274">
        <v>15</v>
      </c>
      <c r="G274" t="b">
        <v>0</v>
      </c>
      <c r="H274">
        <v>3</v>
      </c>
      <c r="I274">
        <v>2</v>
      </c>
      <c r="J274">
        <v>0.2</v>
      </c>
      <c r="K274">
        <v>0.18179999999999999</v>
      </c>
      <c r="L274">
        <v>0.34</v>
      </c>
      <c r="M274">
        <v>0.28360000000000002</v>
      </c>
      <c r="N274">
        <v>3</v>
      </c>
      <c r="O274">
        <v>61</v>
      </c>
      <c r="P274">
        <v>64</v>
      </c>
    </row>
    <row r="275" spans="1:16">
      <c r="A275">
        <v>893</v>
      </c>
      <c r="B275">
        <v>40583</v>
      </c>
      <c r="C275">
        <v>1</v>
      </c>
      <c r="D275">
        <v>0</v>
      </c>
      <c r="E275">
        <v>2</v>
      </c>
      <c r="F275">
        <v>16</v>
      </c>
      <c r="G275" t="b">
        <v>0</v>
      </c>
      <c r="H275">
        <v>3</v>
      </c>
      <c r="I275">
        <v>2</v>
      </c>
      <c r="J275">
        <v>0.2</v>
      </c>
      <c r="K275">
        <v>0.19700000000000001</v>
      </c>
      <c r="L275">
        <v>0.37</v>
      </c>
      <c r="M275">
        <v>0.25369999999999998</v>
      </c>
      <c r="N275">
        <v>7</v>
      </c>
      <c r="O275">
        <v>72</v>
      </c>
      <c r="P275">
        <v>79</v>
      </c>
    </row>
    <row r="276" spans="1:16">
      <c r="A276">
        <v>894</v>
      </c>
      <c r="B276">
        <v>40583</v>
      </c>
      <c r="C276">
        <v>1</v>
      </c>
      <c r="D276">
        <v>0</v>
      </c>
      <c r="E276">
        <v>2</v>
      </c>
      <c r="F276">
        <v>17</v>
      </c>
      <c r="G276" t="b">
        <v>0</v>
      </c>
      <c r="H276">
        <v>3</v>
      </c>
      <c r="I276">
        <v>2</v>
      </c>
      <c r="J276">
        <v>0.2</v>
      </c>
      <c r="K276">
        <v>0.19700000000000001</v>
      </c>
      <c r="L276">
        <v>0.34</v>
      </c>
      <c r="M276">
        <v>0.25369999999999998</v>
      </c>
      <c r="N276">
        <v>9</v>
      </c>
      <c r="O276">
        <v>157</v>
      </c>
      <c r="P276">
        <v>166</v>
      </c>
    </row>
    <row r="277" spans="1:16">
      <c r="A277">
        <v>895</v>
      </c>
      <c r="B277">
        <v>40583</v>
      </c>
      <c r="C277">
        <v>1</v>
      </c>
      <c r="D277">
        <v>0</v>
      </c>
      <c r="E277">
        <v>2</v>
      </c>
      <c r="F277">
        <v>18</v>
      </c>
      <c r="G277" t="b">
        <v>0</v>
      </c>
      <c r="H277">
        <v>3</v>
      </c>
      <c r="I277">
        <v>2</v>
      </c>
      <c r="J277">
        <v>0.18</v>
      </c>
      <c r="K277">
        <v>0.16669999999999999</v>
      </c>
      <c r="L277">
        <v>0.47</v>
      </c>
      <c r="M277">
        <v>0.29849999999999999</v>
      </c>
      <c r="N277">
        <v>2</v>
      </c>
      <c r="O277">
        <v>168</v>
      </c>
      <c r="P277">
        <v>170</v>
      </c>
    </row>
    <row r="278" spans="1:16">
      <c r="A278">
        <v>896</v>
      </c>
      <c r="B278">
        <v>40583</v>
      </c>
      <c r="C278">
        <v>1</v>
      </c>
      <c r="D278">
        <v>0</v>
      </c>
      <c r="E278">
        <v>2</v>
      </c>
      <c r="F278">
        <v>19</v>
      </c>
      <c r="G278" t="b">
        <v>0</v>
      </c>
      <c r="H278">
        <v>3</v>
      </c>
      <c r="I278">
        <v>3</v>
      </c>
      <c r="J278">
        <v>0.14000000000000001</v>
      </c>
      <c r="K278">
        <v>0.1212</v>
      </c>
      <c r="L278">
        <v>0.86</v>
      </c>
      <c r="M278">
        <v>0.25369999999999998</v>
      </c>
      <c r="N278">
        <v>1</v>
      </c>
      <c r="O278">
        <v>87</v>
      </c>
      <c r="P278">
        <v>88</v>
      </c>
    </row>
    <row r="279" spans="1:16">
      <c r="A279">
        <v>897</v>
      </c>
      <c r="B279">
        <v>40583</v>
      </c>
      <c r="C279">
        <v>1</v>
      </c>
      <c r="D279">
        <v>0</v>
      </c>
      <c r="E279">
        <v>2</v>
      </c>
      <c r="F279">
        <v>20</v>
      </c>
      <c r="G279" t="b">
        <v>0</v>
      </c>
      <c r="H279">
        <v>3</v>
      </c>
      <c r="I279">
        <v>3</v>
      </c>
      <c r="J279">
        <v>0.14000000000000001</v>
      </c>
      <c r="K279">
        <v>0.1515</v>
      </c>
      <c r="L279">
        <v>0.86</v>
      </c>
      <c r="M279">
        <v>0.16420000000000001</v>
      </c>
      <c r="N279">
        <v>0</v>
      </c>
      <c r="O279">
        <v>84</v>
      </c>
      <c r="P279">
        <v>84</v>
      </c>
    </row>
    <row r="280" spans="1:16">
      <c r="A280">
        <v>898</v>
      </c>
      <c r="B280">
        <v>40583</v>
      </c>
      <c r="C280">
        <v>1</v>
      </c>
      <c r="D280">
        <v>0</v>
      </c>
      <c r="E280">
        <v>2</v>
      </c>
      <c r="F280">
        <v>21</v>
      </c>
      <c r="G280" t="b">
        <v>0</v>
      </c>
      <c r="H280">
        <v>3</v>
      </c>
      <c r="I280">
        <v>2</v>
      </c>
      <c r="J280">
        <v>0.14000000000000001</v>
      </c>
      <c r="K280">
        <v>0.1515</v>
      </c>
      <c r="L280">
        <v>0.86</v>
      </c>
      <c r="M280">
        <v>0.16420000000000001</v>
      </c>
      <c r="N280">
        <v>0</v>
      </c>
      <c r="O280">
        <v>83</v>
      </c>
      <c r="P280">
        <v>83</v>
      </c>
    </row>
    <row r="281" spans="1:16">
      <c r="A281">
        <v>899</v>
      </c>
      <c r="B281">
        <v>40583</v>
      </c>
      <c r="C281">
        <v>1</v>
      </c>
      <c r="D281">
        <v>0</v>
      </c>
      <c r="E281">
        <v>2</v>
      </c>
      <c r="F281">
        <v>22</v>
      </c>
      <c r="G281" t="b">
        <v>0</v>
      </c>
      <c r="H281">
        <v>3</v>
      </c>
      <c r="I281">
        <v>3</v>
      </c>
      <c r="J281">
        <v>0.16</v>
      </c>
      <c r="K281">
        <v>0.16669999999999999</v>
      </c>
      <c r="L281">
        <v>0.8</v>
      </c>
      <c r="M281">
        <v>0.16420000000000001</v>
      </c>
      <c r="N281">
        <v>4</v>
      </c>
      <c r="O281">
        <v>42</v>
      </c>
      <c r="P281">
        <v>46</v>
      </c>
    </row>
    <row r="282" spans="1:16">
      <c r="A282">
        <v>900</v>
      </c>
      <c r="B282">
        <v>40583</v>
      </c>
      <c r="C282">
        <v>1</v>
      </c>
      <c r="D282">
        <v>0</v>
      </c>
      <c r="E282">
        <v>2</v>
      </c>
      <c r="F282">
        <v>23</v>
      </c>
      <c r="G282" t="b">
        <v>0</v>
      </c>
      <c r="H282">
        <v>3</v>
      </c>
      <c r="I282">
        <v>3</v>
      </c>
      <c r="J282">
        <v>0.16</v>
      </c>
      <c r="K282">
        <v>0.1515</v>
      </c>
      <c r="L282">
        <v>0.8</v>
      </c>
      <c r="M282">
        <v>0.19400000000000001</v>
      </c>
      <c r="N282">
        <v>0</v>
      </c>
      <c r="O282">
        <v>37</v>
      </c>
      <c r="P282">
        <v>37</v>
      </c>
    </row>
    <row r="283" spans="1:16">
      <c r="A283">
        <v>901</v>
      </c>
      <c r="B283">
        <v>40584</v>
      </c>
      <c r="C283">
        <v>1</v>
      </c>
      <c r="D283">
        <v>0</v>
      </c>
      <c r="E283">
        <v>2</v>
      </c>
      <c r="F283">
        <v>0</v>
      </c>
      <c r="G283" t="b">
        <v>0</v>
      </c>
      <c r="H283">
        <v>4</v>
      </c>
      <c r="I283">
        <v>3</v>
      </c>
      <c r="J283">
        <v>0.14000000000000001</v>
      </c>
      <c r="K283">
        <v>0.13639999999999999</v>
      </c>
      <c r="L283">
        <v>0.86</v>
      </c>
      <c r="M283">
        <v>0.19400000000000001</v>
      </c>
      <c r="N283">
        <v>0</v>
      </c>
      <c r="O283">
        <v>16</v>
      </c>
      <c r="P283">
        <v>16</v>
      </c>
    </row>
    <row r="284" spans="1:16">
      <c r="A284">
        <v>902</v>
      </c>
      <c r="B284">
        <v>40584</v>
      </c>
      <c r="C284">
        <v>1</v>
      </c>
      <c r="D284">
        <v>0</v>
      </c>
      <c r="E284">
        <v>2</v>
      </c>
      <c r="F284">
        <v>1</v>
      </c>
      <c r="G284" t="b">
        <v>0</v>
      </c>
      <c r="H284">
        <v>4</v>
      </c>
      <c r="I284">
        <v>3</v>
      </c>
      <c r="J284">
        <v>0.14000000000000001</v>
      </c>
      <c r="K284">
        <v>0.1515</v>
      </c>
      <c r="L284">
        <v>0.8</v>
      </c>
      <c r="M284">
        <v>0.1343</v>
      </c>
      <c r="N284">
        <v>0</v>
      </c>
      <c r="O284">
        <v>7</v>
      </c>
      <c r="P284">
        <v>7</v>
      </c>
    </row>
    <row r="285" spans="1:16">
      <c r="A285">
        <v>903</v>
      </c>
      <c r="B285">
        <v>40584</v>
      </c>
      <c r="C285">
        <v>1</v>
      </c>
      <c r="D285">
        <v>0</v>
      </c>
      <c r="E285">
        <v>2</v>
      </c>
      <c r="F285">
        <v>2</v>
      </c>
      <c r="G285" t="b">
        <v>0</v>
      </c>
      <c r="H285">
        <v>4</v>
      </c>
      <c r="I285">
        <v>3</v>
      </c>
      <c r="J285">
        <v>0.14000000000000001</v>
      </c>
      <c r="K285">
        <v>0.1515</v>
      </c>
      <c r="L285">
        <v>0.8</v>
      </c>
      <c r="M285">
        <v>0.1343</v>
      </c>
      <c r="N285">
        <v>0</v>
      </c>
      <c r="O285">
        <v>3</v>
      </c>
      <c r="P285">
        <v>3</v>
      </c>
    </row>
    <row r="286" spans="1:16">
      <c r="A286">
        <v>904</v>
      </c>
      <c r="B286">
        <v>40584</v>
      </c>
      <c r="C286">
        <v>1</v>
      </c>
      <c r="D286">
        <v>0</v>
      </c>
      <c r="E286">
        <v>2</v>
      </c>
      <c r="F286">
        <v>4</v>
      </c>
      <c r="G286" t="b">
        <v>0</v>
      </c>
      <c r="H286">
        <v>4</v>
      </c>
      <c r="I286">
        <v>2</v>
      </c>
      <c r="J286">
        <v>0.14000000000000001</v>
      </c>
      <c r="K286">
        <v>0.13639999999999999</v>
      </c>
      <c r="L286">
        <v>0.59</v>
      </c>
      <c r="M286">
        <v>0.22389999999999999</v>
      </c>
      <c r="N286">
        <v>0</v>
      </c>
      <c r="O286">
        <v>1</v>
      </c>
      <c r="P286">
        <v>1</v>
      </c>
    </row>
    <row r="287" spans="1:16">
      <c r="A287">
        <v>905</v>
      </c>
      <c r="B287">
        <v>40584</v>
      </c>
      <c r="C287">
        <v>1</v>
      </c>
      <c r="D287">
        <v>0</v>
      </c>
      <c r="E287">
        <v>2</v>
      </c>
      <c r="F287">
        <v>5</v>
      </c>
      <c r="G287" t="b">
        <v>0</v>
      </c>
      <c r="H287">
        <v>4</v>
      </c>
      <c r="I287">
        <v>2</v>
      </c>
      <c r="J287">
        <v>0.12</v>
      </c>
      <c r="K287">
        <v>0.1212</v>
      </c>
      <c r="L287">
        <v>0.5</v>
      </c>
      <c r="M287">
        <v>0.22389999999999999</v>
      </c>
      <c r="N287">
        <v>0</v>
      </c>
      <c r="O287">
        <v>6</v>
      </c>
      <c r="P287">
        <v>6</v>
      </c>
    </row>
    <row r="288" spans="1:16">
      <c r="A288">
        <v>906</v>
      </c>
      <c r="B288">
        <v>40584</v>
      </c>
      <c r="C288">
        <v>1</v>
      </c>
      <c r="D288">
        <v>0</v>
      </c>
      <c r="E288">
        <v>2</v>
      </c>
      <c r="F288">
        <v>6</v>
      </c>
      <c r="G288" t="b">
        <v>0</v>
      </c>
      <c r="H288">
        <v>4</v>
      </c>
      <c r="I288">
        <v>2</v>
      </c>
      <c r="J288">
        <v>0.12</v>
      </c>
      <c r="K288">
        <v>0.1212</v>
      </c>
      <c r="L288">
        <v>0.54</v>
      </c>
      <c r="M288">
        <v>0.28360000000000002</v>
      </c>
      <c r="N288">
        <v>0</v>
      </c>
      <c r="O288">
        <v>26</v>
      </c>
      <c r="P288">
        <v>26</v>
      </c>
    </row>
    <row r="289" spans="1:16">
      <c r="A289">
        <v>907</v>
      </c>
      <c r="B289">
        <v>40584</v>
      </c>
      <c r="C289">
        <v>1</v>
      </c>
      <c r="D289">
        <v>0</v>
      </c>
      <c r="E289">
        <v>2</v>
      </c>
      <c r="F289">
        <v>7</v>
      </c>
      <c r="G289" t="b">
        <v>0</v>
      </c>
      <c r="H289">
        <v>4</v>
      </c>
      <c r="I289">
        <v>1</v>
      </c>
      <c r="J289">
        <v>0.1</v>
      </c>
      <c r="K289">
        <v>7.5800000000000006E-2</v>
      </c>
      <c r="L289">
        <v>0.5</v>
      </c>
      <c r="M289">
        <v>0.41789999999999999</v>
      </c>
      <c r="N289">
        <v>0</v>
      </c>
      <c r="O289">
        <v>99</v>
      </c>
      <c r="P289">
        <v>99</v>
      </c>
    </row>
    <row r="290" spans="1:16">
      <c r="A290">
        <v>908</v>
      </c>
      <c r="B290">
        <v>40584</v>
      </c>
      <c r="C290">
        <v>1</v>
      </c>
      <c r="D290">
        <v>0</v>
      </c>
      <c r="E290">
        <v>2</v>
      </c>
      <c r="F290">
        <v>8</v>
      </c>
      <c r="G290" t="b">
        <v>0</v>
      </c>
      <c r="H290">
        <v>4</v>
      </c>
      <c r="I290">
        <v>1</v>
      </c>
      <c r="J290">
        <v>0.1</v>
      </c>
      <c r="K290">
        <v>7.5800000000000006E-2</v>
      </c>
      <c r="L290">
        <v>0.49</v>
      </c>
      <c r="M290">
        <v>0.32840000000000003</v>
      </c>
      <c r="N290">
        <v>5</v>
      </c>
      <c r="O290">
        <v>173</v>
      </c>
      <c r="P290">
        <v>178</v>
      </c>
    </row>
    <row r="291" spans="1:16">
      <c r="A291">
        <v>909</v>
      </c>
      <c r="B291">
        <v>40584</v>
      </c>
      <c r="C291">
        <v>1</v>
      </c>
      <c r="D291">
        <v>0</v>
      </c>
      <c r="E291">
        <v>2</v>
      </c>
      <c r="F291">
        <v>9</v>
      </c>
      <c r="G291" t="b">
        <v>0</v>
      </c>
      <c r="H291">
        <v>4</v>
      </c>
      <c r="I291">
        <v>1</v>
      </c>
      <c r="J291">
        <v>0.12</v>
      </c>
      <c r="K291">
        <v>0.1061</v>
      </c>
      <c r="L291">
        <v>0.42</v>
      </c>
      <c r="M291">
        <v>0.35820000000000002</v>
      </c>
      <c r="N291">
        <v>1</v>
      </c>
      <c r="O291">
        <v>121</v>
      </c>
      <c r="P291">
        <v>122</v>
      </c>
    </row>
    <row r="292" spans="1:16">
      <c r="A292">
        <v>910</v>
      </c>
      <c r="B292">
        <v>40584</v>
      </c>
      <c r="C292">
        <v>1</v>
      </c>
      <c r="D292">
        <v>0</v>
      </c>
      <c r="E292">
        <v>2</v>
      </c>
      <c r="F292">
        <v>10</v>
      </c>
      <c r="G292" t="b">
        <v>0</v>
      </c>
      <c r="H292">
        <v>4</v>
      </c>
      <c r="I292">
        <v>1</v>
      </c>
      <c r="J292">
        <v>0.12</v>
      </c>
      <c r="K292">
        <v>0.1061</v>
      </c>
      <c r="L292">
        <v>0.42</v>
      </c>
      <c r="M292">
        <v>0.29849999999999999</v>
      </c>
      <c r="N292">
        <v>1</v>
      </c>
      <c r="O292">
        <v>34</v>
      </c>
      <c r="P292">
        <v>35</v>
      </c>
    </row>
    <row r="293" spans="1:16">
      <c r="A293">
        <v>911</v>
      </c>
      <c r="B293">
        <v>40584</v>
      </c>
      <c r="C293">
        <v>1</v>
      </c>
      <c r="D293">
        <v>0</v>
      </c>
      <c r="E293">
        <v>2</v>
      </c>
      <c r="F293">
        <v>11</v>
      </c>
      <c r="G293" t="b">
        <v>0</v>
      </c>
      <c r="H293">
        <v>4</v>
      </c>
      <c r="I293">
        <v>1</v>
      </c>
      <c r="J293">
        <v>0.14000000000000001</v>
      </c>
      <c r="K293">
        <v>0.1212</v>
      </c>
      <c r="L293">
        <v>0.39</v>
      </c>
      <c r="M293">
        <v>0.35820000000000002</v>
      </c>
      <c r="N293">
        <v>1</v>
      </c>
      <c r="O293">
        <v>44</v>
      </c>
      <c r="P293">
        <v>45</v>
      </c>
    </row>
    <row r="294" spans="1:16">
      <c r="A294">
        <v>912</v>
      </c>
      <c r="B294">
        <v>40584</v>
      </c>
      <c r="C294">
        <v>1</v>
      </c>
      <c r="D294">
        <v>0</v>
      </c>
      <c r="E294">
        <v>2</v>
      </c>
      <c r="F294">
        <v>12</v>
      </c>
      <c r="G294" t="b">
        <v>0</v>
      </c>
      <c r="H294">
        <v>4</v>
      </c>
      <c r="I294">
        <v>1</v>
      </c>
      <c r="J294">
        <v>0.16</v>
      </c>
      <c r="K294">
        <v>0.13639999999999999</v>
      </c>
      <c r="L294">
        <v>0.34</v>
      </c>
      <c r="M294">
        <v>0.3881</v>
      </c>
      <c r="N294">
        <v>4</v>
      </c>
      <c r="O294">
        <v>65</v>
      </c>
      <c r="P294">
        <v>69</v>
      </c>
    </row>
    <row r="295" spans="1:16">
      <c r="A295">
        <v>913</v>
      </c>
      <c r="B295">
        <v>40584</v>
      </c>
      <c r="C295">
        <v>1</v>
      </c>
      <c r="D295">
        <v>0</v>
      </c>
      <c r="E295">
        <v>2</v>
      </c>
      <c r="F295">
        <v>13</v>
      </c>
      <c r="G295" t="b">
        <v>0</v>
      </c>
      <c r="H295">
        <v>4</v>
      </c>
      <c r="I295">
        <v>1</v>
      </c>
      <c r="J295">
        <v>0.18</v>
      </c>
      <c r="K295">
        <v>0.16669999999999999</v>
      </c>
      <c r="L295">
        <v>0.28999999999999998</v>
      </c>
      <c r="M295">
        <v>0.29849999999999999</v>
      </c>
      <c r="N295">
        <v>3</v>
      </c>
      <c r="O295">
        <v>59</v>
      </c>
      <c r="P295">
        <v>62</v>
      </c>
    </row>
    <row r="296" spans="1:16">
      <c r="A296">
        <v>914</v>
      </c>
      <c r="B296">
        <v>40584</v>
      </c>
      <c r="C296">
        <v>1</v>
      </c>
      <c r="D296">
        <v>0</v>
      </c>
      <c r="E296">
        <v>2</v>
      </c>
      <c r="F296">
        <v>14</v>
      </c>
      <c r="G296" t="b">
        <v>0</v>
      </c>
      <c r="H296">
        <v>4</v>
      </c>
      <c r="I296">
        <v>1</v>
      </c>
      <c r="J296">
        <v>0.2</v>
      </c>
      <c r="K296">
        <v>0.18179999999999999</v>
      </c>
      <c r="L296">
        <v>0.27</v>
      </c>
      <c r="M296">
        <v>0.28360000000000002</v>
      </c>
      <c r="N296">
        <v>6</v>
      </c>
      <c r="O296">
        <v>42</v>
      </c>
      <c r="P296">
        <v>48</v>
      </c>
    </row>
    <row r="297" spans="1:16">
      <c r="A297">
        <v>915</v>
      </c>
      <c r="B297">
        <v>40584</v>
      </c>
      <c r="C297">
        <v>1</v>
      </c>
      <c r="D297">
        <v>0</v>
      </c>
      <c r="E297">
        <v>2</v>
      </c>
      <c r="F297">
        <v>15</v>
      </c>
      <c r="G297" t="b">
        <v>0</v>
      </c>
      <c r="H297">
        <v>4</v>
      </c>
      <c r="I297">
        <v>1</v>
      </c>
      <c r="J297">
        <v>0.2</v>
      </c>
      <c r="K297">
        <v>0.19700000000000001</v>
      </c>
      <c r="L297">
        <v>0.25</v>
      </c>
      <c r="M297">
        <v>0.25369999999999998</v>
      </c>
      <c r="N297">
        <v>0</v>
      </c>
      <c r="O297">
        <v>50</v>
      </c>
      <c r="P297">
        <v>50</v>
      </c>
    </row>
    <row r="298" spans="1:16">
      <c r="A298">
        <v>916</v>
      </c>
      <c r="B298">
        <v>40584</v>
      </c>
      <c r="C298">
        <v>1</v>
      </c>
      <c r="D298">
        <v>0</v>
      </c>
      <c r="E298">
        <v>2</v>
      </c>
      <c r="F298">
        <v>16</v>
      </c>
      <c r="G298" t="b">
        <v>0</v>
      </c>
      <c r="H298">
        <v>4</v>
      </c>
      <c r="I298">
        <v>1</v>
      </c>
      <c r="J298">
        <v>0.2</v>
      </c>
      <c r="K298">
        <v>0.18179999999999999</v>
      </c>
      <c r="L298">
        <v>0.27</v>
      </c>
      <c r="M298">
        <v>0.29849999999999999</v>
      </c>
      <c r="N298">
        <v>4</v>
      </c>
      <c r="O298">
        <v>76</v>
      </c>
      <c r="P298">
        <v>80</v>
      </c>
    </row>
    <row r="299" spans="1:16">
      <c r="A299">
        <v>917</v>
      </c>
      <c r="B299">
        <v>40584</v>
      </c>
      <c r="C299">
        <v>1</v>
      </c>
      <c r="D299">
        <v>0</v>
      </c>
      <c r="E299">
        <v>2</v>
      </c>
      <c r="F299">
        <v>17</v>
      </c>
      <c r="G299" t="b">
        <v>0</v>
      </c>
      <c r="H299">
        <v>4</v>
      </c>
      <c r="I299">
        <v>1</v>
      </c>
      <c r="J299">
        <v>0.18</v>
      </c>
      <c r="K299">
        <v>0.18179999999999999</v>
      </c>
      <c r="L299">
        <v>0.26</v>
      </c>
      <c r="M299">
        <v>0.19400000000000001</v>
      </c>
      <c r="N299">
        <v>6</v>
      </c>
      <c r="O299">
        <v>159</v>
      </c>
      <c r="P299">
        <v>165</v>
      </c>
    </row>
    <row r="300" spans="1:16">
      <c r="A300">
        <v>918</v>
      </c>
      <c r="B300">
        <v>40584</v>
      </c>
      <c r="C300">
        <v>1</v>
      </c>
      <c r="D300">
        <v>0</v>
      </c>
      <c r="E300">
        <v>2</v>
      </c>
      <c r="F300">
        <v>18</v>
      </c>
      <c r="G300" t="b">
        <v>0</v>
      </c>
      <c r="H300">
        <v>4</v>
      </c>
      <c r="I300">
        <v>1</v>
      </c>
      <c r="J300">
        <v>0.16</v>
      </c>
      <c r="K300">
        <v>0.18179999999999999</v>
      </c>
      <c r="L300">
        <v>0.28000000000000003</v>
      </c>
      <c r="M300">
        <v>0.1343</v>
      </c>
      <c r="N300">
        <v>3</v>
      </c>
      <c r="O300">
        <v>157</v>
      </c>
      <c r="P300">
        <v>160</v>
      </c>
    </row>
    <row r="301" spans="1:16">
      <c r="A301">
        <v>919</v>
      </c>
      <c r="B301">
        <v>40584</v>
      </c>
      <c r="C301">
        <v>1</v>
      </c>
      <c r="D301">
        <v>0</v>
      </c>
      <c r="E301">
        <v>2</v>
      </c>
      <c r="F301">
        <v>19</v>
      </c>
      <c r="G301" t="b">
        <v>0</v>
      </c>
      <c r="H301">
        <v>4</v>
      </c>
      <c r="I301">
        <v>1</v>
      </c>
      <c r="J301">
        <v>0.14000000000000001</v>
      </c>
      <c r="K301">
        <v>0.16669999999999999</v>
      </c>
      <c r="L301">
        <v>0.28000000000000003</v>
      </c>
      <c r="M301">
        <v>0.1045</v>
      </c>
      <c r="N301">
        <v>2</v>
      </c>
      <c r="O301">
        <v>110</v>
      </c>
      <c r="P301">
        <v>112</v>
      </c>
    </row>
    <row r="302" spans="1:16">
      <c r="A302">
        <v>920</v>
      </c>
      <c r="B302">
        <v>40584</v>
      </c>
      <c r="C302">
        <v>1</v>
      </c>
      <c r="D302">
        <v>0</v>
      </c>
      <c r="E302">
        <v>2</v>
      </c>
      <c r="F302">
        <v>20</v>
      </c>
      <c r="G302" t="b">
        <v>0</v>
      </c>
      <c r="H302">
        <v>4</v>
      </c>
      <c r="I302">
        <v>1</v>
      </c>
      <c r="J302">
        <v>0.14000000000000001</v>
      </c>
      <c r="K302">
        <v>0.18179999999999999</v>
      </c>
      <c r="L302">
        <v>0.31</v>
      </c>
      <c r="M302">
        <v>8.9599999999999999E-2</v>
      </c>
      <c r="N302">
        <v>4</v>
      </c>
      <c r="O302">
        <v>93</v>
      </c>
      <c r="P302">
        <v>97</v>
      </c>
    </row>
    <row r="303" spans="1:16">
      <c r="A303">
        <v>921</v>
      </c>
      <c r="B303">
        <v>40584</v>
      </c>
      <c r="C303">
        <v>1</v>
      </c>
      <c r="D303">
        <v>0</v>
      </c>
      <c r="E303">
        <v>2</v>
      </c>
      <c r="F303">
        <v>21</v>
      </c>
      <c r="G303" t="b">
        <v>0</v>
      </c>
      <c r="H303">
        <v>4</v>
      </c>
      <c r="I303">
        <v>1</v>
      </c>
      <c r="J303">
        <v>0.14000000000000001</v>
      </c>
      <c r="K303">
        <v>0.21210000000000001</v>
      </c>
      <c r="L303">
        <v>0.39</v>
      </c>
      <c r="M303">
        <v>0</v>
      </c>
      <c r="N303">
        <v>2</v>
      </c>
      <c r="O303">
        <v>70</v>
      </c>
      <c r="P303">
        <v>72</v>
      </c>
    </row>
    <row r="304" spans="1:16">
      <c r="A304">
        <v>922</v>
      </c>
      <c r="B304">
        <v>40584</v>
      </c>
      <c r="C304">
        <v>1</v>
      </c>
      <c r="D304">
        <v>0</v>
      </c>
      <c r="E304">
        <v>2</v>
      </c>
      <c r="F304">
        <v>22</v>
      </c>
      <c r="G304" t="b">
        <v>0</v>
      </c>
      <c r="H304">
        <v>4</v>
      </c>
      <c r="I304">
        <v>1</v>
      </c>
      <c r="J304">
        <v>0.12</v>
      </c>
      <c r="K304">
        <v>0.19700000000000001</v>
      </c>
      <c r="L304">
        <v>0.39</v>
      </c>
      <c r="M304">
        <v>0</v>
      </c>
      <c r="N304">
        <v>4</v>
      </c>
      <c r="O304">
        <v>47</v>
      </c>
      <c r="P304">
        <v>51</v>
      </c>
    </row>
    <row r="305" spans="1:16">
      <c r="A305">
        <v>923</v>
      </c>
      <c r="B305">
        <v>40584</v>
      </c>
      <c r="C305">
        <v>1</v>
      </c>
      <c r="D305">
        <v>0</v>
      </c>
      <c r="E305">
        <v>2</v>
      </c>
      <c r="F305">
        <v>23</v>
      </c>
      <c r="G305" t="b">
        <v>0</v>
      </c>
      <c r="H305">
        <v>4</v>
      </c>
      <c r="I305">
        <v>1</v>
      </c>
      <c r="J305">
        <v>0.12</v>
      </c>
      <c r="K305">
        <v>0.1515</v>
      </c>
      <c r="L305">
        <v>0.42</v>
      </c>
      <c r="M305">
        <v>0.1045</v>
      </c>
      <c r="N305">
        <v>1</v>
      </c>
      <c r="O305">
        <v>33</v>
      </c>
      <c r="P305">
        <v>34</v>
      </c>
    </row>
    <row r="306" spans="1:16">
      <c r="A306">
        <v>924</v>
      </c>
      <c r="B306">
        <v>40585</v>
      </c>
      <c r="C306">
        <v>1</v>
      </c>
      <c r="D306">
        <v>0</v>
      </c>
      <c r="E306">
        <v>2</v>
      </c>
      <c r="F306">
        <v>0</v>
      </c>
      <c r="G306" t="b">
        <v>0</v>
      </c>
      <c r="H306">
        <v>5</v>
      </c>
      <c r="I306">
        <v>1</v>
      </c>
      <c r="J306">
        <v>0.1</v>
      </c>
      <c r="K306">
        <v>0.13639999999999999</v>
      </c>
      <c r="L306">
        <v>0.49</v>
      </c>
      <c r="M306">
        <v>0.1045</v>
      </c>
      <c r="N306">
        <v>2</v>
      </c>
      <c r="O306">
        <v>12</v>
      </c>
      <c r="P306">
        <v>14</v>
      </c>
    </row>
    <row r="307" spans="1:16">
      <c r="A307">
        <v>925</v>
      </c>
      <c r="B307">
        <v>40585</v>
      </c>
      <c r="C307">
        <v>1</v>
      </c>
      <c r="D307">
        <v>0</v>
      </c>
      <c r="E307">
        <v>2</v>
      </c>
      <c r="F307">
        <v>1</v>
      </c>
      <c r="G307" t="b">
        <v>0</v>
      </c>
      <c r="H307">
        <v>5</v>
      </c>
      <c r="I307">
        <v>1</v>
      </c>
      <c r="J307">
        <v>0.1</v>
      </c>
      <c r="K307">
        <v>0.13639999999999999</v>
      </c>
      <c r="L307">
        <v>0.54</v>
      </c>
      <c r="M307">
        <v>8.9599999999999999E-2</v>
      </c>
      <c r="N307">
        <v>1</v>
      </c>
      <c r="O307">
        <v>6</v>
      </c>
      <c r="P307">
        <v>7</v>
      </c>
    </row>
    <row r="308" spans="1:16">
      <c r="A308">
        <v>926</v>
      </c>
      <c r="B308">
        <v>40585</v>
      </c>
      <c r="C308">
        <v>1</v>
      </c>
      <c r="D308">
        <v>0</v>
      </c>
      <c r="E308">
        <v>2</v>
      </c>
      <c r="F308">
        <v>2</v>
      </c>
      <c r="G308" t="b">
        <v>0</v>
      </c>
      <c r="H308">
        <v>5</v>
      </c>
      <c r="I308">
        <v>1</v>
      </c>
      <c r="J308">
        <v>0.1</v>
      </c>
      <c r="K308">
        <v>0.13639999999999999</v>
      </c>
      <c r="L308">
        <v>0.54</v>
      </c>
      <c r="M308">
        <v>8.9599999999999999E-2</v>
      </c>
      <c r="N308">
        <v>0</v>
      </c>
      <c r="O308">
        <v>3</v>
      </c>
      <c r="P308">
        <v>3</v>
      </c>
    </row>
    <row r="309" spans="1:16">
      <c r="A309">
        <v>927</v>
      </c>
      <c r="B309">
        <v>40585</v>
      </c>
      <c r="C309">
        <v>1</v>
      </c>
      <c r="D309">
        <v>0</v>
      </c>
      <c r="E309">
        <v>2</v>
      </c>
      <c r="F309">
        <v>5</v>
      </c>
      <c r="G309" t="b">
        <v>0</v>
      </c>
      <c r="H309">
        <v>5</v>
      </c>
      <c r="I309">
        <v>1</v>
      </c>
      <c r="J309">
        <v>0.08</v>
      </c>
      <c r="K309">
        <v>0.1212</v>
      </c>
      <c r="L309">
        <v>0.63</v>
      </c>
      <c r="M309">
        <v>8.9599999999999999E-2</v>
      </c>
      <c r="N309">
        <v>0</v>
      </c>
      <c r="O309">
        <v>4</v>
      </c>
      <c r="P309">
        <v>4</v>
      </c>
    </row>
    <row r="310" spans="1:16">
      <c r="A310">
        <v>928</v>
      </c>
      <c r="B310">
        <v>40585</v>
      </c>
      <c r="C310">
        <v>1</v>
      </c>
      <c r="D310">
        <v>0</v>
      </c>
      <c r="E310">
        <v>2</v>
      </c>
      <c r="F310">
        <v>6</v>
      </c>
      <c r="G310" t="b">
        <v>0</v>
      </c>
      <c r="H310">
        <v>5</v>
      </c>
      <c r="I310">
        <v>1</v>
      </c>
      <c r="J310">
        <v>0.1</v>
      </c>
      <c r="K310">
        <v>0.18179999999999999</v>
      </c>
      <c r="L310">
        <v>0.68</v>
      </c>
      <c r="M310">
        <v>0</v>
      </c>
      <c r="N310">
        <v>1</v>
      </c>
      <c r="O310">
        <v>23</v>
      </c>
      <c r="P310">
        <v>24</v>
      </c>
    </row>
    <row r="311" spans="1:16">
      <c r="A311">
        <v>929</v>
      </c>
      <c r="B311">
        <v>40585</v>
      </c>
      <c r="C311">
        <v>1</v>
      </c>
      <c r="D311">
        <v>0</v>
      </c>
      <c r="E311">
        <v>2</v>
      </c>
      <c r="F311">
        <v>7</v>
      </c>
      <c r="G311" t="b">
        <v>0</v>
      </c>
      <c r="H311">
        <v>5</v>
      </c>
      <c r="I311">
        <v>1</v>
      </c>
      <c r="J311">
        <v>0.08</v>
      </c>
      <c r="K311">
        <v>0.16669999999999999</v>
      </c>
      <c r="L311">
        <v>0.73</v>
      </c>
      <c r="M311">
        <v>0</v>
      </c>
      <c r="N311">
        <v>1</v>
      </c>
      <c r="O311">
        <v>73</v>
      </c>
      <c r="P311">
        <v>74</v>
      </c>
    </row>
    <row r="312" spans="1:16">
      <c r="A312">
        <v>930</v>
      </c>
      <c r="B312">
        <v>40585</v>
      </c>
      <c r="C312">
        <v>1</v>
      </c>
      <c r="D312">
        <v>0</v>
      </c>
      <c r="E312">
        <v>2</v>
      </c>
      <c r="F312">
        <v>8</v>
      </c>
      <c r="G312" t="b">
        <v>0</v>
      </c>
      <c r="H312">
        <v>5</v>
      </c>
      <c r="I312">
        <v>1</v>
      </c>
      <c r="J312">
        <v>0.1</v>
      </c>
      <c r="K312">
        <v>0.1212</v>
      </c>
      <c r="L312">
        <v>0.74</v>
      </c>
      <c r="M312">
        <v>0.16420000000000001</v>
      </c>
      <c r="N312">
        <v>4</v>
      </c>
      <c r="O312">
        <v>212</v>
      </c>
      <c r="P312">
        <v>216</v>
      </c>
    </row>
    <row r="313" spans="1:16">
      <c r="A313">
        <v>931</v>
      </c>
      <c r="B313">
        <v>40585</v>
      </c>
      <c r="C313">
        <v>1</v>
      </c>
      <c r="D313">
        <v>0</v>
      </c>
      <c r="E313">
        <v>2</v>
      </c>
      <c r="F313">
        <v>9</v>
      </c>
      <c r="G313" t="b">
        <v>0</v>
      </c>
      <c r="H313">
        <v>5</v>
      </c>
      <c r="I313">
        <v>1</v>
      </c>
      <c r="J313">
        <v>0.12</v>
      </c>
      <c r="K313">
        <v>0.1212</v>
      </c>
      <c r="L313">
        <v>0.74</v>
      </c>
      <c r="M313">
        <v>0.22389999999999999</v>
      </c>
      <c r="N313">
        <v>8</v>
      </c>
      <c r="O313">
        <v>132</v>
      </c>
      <c r="P313">
        <v>140</v>
      </c>
    </row>
    <row r="314" spans="1:16">
      <c r="A314">
        <v>932</v>
      </c>
      <c r="B314">
        <v>40585</v>
      </c>
      <c r="C314">
        <v>1</v>
      </c>
      <c r="D314">
        <v>0</v>
      </c>
      <c r="E314">
        <v>2</v>
      </c>
      <c r="F314">
        <v>10</v>
      </c>
      <c r="G314" t="b">
        <v>0</v>
      </c>
      <c r="H314">
        <v>5</v>
      </c>
      <c r="I314">
        <v>1</v>
      </c>
      <c r="J314">
        <v>0.14000000000000001</v>
      </c>
      <c r="K314">
        <v>0.13639999999999999</v>
      </c>
      <c r="L314">
        <v>0.69</v>
      </c>
      <c r="M314">
        <v>0.19400000000000001</v>
      </c>
      <c r="N314">
        <v>5</v>
      </c>
      <c r="O314">
        <v>39</v>
      </c>
      <c r="P314">
        <v>44</v>
      </c>
    </row>
    <row r="315" spans="1:16">
      <c r="A315">
        <v>933</v>
      </c>
      <c r="B315">
        <v>40585</v>
      </c>
      <c r="C315">
        <v>1</v>
      </c>
      <c r="D315">
        <v>0</v>
      </c>
      <c r="E315">
        <v>2</v>
      </c>
      <c r="F315">
        <v>11</v>
      </c>
      <c r="G315" t="b">
        <v>0</v>
      </c>
      <c r="H315">
        <v>5</v>
      </c>
      <c r="I315">
        <v>1</v>
      </c>
      <c r="J315">
        <v>0.22</v>
      </c>
      <c r="K315">
        <v>0.2273</v>
      </c>
      <c r="L315">
        <v>0.47</v>
      </c>
      <c r="M315">
        <v>0.1343</v>
      </c>
      <c r="N315">
        <v>12</v>
      </c>
      <c r="O315">
        <v>52</v>
      </c>
      <c r="P315">
        <v>64</v>
      </c>
    </row>
    <row r="316" spans="1:16">
      <c r="A316">
        <v>934</v>
      </c>
      <c r="B316">
        <v>40585</v>
      </c>
      <c r="C316">
        <v>1</v>
      </c>
      <c r="D316">
        <v>0</v>
      </c>
      <c r="E316">
        <v>2</v>
      </c>
      <c r="F316">
        <v>12</v>
      </c>
      <c r="G316" t="b">
        <v>0</v>
      </c>
      <c r="H316">
        <v>5</v>
      </c>
      <c r="I316">
        <v>1</v>
      </c>
      <c r="J316">
        <v>0.22</v>
      </c>
      <c r="K316">
        <v>0.2273</v>
      </c>
      <c r="L316">
        <v>0.47</v>
      </c>
      <c r="M316">
        <v>0.1343</v>
      </c>
      <c r="N316">
        <v>7</v>
      </c>
      <c r="O316">
        <v>64</v>
      </c>
      <c r="P316">
        <v>71</v>
      </c>
    </row>
    <row r="317" spans="1:16">
      <c r="A317">
        <v>935</v>
      </c>
      <c r="B317">
        <v>40585</v>
      </c>
      <c r="C317">
        <v>1</v>
      </c>
      <c r="D317">
        <v>0</v>
      </c>
      <c r="E317">
        <v>2</v>
      </c>
      <c r="F317">
        <v>13</v>
      </c>
      <c r="G317" t="b">
        <v>0</v>
      </c>
      <c r="H317">
        <v>5</v>
      </c>
      <c r="I317">
        <v>1</v>
      </c>
      <c r="J317">
        <v>0.24</v>
      </c>
      <c r="K317">
        <v>0.2273</v>
      </c>
      <c r="L317">
        <v>0.35</v>
      </c>
      <c r="M317">
        <v>0.19400000000000001</v>
      </c>
      <c r="N317">
        <v>21</v>
      </c>
      <c r="O317">
        <v>89</v>
      </c>
      <c r="P317">
        <v>110</v>
      </c>
    </row>
    <row r="318" spans="1:16">
      <c r="A318">
        <v>936</v>
      </c>
      <c r="B318">
        <v>40585</v>
      </c>
      <c r="C318">
        <v>1</v>
      </c>
      <c r="D318">
        <v>0</v>
      </c>
      <c r="E318">
        <v>2</v>
      </c>
      <c r="F318">
        <v>14</v>
      </c>
      <c r="G318" t="b">
        <v>0</v>
      </c>
      <c r="H318">
        <v>5</v>
      </c>
      <c r="I318">
        <v>1</v>
      </c>
      <c r="J318">
        <v>0.3</v>
      </c>
      <c r="K318">
        <v>0.28789999999999999</v>
      </c>
      <c r="L318">
        <v>0.26</v>
      </c>
      <c r="M318">
        <v>0.25369999999999998</v>
      </c>
      <c r="N318">
        <v>17</v>
      </c>
      <c r="O318">
        <v>67</v>
      </c>
      <c r="P318">
        <v>84</v>
      </c>
    </row>
    <row r="319" spans="1:16">
      <c r="A319">
        <v>937</v>
      </c>
      <c r="B319">
        <v>40585</v>
      </c>
      <c r="C319">
        <v>1</v>
      </c>
      <c r="D319">
        <v>0</v>
      </c>
      <c r="E319">
        <v>2</v>
      </c>
      <c r="F319">
        <v>15</v>
      </c>
      <c r="G319" t="b">
        <v>0</v>
      </c>
      <c r="H319">
        <v>5</v>
      </c>
      <c r="I319">
        <v>1</v>
      </c>
      <c r="J319">
        <v>0.32</v>
      </c>
      <c r="K319">
        <v>0.31819999999999998</v>
      </c>
      <c r="L319">
        <v>0.21</v>
      </c>
      <c r="M319">
        <v>0.16420000000000001</v>
      </c>
      <c r="N319">
        <v>12</v>
      </c>
      <c r="O319">
        <v>62</v>
      </c>
      <c r="P319">
        <v>74</v>
      </c>
    </row>
    <row r="320" spans="1:16">
      <c r="A320">
        <v>938</v>
      </c>
      <c r="B320">
        <v>40585</v>
      </c>
      <c r="C320">
        <v>1</v>
      </c>
      <c r="D320">
        <v>0</v>
      </c>
      <c r="E320">
        <v>2</v>
      </c>
      <c r="F320">
        <v>16</v>
      </c>
      <c r="G320" t="b">
        <v>0</v>
      </c>
      <c r="H320">
        <v>5</v>
      </c>
      <c r="I320">
        <v>1</v>
      </c>
      <c r="J320">
        <v>0.3</v>
      </c>
      <c r="K320">
        <v>0.28789999999999999</v>
      </c>
      <c r="L320">
        <v>0.28000000000000003</v>
      </c>
      <c r="M320">
        <v>0.19400000000000001</v>
      </c>
      <c r="N320">
        <v>14</v>
      </c>
      <c r="O320">
        <v>111</v>
      </c>
      <c r="P320">
        <v>125</v>
      </c>
    </row>
    <row r="321" spans="1:16">
      <c r="A321">
        <v>939</v>
      </c>
      <c r="B321">
        <v>40585</v>
      </c>
      <c r="C321">
        <v>1</v>
      </c>
      <c r="D321">
        <v>0</v>
      </c>
      <c r="E321">
        <v>2</v>
      </c>
      <c r="F321">
        <v>17</v>
      </c>
      <c r="G321" t="b">
        <v>0</v>
      </c>
      <c r="H321">
        <v>5</v>
      </c>
      <c r="I321">
        <v>1</v>
      </c>
      <c r="J321">
        <v>0.3</v>
      </c>
      <c r="K321">
        <v>0.33329999999999999</v>
      </c>
      <c r="L321">
        <v>0.24</v>
      </c>
      <c r="M321">
        <v>0</v>
      </c>
      <c r="N321">
        <v>18</v>
      </c>
      <c r="O321">
        <v>193</v>
      </c>
      <c r="P321">
        <v>211</v>
      </c>
    </row>
    <row r="322" spans="1:16">
      <c r="A322">
        <v>940</v>
      </c>
      <c r="B322">
        <v>40585</v>
      </c>
      <c r="C322">
        <v>1</v>
      </c>
      <c r="D322">
        <v>0</v>
      </c>
      <c r="E322">
        <v>2</v>
      </c>
      <c r="F322">
        <v>18</v>
      </c>
      <c r="G322" t="b">
        <v>0</v>
      </c>
      <c r="H322">
        <v>5</v>
      </c>
      <c r="I322">
        <v>1</v>
      </c>
      <c r="J322">
        <v>0.28000000000000003</v>
      </c>
      <c r="K322">
        <v>0.31819999999999998</v>
      </c>
      <c r="L322">
        <v>0.28000000000000003</v>
      </c>
      <c r="M322">
        <v>0</v>
      </c>
      <c r="N322">
        <v>9</v>
      </c>
      <c r="O322">
        <v>165</v>
      </c>
      <c r="P322">
        <v>174</v>
      </c>
    </row>
    <row r="323" spans="1:16">
      <c r="A323">
        <v>941</v>
      </c>
      <c r="B323">
        <v>40585</v>
      </c>
      <c r="C323">
        <v>1</v>
      </c>
      <c r="D323">
        <v>0</v>
      </c>
      <c r="E323">
        <v>2</v>
      </c>
      <c r="F323">
        <v>19</v>
      </c>
      <c r="G323" t="b">
        <v>0</v>
      </c>
      <c r="H323">
        <v>5</v>
      </c>
      <c r="I323">
        <v>1</v>
      </c>
      <c r="J323">
        <v>0.26</v>
      </c>
      <c r="K323">
        <v>0.30299999999999999</v>
      </c>
      <c r="L323">
        <v>0.33</v>
      </c>
      <c r="M323">
        <v>0</v>
      </c>
      <c r="N323">
        <v>7</v>
      </c>
      <c r="O323">
        <v>94</v>
      </c>
      <c r="P323">
        <v>101</v>
      </c>
    </row>
    <row r="324" spans="1:16">
      <c r="A324">
        <v>942</v>
      </c>
      <c r="B324">
        <v>40585</v>
      </c>
      <c r="C324">
        <v>1</v>
      </c>
      <c r="D324">
        <v>0</v>
      </c>
      <c r="E324">
        <v>2</v>
      </c>
      <c r="F324">
        <v>20</v>
      </c>
      <c r="G324" t="b">
        <v>0</v>
      </c>
      <c r="H324">
        <v>5</v>
      </c>
      <c r="I324">
        <v>1</v>
      </c>
      <c r="J324">
        <v>0.22</v>
      </c>
      <c r="K324">
        <v>0.2273</v>
      </c>
      <c r="L324">
        <v>0.55000000000000004</v>
      </c>
      <c r="M324">
        <v>0.1343</v>
      </c>
      <c r="N324">
        <v>2</v>
      </c>
      <c r="O324">
        <v>61</v>
      </c>
      <c r="P324">
        <v>63</v>
      </c>
    </row>
    <row r="325" spans="1:16">
      <c r="A325">
        <v>943</v>
      </c>
      <c r="B325">
        <v>40585</v>
      </c>
      <c r="C325">
        <v>1</v>
      </c>
      <c r="D325">
        <v>0</v>
      </c>
      <c r="E325">
        <v>2</v>
      </c>
      <c r="F325">
        <v>21</v>
      </c>
      <c r="G325" t="b">
        <v>0</v>
      </c>
      <c r="H325">
        <v>5</v>
      </c>
      <c r="I325">
        <v>1</v>
      </c>
      <c r="J325">
        <v>0.2</v>
      </c>
      <c r="K325">
        <v>0.21210000000000001</v>
      </c>
      <c r="L325">
        <v>0.59</v>
      </c>
      <c r="M325">
        <v>0.1343</v>
      </c>
      <c r="N325">
        <v>1</v>
      </c>
      <c r="O325">
        <v>46</v>
      </c>
      <c r="P325">
        <v>47</v>
      </c>
    </row>
    <row r="326" spans="1:16">
      <c r="A326">
        <v>944</v>
      </c>
      <c r="B326">
        <v>40585</v>
      </c>
      <c r="C326">
        <v>1</v>
      </c>
      <c r="D326">
        <v>0</v>
      </c>
      <c r="E326">
        <v>2</v>
      </c>
      <c r="F326">
        <v>22</v>
      </c>
      <c r="G326" t="b">
        <v>0</v>
      </c>
      <c r="H326">
        <v>5</v>
      </c>
      <c r="I326">
        <v>1</v>
      </c>
      <c r="J326">
        <v>0.2</v>
      </c>
      <c r="K326">
        <v>0.2273</v>
      </c>
      <c r="L326">
        <v>0.64</v>
      </c>
      <c r="M326">
        <v>8.9599999999999999E-2</v>
      </c>
      <c r="N326">
        <v>2</v>
      </c>
      <c r="O326">
        <v>41</v>
      </c>
      <c r="P326">
        <v>43</v>
      </c>
    </row>
    <row r="327" spans="1:16">
      <c r="A327">
        <v>945</v>
      </c>
      <c r="B327">
        <v>40585</v>
      </c>
      <c r="C327">
        <v>1</v>
      </c>
      <c r="D327">
        <v>0</v>
      </c>
      <c r="E327">
        <v>2</v>
      </c>
      <c r="F327">
        <v>23</v>
      </c>
      <c r="G327" t="b">
        <v>0</v>
      </c>
      <c r="H327">
        <v>5</v>
      </c>
      <c r="I327">
        <v>1</v>
      </c>
      <c r="J327">
        <v>0.18</v>
      </c>
      <c r="K327">
        <v>0.2424</v>
      </c>
      <c r="L327">
        <v>0.69</v>
      </c>
      <c r="M327">
        <v>0</v>
      </c>
      <c r="N327">
        <v>5</v>
      </c>
      <c r="O327">
        <v>48</v>
      </c>
      <c r="P327">
        <v>53</v>
      </c>
    </row>
    <row r="328" spans="1:16">
      <c r="A328">
        <v>946</v>
      </c>
      <c r="B328">
        <v>40586</v>
      </c>
      <c r="C328">
        <v>1</v>
      </c>
      <c r="D328">
        <v>0</v>
      </c>
      <c r="E328">
        <v>2</v>
      </c>
      <c r="F328">
        <v>0</v>
      </c>
      <c r="G328" t="b">
        <v>0</v>
      </c>
      <c r="H328">
        <v>6</v>
      </c>
      <c r="I328">
        <v>1</v>
      </c>
      <c r="J328">
        <v>0.16</v>
      </c>
      <c r="K328">
        <v>0.19700000000000001</v>
      </c>
      <c r="L328">
        <v>0.69</v>
      </c>
      <c r="M328">
        <v>8.9599999999999999E-2</v>
      </c>
      <c r="N328">
        <v>3</v>
      </c>
      <c r="O328">
        <v>27</v>
      </c>
      <c r="P328">
        <v>30</v>
      </c>
    </row>
    <row r="329" spans="1:16">
      <c r="A329">
        <v>947</v>
      </c>
      <c r="B329">
        <v>40586</v>
      </c>
      <c r="C329">
        <v>1</v>
      </c>
      <c r="D329">
        <v>0</v>
      </c>
      <c r="E329">
        <v>2</v>
      </c>
      <c r="F329">
        <v>1</v>
      </c>
      <c r="G329" t="b">
        <v>0</v>
      </c>
      <c r="H329">
        <v>6</v>
      </c>
      <c r="I329">
        <v>1</v>
      </c>
      <c r="J329">
        <v>0.14000000000000001</v>
      </c>
      <c r="K329">
        <v>0.21210000000000001</v>
      </c>
      <c r="L329">
        <v>0.86</v>
      </c>
      <c r="M329">
        <v>0</v>
      </c>
      <c r="N329">
        <v>2</v>
      </c>
      <c r="O329">
        <v>22</v>
      </c>
      <c r="P329">
        <v>24</v>
      </c>
    </row>
    <row r="330" spans="1:16">
      <c r="A330">
        <v>948</v>
      </c>
      <c r="B330">
        <v>40586</v>
      </c>
      <c r="C330">
        <v>1</v>
      </c>
      <c r="D330">
        <v>0</v>
      </c>
      <c r="E330">
        <v>2</v>
      </c>
      <c r="F330">
        <v>2</v>
      </c>
      <c r="G330" t="b">
        <v>0</v>
      </c>
      <c r="H330">
        <v>6</v>
      </c>
      <c r="I330">
        <v>1</v>
      </c>
      <c r="J330">
        <v>0.14000000000000001</v>
      </c>
      <c r="K330">
        <v>0.21210000000000001</v>
      </c>
      <c r="L330">
        <v>0.8</v>
      </c>
      <c r="M330">
        <v>0</v>
      </c>
      <c r="N330">
        <v>2</v>
      </c>
      <c r="O330">
        <v>13</v>
      </c>
      <c r="P330">
        <v>15</v>
      </c>
    </row>
    <row r="331" spans="1:16">
      <c r="A331">
        <v>949</v>
      </c>
      <c r="B331">
        <v>40586</v>
      </c>
      <c r="C331">
        <v>1</v>
      </c>
      <c r="D331">
        <v>0</v>
      </c>
      <c r="E331">
        <v>2</v>
      </c>
      <c r="F331">
        <v>3</v>
      </c>
      <c r="G331" t="b">
        <v>0</v>
      </c>
      <c r="H331">
        <v>6</v>
      </c>
      <c r="I331">
        <v>1</v>
      </c>
      <c r="J331">
        <v>0.12</v>
      </c>
      <c r="K331">
        <v>0.19700000000000001</v>
      </c>
      <c r="L331">
        <v>0.8</v>
      </c>
      <c r="M331">
        <v>0</v>
      </c>
      <c r="N331">
        <v>3</v>
      </c>
      <c r="O331">
        <v>7</v>
      </c>
      <c r="P331">
        <v>10</v>
      </c>
    </row>
    <row r="332" spans="1:16">
      <c r="A332">
        <v>950</v>
      </c>
      <c r="B332">
        <v>40586</v>
      </c>
      <c r="C332">
        <v>1</v>
      </c>
      <c r="D332">
        <v>0</v>
      </c>
      <c r="E332">
        <v>2</v>
      </c>
      <c r="F332">
        <v>4</v>
      </c>
      <c r="G332" t="b">
        <v>0</v>
      </c>
      <c r="H332">
        <v>6</v>
      </c>
      <c r="I332">
        <v>1</v>
      </c>
      <c r="J332">
        <v>0.12</v>
      </c>
      <c r="K332">
        <v>0.16669999999999999</v>
      </c>
      <c r="L332">
        <v>0.74</v>
      </c>
      <c r="M332">
        <v>8.9599999999999999E-2</v>
      </c>
      <c r="N332">
        <v>0</v>
      </c>
      <c r="O332">
        <v>4</v>
      </c>
      <c r="P332">
        <v>4</v>
      </c>
    </row>
    <row r="333" spans="1:16">
      <c r="A333">
        <v>951</v>
      </c>
      <c r="B333">
        <v>40586</v>
      </c>
      <c r="C333">
        <v>1</v>
      </c>
      <c r="D333">
        <v>0</v>
      </c>
      <c r="E333">
        <v>2</v>
      </c>
      <c r="F333">
        <v>5</v>
      </c>
      <c r="G333" t="b">
        <v>0</v>
      </c>
      <c r="H333">
        <v>6</v>
      </c>
      <c r="I333">
        <v>1</v>
      </c>
      <c r="J333">
        <v>0.12</v>
      </c>
      <c r="K333">
        <v>0.16669999999999999</v>
      </c>
      <c r="L333">
        <v>0.74</v>
      </c>
      <c r="M333">
        <v>8.9599999999999999E-2</v>
      </c>
      <c r="N333">
        <v>0</v>
      </c>
      <c r="O333">
        <v>1</v>
      </c>
      <c r="P333">
        <v>1</v>
      </c>
    </row>
    <row r="334" spans="1:16">
      <c r="A334">
        <v>952</v>
      </c>
      <c r="B334">
        <v>40586</v>
      </c>
      <c r="C334">
        <v>1</v>
      </c>
      <c r="D334">
        <v>0</v>
      </c>
      <c r="E334">
        <v>2</v>
      </c>
      <c r="F334">
        <v>6</v>
      </c>
      <c r="G334" t="b">
        <v>0</v>
      </c>
      <c r="H334">
        <v>6</v>
      </c>
      <c r="I334">
        <v>1</v>
      </c>
      <c r="J334">
        <v>0.12</v>
      </c>
      <c r="K334">
        <v>0.13639999999999999</v>
      </c>
      <c r="L334">
        <v>0.93</v>
      </c>
      <c r="M334">
        <v>0.19400000000000001</v>
      </c>
      <c r="N334">
        <v>1</v>
      </c>
      <c r="O334">
        <v>1</v>
      </c>
      <c r="P334">
        <v>2</v>
      </c>
    </row>
    <row r="335" spans="1:16">
      <c r="A335">
        <v>953</v>
      </c>
      <c r="B335">
        <v>40586</v>
      </c>
      <c r="C335">
        <v>1</v>
      </c>
      <c r="D335">
        <v>0</v>
      </c>
      <c r="E335">
        <v>2</v>
      </c>
      <c r="F335">
        <v>7</v>
      </c>
      <c r="G335" t="b">
        <v>0</v>
      </c>
      <c r="H335">
        <v>6</v>
      </c>
      <c r="I335">
        <v>1</v>
      </c>
      <c r="J335">
        <v>0.12</v>
      </c>
      <c r="K335">
        <v>0.1515</v>
      </c>
      <c r="L335">
        <v>0.8</v>
      </c>
      <c r="M335">
        <v>0.1045</v>
      </c>
      <c r="N335">
        <v>2</v>
      </c>
      <c r="O335">
        <v>9</v>
      </c>
      <c r="P335">
        <v>11</v>
      </c>
    </row>
    <row r="336" spans="1:16">
      <c r="A336">
        <v>954</v>
      </c>
      <c r="B336">
        <v>40586</v>
      </c>
      <c r="C336">
        <v>1</v>
      </c>
      <c r="D336">
        <v>0</v>
      </c>
      <c r="E336">
        <v>2</v>
      </c>
      <c r="F336">
        <v>8</v>
      </c>
      <c r="G336" t="b">
        <v>0</v>
      </c>
      <c r="H336">
        <v>6</v>
      </c>
      <c r="I336">
        <v>1</v>
      </c>
      <c r="J336">
        <v>0.14000000000000001</v>
      </c>
      <c r="K336">
        <v>0.1515</v>
      </c>
      <c r="L336">
        <v>0.86</v>
      </c>
      <c r="M336">
        <v>0.1343</v>
      </c>
      <c r="N336">
        <v>2</v>
      </c>
      <c r="O336">
        <v>28</v>
      </c>
      <c r="P336">
        <v>30</v>
      </c>
    </row>
    <row r="337" spans="1:16">
      <c r="A337">
        <v>955</v>
      </c>
      <c r="B337">
        <v>40586</v>
      </c>
      <c r="C337">
        <v>1</v>
      </c>
      <c r="D337">
        <v>0</v>
      </c>
      <c r="E337">
        <v>2</v>
      </c>
      <c r="F337">
        <v>9</v>
      </c>
      <c r="G337" t="b">
        <v>0</v>
      </c>
      <c r="H337">
        <v>6</v>
      </c>
      <c r="I337">
        <v>1</v>
      </c>
      <c r="J337">
        <v>0.16</v>
      </c>
      <c r="K337">
        <v>0.18179999999999999</v>
      </c>
      <c r="L337">
        <v>0.64</v>
      </c>
      <c r="M337">
        <v>0.1343</v>
      </c>
      <c r="N337">
        <v>5</v>
      </c>
      <c r="O337">
        <v>38</v>
      </c>
      <c r="P337">
        <v>43</v>
      </c>
    </row>
    <row r="338" spans="1:16">
      <c r="A338">
        <v>956</v>
      </c>
      <c r="B338">
        <v>40586</v>
      </c>
      <c r="C338">
        <v>1</v>
      </c>
      <c r="D338">
        <v>0</v>
      </c>
      <c r="E338">
        <v>2</v>
      </c>
      <c r="F338">
        <v>10</v>
      </c>
      <c r="G338" t="b">
        <v>0</v>
      </c>
      <c r="H338">
        <v>6</v>
      </c>
      <c r="I338">
        <v>1</v>
      </c>
      <c r="J338">
        <v>0.22</v>
      </c>
      <c r="K338">
        <v>0.21210000000000001</v>
      </c>
      <c r="L338">
        <v>0.41</v>
      </c>
      <c r="M338">
        <v>0.25369999999999998</v>
      </c>
      <c r="N338">
        <v>13</v>
      </c>
      <c r="O338">
        <v>71</v>
      </c>
      <c r="P338">
        <v>84</v>
      </c>
    </row>
    <row r="339" spans="1:16">
      <c r="A339">
        <v>957</v>
      </c>
      <c r="B339">
        <v>40586</v>
      </c>
      <c r="C339">
        <v>1</v>
      </c>
      <c r="D339">
        <v>0</v>
      </c>
      <c r="E339">
        <v>2</v>
      </c>
      <c r="F339">
        <v>11</v>
      </c>
      <c r="G339" t="b">
        <v>0</v>
      </c>
      <c r="H339">
        <v>6</v>
      </c>
      <c r="I339">
        <v>1</v>
      </c>
      <c r="J339">
        <v>0.3</v>
      </c>
      <c r="K339">
        <v>0.2727</v>
      </c>
      <c r="L339">
        <v>0.28000000000000003</v>
      </c>
      <c r="M339">
        <v>0.32840000000000003</v>
      </c>
      <c r="N339">
        <v>30</v>
      </c>
      <c r="O339">
        <v>84</v>
      </c>
      <c r="P339">
        <v>114</v>
      </c>
    </row>
    <row r="340" spans="1:16">
      <c r="A340">
        <v>958</v>
      </c>
      <c r="B340">
        <v>40586</v>
      </c>
      <c r="C340">
        <v>1</v>
      </c>
      <c r="D340">
        <v>0</v>
      </c>
      <c r="E340">
        <v>2</v>
      </c>
      <c r="F340">
        <v>12</v>
      </c>
      <c r="G340" t="b">
        <v>0</v>
      </c>
      <c r="H340">
        <v>6</v>
      </c>
      <c r="I340">
        <v>1</v>
      </c>
      <c r="J340">
        <v>0.3</v>
      </c>
      <c r="K340">
        <v>0.2727</v>
      </c>
      <c r="L340">
        <v>0.39</v>
      </c>
      <c r="M340">
        <v>0.4627</v>
      </c>
      <c r="N340">
        <v>27</v>
      </c>
      <c r="O340">
        <v>93</v>
      </c>
      <c r="P340">
        <v>120</v>
      </c>
    </row>
    <row r="341" spans="1:16">
      <c r="A341">
        <v>959</v>
      </c>
      <c r="B341">
        <v>40586</v>
      </c>
      <c r="C341">
        <v>1</v>
      </c>
      <c r="D341">
        <v>0</v>
      </c>
      <c r="E341">
        <v>2</v>
      </c>
      <c r="F341">
        <v>13</v>
      </c>
      <c r="G341" t="b">
        <v>0</v>
      </c>
      <c r="H341">
        <v>6</v>
      </c>
      <c r="I341">
        <v>1</v>
      </c>
      <c r="J341">
        <v>0.3</v>
      </c>
      <c r="K341">
        <v>0.2727</v>
      </c>
      <c r="L341">
        <v>0.39</v>
      </c>
      <c r="M341">
        <v>0.41789999999999999</v>
      </c>
      <c r="N341">
        <v>32</v>
      </c>
      <c r="O341">
        <v>103</v>
      </c>
      <c r="P341">
        <v>135</v>
      </c>
    </row>
    <row r="342" spans="1:16">
      <c r="A342">
        <v>960</v>
      </c>
      <c r="B342">
        <v>40586</v>
      </c>
      <c r="C342">
        <v>1</v>
      </c>
      <c r="D342">
        <v>0</v>
      </c>
      <c r="E342">
        <v>2</v>
      </c>
      <c r="F342">
        <v>14</v>
      </c>
      <c r="G342" t="b">
        <v>0</v>
      </c>
      <c r="H342">
        <v>6</v>
      </c>
      <c r="I342">
        <v>1</v>
      </c>
      <c r="J342">
        <v>0.34</v>
      </c>
      <c r="K342">
        <v>0.31819999999999998</v>
      </c>
      <c r="L342">
        <v>0.31</v>
      </c>
      <c r="M342">
        <v>0.28360000000000002</v>
      </c>
      <c r="N342">
        <v>30</v>
      </c>
      <c r="O342">
        <v>90</v>
      </c>
      <c r="P342">
        <v>120</v>
      </c>
    </row>
    <row r="343" spans="1:16">
      <c r="A343">
        <v>961</v>
      </c>
      <c r="B343">
        <v>40586</v>
      </c>
      <c r="C343">
        <v>1</v>
      </c>
      <c r="D343">
        <v>0</v>
      </c>
      <c r="E343">
        <v>2</v>
      </c>
      <c r="F343">
        <v>15</v>
      </c>
      <c r="G343" t="b">
        <v>0</v>
      </c>
      <c r="H343">
        <v>6</v>
      </c>
      <c r="I343">
        <v>1</v>
      </c>
      <c r="J343">
        <v>0.34</v>
      </c>
      <c r="K343">
        <v>0.30299999999999999</v>
      </c>
      <c r="L343">
        <v>0.28999999999999998</v>
      </c>
      <c r="M343">
        <v>0.41789999999999999</v>
      </c>
      <c r="N343">
        <v>47</v>
      </c>
      <c r="O343">
        <v>127</v>
      </c>
      <c r="P343">
        <v>174</v>
      </c>
    </row>
    <row r="344" spans="1:16">
      <c r="A344">
        <v>962</v>
      </c>
      <c r="B344">
        <v>40586</v>
      </c>
      <c r="C344">
        <v>1</v>
      </c>
      <c r="D344">
        <v>0</v>
      </c>
      <c r="E344">
        <v>2</v>
      </c>
      <c r="F344">
        <v>16</v>
      </c>
      <c r="G344" t="b">
        <v>0</v>
      </c>
      <c r="H344">
        <v>6</v>
      </c>
      <c r="I344">
        <v>1</v>
      </c>
      <c r="J344">
        <v>0.34</v>
      </c>
      <c r="K344">
        <v>0.30299999999999999</v>
      </c>
      <c r="L344">
        <v>0.28999999999999998</v>
      </c>
      <c r="M344">
        <v>0.41789999999999999</v>
      </c>
      <c r="N344">
        <v>42</v>
      </c>
      <c r="O344">
        <v>103</v>
      </c>
      <c r="P344">
        <v>145</v>
      </c>
    </row>
    <row r="345" spans="1:16">
      <c r="A345">
        <v>963</v>
      </c>
      <c r="B345">
        <v>40586</v>
      </c>
      <c r="C345">
        <v>1</v>
      </c>
      <c r="D345">
        <v>0</v>
      </c>
      <c r="E345">
        <v>2</v>
      </c>
      <c r="F345">
        <v>17</v>
      </c>
      <c r="G345" t="b">
        <v>0</v>
      </c>
      <c r="H345">
        <v>6</v>
      </c>
      <c r="I345">
        <v>1</v>
      </c>
      <c r="J345">
        <v>0.32</v>
      </c>
      <c r="K345">
        <v>0.28789999999999999</v>
      </c>
      <c r="L345">
        <v>0.31</v>
      </c>
      <c r="M345">
        <v>0.52239999999999998</v>
      </c>
      <c r="N345">
        <v>24</v>
      </c>
      <c r="O345">
        <v>113</v>
      </c>
      <c r="P345">
        <v>137</v>
      </c>
    </row>
    <row r="346" spans="1:16">
      <c r="A346">
        <v>964</v>
      </c>
      <c r="B346">
        <v>40586</v>
      </c>
      <c r="C346">
        <v>1</v>
      </c>
      <c r="D346">
        <v>0</v>
      </c>
      <c r="E346">
        <v>2</v>
      </c>
      <c r="F346">
        <v>18</v>
      </c>
      <c r="G346" t="b">
        <v>0</v>
      </c>
      <c r="H346">
        <v>6</v>
      </c>
      <c r="I346">
        <v>1</v>
      </c>
      <c r="J346">
        <v>0.28000000000000003</v>
      </c>
      <c r="K346">
        <v>0.2576</v>
      </c>
      <c r="L346">
        <v>0.38</v>
      </c>
      <c r="M346">
        <v>0.32840000000000003</v>
      </c>
      <c r="N346">
        <v>4</v>
      </c>
      <c r="O346">
        <v>60</v>
      </c>
      <c r="P346">
        <v>64</v>
      </c>
    </row>
    <row r="347" spans="1:16">
      <c r="A347">
        <v>965</v>
      </c>
      <c r="B347">
        <v>40586</v>
      </c>
      <c r="C347">
        <v>1</v>
      </c>
      <c r="D347">
        <v>0</v>
      </c>
      <c r="E347">
        <v>2</v>
      </c>
      <c r="F347">
        <v>19</v>
      </c>
      <c r="G347" t="b">
        <v>0</v>
      </c>
      <c r="H347">
        <v>6</v>
      </c>
      <c r="I347">
        <v>1</v>
      </c>
      <c r="J347">
        <v>0.28000000000000003</v>
      </c>
      <c r="K347">
        <v>0.2727</v>
      </c>
      <c r="L347">
        <v>0.38</v>
      </c>
      <c r="M347">
        <v>0.16420000000000001</v>
      </c>
      <c r="N347">
        <v>2</v>
      </c>
      <c r="O347">
        <v>39</v>
      </c>
      <c r="P347">
        <v>41</v>
      </c>
    </row>
    <row r="348" spans="1:16">
      <c r="A348">
        <v>966</v>
      </c>
      <c r="B348">
        <v>40586</v>
      </c>
      <c r="C348">
        <v>1</v>
      </c>
      <c r="D348">
        <v>0</v>
      </c>
      <c r="E348">
        <v>2</v>
      </c>
      <c r="F348">
        <v>20</v>
      </c>
      <c r="G348" t="b">
        <v>0</v>
      </c>
      <c r="H348">
        <v>6</v>
      </c>
      <c r="I348">
        <v>1</v>
      </c>
      <c r="J348">
        <v>0.26</v>
      </c>
      <c r="K348">
        <v>0.2576</v>
      </c>
      <c r="L348">
        <v>0.41</v>
      </c>
      <c r="M348">
        <v>0.22389999999999999</v>
      </c>
      <c r="N348">
        <v>1</v>
      </c>
      <c r="O348">
        <v>39</v>
      </c>
      <c r="P348">
        <v>40</v>
      </c>
    </row>
    <row r="349" spans="1:16">
      <c r="A349">
        <v>967</v>
      </c>
      <c r="B349">
        <v>40586</v>
      </c>
      <c r="C349">
        <v>1</v>
      </c>
      <c r="D349">
        <v>0</v>
      </c>
      <c r="E349">
        <v>2</v>
      </c>
      <c r="F349">
        <v>21</v>
      </c>
      <c r="G349" t="b">
        <v>0</v>
      </c>
      <c r="H349">
        <v>6</v>
      </c>
      <c r="I349">
        <v>1</v>
      </c>
      <c r="J349">
        <v>0.26</v>
      </c>
      <c r="K349">
        <v>0.30299999999999999</v>
      </c>
      <c r="L349">
        <v>0.41</v>
      </c>
      <c r="M349">
        <v>0</v>
      </c>
      <c r="N349">
        <v>9</v>
      </c>
      <c r="O349">
        <v>42</v>
      </c>
      <c r="P349">
        <v>51</v>
      </c>
    </row>
    <row r="350" spans="1:16">
      <c r="A350">
        <v>968</v>
      </c>
      <c r="B350">
        <v>40586</v>
      </c>
      <c r="C350">
        <v>1</v>
      </c>
      <c r="D350">
        <v>0</v>
      </c>
      <c r="E350">
        <v>2</v>
      </c>
      <c r="F350">
        <v>22</v>
      </c>
      <c r="G350" t="b">
        <v>0</v>
      </c>
      <c r="H350">
        <v>6</v>
      </c>
      <c r="I350">
        <v>1</v>
      </c>
      <c r="J350">
        <v>0.24</v>
      </c>
      <c r="K350">
        <v>0.2576</v>
      </c>
      <c r="L350">
        <v>0.44</v>
      </c>
      <c r="M350">
        <v>8.9599999999999999E-2</v>
      </c>
      <c r="N350">
        <v>6</v>
      </c>
      <c r="O350">
        <v>39</v>
      </c>
      <c r="P350">
        <v>45</v>
      </c>
    </row>
    <row r="351" spans="1:16">
      <c r="A351">
        <v>969</v>
      </c>
      <c r="B351">
        <v>40586</v>
      </c>
      <c r="C351">
        <v>1</v>
      </c>
      <c r="D351">
        <v>0</v>
      </c>
      <c r="E351">
        <v>2</v>
      </c>
      <c r="F351">
        <v>23</v>
      </c>
      <c r="G351" t="b">
        <v>0</v>
      </c>
      <c r="H351">
        <v>6</v>
      </c>
      <c r="I351">
        <v>1</v>
      </c>
      <c r="J351">
        <v>0.22</v>
      </c>
      <c r="K351">
        <v>0.2273</v>
      </c>
      <c r="L351">
        <v>0.51</v>
      </c>
      <c r="M351">
        <v>0.1343</v>
      </c>
      <c r="N351">
        <v>1</v>
      </c>
      <c r="O351">
        <v>31</v>
      </c>
      <c r="P351">
        <v>32</v>
      </c>
    </row>
    <row r="352" spans="1:16">
      <c r="A352">
        <v>970</v>
      </c>
      <c r="B352">
        <v>40587</v>
      </c>
      <c r="C352">
        <v>1</v>
      </c>
      <c r="D352">
        <v>0</v>
      </c>
      <c r="E352">
        <v>2</v>
      </c>
      <c r="F352">
        <v>0</v>
      </c>
      <c r="G352" t="b">
        <v>0</v>
      </c>
      <c r="H352">
        <v>0</v>
      </c>
      <c r="I352">
        <v>1</v>
      </c>
      <c r="J352">
        <v>0.2</v>
      </c>
      <c r="K352">
        <v>0.2273</v>
      </c>
      <c r="L352">
        <v>0.64</v>
      </c>
      <c r="M352">
        <v>0.1045</v>
      </c>
      <c r="N352">
        <v>5</v>
      </c>
      <c r="O352">
        <v>34</v>
      </c>
      <c r="P352">
        <v>39</v>
      </c>
    </row>
    <row r="353" spans="1:16">
      <c r="A353">
        <v>971</v>
      </c>
      <c r="B353">
        <v>40587</v>
      </c>
      <c r="C353">
        <v>1</v>
      </c>
      <c r="D353">
        <v>0</v>
      </c>
      <c r="E353">
        <v>2</v>
      </c>
      <c r="F353">
        <v>1</v>
      </c>
      <c r="G353" t="b">
        <v>0</v>
      </c>
      <c r="H353">
        <v>0</v>
      </c>
      <c r="I353">
        <v>1</v>
      </c>
      <c r="J353">
        <v>0.2</v>
      </c>
      <c r="K353">
        <v>0.2273</v>
      </c>
      <c r="L353">
        <v>0.59</v>
      </c>
      <c r="M353">
        <v>8.9599999999999999E-2</v>
      </c>
      <c r="N353">
        <v>1</v>
      </c>
      <c r="O353">
        <v>23</v>
      </c>
      <c r="P353">
        <v>24</v>
      </c>
    </row>
    <row r="354" spans="1:16">
      <c r="A354">
        <v>972</v>
      </c>
      <c r="B354">
        <v>40587</v>
      </c>
      <c r="C354">
        <v>1</v>
      </c>
      <c r="D354">
        <v>0</v>
      </c>
      <c r="E354">
        <v>2</v>
      </c>
      <c r="F354">
        <v>2</v>
      </c>
      <c r="G354" t="b">
        <v>0</v>
      </c>
      <c r="H354">
        <v>0</v>
      </c>
      <c r="I354">
        <v>2</v>
      </c>
      <c r="J354">
        <v>0.2</v>
      </c>
      <c r="K354">
        <v>0.2273</v>
      </c>
      <c r="L354">
        <v>0.75</v>
      </c>
      <c r="M354">
        <v>8.9599999999999999E-2</v>
      </c>
      <c r="N354">
        <v>1</v>
      </c>
      <c r="O354">
        <v>19</v>
      </c>
      <c r="P354">
        <v>20</v>
      </c>
    </row>
    <row r="355" spans="1:16">
      <c r="A355">
        <v>973</v>
      </c>
      <c r="B355">
        <v>40587</v>
      </c>
      <c r="C355">
        <v>1</v>
      </c>
      <c r="D355">
        <v>0</v>
      </c>
      <c r="E355">
        <v>2</v>
      </c>
      <c r="F355">
        <v>3</v>
      </c>
      <c r="G355" t="b">
        <v>0</v>
      </c>
      <c r="H355">
        <v>0</v>
      </c>
      <c r="I355">
        <v>2</v>
      </c>
      <c r="J355">
        <v>0.2</v>
      </c>
      <c r="K355">
        <v>0.2273</v>
      </c>
      <c r="L355">
        <v>0.69</v>
      </c>
      <c r="M355">
        <v>0.1045</v>
      </c>
      <c r="N355">
        <v>4</v>
      </c>
      <c r="O355">
        <v>8</v>
      </c>
      <c r="P355">
        <v>12</v>
      </c>
    </row>
    <row r="356" spans="1:16">
      <c r="A356">
        <v>974</v>
      </c>
      <c r="B356">
        <v>40587</v>
      </c>
      <c r="C356">
        <v>1</v>
      </c>
      <c r="D356">
        <v>0</v>
      </c>
      <c r="E356">
        <v>2</v>
      </c>
      <c r="F356">
        <v>4</v>
      </c>
      <c r="G356" t="b">
        <v>0</v>
      </c>
      <c r="H356">
        <v>0</v>
      </c>
      <c r="I356">
        <v>2</v>
      </c>
      <c r="J356">
        <v>0.2</v>
      </c>
      <c r="K356">
        <v>0.21210000000000001</v>
      </c>
      <c r="L356">
        <v>0.69</v>
      </c>
      <c r="M356">
        <v>0.16420000000000001</v>
      </c>
      <c r="N356">
        <v>0</v>
      </c>
      <c r="O356">
        <v>2</v>
      </c>
      <c r="P356">
        <v>2</v>
      </c>
    </row>
    <row r="357" spans="1:16">
      <c r="A357">
        <v>975</v>
      </c>
      <c r="B357">
        <v>40587</v>
      </c>
      <c r="C357">
        <v>1</v>
      </c>
      <c r="D357">
        <v>0</v>
      </c>
      <c r="E357">
        <v>2</v>
      </c>
      <c r="F357">
        <v>6</v>
      </c>
      <c r="G357" t="b">
        <v>0</v>
      </c>
      <c r="H357">
        <v>0</v>
      </c>
      <c r="I357">
        <v>2</v>
      </c>
      <c r="J357">
        <v>0.2</v>
      </c>
      <c r="K357">
        <v>0.21210000000000001</v>
      </c>
      <c r="L357">
        <v>0.69</v>
      </c>
      <c r="M357">
        <v>0.1343</v>
      </c>
      <c r="N357">
        <v>2</v>
      </c>
      <c r="O357">
        <v>3</v>
      </c>
      <c r="P357">
        <v>5</v>
      </c>
    </row>
    <row r="358" spans="1:16">
      <c r="A358">
        <v>976</v>
      </c>
      <c r="B358">
        <v>40587</v>
      </c>
      <c r="C358">
        <v>1</v>
      </c>
      <c r="D358">
        <v>0</v>
      </c>
      <c r="E358">
        <v>2</v>
      </c>
      <c r="F358">
        <v>7</v>
      </c>
      <c r="G358" t="b">
        <v>0</v>
      </c>
      <c r="H358">
        <v>0</v>
      </c>
      <c r="I358">
        <v>2</v>
      </c>
      <c r="J358">
        <v>0.22</v>
      </c>
      <c r="K358">
        <v>0.2727</v>
      </c>
      <c r="L358">
        <v>0.55000000000000004</v>
      </c>
      <c r="M358">
        <v>0</v>
      </c>
      <c r="N358">
        <v>0</v>
      </c>
      <c r="O358">
        <v>3</v>
      </c>
      <c r="P358">
        <v>3</v>
      </c>
    </row>
    <row r="359" spans="1:16">
      <c r="A359">
        <v>977</v>
      </c>
      <c r="B359">
        <v>40587</v>
      </c>
      <c r="C359">
        <v>1</v>
      </c>
      <c r="D359">
        <v>0</v>
      </c>
      <c r="E359">
        <v>2</v>
      </c>
      <c r="F359">
        <v>8</v>
      </c>
      <c r="G359" t="b">
        <v>0</v>
      </c>
      <c r="H359">
        <v>0</v>
      </c>
      <c r="I359">
        <v>2</v>
      </c>
      <c r="J359">
        <v>0.22</v>
      </c>
      <c r="K359">
        <v>0.2273</v>
      </c>
      <c r="L359">
        <v>0.64</v>
      </c>
      <c r="M359">
        <v>0.19400000000000001</v>
      </c>
      <c r="N359">
        <v>1</v>
      </c>
      <c r="O359">
        <v>11</v>
      </c>
      <c r="P359">
        <v>12</v>
      </c>
    </row>
    <row r="360" spans="1:16">
      <c r="A360">
        <v>978</v>
      </c>
      <c r="B360">
        <v>40587</v>
      </c>
      <c r="C360">
        <v>1</v>
      </c>
      <c r="D360">
        <v>0</v>
      </c>
      <c r="E360">
        <v>2</v>
      </c>
      <c r="F360">
        <v>9</v>
      </c>
      <c r="G360" t="b">
        <v>0</v>
      </c>
      <c r="H360">
        <v>0</v>
      </c>
      <c r="I360">
        <v>2</v>
      </c>
      <c r="J360">
        <v>0.24</v>
      </c>
      <c r="K360">
        <v>0.2273</v>
      </c>
      <c r="L360">
        <v>0.6</v>
      </c>
      <c r="M360">
        <v>0.22389999999999999</v>
      </c>
      <c r="N360">
        <v>12</v>
      </c>
      <c r="O360">
        <v>35</v>
      </c>
      <c r="P360">
        <v>47</v>
      </c>
    </row>
    <row r="361" spans="1:16">
      <c r="A361">
        <v>979</v>
      </c>
      <c r="B361">
        <v>40587</v>
      </c>
      <c r="C361">
        <v>1</v>
      </c>
      <c r="D361">
        <v>0</v>
      </c>
      <c r="E361">
        <v>2</v>
      </c>
      <c r="F361">
        <v>10</v>
      </c>
      <c r="G361" t="b">
        <v>0</v>
      </c>
      <c r="H361">
        <v>0</v>
      </c>
      <c r="I361">
        <v>1</v>
      </c>
      <c r="J361">
        <v>0.3</v>
      </c>
      <c r="K361">
        <v>0.2727</v>
      </c>
      <c r="L361">
        <v>0.45</v>
      </c>
      <c r="M361">
        <v>0.32840000000000003</v>
      </c>
      <c r="N361">
        <v>19</v>
      </c>
      <c r="O361">
        <v>86</v>
      </c>
      <c r="P361">
        <v>105</v>
      </c>
    </row>
    <row r="362" spans="1:16">
      <c r="A362">
        <v>980</v>
      </c>
      <c r="B362">
        <v>40587</v>
      </c>
      <c r="C362">
        <v>1</v>
      </c>
      <c r="D362">
        <v>0</v>
      </c>
      <c r="E362">
        <v>2</v>
      </c>
      <c r="F362">
        <v>11</v>
      </c>
      <c r="G362" t="b">
        <v>0</v>
      </c>
      <c r="H362">
        <v>0</v>
      </c>
      <c r="I362">
        <v>1</v>
      </c>
      <c r="J362">
        <v>0.32</v>
      </c>
      <c r="K362">
        <v>0.28789999999999999</v>
      </c>
      <c r="L362">
        <v>0.39</v>
      </c>
      <c r="M362">
        <v>0.44779999999999998</v>
      </c>
      <c r="N362">
        <v>26</v>
      </c>
      <c r="O362">
        <v>86</v>
      </c>
      <c r="P362">
        <v>112</v>
      </c>
    </row>
    <row r="363" spans="1:16">
      <c r="A363">
        <v>981</v>
      </c>
      <c r="B363">
        <v>40587</v>
      </c>
      <c r="C363">
        <v>1</v>
      </c>
      <c r="D363">
        <v>0</v>
      </c>
      <c r="E363">
        <v>2</v>
      </c>
      <c r="F363">
        <v>12</v>
      </c>
      <c r="G363" t="b">
        <v>0</v>
      </c>
      <c r="H363">
        <v>0</v>
      </c>
      <c r="I363">
        <v>1</v>
      </c>
      <c r="J363">
        <v>0.36</v>
      </c>
      <c r="K363">
        <v>0.31819999999999998</v>
      </c>
      <c r="L363">
        <v>0.32</v>
      </c>
      <c r="M363">
        <v>0.4627</v>
      </c>
      <c r="N363">
        <v>58</v>
      </c>
      <c r="O363">
        <v>94</v>
      </c>
      <c r="P363">
        <v>152</v>
      </c>
    </row>
    <row r="364" spans="1:16">
      <c r="A364">
        <v>982</v>
      </c>
      <c r="B364">
        <v>40587</v>
      </c>
      <c r="C364">
        <v>1</v>
      </c>
      <c r="D364">
        <v>0</v>
      </c>
      <c r="E364">
        <v>2</v>
      </c>
      <c r="F364">
        <v>13</v>
      </c>
      <c r="G364" t="b">
        <v>0</v>
      </c>
      <c r="H364">
        <v>0</v>
      </c>
      <c r="I364">
        <v>1</v>
      </c>
      <c r="J364">
        <v>0.38</v>
      </c>
      <c r="K364">
        <v>0.39389999999999997</v>
      </c>
      <c r="L364">
        <v>0.28999999999999998</v>
      </c>
      <c r="M364">
        <v>0.35820000000000002</v>
      </c>
      <c r="N364">
        <v>62</v>
      </c>
      <c r="O364">
        <v>92</v>
      </c>
      <c r="P364">
        <v>154</v>
      </c>
    </row>
    <row r="365" spans="1:16">
      <c r="A365">
        <v>983</v>
      </c>
      <c r="B365">
        <v>40587</v>
      </c>
      <c r="C365">
        <v>1</v>
      </c>
      <c r="D365">
        <v>0</v>
      </c>
      <c r="E365">
        <v>2</v>
      </c>
      <c r="F365">
        <v>14</v>
      </c>
      <c r="G365" t="b">
        <v>0</v>
      </c>
      <c r="H365">
        <v>0</v>
      </c>
      <c r="I365">
        <v>2</v>
      </c>
      <c r="J365">
        <v>0.4</v>
      </c>
      <c r="K365">
        <v>0.40910000000000002</v>
      </c>
      <c r="L365">
        <v>0.3</v>
      </c>
      <c r="M365">
        <v>0.41789999999999999</v>
      </c>
      <c r="N365">
        <v>51</v>
      </c>
      <c r="O365">
        <v>110</v>
      </c>
      <c r="P365">
        <v>161</v>
      </c>
    </row>
    <row r="366" spans="1:16">
      <c r="A366">
        <v>984</v>
      </c>
      <c r="B366">
        <v>40587</v>
      </c>
      <c r="C366">
        <v>1</v>
      </c>
      <c r="D366">
        <v>0</v>
      </c>
      <c r="E366">
        <v>2</v>
      </c>
      <c r="F366">
        <v>15</v>
      </c>
      <c r="G366" t="b">
        <v>0</v>
      </c>
      <c r="H366">
        <v>0</v>
      </c>
      <c r="I366">
        <v>2</v>
      </c>
      <c r="J366">
        <v>0.4</v>
      </c>
      <c r="K366">
        <v>0.40910000000000002</v>
      </c>
      <c r="L366">
        <v>0.3</v>
      </c>
      <c r="M366">
        <v>0.29849999999999999</v>
      </c>
      <c r="N366">
        <v>40</v>
      </c>
      <c r="O366">
        <v>122</v>
      </c>
      <c r="P366">
        <v>162</v>
      </c>
    </row>
    <row r="367" spans="1:16">
      <c r="A367">
        <v>985</v>
      </c>
      <c r="B367">
        <v>40587</v>
      </c>
      <c r="C367">
        <v>1</v>
      </c>
      <c r="D367">
        <v>0</v>
      </c>
      <c r="E367">
        <v>2</v>
      </c>
      <c r="F367">
        <v>16</v>
      </c>
      <c r="G367" t="b">
        <v>0</v>
      </c>
      <c r="H367">
        <v>0</v>
      </c>
      <c r="I367">
        <v>2</v>
      </c>
      <c r="J367">
        <v>0.42</v>
      </c>
      <c r="K367">
        <v>0.42420000000000002</v>
      </c>
      <c r="L367">
        <v>0.28000000000000003</v>
      </c>
      <c r="M367">
        <v>0.32840000000000003</v>
      </c>
      <c r="N367">
        <v>28</v>
      </c>
      <c r="O367">
        <v>106</v>
      </c>
      <c r="P367">
        <v>134</v>
      </c>
    </row>
    <row r="368" spans="1:16">
      <c r="A368">
        <v>986</v>
      </c>
      <c r="B368">
        <v>40587</v>
      </c>
      <c r="C368">
        <v>1</v>
      </c>
      <c r="D368">
        <v>0</v>
      </c>
      <c r="E368">
        <v>2</v>
      </c>
      <c r="F368">
        <v>17</v>
      </c>
      <c r="G368" t="b">
        <v>0</v>
      </c>
      <c r="H368">
        <v>0</v>
      </c>
      <c r="I368">
        <v>1</v>
      </c>
      <c r="J368">
        <v>0.42</v>
      </c>
      <c r="K368">
        <v>0.42420000000000002</v>
      </c>
      <c r="L368">
        <v>0.28000000000000003</v>
      </c>
      <c r="M368">
        <v>0.32840000000000003</v>
      </c>
      <c r="N368">
        <v>30</v>
      </c>
      <c r="O368">
        <v>95</v>
      </c>
      <c r="P368">
        <v>125</v>
      </c>
    </row>
    <row r="369" spans="1:16">
      <c r="A369">
        <v>987</v>
      </c>
      <c r="B369">
        <v>40587</v>
      </c>
      <c r="C369">
        <v>1</v>
      </c>
      <c r="D369">
        <v>0</v>
      </c>
      <c r="E369">
        <v>2</v>
      </c>
      <c r="F369">
        <v>18</v>
      </c>
      <c r="G369" t="b">
        <v>0</v>
      </c>
      <c r="H369">
        <v>0</v>
      </c>
      <c r="I369">
        <v>1</v>
      </c>
      <c r="J369">
        <v>0.4</v>
      </c>
      <c r="K369">
        <v>0.40910000000000002</v>
      </c>
      <c r="L369">
        <v>0.32</v>
      </c>
      <c r="M369">
        <v>0.29849999999999999</v>
      </c>
      <c r="N369">
        <v>17</v>
      </c>
      <c r="O369">
        <v>78</v>
      </c>
      <c r="P369">
        <v>95</v>
      </c>
    </row>
    <row r="370" spans="1:16">
      <c r="A370">
        <v>988</v>
      </c>
      <c r="B370">
        <v>40587</v>
      </c>
      <c r="C370">
        <v>1</v>
      </c>
      <c r="D370">
        <v>0</v>
      </c>
      <c r="E370">
        <v>2</v>
      </c>
      <c r="F370">
        <v>19</v>
      </c>
      <c r="G370" t="b">
        <v>0</v>
      </c>
      <c r="H370">
        <v>0</v>
      </c>
      <c r="I370">
        <v>1</v>
      </c>
      <c r="J370">
        <v>0.4</v>
      </c>
      <c r="K370">
        <v>0.40910000000000002</v>
      </c>
      <c r="L370">
        <v>0.35</v>
      </c>
      <c r="M370">
        <v>0.28360000000000002</v>
      </c>
      <c r="N370">
        <v>11</v>
      </c>
      <c r="O370">
        <v>50</v>
      </c>
      <c r="P370">
        <v>61</v>
      </c>
    </row>
    <row r="371" spans="1:16">
      <c r="A371">
        <v>989</v>
      </c>
      <c r="B371">
        <v>40587</v>
      </c>
      <c r="C371">
        <v>1</v>
      </c>
      <c r="D371">
        <v>0</v>
      </c>
      <c r="E371">
        <v>2</v>
      </c>
      <c r="F371">
        <v>20</v>
      </c>
      <c r="G371" t="b">
        <v>0</v>
      </c>
      <c r="H371">
        <v>0</v>
      </c>
      <c r="I371">
        <v>1</v>
      </c>
      <c r="J371">
        <v>0.4</v>
      </c>
      <c r="K371">
        <v>0.40910000000000002</v>
      </c>
      <c r="L371">
        <v>0.35</v>
      </c>
      <c r="M371">
        <v>0.32840000000000003</v>
      </c>
      <c r="N371">
        <v>15</v>
      </c>
      <c r="O371">
        <v>32</v>
      </c>
      <c r="P371">
        <v>47</v>
      </c>
    </row>
    <row r="372" spans="1:16">
      <c r="A372">
        <v>990</v>
      </c>
      <c r="B372">
        <v>40587</v>
      </c>
      <c r="C372">
        <v>1</v>
      </c>
      <c r="D372">
        <v>0</v>
      </c>
      <c r="E372">
        <v>2</v>
      </c>
      <c r="F372">
        <v>21</v>
      </c>
      <c r="G372" t="b">
        <v>0</v>
      </c>
      <c r="H372">
        <v>0</v>
      </c>
      <c r="I372">
        <v>1</v>
      </c>
      <c r="J372">
        <v>0.4</v>
      </c>
      <c r="K372">
        <v>0.40910000000000002</v>
      </c>
      <c r="L372">
        <v>0.35</v>
      </c>
      <c r="M372">
        <v>0.35820000000000002</v>
      </c>
      <c r="N372">
        <v>6</v>
      </c>
      <c r="O372">
        <v>45</v>
      </c>
      <c r="P372">
        <v>51</v>
      </c>
    </row>
    <row r="373" spans="1:16">
      <c r="A373">
        <v>991</v>
      </c>
      <c r="B373">
        <v>40587</v>
      </c>
      <c r="C373">
        <v>1</v>
      </c>
      <c r="D373">
        <v>0</v>
      </c>
      <c r="E373">
        <v>2</v>
      </c>
      <c r="F373">
        <v>22</v>
      </c>
      <c r="G373" t="b">
        <v>0</v>
      </c>
      <c r="H373">
        <v>0</v>
      </c>
      <c r="I373">
        <v>1</v>
      </c>
      <c r="J373">
        <v>0.4</v>
      </c>
      <c r="K373">
        <v>0.40910000000000002</v>
      </c>
      <c r="L373">
        <v>0.35</v>
      </c>
      <c r="M373">
        <v>0.29849999999999999</v>
      </c>
      <c r="N373">
        <v>5</v>
      </c>
      <c r="O373">
        <v>31</v>
      </c>
      <c r="P373">
        <v>36</v>
      </c>
    </row>
    <row r="374" spans="1:16">
      <c r="A374">
        <v>992</v>
      </c>
      <c r="B374">
        <v>40587</v>
      </c>
      <c r="C374">
        <v>1</v>
      </c>
      <c r="D374">
        <v>0</v>
      </c>
      <c r="E374">
        <v>2</v>
      </c>
      <c r="F374">
        <v>23</v>
      </c>
      <c r="G374" t="b">
        <v>0</v>
      </c>
      <c r="H374">
        <v>0</v>
      </c>
      <c r="I374">
        <v>1</v>
      </c>
      <c r="J374">
        <v>0.4</v>
      </c>
      <c r="K374">
        <v>0.40910000000000002</v>
      </c>
      <c r="L374">
        <v>0.35</v>
      </c>
      <c r="M374">
        <v>0.35820000000000002</v>
      </c>
      <c r="N374">
        <v>3</v>
      </c>
      <c r="O374">
        <v>27</v>
      </c>
      <c r="P374">
        <v>30</v>
      </c>
    </row>
    <row r="375" spans="1:16">
      <c r="A375">
        <v>993</v>
      </c>
      <c r="B375">
        <v>40588</v>
      </c>
      <c r="C375">
        <v>1</v>
      </c>
      <c r="D375">
        <v>0</v>
      </c>
      <c r="E375">
        <v>2</v>
      </c>
      <c r="F375">
        <v>0</v>
      </c>
      <c r="G375" t="b">
        <v>0</v>
      </c>
      <c r="H375">
        <v>1</v>
      </c>
      <c r="I375">
        <v>1</v>
      </c>
      <c r="J375">
        <v>0.38</v>
      </c>
      <c r="K375">
        <v>0.39389999999999997</v>
      </c>
      <c r="L375">
        <v>0.37</v>
      </c>
      <c r="M375">
        <v>0.35820000000000002</v>
      </c>
      <c r="N375">
        <v>3</v>
      </c>
      <c r="O375">
        <v>8</v>
      </c>
      <c r="P375">
        <v>11</v>
      </c>
    </row>
    <row r="376" spans="1:16">
      <c r="A376">
        <v>994</v>
      </c>
      <c r="B376">
        <v>40588</v>
      </c>
      <c r="C376">
        <v>1</v>
      </c>
      <c r="D376">
        <v>0</v>
      </c>
      <c r="E376">
        <v>2</v>
      </c>
      <c r="F376">
        <v>1</v>
      </c>
      <c r="G376" t="b">
        <v>0</v>
      </c>
      <c r="H376">
        <v>1</v>
      </c>
      <c r="I376">
        <v>1</v>
      </c>
      <c r="J376">
        <v>0.38</v>
      </c>
      <c r="K376">
        <v>0.39389999999999997</v>
      </c>
      <c r="L376">
        <v>0.37</v>
      </c>
      <c r="M376">
        <v>0.35820000000000002</v>
      </c>
      <c r="N376">
        <v>1</v>
      </c>
      <c r="O376">
        <v>6</v>
      </c>
      <c r="P376">
        <v>7</v>
      </c>
    </row>
    <row r="377" spans="1:16">
      <c r="A377">
        <v>995</v>
      </c>
      <c r="B377">
        <v>40588</v>
      </c>
      <c r="C377">
        <v>1</v>
      </c>
      <c r="D377">
        <v>0</v>
      </c>
      <c r="E377">
        <v>2</v>
      </c>
      <c r="F377">
        <v>2</v>
      </c>
      <c r="G377" t="b">
        <v>0</v>
      </c>
      <c r="H377">
        <v>1</v>
      </c>
      <c r="I377">
        <v>1</v>
      </c>
      <c r="J377">
        <v>0.36</v>
      </c>
      <c r="K377">
        <v>0.33329999999999999</v>
      </c>
      <c r="L377">
        <v>0.4</v>
      </c>
      <c r="M377">
        <v>0.29849999999999999</v>
      </c>
      <c r="N377">
        <v>0</v>
      </c>
      <c r="O377">
        <v>2</v>
      </c>
      <c r="P377">
        <v>2</v>
      </c>
    </row>
    <row r="378" spans="1:16">
      <c r="A378">
        <v>996</v>
      </c>
      <c r="B378">
        <v>40588</v>
      </c>
      <c r="C378">
        <v>1</v>
      </c>
      <c r="D378">
        <v>0</v>
      </c>
      <c r="E378">
        <v>2</v>
      </c>
      <c r="F378">
        <v>3</v>
      </c>
      <c r="G378" t="b">
        <v>0</v>
      </c>
      <c r="H378">
        <v>1</v>
      </c>
      <c r="I378">
        <v>1</v>
      </c>
      <c r="J378">
        <v>0.34</v>
      </c>
      <c r="K378">
        <v>0.31819999999999998</v>
      </c>
      <c r="L378">
        <v>0.46</v>
      </c>
      <c r="M378">
        <v>0.22389999999999999</v>
      </c>
      <c r="N378">
        <v>1</v>
      </c>
      <c r="O378">
        <v>1</v>
      </c>
      <c r="P378">
        <v>2</v>
      </c>
    </row>
    <row r="379" spans="1:16">
      <c r="A379">
        <v>997</v>
      </c>
      <c r="B379">
        <v>40588</v>
      </c>
      <c r="C379">
        <v>1</v>
      </c>
      <c r="D379">
        <v>0</v>
      </c>
      <c r="E379">
        <v>2</v>
      </c>
      <c r="F379">
        <v>4</v>
      </c>
      <c r="G379" t="b">
        <v>0</v>
      </c>
      <c r="H379">
        <v>1</v>
      </c>
      <c r="I379">
        <v>1</v>
      </c>
      <c r="J379">
        <v>0.32</v>
      </c>
      <c r="K379">
        <v>0.30299999999999999</v>
      </c>
      <c r="L379">
        <v>0.53</v>
      </c>
      <c r="M379">
        <v>0.28360000000000002</v>
      </c>
      <c r="N379">
        <v>0</v>
      </c>
      <c r="O379">
        <v>2</v>
      </c>
      <c r="P379">
        <v>2</v>
      </c>
    </row>
    <row r="380" spans="1:16">
      <c r="A380">
        <v>998</v>
      </c>
      <c r="B380">
        <v>40588</v>
      </c>
      <c r="C380">
        <v>1</v>
      </c>
      <c r="D380">
        <v>0</v>
      </c>
      <c r="E380">
        <v>2</v>
      </c>
      <c r="F380">
        <v>5</v>
      </c>
      <c r="G380" t="b">
        <v>0</v>
      </c>
      <c r="H380">
        <v>1</v>
      </c>
      <c r="I380">
        <v>1</v>
      </c>
      <c r="J380">
        <v>0.32</v>
      </c>
      <c r="K380">
        <v>0.30299999999999999</v>
      </c>
      <c r="L380">
        <v>0.53</v>
      </c>
      <c r="M380">
        <v>0.28360000000000002</v>
      </c>
      <c r="N380">
        <v>0</v>
      </c>
      <c r="O380">
        <v>3</v>
      </c>
      <c r="P380">
        <v>3</v>
      </c>
    </row>
    <row r="381" spans="1:16">
      <c r="A381">
        <v>999</v>
      </c>
      <c r="B381">
        <v>40588</v>
      </c>
      <c r="C381">
        <v>1</v>
      </c>
      <c r="D381">
        <v>0</v>
      </c>
      <c r="E381">
        <v>2</v>
      </c>
      <c r="F381">
        <v>6</v>
      </c>
      <c r="G381" t="b">
        <v>0</v>
      </c>
      <c r="H381">
        <v>1</v>
      </c>
      <c r="I381">
        <v>1</v>
      </c>
      <c r="J381">
        <v>0.34</v>
      </c>
      <c r="K381">
        <v>0.30299999999999999</v>
      </c>
      <c r="L381">
        <v>0.46</v>
      </c>
      <c r="M381">
        <v>0.29849999999999999</v>
      </c>
      <c r="N381">
        <v>1</v>
      </c>
      <c r="O381">
        <v>25</v>
      </c>
      <c r="P381">
        <v>26</v>
      </c>
    </row>
    <row r="382" spans="1:16">
      <c r="A382">
        <v>1000</v>
      </c>
      <c r="B382">
        <v>40588</v>
      </c>
      <c r="C382">
        <v>1</v>
      </c>
      <c r="D382">
        <v>0</v>
      </c>
      <c r="E382">
        <v>2</v>
      </c>
      <c r="F382">
        <v>7</v>
      </c>
      <c r="G382" t="b">
        <v>0</v>
      </c>
      <c r="H382">
        <v>1</v>
      </c>
      <c r="I382">
        <v>1</v>
      </c>
      <c r="J382">
        <v>0.34</v>
      </c>
      <c r="K382">
        <v>0.30299999999999999</v>
      </c>
      <c r="L382">
        <v>0.46</v>
      </c>
      <c r="M382">
        <v>0.29849999999999999</v>
      </c>
      <c r="N382">
        <v>2</v>
      </c>
      <c r="O382">
        <v>96</v>
      </c>
      <c r="P382">
        <v>98</v>
      </c>
    </row>
    <row r="383" spans="1:16">
      <c r="A383">
        <v>611</v>
      </c>
      <c r="B383">
        <v>40571</v>
      </c>
      <c r="C383">
        <v>1</v>
      </c>
      <c r="D383">
        <v>0</v>
      </c>
      <c r="E383">
        <v>1</v>
      </c>
      <c r="F383">
        <v>16</v>
      </c>
      <c r="G383" t="b">
        <v>0</v>
      </c>
      <c r="H383">
        <v>5</v>
      </c>
      <c r="I383">
        <v>1</v>
      </c>
      <c r="J383">
        <v>0.22</v>
      </c>
      <c r="K383">
        <v>0.2727</v>
      </c>
      <c r="L383">
        <v>0.8</v>
      </c>
      <c r="M383">
        <v>0</v>
      </c>
      <c r="N383">
        <v>10</v>
      </c>
      <c r="O383">
        <v>70</v>
      </c>
      <c r="P383">
        <v>80</v>
      </c>
    </row>
    <row r="384" spans="1:16">
      <c r="A384">
        <v>612</v>
      </c>
      <c r="B384">
        <v>40571</v>
      </c>
      <c r="C384">
        <v>1</v>
      </c>
      <c r="D384">
        <v>0</v>
      </c>
      <c r="E384">
        <v>1</v>
      </c>
      <c r="F384">
        <v>17</v>
      </c>
      <c r="G384" t="b">
        <v>0</v>
      </c>
      <c r="H384">
        <v>5</v>
      </c>
      <c r="I384">
        <v>1</v>
      </c>
      <c r="J384">
        <v>0.24</v>
      </c>
      <c r="K384">
        <v>0.2424</v>
      </c>
      <c r="L384">
        <v>0.75</v>
      </c>
      <c r="M384">
        <v>0.1343</v>
      </c>
      <c r="N384">
        <v>2</v>
      </c>
      <c r="O384">
        <v>147</v>
      </c>
      <c r="P384">
        <v>149</v>
      </c>
    </row>
    <row r="385" spans="1:16">
      <c r="A385">
        <v>613</v>
      </c>
      <c r="B385">
        <v>40571</v>
      </c>
      <c r="C385">
        <v>1</v>
      </c>
      <c r="D385">
        <v>0</v>
      </c>
      <c r="E385">
        <v>1</v>
      </c>
      <c r="F385">
        <v>18</v>
      </c>
      <c r="G385" t="b">
        <v>0</v>
      </c>
      <c r="H385">
        <v>5</v>
      </c>
      <c r="I385">
        <v>1</v>
      </c>
      <c r="J385">
        <v>0.24</v>
      </c>
      <c r="K385">
        <v>0.2273</v>
      </c>
      <c r="L385">
        <v>0.75</v>
      </c>
      <c r="M385">
        <v>0.19400000000000001</v>
      </c>
      <c r="N385">
        <v>2</v>
      </c>
      <c r="O385">
        <v>107</v>
      </c>
      <c r="P385">
        <v>109</v>
      </c>
    </row>
    <row r="386" spans="1:16">
      <c r="A386">
        <v>614</v>
      </c>
      <c r="B386">
        <v>40571</v>
      </c>
      <c r="C386">
        <v>1</v>
      </c>
      <c r="D386">
        <v>0</v>
      </c>
      <c r="E386">
        <v>1</v>
      </c>
      <c r="F386">
        <v>19</v>
      </c>
      <c r="G386" t="b">
        <v>0</v>
      </c>
      <c r="H386">
        <v>5</v>
      </c>
      <c r="I386">
        <v>2</v>
      </c>
      <c r="J386">
        <v>0.24</v>
      </c>
      <c r="K386">
        <v>0.2424</v>
      </c>
      <c r="L386">
        <v>0.75</v>
      </c>
      <c r="M386">
        <v>0.1343</v>
      </c>
      <c r="N386">
        <v>5</v>
      </c>
      <c r="O386">
        <v>84</v>
      </c>
      <c r="P386">
        <v>89</v>
      </c>
    </row>
    <row r="387" spans="1:16">
      <c r="A387">
        <v>615</v>
      </c>
      <c r="B387">
        <v>40571</v>
      </c>
      <c r="C387">
        <v>1</v>
      </c>
      <c r="D387">
        <v>0</v>
      </c>
      <c r="E387">
        <v>1</v>
      </c>
      <c r="F387">
        <v>20</v>
      </c>
      <c r="G387" t="b">
        <v>0</v>
      </c>
      <c r="H387">
        <v>5</v>
      </c>
      <c r="I387">
        <v>2</v>
      </c>
      <c r="J387">
        <v>0.24</v>
      </c>
      <c r="K387">
        <v>0.2273</v>
      </c>
      <c r="L387">
        <v>0.7</v>
      </c>
      <c r="M387">
        <v>0.19400000000000001</v>
      </c>
      <c r="N387">
        <v>1</v>
      </c>
      <c r="O387">
        <v>61</v>
      </c>
      <c r="P387">
        <v>62</v>
      </c>
    </row>
    <row r="388" spans="1:16">
      <c r="A388">
        <v>616</v>
      </c>
      <c r="B388">
        <v>40571</v>
      </c>
      <c r="C388">
        <v>1</v>
      </c>
      <c r="D388">
        <v>0</v>
      </c>
      <c r="E388">
        <v>1</v>
      </c>
      <c r="F388">
        <v>21</v>
      </c>
      <c r="G388" t="b">
        <v>0</v>
      </c>
      <c r="H388">
        <v>5</v>
      </c>
      <c r="I388">
        <v>2</v>
      </c>
      <c r="J388">
        <v>0.22</v>
      </c>
      <c r="K388">
        <v>0.2273</v>
      </c>
      <c r="L388">
        <v>0.75</v>
      </c>
      <c r="M388">
        <v>0.1343</v>
      </c>
      <c r="N388">
        <v>1</v>
      </c>
      <c r="O388">
        <v>57</v>
      </c>
      <c r="P388">
        <v>58</v>
      </c>
    </row>
    <row r="389" spans="1:16">
      <c r="A389">
        <v>617</v>
      </c>
      <c r="B389">
        <v>40571</v>
      </c>
      <c r="C389">
        <v>1</v>
      </c>
      <c r="D389">
        <v>0</v>
      </c>
      <c r="E389">
        <v>1</v>
      </c>
      <c r="F389">
        <v>22</v>
      </c>
      <c r="G389" t="b">
        <v>0</v>
      </c>
      <c r="H389">
        <v>5</v>
      </c>
      <c r="I389">
        <v>1</v>
      </c>
      <c r="J389">
        <v>0.24</v>
      </c>
      <c r="K389">
        <v>0.21210000000000001</v>
      </c>
      <c r="L389">
        <v>0.65</v>
      </c>
      <c r="M389">
        <v>0.35820000000000002</v>
      </c>
      <c r="N389">
        <v>0</v>
      </c>
      <c r="O389">
        <v>26</v>
      </c>
      <c r="P389">
        <v>26</v>
      </c>
    </row>
    <row r="390" spans="1:16">
      <c r="A390">
        <v>618</v>
      </c>
      <c r="B390">
        <v>40571</v>
      </c>
      <c r="C390">
        <v>1</v>
      </c>
      <c r="D390">
        <v>0</v>
      </c>
      <c r="E390">
        <v>1</v>
      </c>
      <c r="F390">
        <v>23</v>
      </c>
      <c r="G390" t="b">
        <v>0</v>
      </c>
      <c r="H390">
        <v>5</v>
      </c>
      <c r="I390">
        <v>1</v>
      </c>
      <c r="J390">
        <v>0.24</v>
      </c>
      <c r="K390">
        <v>0.2273</v>
      </c>
      <c r="L390">
        <v>0.6</v>
      </c>
      <c r="M390">
        <v>0.22389999999999999</v>
      </c>
      <c r="N390">
        <v>1</v>
      </c>
      <c r="O390">
        <v>22</v>
      </c>
      <c r="P390">
        <v>23</v>
      </c>
    </row>
    <row r="391" spans="1:16">
      <c r="A391">
        <v>619</v>
      </c>
      <c r="B391">
        <v>40572</v>
      </c>
      <c r="C391">
        <v>1</v>
      </c>
      <c r="D391">
        <v>0</v>
      </c>
      <c r="E391">
        <v>1</v>
      </c>
      <c r="F391">
        <v>0</v>
      </c>
      <c r="G391" t="b">
        <v>0</v>
      </c>
      <c r="H391">
        <v>6</v>
      </c>
      <c r="I391">
        <v>1</v>
      </c>
      <c r="J391">
        <v>0.22</v>
      </c>
      <c r="K391">
        <v>0.19700000000000001</v>
      </c>
      <c r="L391">
        <v>0.64</v>
      </c>
      <c r="M391">
        <v>0.35820000000000002</v>
      </c>
      <c r="N391">
        <v>2</v>
      </c>
      <c r="O391">
        <v>26</v>
      </c>
      <c r="P391">
        <v>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4095C9-4C7B-4CCD-92E7-4438257AD67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AI_report</vt:lpstr>
      <vt:lpstr>VBA_Report</vt:lpstr>
      <vt:lpstr>Dashboard</vt:lpstr>
      <vt:lpstr>Analysis</vt:lpstr>
      <vt:lpstr>Forecast_result</vt:lpstr>
      <vt:lpstr>Forecast_Anomaly</vt:lpstr>
      <vt:lpstr>README</vt:lpstr>
      <vt:lpstr>Dataset_1_Raw</vt:lpstr>
      <vt:lpstr>Dataset_2_Raw</vt:lpstr>
      <vt:lpstr>Dataset_3_Raw</vt:lpstr>
      <vt:lpstr>Master_Data</vt:lpstr>
      <vt:lpstr>Cleaning_Log</vt:lpstr>
      <vt:lpstr>Feature_Engineering</vt:lpstr>
      <vt:lpstr>data_quality check</vt:lpstr>
      <vt:lpstr>Summary</vt:lpstr>
      <vt:lpstr>Master_Data_pq</vt:lpstr>
      <vt:lpstr>Import_Dataset1</vt:lpstr>
      <vt:lpstr>Import_Dataset2</vt:lpstr>
      <vt:lpstr>Import_Dataset3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Paridhi Jain</cp:lastModifiedBy>
  <dcterms:created xsi:type="dcterms:W3CDTF">2026-09-21T05:13:12Z</dcterms:created>
  <dcterms:modified xsi:type="dcterms:W3CDTF">2026-10-08T07:25:01Z</dcterms:modified>
</cp:coreProperties>
</file>